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thebellgroupairdrie-my.sharepoint.com/personal/j_bellamy_bellgroup_co_uk/Documents/Documents/Paint Prices/"/>
    </mc:Choice>
  </mc:AlternateContent>
  <xr:revisionPtr revIDLastSave="52" documentId="8_{9B655C98-2EFA-4A82-A689-C104290865BE}" xr6:coauthVersionLast="47" xr6:coauthVersionMax="47" xr10:uidLastSave="{27CE5D00-0713-497D-A1D0-90C5595CA819}"/>
  <bookViews>
    <workbookView xWindow="-28920" yWindow="-90" windowWidth="29040" windowHeight="15720" firstSheet="1" activeTab="1" xr2:uid="{00000000-000D-0000-FFFF-FFFF00000000}"/>
  </bookViews>
  <sheets>
    <sheet name="Sheet2" sheetId="13" state="hidden" r:id="rId1"/>
    <sheet name="Akzo Sept 01 25  " sheetId="1" r:id="rId2"/>
    <sheet name="Sheet1" sheetId="12" state="hidden" r:id="rId3"/>
    <sheet name="Remove Old Items " sheetId="10" state="hidden" r:id="rId4"/>
    <sheet name="Sheet3" sheetId="8" state="hidden" r:id="rId5"/>
    <sheet name="Tash Lookup" sheetId="11" state="hidden" r:id="rId6"/>
  </sheets>
  <externalReferences>
    <externalReference r:id="rId7"/>
  </externalReferences>
  <definedNames>
    <definedName name="_xlnm._FilterDatabase" localSheetId="1" hidden="1">'Akzo Sept 01 25  '!$A$5:$AU$1363</definedName>
    <definedName name="_xlnm._FilterDatabase" localSheetId="5" hidden="1">'Tash Lookup'!$A$1:$E$1635</definedName>
  </definedNames>
  <calcPr calcId="191029" calcMode="manual"/>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 i="1" l="1"/>
  <c r="T5" i="1"/>
  <c r="X6" i="1"/>
  <c r="Y6" i="1"/>
  <c r="AB6" i="1"/>
  <c r="AC6" i="1"/>
  <c r="AG6" i="1"/>
  <c r="AI6" i="1"/>
  <c r="AJ6" i="1"/>
  <c r="AK6" i="1"/>
  <c r="X7" i="1"/>
  <c r="Y7" i="1"/>
  <c r="AB7" i="1"/>
  <c r="AC7" i="1"/>
  <c r="AG7" i="1"/>
  <c r="AI7" i="1"/>
  <c r="AJ7" i="1"/>
  <c r="AK7" i="1"/>
  <c r="X8" i="1"/>
  <c r="Y8" i="1"/>
  <c r="AB8" i="1"/>
  <c r="AC8" i="1"/>
  <c r="AG8" i="1"/>
  <c r="AI8" i="1"/>
  <c r="AJ8" i="1"/>
  <c r="AK8" i="1"/>
  <c r="X9" i="1"/>
  <c r="Y9" i="1"/>
  <c r="AB9" i="1"/>
  <c r="AC9" i="1"/>
  <c r="AG9" i="1"/>
  <c r="AI9" i="1"/>
  <c r="AJ9" i="1"/>
  <c r="AK9" i="1"/>
  <c r="X10" i="1"/>
  <c r="Y10" i="1"/>
  <c r="AB10" i="1"/>
  <c r="AC10" i="1"/>
  <c r="AG10" i="1"/>
  <c r="AI10" i="1"/>
  <c r="AJ10" i="1"/>
  <c r="AK10" i="1"/>
  <c r="X11" i="1"/>
  <c r="Y11" i="1"/>
  <c r="AB11" i="1"/>
  <c r="AC11" i="1"/>
  <c r="AI11" i="1"/>
  <c r="AJ11" i="1"/>
  <c r="AK11" i="1"/>
  <c r="X12" i="1"/>
  <c r="Y12" i="1"/>
  <c r="AB12" i="1"/>
  <c r="AC12" i="1"/>
  <c r="AG12" i="1"/>
  <c r="AI12" i="1"/>
  <c r="AJ12" i="1"/>
  <c r="AK12" i="1"/>
  <c r="X13" i="1"/>
  <c r="Y13" i="1"/>
  <c r="AB13" i="1"/>
  <c r="AC13" i="1"/>
  <c r="AG13" i="1"/>
  <c r="AI13" i="1"/>
  <c r="AJ13" i="1"/>
  <c r="AK13" i="1"/>
  <c r="X14" i="1"/>
  <c r="Y14" i="1"/>
  <c r="AB14" i="1"/>
  <c r="AC14" i="1"/>
  <c r="AG14" i="1"/>
  <c r="AI14" i="1"/>
  <c r="AJ14" i="1"/>
  <c r="AK14" i="1"/>
  <c r="X15" i="1"/>
  <c r="Y15" i="1"/>
  <c r="AB15" i="1"/>
  <c r="AC15" i="1"/>
  <c r="AG15" i="1"/>
  <c r="AI15" i="1"/>
  <c r="AJ15" i="1"/>
  <c r="AK15" i="1"/>
  <c r="X16" i="1"/>
  <c r="Y16" i="1"/>
  <c r="AB16" i="1"/>
  <c r="AC16" i="1"/>
  <c r="AG16" i="1"/>
  <c r="AI16" i="1"/>
  <c r="AJ16" i="1"/>
  <c r="AK16" i="1"/>
  <c r="X17" i="1"/>
  <c r="Y17" i="1"/>
  <c r="AB17" i="1"/>
  <c r="AC17" i="1"/>
  <c r="AG17" i="1"/>
  <c r="AI17" i="1"/>
  <c r="AJ17" i="1"/>
  <c r="AK17" i="1"/>
  <c r="X18" i="1"/>
  <c r="Y18" i="1"/>
  <c r="AB18" i="1"/>
  <c r="AC18" i="1"/>
  <c r="AG18" i="1"/>
  <c r="AI18" i="1"/>
  <c r="AJ18" i="1"/>
  <c r="AK18" i="1"/>
  <c r="X19" i="1"/>
  <c r="Y19" i="1"/>
  <c r="AB19" i="1"/>
  <c r="AC19" i="1"/>
  <c r="AG19" i="1"/>
  <c r="AI19" i="1"/>
  <c r="AJ19" i="1"/>
  <c r="AK19" i="1"/>
  <c r="X20" i="1"/>
  <c r="Y20" i="1"/>
  <c r="AB20" i="1"/>
  <c r="AC20" i="1"/>
  <c r="AG20" i="1"/>
  <c r="AI20" i="1"/>
  <c r="AJ20" i="1"/>
  <c r="AK20" i="1"/>
  <c r="X21" i="1"/>
  <c r="Y21" i="1"/>
  <c r="AB21" i="1"/>
  <c r="AC21" i="1"/>
  <c r="AG21" i="1"/>
  <c r="AI21" i="1"/>
  <c r="AJ21" i="1"/>
  <c r="AK21" i="1"/>
  <c r="X22" i="1"/>
  <c r="Y22" i="1"/>
  <c r="AB22" i="1"/>
  <c r="AC22" i="1"/>
  <c r="AG22" i="1"/>
  <c r="AI22" i="1"/>
  <c r="AJ22" i="1"/>
  <c r="AK22" i="1"/>
  <c r="X23" i="1"/>
  <c r="Y23" i="1"/>
  <c r="AB23" i="1"/>
  <c r="AC23" i="1"/>
  <c r="AG23" i="1"/>
  <c r="AI23" i="1"/>
  <c r="AJ23" i="1"/>
  <c r="AK23" i="1"/>
  <c r="X24" i="1"/>
  <c r="Y24" i="1"/>
  <c r="AB24" i="1"/>
  <c r="AC24" i="1"/>
  <c r="AG24" i="1"/>
  <c r="AI24" i="1"/>
  <c r="AJ24" i="1"/>
  <c r="AK24" i="1"/>
  <c r="X25" i="1"/>
  <c r="Y25" i="1"/>
  <c r="AB25" i="1"/>
  <c r="AC25" i="1"/>
  <c r="AG25" i="1"/>
  <c r="AI25" i="1"/>
  <c r="AJ25" i="1"/>
  <c r="AK25" i="1"/>
  <c r="X26" i="1"/>
  <c r="Y26" i="1"/>
  <c r="AB26" i="1"/>
  <c r="AC26" i="1"/>
  <c r="AG26" i="1"/>
  <c r="AI26" i="1"/>
  <c r="AJ26" i="1"/>
  <c r="AK26" i="1"/>
  <c r="X27" i="1"/>
  <c r="Y27" i="1"/>
  <c r="AB27" i="1"/>
  <c r="AC27" i="1"/>
  <c r="AG27" i="1"/>
  <c r="AI27" i="1"/>
  <c r="AJ27" i="1"/>
  <c r="AK27" i="1"/>
  <c r="X28" i="1"/>
  <c r="Y28" i="1"/>
  <c r="AB28" i="1"/>
  <c r="AC28" i="1"/>
  <c r="AG28" i="1"/>
  <c r="AI28" i="1"/>
  <c r="AJ28" i="1"/>
  <c r="AK28" i="1"/>
  <c r="X29" i="1"/>
  <c r="Y29" i="1"/>
  <c r="AB29" i="1"/>
  <c r="AC29" i="1"/>
  <c r="AG29" i="1"/>
  <c r="AI29" i="1"/>
  <c r="AJ29" i="1"/>
  <c r="AK29" i="1"/>
  <c r="X30" i="1"/>
  <c r="Y30" i="1"/>
  <c r="AB30" i="1"/>
  <c r="AC30" i="1"/>
  <c r="AG30" i="1"/>
  <c r="AI30" i="1"/>
  <c r="AJ30" i="1"/>
  <c r="AK30" i="1"/>
  <c r="X31" i="1"/>
  <c r="Y31" i="1"/>
  <c r="AB31" i="1"/>
  <c r="AC31" i="1"/>
  <c r="AG31" i="1"/>
  <c r="AI31" i="1"/>
  <c r="AJ31" i="1"/>
  <c r="AK31" i="1"/>
  <c r="X32" i="1"/>
  <c r="Y32" i="1"/>
  <c r="AB32" i="1"/>
  <c r="AC32" i="1"/>
  <c r="AG32" i="1"/>
  <c r="AI32" i="1"/>
  <c r="AJ32" i="1"/>
  <c r="AK32" i="1"/>
  <c r="X33" i="1"/>
  <c r="Y33" i="1"/>
  <c r="AB33" i="1"/>
  <c r="AC33" i="1"/>
  <c r="AG33" i="1"/>
  <c r="AI33" i="1"/>
  <c r="AJ33" i="1"/>
  <c r="AK33" i="1"/>
  <c r="X34" i="1"/>
  <c r="Y34" i="1"/>
  <c r="AB34" i="1"/>
  <c r="AC34" i="1"/>
  <c r="AG34" i="1"/>
  <c r="AI34" i="1"/>
  <c r="AJ34" i="1"/>
  <c r="AK34" i="1"/>
  <c r="X35" i="1"/>
  <c r="Y35" i="1"/>
  <c r="AB35" i="1"/>
  <c r="AC35" i="1"/>
  <c r="AG35" i="1"/>
  <c r="AI35" i="1"/>
  <c r="AJ35" i="1"/>
  <c r="AK35" i="1"/>
  <c r="X36" i="1"/>
  <c r="Y36" i="1"/>
  <c r="AB36" i="1"/>
  <c r="AC36" i="1"/>
  <c r="AG36" i="1"/>
  <c r="AI36" i="1"/>
  <c r="AJ36" i="1"/>
  <c r="AK36" i="1"/>
  <c r="X37" i="1"/>
  <c r="Y37" i="1"/>
  <c r="AB37" i="1"/>
  <c r="AC37" i="1"/>
  <c r="AG37" i="1"/>
  <c r="AI37" i="1"/>
  <c r="AJ37" i="1"/>
  <c r="AK37" i="1"/>
  <c r="X38" i="1"/>
  <c r="Y38" i="1"/>
  <c r="AB38" i="1"/>
  <c r="AC38" i="1"/>
  <c r="AG38" i="1"/>
  <c r="AI38" i="1"/>
  <c r="AJ38" i="1"/>
  <c r="AK38" i="1"/>
  <c r="X39" i="1"/>
  <c r="Y39" i="1"/>
  <c r="AB39" i="1"/>
  <c r="AC39" i="1"/>
  <c r="AG39" i="1"/>
  <c r="AI39" i="1"/>
  <c r="AJ39" i="1"/>
  <c r="AK39" i="1"/>
  <c r="X40" i="1"/>
  <c r="Y40" i="1"/>
  <c r="AB40" i="1"/>
  <c r="AC40" i="1"/>
  <c r="AG40" i="1"/>
  <c r="AI40" i="1"/>
  <c r="AJ40" i="1"/>
  <c r="AK40" i="1"/>
  <c r="X41" i="1"/>
  <c r="Y41" i="1"/>
  <c r="AB41" i="1"/>
  <c r="AC41" i="1"/>
  <c r="AG41" i="1"/>
  <c r="AI41" i="1"/>
  <c r="AJ41" i="1"/>
  <c r="AK41" i="1"/>
  <c r="X42" i="1"/>
  <c r="Y42" i="1"/>
  <c r="AB42" i="1"/>
  <c r="AC42" i="1"/>
  <c r="AG42" i="1"/>
  <c r="AI42" i="1"/>
  <c r="AJ42" i="1"/>
  <c r="AK42" i="1"/>
  <c r="X43" i="1"/>
  <c r="Y43" i="1"/>
  <c r="AB43" i="1"/>
  <c r="AC43" i="1"/>
  <c r="AG43" i="1"/>
  <c r="AI43" i="1"/>
  <c r="AJ43" i="1"/>
  <c r="AK43" i="1"/>
  <c r="X44" i="1"/>
  <c r="Y44" i="1"/>
  <c r="AB44" i="1"/>
  <c r="AC44" i="1"/>
  <c r="AG44" i="1"/>
  <c r="AI44" i="1"/>
  <c r="AJ44" i="1"/>
  <c r="AK44" i="1"/>
  <c r="X45" i="1"/>
  <c r="Y45" i="1"/>
  <c r="AB45" i="1"/>
  <c r="AC45" i="1"/>
  <c r="AG45" i="1"/>
  <c r="AI45" i="1"/>
  <c r="AJ45" i="1"/>
  <c r="AK45" i="1"/>
  <c r="X46" i="1"/>
  <c r="Y46" i="1"/>
  <c r="AB46" i="1"/>
  <c r="AC46" i="1"/>
  <c r="AG46" i="1"/>
  <c r="AI46" i="1"/>
  <c r="AJ46" i="1"/>
  <c r="AK46" i="1"/>
  <c r="X47" i="1"/>
  <c r="Y47" i="1"/>
  <c r="AB47" i="1"/>
  <c r="AC47" i="1"/>
  <c r="AG47" i="1"/>
  <c r="AI47" i="1"/>
  <c r="AJ47" i="1"/>
  <c r="AK47" i="1"/>
  <c r="X48" i="1"/>
  <c r="Y48" i="1"/>
  <c r="AB48" i="1"/>
  <c r="AC48" i="1"/>
  <c r="AG48" i="1"/>
  <c r="AI48" i="1"/>
  <c r="AJ48" i="1"/>
  <c r="AK48" i="1"/>
  <c r="X49" i="1"/>
  <c r="Y49" i="1"/>
  <c r="AB49" i="1"/>
  <c r="AC49" i="1"/>
  <c r="AG49" i="1"/>
  <c r="AI49" i="1"/>
  <c r="AJ49" i="1"/>
  <c r="AK49" i="1"/>
  <c r="X50" i="1"/>
  <c r="Y50" i="1"/>
  <c r="AB50" i="1"/>
  <c r="AC50" i="1"/>
  <c r="AG50" i="1"/>
  <c r="AI50" i="1"/>
  <c r="AJ50" i="1"/>
  <c r="AK50" i="1"/>
  <c r="X51" i="1"/>
  <c r="Y51" i="1"/>
  <c r="AB51" i="1"/>
  <c r="AC51" i="1"/>
  <c r="AG51" i="1"/>
  <c r="AI51" i="1"/>
  <c r="AJ51" i="1"/>
  <c r="AK51" i="1"/>
  <c r="X52" i="1"/>
  <c r="Y52" i="1"/>
  <c r="AB52" i="1"/>
  <c r="AC52" i="1"/>
  <c r="AG52" i="1"/>
  <c r="AI52" i="1"/>
  <c r="AJ52" i="1"/>
  <c r="AK52" i="1"/>
  <c r="X53" i="1"/>
  <c r="Y53" i="1"/>
  <c r="AB53" i="1"/>
  <c r="AC53" i="1"/>
  <c r="AG53" i="1"/>
  <c r="AI53" i="1"/>
  <c r="AJ53" i="1"/>
  <c r="AK53" i="1"/>
  <c r="X54" i="1"/>
  <c r="Y54" i="1"/>
  <c r="AB54" i="1"/>
  <c r="AC54" i="1"/>
  <c r="AG54" i="1"/>
  <c r="AI54" i="1"/>
  <c r="AJ54" i="1"/>
  <c r="AK54" i="1"/>
  <c r="X55" i="1"/>
  <c r="Y55" i="1"/>
  <c r="AB55" i="1"/>
  <c r="AC55" i="1"/>
  <c r="AG55" i="1"/>
  <c r="AI55" i="1"/>
  <c r="AJ55" i="1"/>
  <c r="AK55" i="1"/>
  <c r="X56" i="1"/>
  <c r="Y56" i="1"/>
  <c r="AB56" i="1"/>
  <c r="AC56" i="1"/>
  <c r="AG56" i="1"/>
  <c r="AI56" i="1"/>
  <c r="AJ56" i="1"/>
  <c r="AK56" i="1"/>
  <c r="X57" i="1"/>
  <c r="Y57" i="1"/>
  <c r="AB57" i="1"/>
  <c r="AC57" i="1"/>
  <c r="AG57" i="1"/>
  <c r="AI57" i="1"/>
  <c r="AJ57" i="1"/>
  <c r="AK57" i="1"/>
  <c r="X58" i="1"/>
  <c r="Y58" i="1"/>
  <c r="AB58" i="1"/>
  <c r="AC58" i="1"/>
  <c r="AG58" i="1"/>
  <c r="AI58" i="1"/>
  <c r="AJ58" i="1"/>
  <c r="AK58" i="1"/>
  <c r="X59" i="1"/>
  <c r="Y59" i="1"/>
  <c r="AB59" i="1"/>
  <c r="AC59" i="1"/>
  <c r="AG59" i="1"/>
  <c r="AI59" i="1"/>
  <c r="AJ59" i="1"/>
  <c r="AK59" i="1"/>
  <c r="X60" i="1"/>
  <c r="Y60" i="1"/>
  <c r="AB60" i="1"/>
  <c r="AC60" i="1"/>
  <c r="AG60" i="1"/>
  <c r="AI60" i="1"/>
  <c r="AJ60" i="1"/>
  <c r="AK60" i="1"/>
  <c r="X61" i="1"/>
  <c r="Y61" i="1"/>
  <c r="AB61" i="1"/>
  <c r="AC61" i="1"/>
  <c r="AG61" i="1"/>
  <c r="AI61" i="1"/>
  <c r="AJ61" i="1"/>
  <c r="AK61" i="1"/>
  <c r="X62" i="1"/>
  <c r="Y62" i="1"/>
  <c r="AB62" i="1"/>
  <c r="AC62" i="1"/>
  <c r="AG62" i="1"/>
  <c r="AI62" i="1"/>
  <c r="AJ62" i="1"/>
  <c r="AK62" i="1"/>
  <c r="X63" i="1"/>
  <c r="Y63" i="1"/>
  <c r="AB63" i="1"/>
  <c r="AC63" i="1"/>
  <c r="AG63" i="1"/>
  <c r="AI63" i="1"/>
  <c r="AJ63" i="1"/>
  <c r="AK63" i="1"/>
  <c r="X64" i="1"/>
  <c r="Y64" i="1"/>
  <c r="AB64" i="1"/>
  <c r="AC64" i="1"/>
  <c r="AG64" i="1"/>
  <c r="AI64" i="1"/>
  <c r="AJ64" i="1"/>
  <c r="AK64" i="1"/>
  <c r="X65" i="1"/>
  <c r="Y65" i="1"/>
  <c r="AB65" i="1"/>
  <c r="AC65" i="1"/>
  <c r="AG65" i="1"/>
  <c r="AI65" i="1"/>
  <c r="AJ65" i="1"/>
  <c r="AK65" i="1"/>
  <c r="X66" i="1"/>
  <c r="Y66" i="1"/>
  <c r="AB66" i="1"/>
  <c r="AC66" i="1"/>
  <c r="AG66" i="1"/>
  <c r="AI66" i="1"/>
  <c r="AJ66" i="1"/>
  <c r="AK66" i="1"/>
  <c r="X67" i="1"/>
  <c r="Y67" i="1"/>
  <c r="AB67" i="1"/>
  <c r="AC67" i="1"/>
  <c r="AG67" i="1"/>
  <c r="AI67" i="1"/>
  <c r="AJ67" i="1"/>
  <c r="AK67" i="1"/>
  <c r="X68" i="1"/>
  <c r="Y68" i="1"/>
  <c r="AB68" i="1"/>
  <c r="AC68" i="1"/>
  <c r="AG68" i="1"/>
  <c r="AI68" i="1"/>
  <c r="AJ68" i="1"/>
  <c r="AK68" i="1"/>
  <c r="X69" i="1"/>
  <c r="Y69" i="1"/>
  <c r="AB69" i="1"/>
  <c r="AC69" i="1"/>
  <c r="AG69" i="1"/>
  <c r="AI69" i="1"/>
  <c r="AJ69" i="1"/>
  <c r="AK69" i="1"/>
  <c r="X70" i="1"/>
  <c r="Y70" i="1"/>
  <c r="AB70" i="1"/>
  <c r="AC70" i="1"/>
  <c r="AG70" i="1"/>
  <c r="AI70" i="1"/>
  <c r="AJ70" i="1"/>
  <c r="AK70" i="1"/>
  <c r="X71" i="1"/>
  <c r="Y71" i="1"/>
  <c r="AB71" i="1"/>
  <c r="AC71" i="1"/>
  <c r="AG71" i="1"/>
  <c r="AI71" i="1"/>
  <c r="AJ71" i="1"/>
  <c r="AK71" i="1"/>
  <c r="X72" i="1"/>
  <c r="Y72" i="1"/>
  <c r="AB72" i="1"/>
  <c r="AC72" i="1"/>
  <c r="AG72" i="1"/>
  <c r="AI72" i="1"/>
  <c r="AJ72" i="1"/>
  <c r="AK72" i="1"/>
  <c r="X73" i="1"/>
  <c r="Y73" i="1"/>
  <c r="AB73" i="1"/>
  <c r="AC73" i="1"/>
  <c r="AG73" i="1"/>
  <c r="AI73" i="1"/>
  <c r="AJ73" i="1"/>
  <c r="AK73" i="1"/>
  <c r="X74" i="1"/>
  <c r="Y74" i="1"/>
  <c r="AB74" i="1"/>
  <c r="AC74" i="1"/>
  <c r="AG74" i="1"/>
  <c r="AI74" i="1"/>
  <c r="AJ74" i="1"/>
  <c r="AK74" i="1"/>
  <c r="X75" i="1"/>
  <c r="Y75" i="1"/>
  <c r="AB75" i="1"/>
  <c r="AC75" i="1"/>
  <c r="AG75" i="1"/>
  <c r="AI75" i="1"/>
  <c r="AJ75" i="1"/>
  <c r="AK75" i="1"/>
  <c r="X76" i="1"/>
  <c r="Y76" i="1"/>
  <c r="AB76" i="1"/>
  <c r="AC76" i="1"/>
  <c r="AG76" i="1"/>
  <c r="AI76" i="1"/>
  <c r="AJ76" i="1"/>
  <c r="AK76" i="1"/>
  <c r="X77" i="1"/>
  <c r="Y77" i="1"/>
  <c r="AB77" i="1"/>
  <c r="AC77" i="1"/>
  <c r="AG77" i="1"/>
  <c r="AI77" i="1"/>
  <c r="AJ77" i="1"/>
  <c r="AK77" i="1"/>
  <c r="X78" i="1"/>
  <c r="Y78" i="1"/>
  <c r="AB78" i="1"/>
  <c r="AC78" i="1"/>
  <c r="AG78" i="1"/>
  <c r="AI78" i="1"/>
  <c r="AJ78" i="1"/>
  <c r="AK78" i="1"/>
  <c r="X79" i="1"/>
  <c r="Y79" i="1"/>
  <c r="AB79" i="1"/>
  <c r="AC79" i="1"/>
  <c r="AG79" i="1"/>
  <c r="AI79" i="1"/>
  <c r="AJ79" i="1"/>
  <c r="AK79" i="1"/>
  <c r="X80" i="1"/>
  <c r="Y80" i="1"/>
  <c r="AB80" i="1"/>
  <c r="AC80" i="1"/>
  <c r="AG80" i="1"/>
  <c r="AI80" i="1"/>
  <c r="AJ80" i="1"/>
  <c r="AK80" i="1"/>
  <c r="X81" i="1"/>
  <c r="Y81" i="1"/>
  <c r="AB81" i="1"/>
  <c r="AC81" i="1"/>
  <c r="AG81" i="1"/>
  <c r="AI81" i="1"/>
  <c r="AJ81" i="1"/>
  <c r="AK81" i="1"/>
  <c r="X82" i="1"/>
  <c r="Y82" i="1"/>
  <c r="AB82" i="1"/>
  <c r="AC82" i="1"/>
  <c r="AG82" i="1"/>
  <c r="AI82" i="1"/>
  <c r="AJ82" i="1"/>
  <c r="AK82" i="1"/>
  <c r="X83" i="1"/>
  <c r="Y83" i="1"/>
  <c r="AB83" i="1"/>
  <c r="AC83" i="1"/>
  <c r="AG83" i="1"/>
  <c r="AI83" i="1"/>
  <c r="AJ83" i="1"/>
  <c r="AK83" i="1"/>
  <c r="X84" i="1"/>
  <c r="Y84" i="1"/>
  <c r="AB84" i="1"/>
  <c r="AC84" i="1"/>
  <c r="AG84" i="1"/>
  <c r="AI84" i="1"/>
  <c r="AJ84" i="1"/>
  <c r="AK84" i="1"/>
  <c r="X85" i="1"/>
  <c r="Y85" i="1"/>
  <c r="AB85" i="1"/>
  <c r="AC85" i="1"/>
  <c r="AG85" i="1"/>
  <c r="AI85" i="1"/>
  <c r="AJ85" i="1"/>
  <c r="AK85" i="1"/>
  <c r="X86" i="1"/>
  <c r="Y86" i="1"/>
  <c r="AB86" i="1"/>
  <c r="AC86" i="1"/>
  <c r="AG86" i="1"/>
  <c r="AI86" i="1"/>
  <c r="AJ86" i="1"/>
  <c r="AK86" i="1"/>
  <c r="X87" i="1"/>
  <c r="Y87" i="1"/>
  <c r="AB87" i="1"/>
  <c r="AC87" i="1"/>
  <c r="AG87" i="1"/>
  <c r="AI87" i="1"/>
  <c r="AJ87" i="1"/>
  <c r="AK87" i="1"/>
  <c r="X88" i="1"/>
  <c r="Y88" i="1"/>
  <c r="AB88" i="1"/>
  <c r="AC88" i="1"/>
  <c r="AG88" i="1"/>
  <c r="AI88" i="1"/>
  <c r="AJ88" i="1"/>
  <c r="AK88" i="1"/>
  <c r="X89" i="1"/>
  <c r="Y89" i="1"/>
  <c r="AB89" i="1"/>
  <c r="AC89" i="1"/>
  <c r="AG89" i="1"/>
  <c r="AI89" i="1"/>
  <c r="AJ89" i="1"/>
  <c r="AK89" i="1"/>
  <c r="X90" i="1"/>
  <c r="Y90" i="1"/>
  <c r="AB90" i="1"/>
  <c r="AC90" i="1"/>
  <c r="AG90" i="1"/>
  <c r="AI90" i="1"/>
  <c r="AJ90" i="1"/>
  <c r="AK90" i="1"/>
  <c r="X91" i="1"/>
  <c r="Y91" i="1"/>
  <c r="AB91" i="1"/>
  <c r="AC91" i="1"/>
  <c r="AG91" i="1"/>
  <c r="AI91" i="1"/>
  <c r="AJ91" i="1"/>
  <c r="AK91" i="1"/>
  <c r="X92" i="1"/>
  <c r="Y92" i="1"/>
  <c r="AB92" i="1"/>
  <c r="AC92" i="1"/>
  <c r="AG92" i="1"/>
  <c r="AI92" i="1"/>
  <c r="AJ92" i="1"/>
  <c r="AK92" i="1"/>
  <c r="X93" i="1"/>
  <c r="Y93" i="1"/>
  <c r="AB93" i="1"/>
  <c r="AC93" i="1"/>
  <c r="AG93" i="1"/>
  <c r="AI93" i="1"/>
  <c r="AJ93" i="1"/>
  <c r="AK93" i="1"/>
  <c r="X94" i="1"/>
  <c r="Y94" i="1"/>
  <c r="AB94" i="1"/>
  <c r="AC94" i="1"/>
  <c r="AG94" i="1"/>
  <c r="AI94" i="1"/>
  <c r="AJ94" i="1"/>
  <c r="AK94" i="1"/>
  <c r="X95" i="1"/>
  <c r="Y95" i="1"/>
  <c r="AB95" i="1"/>
  <c r="AC95" i="1"/>
  <c r="AG95" i="1"/>
  <c r="AI95" i="1"/>
  <c r="AJ95" i="1"/>
  <c r="AK95" i="1"/>
  <c r="X96" i="1"/>
  <c r="Y96" i="1"/>
  <c r="AB96" i="1"/>
  <c r="AC96" i="1"/>
  <c r="AG96" i="1"/>
  <c r="AI96" i="1"/>
  <c r="AJ96" i="1"/>
  <c r="AK96" i="1"/>
  <c r="X97" i="1"/>
  <c r="Y97" i="1"/>
  <c r="AB97" i="1"/>
  <c r="AC97" i="1"/>
  <c r="AG97" i="1"/>
  <c r="AI97" i="1"/>
  <c r="AJ97" i="1"/>
  <c r="AK97" i="1"/>
  <c r="X98" i="1"/>
  <c r="Y98" i="1"/>
  <c r="AB98" i="1"/>
  <c r="AC98" i="1"/>
  <c r="AG98" i="1"/>
  <c r="AI98" i="1"/>
  <c r="AJ98" i="1"/>
  <c r="AK98" i="1"/>
  <c r="X99" i="1"/>
  <c r="Y99" i="1"/>
  <c r="AB99" i="1"/>
  <c r="AC99" i="1"/>
  <c r="AG99" i="1"/>
  <c r="AI99" i="1"/>
  <c r="AJ99" i="1"/>
  <c r="AK99" i="1"/>
  <c r="X100" i="1"/>
  <c r="Y100" i="1"/>
  <c r="AB100" i="1"/>
  <c r="AC100" i="1"/>
  <c r="AG100" i="1"/>
  <c r="AI100" i="1"/>
  <c r="AJ100" i="1"/>
  <c r="AK100" i="1"/>
  <c r="X101" i="1"/>
  <c r="Y101" i="1"/>
  <c r="AB101" i="1"/>
  <c r="AC101" i="1"/>
  <c r="AG101" i="1"/>
  <c r="AI101" i="1"/>
  <c r="AJ101" i="1"/>
  <c r="AK101" i="1"/>
  <c r="X102" i="1"/>
  <c r="Y102" i="1"/>
  <c r="AB102" i="1"/>
  <c r="AC102" i="1"/>
  <c r="AG102" i="1"/>
  <c r="AI102" i="1"/>
  <c r="AJ102" i="1"/>
  <c r="AK102" i="1"/>
  <c r="X103" i="1"/>
  <c r="Y103" i="1"/>
  <c r="AB103" i="1"/>
  <c r="AC103" i="1"/>
  <c r="AG103" i="1"/>
  <c r="AI103" i="1"/>
  <c r="AJ103" i="1"/>
  <c r="AK103" i="1"/>
  <c r="X104" i="1"/>
  <c r="Y104" i="1"/>
  <c r="AB104" i="1"/>
  <c r="AC104" i="1"/>
  <c r="AG104" i="1"/>
  <c r="AI104" i="1"/>
  <c r="AJ104" i="1"/>
  <c r="AK104" i="1"/>
  <c r="X105" i="1"/>
  <c r="Y105" i="1"/>
  <c r="AB105" i="1"/>
  <c r="AC105" i="1"/>
  <c r="AG105" i="1"/>
  <c r="AI105" i="1"/>
  <c r="AJ105" i="1"/>
  <c r="AK105" i="1"/>
  <c r="X106" i="1"/>
  <c r="Y106" i="1"/>
  <c r="AB106" i="1"/>
  <c r="AC106" i="1"/>
  <c r="AG106" i="1"/>
  <c r="AI106" i="1"/>
  <c r="AJ106" i="1"/>
  <c r="AK106" i="1"/>
  <c r="X107" i="1"/>
  <c r="Y107" i="1"/>
  <c r="AB107" i="1"/>
  <c r="AC107" i="1"/>
  <c r="AG107" i="1"/>
  <c r="AI107" i="1"/>
  <c r="AJ107" i="1"/>
  <c r="AK107" i="1"/>
  <c r="X108" i="1"/>
  <c r="Y108" i="1"/>
  <c r="AB108" i="1"/>
  <c r="AC108" i="1"/>
  <c r="AG108" i="1"/>
  <c r="AI108" i="1"/>
  <c r="AJ108" i="1"/>
  <c r="AK108" i="1"/>
  <c r="X109" i="1"/>
  <c r="Y109" i="1"/>
  <c r="AB109" i="1"/>
  <c r="AC109" i="1"/>
  <c r="AG109" i="1"/>
  <c r="AI109" i="1"/>
  <c r="AJ109" i="1"/>
  <c r="AK109" i="1"/>
  <c r="X110" i="1"/>
  <c r="Y110" i="1"/>
  <c r="AB110" i="1"/>
  <c r="AC110" i="1"/>
  <c r="AG110" i="1"/>
  <c r="AI110" i="1"/>
  <c r="AJ110" i="1"/>
  <c r="AK110" i="1"/>
  <c r="X111" i="1"/>
  <c r="Y111" i="1"/>
  <c r="AB111" i="1"/>
  <c r="AC111" i="1"/>
  <c r="AG111" i="1"/>
  <c r="AI111" i="1"/>
  <c r="AJ111" i="1"/>
  <c r="AK111" i="1"/>
  <c r="X112" i="1"/>
  <c r="Y112" i="1"/>
  <c r="AB112" i="1"/>
  <c r="AC112" i="1"/>
  <c r="AG112" i="1"/>
  <c r="AI112" i="1"/>
  <c r="AJ112" i="1"/>
  <c r="AK112" i="1"/>
  <c r="X113" i="1"/>
  <c r="Y113" i="1"/>
  <c r="AB113" i="1"/>
  <c r="AC113" i="1"/>
  <c r="AG113" i="1"/>
  <c r="AI113" i="1"/>
  <c r="AJ113" i="1"/>
  <c r="AK113" i="1"/>
  <c r="X114" i="1"/>
  <c r="Y114" i="1"/>
  <c r="AB114" i="1"/>
  <c r="AC114" i="1"/>
  <c r="AG114" i="1"/>
  <c r="AI114" i="1"/>
  <c r="AJ114" i="1"/>
  <c r="AK114" i="1"/>
  <c r="X115" i="1"/>
  <c r="Y115" i="1"/>
  <c r="AB115" i="1"/>
  <c r="AC115" i="1"/>
  <c r="AG115" i="1"/>
  <c r="AI115" i="1"/>
  <c r="AJ115" i="1"/>
  <c r="AK115" i="1"/>
  <c r="X116" i="1"/>
  <c r="Y116" i="1"/>
  <c r="AB116" i="1"/>
  <c r="AC116" i="1"/>
  <c r="AG116" i="1"/>
  <c r="AI116" i="1"/>
  <c r="AJ116" i="1"/>
  <c r="AK116" i="1"/>
  <c r="X117" i="1"/>
  <c r="Y117" i="1"/>
  <c r="AB117" i="1"/>
  <c r="AC117" i="1"/>
  <c r="AG117" i="1"/>
  <c r="AI117" i="1"/>
  <c r="AJ117" i="1"/>
  <c r="AK117" i="1"/>
  <c r="X118" i="1"/>
  <c r="Y118" i="1"/>
  <c r="AB118" i="1"/>
  <c r="AC118" i="1"/>
  <c r="AG118" i="1"/>
  <c r="AI118" i="1"/>
  <c r="AJ118" i="1"/>
  <c r="AK118" i="1"/>
  <c r="X119" i="1"/>
  <c r="Y119" i="1"/>
  <c r="AB119" i="1"/>
  <c r="AC119" i="1"/>
  <c r="AG119" i="1"/>
  <c r="AI119" i="1"/>
  <c r="AJ119" i="1"/>
  <c r="AK119" i="1"/>
  <c r="X120" i="1"/>
  <c r="Y120" i="1"/>
  <c r="AB120" i="1"/>
  <c r="AC120" i="1"/>
  <c r="AG120" i="1"/>
  <c r="AI120" i="1"/>
  <c r="AJ120" i="1"/>
  <c r="AK120" i="1"/>
  <c r="X121" i="1"/>
  <c r="Y121" i="1"/>
  <c r="AB121" i="1"/>
  <c r="AC121" i="1"/>
  <c r="AG121" i="1"/>
  <c r="AI121" i="1"/>
  <c r="AJ121" i="1"/>
  <c r="AK121" i="1"/>
  <c r="X122" i="1"/>
  <c r="Y122" i="1"/>
  <c r="AB122" i="1"/>
  <c r="AC122" i="1"/>
  <c r="AG122" i="1"/>
  <c r="AI122" i="1"/>
  <c r="AJ122" i="1"/>
  <c r="AK122" i="1"/>
  <c r="X123" i="1"/>
  <c r="Y123" i="1"/>
  <c r="AB123" i="1"/>
  <c r="AC123" i="1"/>
  <c r="AG123" i="1"/>
  <c r="AI123" i="1"/>
  <c r="AJ123" i="1"/>
  <c r="AK123" i="1"/>
  <c r="X124" i="1"/>
  <c r="Y124" i="1"/>
  <c r="AB124" i="1"/>
  <c r="AC124" i="1"/>
  <c r="AG124" i="1"/>
  <c r="AI124" i="1"/>
  <c r="AJ124" i="1"/>
  <c r="AK124" i="1"/>
  <c r="X125" i="1"/>
  <c r="Y125" i="1"/>
  <c r="AB125" i="1"/>
  <c r="AC125" i="1"/>
  <c r="AG125" i="1"/>
  <c r="AI125" i="1"/>
  <c r="AJ125" i="1"/>
  <c r="AK125" i="1"/>
  <c r="X126" i="1"/>
  <c r="Y126" i="1"/>
  <c r="AB126" i="1"/>
  <c r="AC126" i="1"/>
  <c r="AG126" i="1"/>
  <c r="AI126" i="1"/>
  <c r="AJ126" i="1"/>
  <c r="AK126" i="1"/>
  <c r="X127" i="1"/>
  <c r="Y127" i="1"/>
  <c r="AB127" i="1"/>
  <c r="AC127" i="1"/>
  <c r="AG127" i="1"/>
  <c r="AI127" i="1"/>
  <c r="AJ127" i="1"/>
  <c r="AK127" i="1"/>
  <c r="X128" i="1"/>
  <c r="Y128" i="1"/>
  <c r="AB128" i="1"/>
  <c r="AC128" i="1"/>
  <c r="AG128" i="1"/>
  <c r="AI128" i="1"/>
  <c r="AJ128" i="1"/>
  <c r="AK128" i="1"/>
  <c r="X129" i="1"/>
  <c r="Y129" i="1"/>
  <c r="AB129" i="1"/>
  <c r="AC129" i="1"/>
  <c r="AG129" i="1"/>
  <c r="AI129" i="1"/>
  <c r="AJ129" i="1"/>
  <c r="AK129" i="1"/>
  <c r="X130" i="1"/>
  <c r="Y130" i="1"/>
  <c r="AB130" i="1"/>
  <c r="AC130" i="1"/>
  <c r="AG130" i="1"/>
  <c r="AI130" i="1"/>
  <c r="AJ130" i="1"/>
  <c r="AK130" i="1"/>
  <c r="X131" i="1"/>
  <c r="Y131" i="1"/>
  <c r="AB131" i="1"/>
  <c r="AC131" i="1"/>
  <c r="AG131" i="1"/>
  <c r="AI131" i="1"/>
  <c r="AJ131" i="1"/>
  <c r="AK131" i="1"/>
  <c r="X132" i="1"/>
  <c r="Y132" i="1"/>
  <c r="AB132" i="1"/>
  <c r="AC132" i="1"/>
  <c r="AG132" i="1"/>
  <c r="AI132" i="1"/>
  <c r="AJ132" i="1"/>
  <c r="AK132" i="1"/>
  <c r="X133" i="1"/>
  <c r="Y133" i="1"/>
  <c r="AB133" i="1"/>
  <c r="AC133" i="1"/>
  <c r="AG133" i="1"/>
  <c r="AI133" i="1"/>
  <c r="AJ133" i="1"/>
  <c r="AK133" i="1"/>
  <c r="X134" i="1"/>
  <c r="Y134" i="1"/>
  <c r="AB134" i="1"/>
  <c r="AC134" i="1"/>
  <c r="AG134" i="1"/>
  <c r="AI134" i="1"/>
  <c r="AJ134" i="1"/>
  <c r="AK134" i="1"/>
  <c r="X135" i="1"/>
  <c r="Y135" i="1"/>
  <c r="AB135" i="1"/>
  <c r="AC135" i="1"/>
  <c r="AG135" i="1"/>
  <c r="AI135" i="1"/>
  <c r="AJ135" i="1"/>
  <c r="AK135" i="1"/>
  <c r="X136" i="1"/>
  <c r="Y136" i="1"/>
  <c r="AB136" i="1"/>
  <c r="AC136" i="1"/>
  <c r="AG136" i="1"/>
  <c r="AI136" i="1"/>
  <c r="AJ136" i="1"/>
  <c r="AK136" i="1"/>
  <c r="X137" i="1"/>
  <c r="Y137" i="1"/>
  <c r="AB137" i="1"/>
  <c r="AC137" i="1"/>
  <c r="AG137" i="1"/>
  <c r="AI137" i="1"/>
  <c r="AJ137" i="1"/>
  <c r="AK137" i="1"/>
  <c r="X138" i="1"/>
  <c r="Y138" i="1"/>
  <c r="AB138" i="1"/>
  <c r="AC138" i="1"/>
  <c r="AG138" i="1"/>
  <c r="AI138" i="1"/>
  <c r="AJ138" i="1"/>
  <c r="AK138" i="1"/>
  <c r="X139" i="1"/>
  <c r="Y139" i="1"/>
  <c r="AB139" i="1"/>
  <c r="AC139" i="1"/>
  <c r="AG139" i="1"/>
  <c r="AI139" i="1"/>
  <c r="AJ139" i="1"/>
  <c r="AK139" i="1"/>
  <c r="X140" i="1"/>
  <c r="Y140" i="1"/>
  <c r="AB140" i="1"/>
  <c r="AC140" i="1"/>
  <c r="AG140" i="1"/>
  <c r="AI140" i="1"/>
  <c r="AJ140" i="1"/>
  <c r="AK140" i="1"/>
  <c r="X141" i="1"/>
  <c r="Y141" i="1"/>
  <c r="AB141" i="1"/>
  <c r="AC141" i="1"/>
  <c r="AG141" i="1"/>
  <c r="AI141" i="1"/>
  <c r="AJ141" i="1"/>
  <c r="AK141" i="1"/>
  <c r="X142" i="1"/>
  <c r="Y142" i="1"/>
  <c r="AB142" i="1"/>
  <c r="AC142" i="1"/>
  <c r="AG142" i="1"/>
  <c r="AI142" i="1"/>
  <c r="AJ142" i="1"/>
  <c r="AK142" i="1"/>
  <c r="X143" i="1"/>
  <c r="Y143" i="1"/>
  <c r="AB143" i="1"/>
  <c r="AC143" i="1"/>
  <c r="AG143" i="1"/>
  <c r="AI143" i="1"/>
  <c r="AJ143" i="1"/>
  <c r="AK143" i="1"/>
  <c r="X144" i="1"/>
  <c r="Y144" i="1"/>
  <c r="AB144" i="1"/>
  <c r="AC144" i="1"/>
  <c r="AG144" i="1"/>
  <c r="AI144" i="1"/>
  <c r="AJ144" i="1"/>
  <c r="AK144" i="1"/>
  <c r="X145" i="1"/>
  <c r="Y145" i="1"/>
  <c r="AB145" i="1"/>
  <c r="AC145" i="1"/>
  <c r="AG145" i="1"/>
  <c r="AI145" i="1"/>
  <c r="AJ145" i="1"/>
  <c r="AK145" i="1"/>
  <c r="X146" i="1"/>
  <c r="Y146" i="1"/>
  <c r="AB146" i="1"/>
  <c r="AC146" i="1"/>
  <c r="AG146" i="1"/>
  <c r="AI146" i="1"/>
  <c r="AJ146" i="1"/>
  <c r="AK146" i="1"/>
  <c r="X147" i="1"/>
  <c r="Y147" i="1"/>
  <c r="AB147" i="1"/>
  <c r="AC147" i="1"/>
  <c r="AG147" i="1"/>
  <c r="AI147" i="1"/>
  <c r="AJ147" i="1"/>
  <c r="AK147" i="1"/>
  <c r="X148" i="1"/>
  <c r="Y148" i="1"/>
  <c r="AB148" i="1"/>
  <c r="AC148" i="1"/>
  <c r="AG148" i="1"/>
  <c r="AI148" i="1"/>
  <c r="AJ148" i="1"/>
  <c r="AK148" i="1"/>
  <c r="X149" i="1"/>
  <c r="Y149" i="1"/>
  <c r="AB149" i="1"/>
  <c r="AC149" i="1"/>
  <c r="AG149" i="1"/>
  <c r="AI149" i="1"/>
  <c r="AJ149" i="1"/>
  <c r="AK149" i="1"/>
  <c r="X150" i="1"/>
  <c r="Y150" i="1"/>
  <c r="AB150" i="1"/>
  <c r="AC150" i="1"/>
  <c r="AG150" i="1"/>
  <c r="AI150" i="1"/>
  <c r="AJ150" i="1"/>
  <c r="AK150" i="1"/>
  <c r="X151" i="1"/>
  <c r="Y151" i="1"/>
  <c r="AB151" i="1"/>
  <c r="AC151" i="1"/>
  <c r="AG151" i="1"/>
  <c r="AI151" i="1"/>
  <c r="AJ151" i="1"/>
  <c r="AK151" i="1"/>
  <c r="X152" i="1"/>
  <c r="Y152" i="1"/>
  <c r="AB152" i="1"/>
  <c r="AC152" i="1"/>
  <c r="AG152" i="1"/>
  <c r="AI152" i="1"/>
  <c r="AJ152" i="1"/>
  <c r="AK152" i="1"/>
  <c r="X153" i="1"/>
  <c r="Y153" i="1"/>
  <c r="AB153" i="1"/>
  <c r="AC153" i="1"/>
  <c r="AG153" i="1"/>
  <c r="AI153" i="1"/>
  <c r="AJ153" i="1"/>
  <c r="AK153" i="1"/>
  <c r="X154" i="1"/>
  <c r="Y154" i="1"/>
  <c r="AB154" i="1"/>
  <c r="AC154" i="1"/>
  <c r="AG154" i="1"/>
  <c r="AI154" i="1"/>
  <c r="AJ154" i="1"/>
  <c r="AK154" i="1"/>
  <c r="X155" i="1"/>
  <c r="Y155" i="1"/>
  <c r="AB155" i="1"/>
  <c r="AC155" i="1"/>
  <c r="AG155" i="1"/>
  <c r="AI155" i="1"/>
  <c r="AJ155" i="1"/>
  <c r="AK155" i="1"/>
  <c r="X156" i="1"/>
  <c r="Y156" i="1"/>
  <c r="AB156" i="1"/>
  <c r="AC156" i="1"/>
  <c r="AG156" i="1"/>
  <c r="AI156" i="1"/>
  <c r="AJ156" i="1"/>
  <c r="AK156" i="1"/>
  <c r="X157" i="1"/>
  <c r="Y157" i="1"/>
  <c r="AB157" i="1"/>
  <c r="AC157" i="1"/>
  <c r="AG157" i="1"/>
  <c r="AI157" i="1"/>
  <c r="AJ157" i="1"/>
  <c r="AK157" i="1"/>
  <c r="X158" i="1"/>
  <c r="Y158" i="1"/>
  <c r="AB158" i="1"/>
  <c r="AC158" i="1"/>
  <c r="AG158" i="1"/>
  <c r="AI158" i="1"/>
  <c r="AJ158" i="1"/>
  <c r="AK158" i="1"/>
  <c r="X159" i="1"/>
  <c r="Y159" i="1"/>
  <c r="AB159" i="1"/>
  <c r="AC159" i="1"/>
  <c r="AG159" i="1"/>
  <c r="AI159" i="1"/>
  <c r="AJ159" i="1"/>
  <c r="AK159" i="1"/>
  <c r="X160" i="1"/>
  <c r="Y160" i="1"/>
  <c r="AB160" i="1"/>
  <c r="AC160" i="1"/>
  <c r="AG160" i="1"/>
  <c r="AI160" i="1"/>
  <c r="AJ160" i="1"/>
  <c r="AK160" i="1"/>
  <c r="X161" i="1"/>
  <c r="Y161" i="1"/>
  <c r="AB161" i="1"/>
  <c r="AC161" i="1"/>
  <c r="AG161" i="1"/>
  <c r="AI161" i="1"/>
  <c r="AJ161" i="1"/>
  <c r="AK161" i="1"/>
  <c r="X162" i="1"/>
  <c r="Y162" i="1"/>
  <c r="AB162" i="1"/>
  <c r="AC162" i="1"/>
  <c r="AG162" i="1"/>
  <c r="AI162" i="1"/>
  <c r="AJ162" i="1"/>
  <c r="AK162" i="1"/>
  <c r="X163" i="1"/>
  <c r="Y163" i="1"/>
  <c r="AB163" i="1"/>
  <c r="AC163" i="1"/>
  <c r="AG163" i="1"/>
  <c r="AI163" i="1"/>
  <c r="AJ163" i="1"/>
  <c r="AK163" i="1"/>
  <c r="X164" i="1"/>
  <c r="Y164" i="1"/>
  <c r="AB164" i="1"/>
  <c r="AC164" i="1"/>
  <c r="AG164" i="1"/>
  <c r="AI164" i="1"/>
  <c r="AJ164" i="1"/>
  <c r="AK164" i="1"/>
  <c r="X165" i="1"/>
  <c r="Y165" i="1"/>
  <c r="AB165" i="1"/>
  <c r="AC165" i="1"/>
  <c r="AG165" i="1"/>
  <c r="AI165" i="1"/>
  <c r="AJ165" i="1"/>
  <c r="AK165" i="1"/>
  <c r="X166" i="1"/>
  <c r="Y166" i="1"/>
  <c r="AB166" i="1"/>
  <c r="AC166" i="1"/>
  <c r="AG166" i="1"/>
  <c r="AI166" i="1"/>
  <c r="AJ166" i="1"/>
  <c r="AK166" i="1"/>
  <c r="X167" i="1"/>
  <c r="Y167" i="1"/>
  <c r="AB167" i="1"/>
  <c r="AC167" i="1"/>
  <c r="AG167" i="1"/>
  <c r="AI167" i="1"/>
  <c r="AJ167" i="1"/>
  <c r="AK167" i="1"/>
  <c r="X168" i="1"/>
  <c r="Y168" i="1"/>
  <c r="AB168" i="1"/>
  <c r="AC168" i="1"/>
  <c r="AG168" i="1"/>
  <c r="AI168" i="1"/>
  <c r="AJ168" i="1"/>
  <c r="AK168" i="1"/>
  <c r="X169" i="1"/>
  <c r="Y169" i="1"/>
  <c r="AB169" i="1"/>
  <c r="AC169" i="1"/>
  <c r="AG169" i="1"/>
  <c r="AI169" i="1"/>
  <c r="AJ169" i="1"/>
  <c r="AK169" i="1"/>
  <c r="X170" i="1"/>
  <c r="Y170" i="1"/>
  <c r="AB170" i="1"/>
  <c r="AC170" i="1"/>
  <c r="AG170" i="1"/>
  <c r="AI170" i="1"/>
  <c r="AJ170" i="1"/>
  <c r="AK170" i="1"/>
  <c r="X171" i="1"/>
  <c r="Y171" i="1"/>
  <c r="AB171" i="1"/>
  <c r="AC171" i="1"/>
  <c r="AG171" i="1"/>
  <c r="AI171" i="1"/>
  <c r="AJ171" i="1"/>
  <c r="AK171" i="1"/>
  <c r="X172" i="1"/>
  <c r="Y172" i="1"/>
  <c r="AB172" i="1"/>
  <c r="AC172" i="1"/>
  <c r="AG172" i="1"/>
  <c r="AI172" i="1"/>
  <c r="AJ172" i="1"/>
  <c r="AK172" i="1"/>
  <c r="X173" i="1"/>
  <c r="Y173" i="1"/>
  <c r="AB173" i="1"/>
  <c r="AC173" i="1"/>
  <c r="AG173" i="1"/>
  <c r="AI173" i="1"/>
  <c r="AJ173" i="1"/>
  <c r="AK173" i="1"/>
  <c r="X174" i="1"/>
  <c r="Y174" i="1"/>
  <c r="AB174" i="1"/>
  <c r="AC174" i="1"/>
  <c r="AG174" i="1"/>
  <c r="AI174" i="1"/>
  <c r="AJ174" i="1"/>
  <c r="AK174" i="1"/>
  <c r="X175" i="1"/>
  <c r="Y175" i="1"/>
  <c r="AB175" i="1"/>
  <c r="AC175" i="1"/>
  <c r="AG175" i="1"/>
  <c r="AI175" i="1"/>
  <c r="AJ175" i="1"/>
  <c r="AK175" i="1"/>
  <c r="X176" i="1"/>
  <c r="Y176" i="1"/>
  <c r="AB176" i="1"/>
  <c r="AC176" i="1"/>
  <c r="AG176" i="1"/>
  <c r="AI176" i="1"/>
  <c r="AJ176" i="1"/>
  <c r="AK176" i="1"/>
  <c r="X177" i="1"/>
  <c r="Y177" i="1"/>
  <c r="AB177" i="1"/>
  <c r="AC177" i="1"/>
  <c r="AG177" i="1"/>
  <c r="AI177" i="1"/>
  <c r="AJ177" i="1"/>
  <c r="AK177" i="1"/>
  <c r="X178" i="1"/>
  <c r="Y178" i="1"/>
  <c r="AB178" i="1"/>
  <c r="AC178" i="1"/>
  <c r="AG178" i="1"/>
  <c r="AI178" i="1"/>
  <c r="AJ178" i="1"/>
  <c r="AK178" i="1"/>
  <c r="X179" i="1"/>
  <c r="Y179" i="1"/>
  <c r="AB179" i="1"/>
  <c r="AC179" i="1"/>
  <c r="AG179" i="1"/>
  <c r="AI179" i="1"/>
  <c r="AJ179" i="1"/>
  <c r="AK179" i="1"/>
  <c r="X180" i="1"/>
  <c r="Y180" i="1"/>
  <c r="AB180" i="1"/>
  <c r="AC180" i="1"/>
  <c r="AG180" i="1"/>
  <c r="AI180" i="1"/>
  <c r="AJ180" i="1"/>
  <c r="AK180" i="1"/>
  <c r="X181" i="1"/>
  <c r="Y181" i="1"/>
  <c r="AB181" i="1"/>
  <c r="AC181" i="1"/>
  <c r="AG181" i="1"/>
  <c r="AI181" i="1"/>
  <c r="AJ181" i="1"/>
  <c r="AK181" i="1"/>
  <c r="X182" i="1"/>
  <c r="Y182" i="1"/>
  <c r="AB182" i="1"/>
  <c r="AC182" i="1"/>
  <c r="AG182" i="1"/>
  <c r="AI182" i="1"/>
  <c r="AJ182" i="1"/>
  <c r="AK182" i="1"/>
  <c r="X183" i="1"/>
  <c r="Y183" i="1"/>
  <c r="AB183" i="1"/>
  <c r="AC183" i="1"/>
  <c r="AG183" i="1"/>
  <c r="AI183" i="1"/>
  <c r="AJ183" i="1"/>
  <c r="AK183" i="1"/>
  <c r="X184" i="1"/>
  <c r="Y184" i="1"/>
  <c r="AB184" i="1"/>
  <c r="AC184" i="1"/>
  <c r="AG184" i="1"/>
  <c r="AI184" i="1"/>
  <c r="AJ184" i="1"/>
  <c r="AK184" i="1"/>
  <c r="X185" i="1"/>
  <c r="Y185" i="1"/>
  <c r="AB185" i="1"/>
  <c r="AC185" i="1"/>
  <c r="AG185" i="1"/>
  <c r="AI185" i="1"/>
  <c r="AJ185" i="1"/>
  <c r="AK185" i="1"/>
  <c r="X186" i="1"/>
  <c r="Y186" i="1"/>
  <c r="AB186" i="1"/>
  <c r="AC186" i="1"/>
  <c r="AG186" i="1"/>
  <c r="AI186" i="1"/>
  <c r="AJ186" i="1"/>
  <c r="AK186" i="1"/>
  <c r="X187" i="1"/>
  <c r="Y187" i="1"/>
  <c r="AB187" i="1"/>
  <c r="AC187" i="1"/>
  <c r="AG187" i="1"/>
  <c r="AI187" i="1"/>
  <c r="AJ187" i="1"/>
  <c r="AK187" i="1"/>
  <c r="X188" i="1"/>
  <c r="Y188" i="1"/>
  <c r="AB188" i="1"/>
  <c r="AC188" i="1"/>
  <c r="AG188" i="1"/>
  <c r="AI188" i="1"/>
  <c r="AJ188" i="1"/>
  <c r="AK188" i="1"/>
  <c r="X189" i="1"/>
  <c r="Y189" i="1"/>
  <c r="AB189" i="1"/>
  <c r="AC189" i="1"/>
  <c r="AG189" i="1"/>
  <c r="AI189" i="1"/>
  <c r="AJ189" i="1"/>
  <c r="AK189" i="1"/>
  <c r="X190" i="1"/>
  <c r="Y190" i="1"/>
  <c r="AB190" i="1"/>
  <c r="AC190" i="1"/>
  <c r="AG190" i="1"/>
  <c r="AI190" i="1"/>
  <c r="AJ190" i="1"/>
  <c r="AK190" i="1"/>
  <c r="X191" i="1"/>
  <c r="Y191" i="1"/>
  <c r="AB191" i="1"/>
  <c r="AC191" i="1"/>
  <c r="AG191" i="1"/>
  <c r="AI191" i="1"/>
  <c r="AJ191" i="1"/>
  <c r="AK191" i="1"/>
  <c r="X192" i="1"/>
  <c r="Y192" i="1"/>
  <c r="AB192" i="1"/>
  <c r="AC192" i="1"/>
  <c r="AG192" i="1"/>
  <c r="AI192" i="1"/>
  <c r="AJ192" i="1"/>
  <c r="AK192" i="1"/>
  <c r="X193" i="1"/>
  <c r="Y193" i="1"/>
  <c r="AB193" i="1"/>
  <c r="AC193" i="1"/>
  <c r="AG193" i="1"/>
  <c r="AI193" i="1"/>
  <c r="AJ193" i="1"/>
  <c r="AK193" i="1"/>
  <c r="X194" i="1"/>
  <c r="Y194" i="1"/>
  <c r="AB194" i="1"/>
  <c r="AC194" i="1"/>
  <c r="AG194" i="1"/>
  <c r="AI194" i="1"/>
  <c r="AJ194" i="1"/>
  <c r="AK194" i="1"/>
  <c r="X195" i="1"/>
  <c r="Y195" i="1"/>
  <c r="AB195" i="1"/>
  <c r="AC195" i="1"/>
  <c r="AG195" i="1"/>
  <c r="AI195" i="1"/>
  <c r="AJ195" i="1"/>
  <c r="AK195" i="1"/>
  <c r="X196" i="1"/>
  <c r="Y196" i="1"/>
  <c r="AB196" i="1"/>
  <c r="AC196" i="1"/>
  <c r="AG196" i="1"/>
  <c r="AI196" i="1"/>
  <c r="AJ196" i="1"/>
  <c r="AK196" i="1"/>
  <c r="X197" i="1"/>
  <c r="Y197" i="1"/>
  <c r="AB197" i="1"/>
  <c r="AC197" i="1"/>
  <c r="AG197" i="1"/>
  <c r="AI197" i="1"/>
  <c r="AJ197" i="1"/>
  <c r="AK197" i="1"/>
  <c r="X198" i="1"/>
  <c r="Y198" i="1"/>
  <c r="AB198" i="1"/>
  <c r="AC198" i="1"/>
  <c r="AG198" i="1"/>
  <c r="AI198" i="1"/>
  <c r="AJ198" i="1"/>
  <c r="AK198" i="1"/>
  <c r="X199" i="1"/>
  <c r="Y199" i="1"/>
  <c r="AB199" i="1"/>
  <c r="AC199" i="1"/>
  <c r="AG199" i="1"/>
  <c r="AI199" i="1"/>
  <c r="AJ199" i="1"/>
  <c r="AK199" i="1"/>
  <c r="X200" i="1"/>
  <c r="Y200" i="1"/>
  <c r="AB200" i="1"/>
  <c r="AC200" i="1"/>
  <c r="AG200" i="1"/>
  <c r="AI200" i="1"/>
  <c r="AJ200" i="1"/>
  <c r="AK200" i="1"/>
  <c r="X201" i="1"/>
  <c r="Y201" i="1"/>
  <c r="AB201" i="1"/>
  <c r="AC201" i="1"/>
  <c r="AG201" i="1"/>
  <c r="AI201" i="1"/>
  <c r="AJ201" i="1"/>
  <c r="AK201" i="1"/>
  <c r="X202" i="1"/>
  <c r="Y202" i="1"/>
  <c r="AB202" i="1"/>
  <c r="AC202" i="1"/>
  <c r="AG202" i="1"/>
  <c r="AI202" i="1"/>
  <c r="AJ202" i="1"/>
  <c r="AK202" i="1"/>
  <c r="X203" i="1"/>
  <c r="Y203" i="1"/>
  <c r="AB203" i="1"/>
  <c r="AC203" i="1"/>
  <c r="AG203" i="1"/>
  <c r="AI203" i="1"/>
  <c r="AJ203" i="1"/>
  <c r="AK203" i="1"/>
  <c r="X204" i="1"/>
  <c r="Y204" i="1"/>
  <c r="AB204" i="1"/>
  <c r="AC204" i="1"/>
  <c r="AG204" i="1"/>
  <c r="AI204" i="1"/>
  <c r="AJ204" i="1"/>
  <c r="AK204" i="1"/>
  <c r="X205" i="1"/>
  <c r="Y205" i="1"/>
  <c r="AB205" i="1"/>
  <c r="AC205" i="1"/>
  <c r="AG205" i="1"/>
  <c r="AI205" i="1"/>
  <c r="AJ205" i="1"/>
  <c r="AK205" i="1"/>
  <c r="X206" i="1"/>
  <c r="Y206" i="1"/>
  <c r="AB206" i="1"/>
  <c r="AC206" i="1"/>
  <c r="AG206" i="1"/>
  <c r="AI206" i="1"/>
  <c r="AJ206" i="1"/>
  <c r="AK206" i="1"/>
  <c r="X207" i="1"/>
  <c r="Y207" i="1"/>
  <c r="AB207" i="1"/>
  <c r="AC207" i="1"/>
  <c r="AG207" i="1"/>
  <c r="AI207" i="1"/>
  <c r="AJ207" i="1"/>
  <c r="AK207" i="1"/>
  <c r="X208" i="1"/>
  <c r="Y208" i="1"/>
  <c r="AB208" i="1"/>
  <c r="AC208" i="1"/>
  <c r="AG208" i="1"/>
  <c r="AI208" i="1"/>
  <c r="AJ208" i="1"/>
  <c r="AK208" i="1"/>
  <c r="X209" i="1"/>
  <c r="Y209" i="1"/>
  <c r="AB209" i="1"/>
  <c r="AC209" i="1"/>
  <c r="AG209" i="1"/>
  <c r="AI209" i="1"/>
  <c r="AJ209" i="1"/>
  <c r="AK209" i="1"/>
  <c r="X210" i="1"/>
  <c r="Y210" i="1"/>
  <c r="AB210" i="1"/>
  <c r="AC210" i="1"/>
  <c r="AG210" i="1"/>
  <c r="AI210" i="1"/>
  <c r="AJ210" i="1"/>
  <c r="AK210" i="1"/>
  <c r="X211" i="1"/>
  <c r="Y211" i="1"/>
  <c r="AB211" i="1"/>
  <c r="AC211" i="1"/>
  <c r="AG211" i="1"/>
  <c r="AI211" i="1"/>
  <c r="AJ211" i="1"/>
  <c r="AK211" i="1"/>
  <c r="X212" i="1"/>
  <c r="Y212" i="1"/>
  <c r="AB212" i="1"/>
  <c r="AC212" i="1"/>
  <c r="AG212" i="1"/>
  <c r="AI212" i="1"/>
  <c r="AJ212" i="1"/>
  <c r="AK212" i="1"/>
  <c r="X213" i="1"/>
  <c r="Y213" i="1"/>
  <c r="AB213" i="1"/>
  <c r="AC213" i="1"/>
  <c r="AG213" i="1"/>
  <c r="AI213" i="1"/>
  <c r="AJ213" i="1"/>
  <c r="AK213" i="1"/>
  <c r="X214" i="1"/>
  <c r="Y214" i="1"/>
  <c r="AB214" i="1"/>
  <c r="AC214" i="1"/>
  <c r="AG214" i="1"/>
  <c r="AI214" i="1"/>
  <c r="AJ214" i="1"/>
  <c r="AK214" i="1"/>
  <c r="X215" i="1"/>
  <c r="Y215" i="1"/>
  <c r="AB215" i="1"/>
  <c r="AC215" i="1"/>
  <c r="AG215" i="1"/>
  <c r="AI215" i="1"/>
  <c r="AJ215" i="1"/>
  <c r="AK215" i="1"/>
  <c r="X216" i="1"/>
  <c r="Y216" i="1"/>
  <c r="AB216" i="1"/>
  <c r="AC216" i="1"/>
  <c r="AG216" i="1"/>
  <c r="AI216" i="1"/>
  <c r="AJ216" i="1"/>
  <c r="AK216" i="1"/>
  <c r="X217" i="1"/>
  <c r="Y217" i="1"/>
  <c r="AB217" i="1"/>
  <c r="AC217" i="1"/>
  <c r="AG217" i="1"/>
  <c r="AI217" i="1"/>
  <c r="AJ217" i="1"/>
  <c r="AK217" i="1"/>
  <c r="X218" i="1"/>
  <c r="Y218" i="1"/>
  <c r="AB218" i="1"/>
  <c r="AC218" i="1"/>
  <c r="AG218" i="1"/>
  <c r="AI218" i="1"/>
  <c r="AJ218" i="1"/>
  <c r="AK218" i="1"/>
  <c r="X219" i="1"/>
  <c r="Y219" i="1"/>
  <c r="AB219" i="1"/>
  <c r="AC219" i="1"/>
  <c r="AG219" i="1"/>
  <c r="AI219" i="1"/>
  <c r="AJ219" i="1"/>
  <c r="AK219" i="1"/>
  <c r="X220" i="1"/>
  <c r="Y220" i="1"/>
  <c r="AB220" i="1"/>
  <c r="AC220" i="1"/>
  <c r="AG220" i="1"/>
  <c r="AI220" i="1"/>
  <c r="AJ220" i="1"/>
  <c r="AK220" i="1"/>
  <c r="X221" i="1"/>
  <c r="Y221" i="1"/>
  <c r="AB221" i="1"/>
  <c r="AC221" i="1"/>
  <c r="AG221" i="1"/>
  <c r="AI221" i="1"/>
  <c r="AJ221" i="1"/>
  <c r="AK221" i="1"/>
  <c r="X222" i="1"/>
  <c r="Y222" i="1"/>
  <c r="AB222" i="1"/>
  <c r="AC222" i="1"/>
  <c r="AG222" i="1"/>
  <c r="AI222" i="1"/>
  <c r="AJ222" i="1"/>
  <c r="AK222" i="1"/>
  <c r="X223" i="1"/>
  <c r="Y223" i="1"/>
  <c r="AB223" i="1"/>
  <c r="AC223" i="1"/>
  <c r="AG223" i="1"/>
  <c r="AI223" i="1"/>
  <c r="AJ223" i="1"/>
  <c r="AK223" i="1"/>
  <c r="X224" i="1"/>
  <c r="Y224" i="1"/>
  <c r="AB224" i="1"/>
  <c r="AC224" i="1"/>
  <c r="AG224" i="1"/>
  <c r="AI224" i="1"/>
  <c r="AJ224" i="1"/>
  <c r="AK224" i="1"/>
  <c r="X225" i="1"/>
  <c r="Y225" i="1"/>
  <c r="AB225" i="1"/>
  <c r="AC225" i="1"/>
  <c r="AG225" i="1"/>
  <c r="AI225" i="1"/>
  <c r="AJ225" i="1"/>
  <c r="AK225" i="1"/>
  <c r="X226" i="1"/>
  <c r="Y226" i="1"/>
  <c r="AB226" i="1"/>
  <c r="AC226" i="1"/>
  <c r="AG226" i="1"/>
  <c r="AI226" i="1"/>
  <c r="AJ226" i="1"/>
  <c r="AK226" i="1"/>
  <c r="X227" i="1"/>
  <c r="Y227" i="1"/>
  <c r="AB227" i="1"/>
  <c r="AC227" i="1"/>
  <c r="AG227" i="1"/>
  <c r="AI227" i="1"/>
  <c r="AJ227" i="1"/>
  <c r="AK227" i="1"/>
  <c r="X228" i="1"/>
  <c r="Y228" i="1"/>
  <c r="AB228" i="1"/>
  <c r="AC228" i="1"/>
  <c r="AG228" i="1"/>
  <c r="AI228" i="1"/>
  <c r="AJ228" i="1"/>
  <c r="AK228" i="1"/>
  <c r="X229" i="1"/>
  <c r="Y229" i="1"/>
  <c r="AB229" i="1"/>
  <c r="AC229" i="1"/>
  <c r="AG229" i="1"/>
  <c r="AI229" i="1"/>
  <c r="AJ229" i="1"/>
  <c r="AK229" i="1"/>
  <c r="X230" i="1"/>
  <c r="Y230" i="1"/>
  <c r="AB230" i="1"/>
  <c r="AC230" i="1"/>
  <c r="AG230" i="1"/>
  <c r="AI230" i="1"/>
  <c r="AJ230" i="1"/>
  <c r="AK230" i="1"/>
  <c r="X231" i="1"/>
  <c r="Y231" i="1"/>
  <c r="AB231" i="1"/>
  <c r="AC231" i="1"/>
  <c r="AG231" i="1"/>
  <c r="AI231" i="1"/>
  <c r="AJ231" i="1"/>
  <c r="AK231" i="1"/>
  <c r="X232" i="1"/>
  <c r="Y232" i="1"/>
  <c r="AB232" i="1"/>
  <c r="AC232" i="1"/>
  <c r="AG232" i="1"/>
  <c r="AI232" i="1"/>
  <c r="AJ232" i="1"/>
  <c r="AK232" i="1"/>
  <c r="X233" i="1"/>
  <c r="Y233" i="1"/>
  <c r="AB233" i="1"/>
  <c r="AC233" i="1"/>
  <c r="AG233" i="1"/>
  <c r="AI233" i="1"/>
  <c r="AJ233" i="1"/>
  <c r="AK233" i="1"/>
  <c r="X234" i="1"/>
  <c r="Y234" i="1"/>
  <c r="AB234" i="1"/>
  <c r="AC234" i="1"/>
  <c r="AG234" i="1"/>
  <c r="AI234" i="1"/>
  <c r="AJ234" i="1"/>
  <c r="AK234" i="1"/>
  <c r="X235" i="1"/>
  <c r="Y235" i="1"/>
  <c r="AB235" i="1"/>
  <c r="AC235" i="1"/>
  <c r="AG235" i="1"/>
  <c r="AI235" i="1"/>
  <c r="AJ235" i="1"/>
  <c r="AK235" i="1"/>
  <c r="X236" i="1"/>
  <c r="Y236" i="1"/>
  <c r="AB236" i="1"/>
  <c r="AC236" i="1"/>
  <c r="AG236" i="1"/>
  <c r="AI236" i="1"/>
  <c r="AJ236" i="1"/>
  <c r="AK236" i="1"/>
  <c r="X237" i="1"/>
  <c r="Y237" i="1"/>
  <c r="AB237" i="1"/>
  <c r="AC237" i="1"/>
  <c r="AG237" i="1"/>
  <c r="AI237" i="1"/>
  <c r="AJ237" i="1"/>
  <c r="AK237" i="1"/>
  <c r="X238" i="1"/>
  <c r="Y238" i="1"/>
  <c r="AB238" i="1"/>
  <c r="AC238" i="1"/>
  <c r="AG238" i="1"/>
  <c r="AI238" i="1"/>
  <c r="AJ238" i="1"/>
  <c r="AK238" i="1"/>
  <c r="X239" i="1"/>
  <c r="Y239" i="1"/>
  <c r="AB239" i="1"/>
  <c r="AC239" i="1"/>
  <c r="AG239" i="1"/>
  <c r="AI239" i="1"/>
  <c r="AJ239" i="1"/>
  <c r="AK239" i="1"/>
  <c r="X240" i="1"/>
  <c r="Y240" i="1"/>
  <c r="AB240" i="1"/>
  <c r="AC240" i="1"/>
  <c r="AG240" i="1"/>
  <c r="AI240" i="1"/>
  <c r="AJ240" i="1"/>
  <c r="AK240" i="1"/>
  <c r="X241" i="1"/>
  <c r="Y241" i="1"/>
  <c r="AB241" i="1"/>
  <c r="AC241" i="1"/>
  <c r="AG241" i="1"/>
  <c r="AI241" i="1"/>
  <c r="AJ241" i="1"/>
  <c r="AK241" i="1"/>
  <c r="X242" i="1"/>
  <c r="Y242" i="1"/>
  <c r="AB242" i="1"/>
  <c r="AC242" i="1"/>
  <c r="AG242" i="1"/>
  <c r="AI242" i="1"/>
  <c r="AJ242" i="1"/>
  <c r="AK242" i="1"/>
  <c r="X243" i="1"/>
  <c r="Y243" i="1"/>
  <c r="AB243" i="1"/>
  <c r="AC243" i="1"/>
  <c r="AG243" i="1"/>
  <c r="AI243" i="1"/>
  <c r="AJ243" i="1"/>
  <c r="AK243" i="1"/>
  <c r="X244" i="1"/>
  <c r="Y244" i="1"/>
  <c r="AB244" i="1"/>
  <c r="AC244" i="1"/>
  <c r="AG244" i="1"/>
  <c r="AI244" i="1"/>
  <c r="AJ244" i="1"/>
  <c r="AK244" i="1"/>
  <c r="X245" i="1"/>
  <c r="Y245" i="1"/>
  <c r="AB245" i="1"/>
  <c r="AC245" i="1"/>
  <c r="AG245" i="1"/>
  <c r="AI245" i="1"/>
  <c r="AJ245" i="1"/>
  <c r="AK245" i="1"/>
  <c r="X246" i="1"/>
  <c r="Y246" i="1"/>
  <c r="AB246" i="1"/>
  <c r="AC246" i="1"/>
  <c r="AG246" i="1"/>
  <c r="AI246" i="1"/>
  <c r="AJ246" i="1"/>
  <c r="AK246" i="1"/>
  <c r="X247" i="1"/>
  <c r="Y247" i="1"/>
  <c r="AB247" i="1"/>
  <c r="AC247" i="1"/>
  <c r="AG247" i="1"/>
  <c r="AI247" i="1"/>
  <c r="AJ247" i="1"/>
  <c r="AK247" i="1"/>
  <c r="X248" i="1"/>
  <c r="Y248" i="1"/>
  <c r="AB248" i="1"/>
  <c r="AC248" i="1"/>
  <c r="AG248" i="1"/>
  <c r="AI248" i="1"/>
  <c r="AJ248" i="1"/>
  <c r="AK248" i="1"/>
  <c r="X249" i="1"/>
  <c r="Y249" i="1"/>
  <c r="AB249" i="1"/>
  <c r="AC249" i="1"/>
  <c r="AG249" i="1"/>
  <c r="AI249" i="1"/>
  <c r="AJ249" i="1"/>
  <c r="AK249" i="1"/>
  <c r="X250" i="1"/>
  <c r="Y250" i="1"/>
  <c r="AB250" i="1"/>
  <c r="AC250" i="1"/>
  <c r="AG250" i="1"/>
  <c r="AI250" i="1"/>
  <c r="AJ250" i="1"/>
  <c r="AK250" i="1"/>
  <c r="X251" i="1"/>
  <c r="Y251" i="1"/>
  <c r="AB251" i="1"/>
  <c r="AC251" i="1"/>
  <c r="AG251" i="1"/>
  <c r="AI251" i="1"/>
  <c r="AJ251" i="1"/>
  <c r="AK251" i="1"/>
  <c r="X252" i="1"/>
  <c r="Y252" i="1"/>
  <c r="AB252" i="1"/>
  <c r="AC252" i="1"/>
  <c r="AG252" i="1"/>
  <c r="AI252" i="1"/>
  <c r="AJ252" i="1"/>
  <c r="AK252" i="1"/>
  <c r="X253" i="1"/>
  <c r="Y253" i="1"/>
  <c r="AB253" i="1"/>
  <c r="AC253" i="1"/>
  <c r="AG253" i="1"/>
  <c r="AI253" i="1"/>
  <c r="AJ253" i="1"/>
  <c r="AK253" i="1"/>
  <c r="X254" i="1"/>
  <c r="Y254" i="1"/>
  <c r="AB254" i="1"/>
  <c r="AC254" i="1"/>
  <c r="AG254" i="1"/>
  <c r="AI254" i="1"/>
  <c r="AJ254" i="1"/>
  <c r="AK254" i="1"/>
  <c r="X255" i="1"/>
  <c r="Y255" i="1"/>
  <c r="AB255" i="1"/>
  <c r="AC255" i="1"/>
  <c r="AG255" i="1"/>
  <c r="AI255" i="1"/>
  <c r="AJ255" i="1"/>
  <c r="AK255" i="1"/>
  <c r="X256" i="1"/>
  <c r="Y256" i="1"/>
  <c r="AB256" i="1"/>
  <c r="AC256" i="1"/>
  <c r="AG256" i="1"/>
  <c r="AI256" i="1"/>
  <c r="AJ256" i="1"/>
  <c r="AK256" i="1"/>
  <c r="X257" i="1"/>
  <c r="Y257" i="1"/>
  <c r="AB257" i="1"/>
  <c r="AC257" i="1"/>
  <c r="AG257" i="1"/>
  <c r="AI257" i="1"/>
  <c r="AJ257" i="1"/>
  <c r="AK257" i="1"/>
  <c r="X258" i="1"/>
  <c r="Y258" i="1"/>
  <c r="AB258" i="1"/>
  <c r="AC258" i="1"/>
  <c r="AG258" i="1"/>
  <c r="AI258" i="1"/>
  <c r="AJ258" i="1"/>
  <c r="AK258" i="1"/>
  <c r="X259" i="1"/>
  <c r="Y259" i="1"/>
  <c r="AB259" i="1"/>
  <c r="AC259" i="1"/>
  <c r="AG259" i="1"/>
  <c r="AI259" i="1"/>
  <c r="AJ259" i="1"/>
  <c r="AK259" i="1"/>
  <c r="X260" i="1"/>
  <c r="Y260" i="1"/>
  <c r="AB260" i="1"/>
  <c r="AC260" i="1"/>
  <c r="AG260" i="1"/>
  <c r="AI260" i="1"/>
  <c r="AJ260" i="1"/>
  <c r="AK260" i="1"/>
  <c r="X261" i="1"/>
  <c r="Y261" i="1"/>
  <c r="AB261" i="1"/>
  <c r="AC261" i="1"/>
  <c r="AG261" i="1"/>
  <c r="AI261" i="1"/>
  <c r="AJ261" i="1"/>
  <c r="AK261" i="1"/>
  <c r="X262" i="1"/>
  <c r="Y262" i="1"/>
  <c r="AB262" i="1"/>
  <c r="AC262" i="1"/>
  <c r="AG262" i="1"/>
  <c r="AI262" i="1"/>
  <c r="AJ262" i="1"/>
  <c r="AK262" i="1"/>
  <c r="X263" i="1"/>
  <c r="Y263" i="1"/>
  <c r="AB263" i="1"/>
  <c r="AC263" i="1"/>
  <c r="AG263" i="1"/>
  <c r="AI263" i="1"/>
  <c r="AJ263" i="1"/>
  <c r="AK263" i="1"/>
  <c r="X264" i="1"/>
  <c r="Y264" i="1"/>
  <c r="AB264" i="1"/>
  <c r="AC264" i="1"/>
  <c r="AG264" i="1"/>
  <c r="AI264" i="1"/>
  <c r="AJ264" i="1"/>
  <c r="AK264" i="1"/>
  <c r="X265" i="1"/>
  <c r="Y265" i="1"/>
  <c r="AB265" i="1"/>
  <c r="AC265" i="1"/>
  <c r="AG265" i="1"/>
  <c r="AI265" i="1"/>
  <c r="AJ265" i="1"/>
  <c r="AK265" i="1"/>
  <c r="X266" i="1"/>
  <c r="Y266" i="1"/>
  <c r="AB266" i="1"/>
  <c r="AC266" i="1"/>
  <c r="AG266" i="1"/>
  <c r="AI266" i="1"/>
  <c r="AJ266" i="1"/>
  <c r="AK266" i="1"/>
  <c r="X267" i="1"/>
  <c r="Y267" i="1"/>
  <c r="AB267" i="1"/>
  <c r="AC267" i="1"/>
  <c r="AG267" i="1"/>
  <c r="AI267" i="1"/>
  <c r="AJ267" i="1"/>
  <c r="AK267" i="1"/>
  <c r="X268" i="1"/>
  <c r="Y268" i="1"/>
  <c r="AB268" i="1"/>
  <c r="AC268" i="1"/>
  <c r="AG268" i="1"/>
  <c r="AI268" i="1"/>
  <c r="AJ268" i="1"/>
  <c r="AK268" i="1"/>
  <c r="X269" i="1"/>
  <c r="Y269" i="1"/>
  <c r="AB269" i="1"/>
  <c r="AC269" i="1"/>
  <c r="AG269" i="1"/>
  <c r="AI269" i="1"/>
  <c r="AJ269" i="1"/>
  <c r="AK269" i="1"/>
  <c r="X270" i="1"/>
  <c r="Y270" i="1"/>
  <c r="AB270" i="1"/>
  <c r="AC270" i="1"/>
  <c r="AG270" i="1"/>
  <c r="AI270" i="1"/>
  <c r="AJ270" i="1"/>
  <c r="AK270" i="1"/>
  <c r="X271" i="1"/>
  <c r="Y271" i="1"/>
  <c r="AB271" i="1"/>
  <c r="AC271" i="1"/>
  <c r="AG271" i="1"/>
  <c r="AI271" i="1"/>
  <c r="AJ271" i="1"/>
  <c r="AK271" i="1"/>
  <c r="X272" i="1"/>
  <c r="Y272" i="1"/>
  <c r="AB272" i="1"/>
  <c r="AC272" i="1"/>
  <c r="AG272" i="1"/>
  <c r="AI272" i="1"/>
  <c r="AJ272" i="1"/>
  <c r="AK272" i="1"/>
  <c r="X273" i="1"/>
  <c r="Y273" i="1"/>
  <c r="AB273" i="1"/>
  <c r="AC273" i="1"/>
  <c r="AG273" i="1"/>
  <c r="AI273" i="1"/>
  <c r="AJ273" i="1"/>
  <c r="AK273" i="1"/>
  <c r="X274" i="1"/>
  <c r="Y274" i="1"/>
  <c r="AB274" i="1"/>
  <c r="AC274" i="1"/>
  <c r="AG274" i="1"/>
  <c r="AI274" i="1"/>
  <c r="AJ274" i="1"/>
  <c r="AK274" i="1"/>
  <c r="X275" i="1"/>
  <c r="Y275" i="1"/>
  <c r="AB275" i="1"/>
  <c r="AC275" i="1"/>
  <c r="AG275" i="1"/>
  <c r="AI275" i="1"/>
  <c r="AJ275" i="1"/>
  <c r="AK275" i="1"/>
  <c r="X276" i="1"/>
  <c r="Y276" i="1"/>
  <c r="AB276" i="1"/>
  <c r="AC276" i="1"/>
  <c r="AG276" i="1"/>
  <c r="AI276" i="1"/>
  <c r="AJ276" i="1"/>
  <c r="AK276" i="1"/>
  <c r="X277" i="1"/>
  <c r="Y277" i="1"/>
  <c r="AB277" i="1"/>
  <c r="AC277" i="1"/>
  <c r="AG277" i="1"/>
  <c r="AI277" i="1"/>
  <c r="AJ277" i="1"/>
  <c r="AK277" i="1"/>
  <c r="X278" i="1"/>
  <c r="Y278" i="1"/>
  <c r="AB278" i="1"/>
  <c r="AC278" i="1"/>
  <c r="AG278" i="1"/>
  <c r="AI278" i="1"/>
  <c r="AJ278" i="1"/>
  <c r="AK278" i="1"/>
  <c r="X279" i="1"/>
  <c r="Y279" i="1"/>
  <c r="AB279" i="1"/>
  <c r="AC279" i="1"/>
  <c r="AG279" i="1"/>
  <c r="AI279" i="1"/>
  <c r="AJ279" i="1"/>
  <c r="AK279" i="1"/>
  <c r="X280" i="1"/>
  <c r="Y280" i="1"/>
  <c r="AB280" i="1"/>
  <c r="AC280" i="1"/>
  <c r="AG280" i="1"/>
  <c r="AI280" i="1"/>
  <c r="AJ280" i="1"/>
  <c r="AK280" i="1"/>
  <c r="X281" i="1"/>
  <c r="Y281" i="1"/>
  <c r="AB281" i="1"/>
  <c r="AC281" i="1"/>
  <c r="AG281" i="1"/>
  <c r="AI281" i="1"/>
  <c r="AJ281" i="1"/>
  <c r="AK281" i="1"/>
  <c r="X282" i="1"/>
  <c r="Y282" i="1"/>
  <c r="AB282" i="1"/>
  <c r="AC282" i="1"/>
  <c r="AG282" i="1"/>
  <c r="AI282" i="1"/>
  <c r="AJ282" i="1"/>
  <c r="AK282" i="1"/>
  <c r="X283" i="1"/>
  <c r="Y283" i="1"/>
  <c r="AB283" i="1"/>
  <c r="AC283" i="1"/>
  <c r="AG283" i="1"/>
  <c r="AI283" i="1"/>
  <c r="AJ283" i="1"/>
  <c r="AK283" i="1"/>
  <c r="X284" i="1"/>
  <c r="Y284" i="1"/>
  <c r="AB284" i="1"/>
  <c r="AC284" i="1"/>
  <c r="AG284" i="1"/>
  <c r="AI284" i="1"/>
  <c r="AJ284" i="1"/>
  <c r="AK284" i="1"/>
  <c r="X285" i="1"/>
  <c r="Y285" i="1"/>
  <c r="AB285" i="1"/>
  <c r="AC285" i="1"/>
  <c r="AG285" i="1"/>
  <c r="AI285" i="1"/>
  <c r="AJ285" i="1"/>
  <c r="AK285" i="1"/>
  <c r="X286" i="1"/>
  <c r="Y286" i="1"/>
  <c r="AB286" i="1"/>
  <c r="AC286" i="1"/>
  <c r="AG286" i="1"/>
  <c r="AI286" i="1"/>
  <c r="AJ286" i="1"/>
  <c r="AK286" i="1"/>
  <c r="X287" i="1"/>
  <c r="Y287" i="1"/>
  <c r="AB287" i="1"/>
  <c r="AC287" i="1"/>
  <c r="AG287" i="1"/>
  <c r="AI287" i="1"/>
  <c r="AJ287" i="1"/>
  <c r="AK287" i="1"/>
  <c r="X288" i="1"/>
  <c r="Y288" i="1"/>
  <c r="AB288" i="1"/>
  <c r="AC288" i="1"/>
  <c r="AG288" i="1"/>
  <c r="AI288" i="1"/>
  <c r="AJ288" i="1"/>
  <c r="AK288" i="1"/>
  <c r="X289" i="1"/>
  <c r="Y289" i="1"/>
  <c r="AB289" i="1"/>
  <c r="AC289" i="1"/>
  <c r="AG289" i="1"/>
  <c r="AI289" i="1"/>
  <c r="AJ289" i="1"/>
  <c r="AK289" i="1"/>
  <c r="X290" i="1"/>
  <c r="Y290" i="1"/>
  <c r="AB290" i="1"/>
  <c r="AC290" i="1"/>
  <c r="AG290" i="1"/>
  <c r="AI290" i="1"/>
  <c r="AJ290" i="1"/>
  <c r="AK290" i="1"/>
  <c r="X291" i="1"/>
  <c r="Y291" i="1"/>
  <c r="AB291" i="1"/>
  <c r="AC291" i="1"/>
  <c r="AG291" i="1"/>
  <c r="AI291" i="1"/>
  <c r="AJ291" i="1"/>
  <c r="AK291" i="1"/>
  <c r="X292" i="1"/>
  <c r="Y292" i="1"/>
  <c r="AB292" i="1"/>
  <c r="AC292" i="1"/>
  <c r="AG292" i="1"/>
  <c r="AI292" i="1"/>
  <c r="AJ292" i="1"/>
  <c r="AK292" i="1"/>
  <c r="X293" i="1"/>
  <c r="Y293" i="1"/>
  <c r="AB293" i="1"/>
  <c r="AC293" i="1"/>
  <c r="AG293" i="1"/>
  <c r="AI293" i="1"/>
  <c r="AJ293" i="1"/>
  <c r="AK293" i="1"/>
  <c r="X294" i="1"/>
  <c r="Y294" i="1"/>
  <c r="AB294" i="1"/>
  <c r="AC294" i="1"/>
  <c r="AG294" i="1"/>
  <c r="AI294" i="1"/>
  <c r="AJ294" i="1"/>
  <c r="AK294" i="1"/>
  <c r="X295" i="1"/>
  <c r="Y295" i="1"/>
  <c r="AB295" i="1"/>
  <c r="AC295" i="1"/>
  <c r="AG295" i="1"/>
  <c r="AI295" i="1"/>
  <c r="AJ295" i="1"/>
  <c r="AK295" i="1"/>
  <c r="X296" i="1"/>
  <c r="Y296" i="1"/>
  <c r="AB296" i="1"/>
  <c r="AC296" i="1"/>
  <c r="AG296" i="1"/>
  <c r="AI296" i="1"/>
  <c r="AJ296" i="1"/>
  <c r="AK296" i="1"/>
  <c r="X297" i="1"/>
  <c r="Y297" i="1"/>
  <c r="AB297" i="1"/>
  <c r="AC297" i="1"/>
  <c r="AG297" i="1"/>
  <c r="AI297" i="1"/>
  <c r="AJ297" i="1"/>
  <c r="AK297" i="1"/>
  <c r="X298" i="1"/>
  <c r="Y298" i="1"/>
  <c r="AB298" i="1"/>
  <c r="AC298" i="1"/>
  <c r="AG298" i="1"/>
  <c r="AI298" i="1"/>
  <c r="AJ298" i="1"/>
  <c r="AK298" i="1"/>
  <c r="X299" i="1"/>
  <c r="Y299" i="1"/>
  <c r="AB299" i="1"/>
  <c r="AC299" i="1"/>
  <c r="AG299" i="1"/>
  <c r="AI299" i="1"/>
  <c r="AJ299" i="1"/>
  <c r="AK299" i="1"/>
  <c r="X300" i="1"/>
  <c r="Y300" i="1"/>
  <c r="AB300" i="1"/>
  <c r="AC300" i="1"/>
  <c r="AG300" i="1"/>
  <c r="AI300" i="1"/>
  <c r="AJ300" i="1"/>
  <c r="AK300" i="1"/>
  <c r="X301" i="1"/>
  <c r="Y301" i="1"/>
  <c r="AB301" i="1"/>
  <c r="AC301" i="1"/>
  <c r="AG301" i="1"/>
  <c r="AI301" i="1"/>
  <c r="AJ301" i="1"/>
  <c r="AK301" i="1"/>
  <c r="X302" i="1"/>
  <c r="Y302" i="1"/>
  <c r="AB302" i="1"/>
  <c r="AC302" i="1"/>
  <c r="AG302" i="1"/>
  <c r="AI302" i="1"/>
  <c r="AJ302" i="1"/>
  <c r="AK302" i="1"/>
  <c r="X303" i="1"/>
  <c r="Y303" i="1"/>
  <c r="AB303" i="1"/>
  <c r="AC303" i="1"/>
  <c r="AG303" i="1"/>
  <c r="AI303" i="1"/>
  <c r="AJ303" i="1"/>
  <c r="AK303" i="1"/>
  <c r="X304" i="1"/>
  <c r="Y304" i="1"/>
  <c r="AB304" i="1"/>
  <c r="AC304" i="1"/>
  <c r="AG304" i="1"/>
  <c r="AI304" i="1"/>
  <c r="AJ304" i="1"/>
  <c r="AK304" i="1"/>
  <c r="X305" i="1"/>
  <c r="Y305" i="1"/>
  <c r="AB305" i="1"/>
  <c r="AC305" i="1"/>
  <c r="AG305" i="1"/>
  <c r="AI305" i="1"/>
  <c r="AJ305" i="1"/>
  <c r="AK305" i="1"/>
  <c r="X306" i="1"/>
  <c r="Y306" i="1"/>
  <c r="AB306" i="1"/>
  <c r="AC306" i="1"/>
  <c r="AG306" i="1"/>
  <c r="AI306" i="1"/>
  <c r="AJ306" i="1"/>
  <c r="AK306" i="1"/>
  <c r="X307" i="1"/>
  <c r="Y307" i="1"/>
  <c r="AB307" i="1"/>
  <c r="AC307" i="1"/>
  <c r="AG307" i="1"/>
  <c r="AI307" i="1"/>
  <c r="AJ307" i="1"/>
  <c r="AK307" i="1"/>
  <c r="X308" i="1"/>
  <c r="Y308" i="1"/>
  <c r="AB308" i="1"/>
  <c r="AC308" i="1"/>
  <c r="AG308" i="1"/>
  <c r="AI308" i="1"/>
  <c r="AJ308" i="1"/>
  <c r="AK308" i="1"/>
  <c r="X309" i="1"/>
  <c r="Y309" i="1"/>
  <c r="AB309" i="1"/>
  <c r="AC309" i="1"/>
  <c r="AG309" i="1"/>
  <c r="AI309" i="1"/>
  <c r="AJ309" i="1"/>
  <c r="AK309" i="1"/>
  <c r="X310" i="1"/>
  <c r="Y310" i="1"/>
  <c r="AB310" i="1"/>
  <c r="AC310" i="1"/>
  <c r="AG310" i="1"/>
  <c r="AI310" i="1"/>
  <c r="AJ310" i="1"/>
  <c r="AK310" i="1"/>
  <c r="X311" i="1"/>
  <c r="Y311" i="1"/>
  <c r="AB311" i="1"/>
  <c r="AC311" i="1"/>
  <c r="AG311" i="1"/>
  <c r="AI311" i="1"/>
  <c r="AJ311" i="1"/>
  <c r="AK311" i="1"/>
  <c r="X312" i="1"/>
  <c r="Y312" i="1"/>
  <c r="AB312" i="1"/>
  <c r="AC312" i="1"/>
  <c r="AG312" i="1"/>
  <c r="AI312" i="1"/>
  <c r="AJ312" i="1"/>
  <c r="AK312" i="1"/>
  <c r="X313" i="1"/>
  <c r="Y313" i="1"/>
  <c r="AB313" i="1"/>
  <c r="AC313" i="1"/>
  <c r="AG313" i="1"/>
  <c r="AI313" i="1"/>
  <c r="AJ313" i="1"/>
  <c r="AK313" i="1"/>
  <c r="X314" i="1"/>
  <c r="Y314" i="1"/>
  <c r="AB314" i="1"/>
  <c r="AC314" i="1"/>
  <c r="AG314" i="1"/>
  <c r="AI314" i="1"/>
  <c r="AJ314" i="1"/>
  <c r="AK314" i="1"/>
  <c r="X315" i="1"/>
  <c r="Y315" i="1"/>
  <c r="AB315" i="1"/>
  <c r="AC315" i="1"/>
  <c r="AG315" i="1"/>
  <c r="AI315" i="1"/>
  <c r="AJ315" i="1"/>
  <c r="AK315" i="1"/>
  <c r="X316" i="1"/>
  <c r="Y316" i="1"/>
  <c r="AB316" i="1"/>
  <c r="AC316" i="1"/>
  <c r="AG316" i="1"/>
  <c r="AI316" i="1"/>
  <c r="AJ316" i="1"/>
  <c r="AK316" i="1"/>
  <c r="X317" i="1"/>
  <c r="Y317" i="1"/>
  <c r="AB317" i="1"/>
  <c r="AC317" i="1"/>
  <c r="AG317" i="1"/>
  <c r="AI317" i="1"/>
  <c r="AJ317" i="1"/>
  <c r="AK317" i="1"/>
  <c r="X318" i="1"/>
  <c r="Y318" i="1"/>
  <c r="AB318" i="1"/>
  <c r="AC318" i="1"/>
  <c r="AG318" i="1"/>
  <c r="AI318" i="1"/>
  <c r="AJ318" i="1"/>
  <c r="AK318" i="1"/>
  <c r="X319" i="1"/>
  <c r="Y319" i="1"/>
  <c r="AB319" i="1"/>
  <c r="AC319" i="1"/>
  <c r="AG319" i="1"/>
  <c r="AI319" i="1"/>
  <c r="AJ319" i="1"/>
  <c r="AK319" i="1"/>
  <c r="X320" i="1"/>
  <c r="Y320" i="1"/>
  <c r="AB320" i="1"/>
  <c r="AC320" i="1"/>
  <c r="AG320" i="1"/>
  <c r="AI320" i="1"/>
  <c r="AJ320" i="1"/>
  <c r="AK320" i="1"/>
  <c r="X321" i="1"/>
  <c r="Y321" i="1"/>
  <c r="AB321" i="1"/>
  <c r="AC321" i="1"/>
  <c r="AG321" i="1"/>
  <c r="AI321" i="1"/>
  <c r="AJ321" i="1"/>
  <c r="AK321" i="1"/>
  <c r="X322" i="1"/>
  <c r="Y322" i="1"/>
  <c r="AB322" i="1"/>
  <c r="AC322" i="1"/>
  <c r="AG322" i="1"/>
  <c r="AI322" i="1"/>
  <c r="AJ322" i="1"/>
  <c r="AK322" i="1"/>
  <c r="X323" i="1"/>
  <c r="Y323" i="1"/>
  <c r="AB323" i="1"/>
  <c r="AC323" i="1"/>
  <c r="AG323" i="1"/>
  <c r="AI323" i="1"/>
  <c r="AJ323" i="1"/>
  <c r="AK323" i="1"/>
  <c r="X324" i="1"/>
  <c r="Y324" i="1"/>
  <c r="AB324" i="1"/>
  <c r="AC324" i="1"/>
  <c r="AG324" i="1"/>
  <c r="AI324" i="1"/>
  <c r="AJ324" i="1"/>
  <c r="AK324" i="1"/>
  <c r="X325" i="1"/>
  <c r="Y325" i="1"/>
  <c r="AB325" i="1"/>
  <c r="AC325" i="1"/>
  <c r="AG325" i="1"/>
  <c r="AI325" i="1"/>
  <c r="AJ325" i="1"/>
  <c r="AK325" i="1"/>
  <c r="X326" i="1"/>
  <c r="Y326" i="1"/>
  <c r="AB326" i="1"/>
  <c r="AC326" i="1"/>
  <c r="AG326" i="1"/>
  <c r="AI326" i="1"/>
  <c r="AJ326" i="1"/>
  <c r="AK326" i="1"/>
  <c r="X327" i="1"/>
  <c r="Y327" i="1"/>
  <c r="AB327" i="1"/>
  <c r="AC327" i="1"/>
  <c r="AG327" i="1"/>
  <c r="AI327" i="1"/>
  <c r="AJ327" i="1"/>
  <c r="AK327" i="1"/>
  <c r="X328" i="1"/>
  <c r="Y328" i="1"/>
  <c r="AB328" i="1"/>
  <c r="AC328" i="1"/>
  <c r="AG328" i="1"/>
  <c r="AI328" i="1"/>
  <c r="AJ328" i="1"/>
  <c r="AK328" i="1"/>
  <c r="X329" i="1"/>
  <c r="Y329" i="1"/>
  <c r="AB329" i="1"/>
  <c r="AC329" i="1"/>
  <c r="AG329" i="1"/>
  <c r="AI329" i="1"/>
  <c r="AJ329" i="1"/>
  <c r="AK329" i="1"/>
  <c r="X330" i="1"/>
  <c r="Y330" i="1"/>
  <c r="AB330" i="1"/>
  <c r="AC330" i="1"/>
  <c r="AG330" i="1"/>
  <c r="AI330" i="1"/>
  <c r="AJ330" i="1"/>
  <c r="AK330" i="1"/>
  <c r="X331" i="1"/>
  <c r="Y331" i="1"/>
  <c r="AB331" i="1"/>
  <c r="AC331" i="1"/>
  <c r="AG331" i="1"/>
  <c r="AI331" i="1"/>
  <c r="AJ331" i="1"/>
  <c r="AK331" i="1"/>
  <c r="X332" i="1"/>
  <c r="Y332" i="1"/>
  <c r="AB332" i="1"/>
  <c r="AC332" i="1"/>
  <c r="AG332" i="1"/>
  <c r="AI332" i="1"/>
  <c r="AJ332" i="1"/>
  <c r="AK332" i="1"/>
  <c r="X333" i="1"/>
  <c r="Y333" i="1"/>
  <c r="AB333" i="1"/>
  <c r="AC333" i="1"/>
  <c r="AG333" i="1"/>
  <c r="AI333" i="1"/>
  <c r="AJ333" i="1"/>
  <c r="AK333" i="1"/>
  <c r="X334" i="1"/>
  <c r="Y334" i="1"/>
  <c r="AB334" i="1"/>
  <c r="AC334" i="1"/>
  <c r="AG334" i="1"/>
  <c r="AI334" i="1"/>
  <c r="AJ334" i="1"/>
  <c r="AK334" i="1"/>
  <c r="X335" i="1"/>
  <c r="Y335" i="1"/>
  <c r="AB335" i="1"/>
  <c r="AC335" i="1"/>
  <c r="AG335" i="1"/>
  <c r="AI335" i="1"/>
  <c r="AJ335" i="1"/>
  <c r="AK335" i="1"/>
  <c r="X336" i="1"/>
  <c r="Y336" i="1"/>
  <c r="AB336" i="1"/>
  <c r="AC336" i="1"/>
  <c r="AG336" i="1"/>
  <c r="AI336" i="1"/>
  <c r="AJ336" i="1"/>
  <c r="AK336" i="1"/>
  <c r="X337" i="1"/>
  <c r="Y337" i="1"/>
  <c r="AB337" i="1"/>
  <c r="AC337" i="1"/>
  <c r="AG337" i="1"/>
  <c r="AI337" i="1"/>
  <c r="AJ337" i="1"/>
  <c r="AK337" i="1"/>
  <c r="X338" i="1"/>
  <c r="Y338" i="1"/>
  <c r="AB338" i="1"/>
  <c r="AC338" i="1"/>
  <c r="AG338" i="1"/>
  <c r="AI338" i="1"/>
  <c r="AJ338" i="1"/>
  <c r="AK338" i="1"/>
  <c r="X339" i="1"/>
  <c r="Y339" i="1"/>
  <c r="AB339" i="1"/>
  <c r="AC339" i="1"/>
  <c r="AG339" i="1"/>
  <c r="AI339" i="1"/>
  <c r="AJ339" i="1"/>
  <c r="AK339" i="1"/>
  <c r="X340" i="1"/>
  <c r="Y340" i="1"/>
  <c r="AB340" i="1"/>
  <c r="AC340" i="1"/>
  <c r="AG340" i="1"/>
  <c r="AI340" i="1"/>
  <c r="AJ340" i="1"/>
  <c r="AK340" i="1"/>
  <c r="X341" i="1"/>
  <c r="Y341" i="1"/>
  <c r="AB341" i="1"/>
  <c r="AC341" i="1"/>
  <c r="AG341" i="1"/>
  <c r="AI341" i="1"/>
  <c r="AJ341" i="1"/>
  <c r="AK341" i="1"/>
  <c r="X342" i="1"/>
  <c r="Y342" i="1"/>
  <c r="AB342" i="1"/>
  <c r="AC342" i="1"/>
  <c r="AG342" i="1"/>
  <c r="AI342" i="1"/>
  <c r="AJ342" i="1"/>
  <c r="AK342" i="1"/>
  <c r="X343" i="1"/>
  <c r="Y343" i="1"/>
  <c r="AB343" i="1"/>
  <c r="AC343" i="1"/>
  <c r="AG343" i="1"/>
  <c r="AI343" i="1"/>
  <c r="AJ343" i="1"/>
  <c r="AK343" i="1"/>
  <c r="X344" i="1"/>
  <c r="Y344" i="1"/>
  <c r="AB344" i="1"/>
  <c r="AC344" i="1"/>
  <c r="AG344" i="1"/>
  <c r="AI344" i="1"/>
  <c r="AJ344" i="1"/>
  <c r="AK344" i="1"/>
  <c r="X345" i="1"/>
  <c r="Y345" i="1"/>
  <c r="AB345" i="1"/>
  <c r="AC345" i="1"/>
  <c r="AG345" i="1"/>
  <c r="AI345" i="1"/>
  <c r="AJ345" i="1"/>
  <c r="AK345" i="1"/>
  <c r="X346" i="1"/>
  <c r="Y346" i="1"/>
  <c r="AB346" i="1"/>
  <c r="AC346" i="1"/>
  <c r="AG346" i="1"/>
  <c r="AI346" i="1"/>
  <c r="AJ346" i="1"/>
  <c r="AK346" i="1"/>
  <c r="X347" i="1"/>
  <c r="Y347" i="1"/>
  <c r="AB347" i="1"/>
  <c r="AC347" i="1"/>
  <c r="AG347" i="1"/>
  <c r="AI347" i="1"/>
  <c r="AJ347" i="1"/>
  <c r="AK347" i="1"/>
  <c r="X348" i="1"/>
  <c r="Y348" i="1"/>
  <c r="AB348" i="1"/>
  <c r="AC348" i="1"/>
  <c r="AG348" i="1"/>
  <c r="AI348" i="1"/>
  <c r="AJ348" i="1"/>
  <c r="AK348" i="1"/>
  <c r="X349" i="1"/>
  <c r="Y349" i="1"/>
  <c r="AB349" i="1"/>
  <c r="AC349" i="1"/>
  <c r="AG349" i="1"/>
  <c r="AI349" i="1"/>
  <c r="AJ349" i="1"/>
  <c r="AK349" i="1"/>
  <c r="X350" i="1"/>
  <c r="Y350" i="1"/>
  <c r="AB350" i="1"/>
  <c r="AC350" i="1"/>
  <c r="AG350" i="1"/>
  <c r="AI350" i="1"/>
  <c r="AJ350" i="1"/>
  <c r="AK350" i="1"/>
  <c r="X351" i="1"/>
  <c r="Y351" i="1"/>
  <c r="AB351" i="1"/>
  <c r="AC351" i="1"/>
  <c r="AG351" i="1"/>
  <c r="AI351" i="1"/>
  <c r="AJ351" i="1"/>
  <c r="AK351" i="1"/>
  <c r="X352" i="1"/>
  <c r="Y352" i="1"/>
  <c r="AB352" i="1"/>
  <c r="AC352" i="1"/>
  <c r="AG352" i="1"/>
  <c r="AI352" i="1"/>
  <c r="AJ352" i="1"/>
  <c r="AK352" i="1"/>
  <c r="X353" i="1"/>
  <c r="Y353" i="1"/>
  <c r="AB353" i="1"/>
  <c r="AC353" i="1"/>
  <c r="AG353" i="1"/>
  <c r="AI353" i="1"/>
  <c r="AJ353" i="1"/>
  <c r="AK353" i="1"/>
  <c r="X354" i="1"/>
  <c r="Y354" i="1"/>
  <c r="AB354" i="1"/>
  <c r="AC354" i="1"/>
  <c r="AG354" i="1"/>
  <c r="AI354" i="1"/>
  <c r="AJ354" i="1"/>
  <c r="AK354" i="1"/>
  <c r="X355" i="1"/>
  <c r="Y355" i="1"/>
  <c r="AB355" i="1"/>
  <c r="AC355" i="1"/>
  <c r="AG355" i="1"/>
  <c r="AI355" i="1"/>
  <c r="AJ355" i="1"/>
  <c r="AK355" i="1"/>
  <c r="X356" i="1"/>
  <c r="Y356" i="1"/>
  <c r="AB356" i="1"/>
  <c r="AC356" i="1"/>
  <c r="AG356" i="1"/>
  <c r="AI356" i="1"/>
  <c r="AJ356" i="1"/>
  <c r="AK356" i="1"/>
  <c r="X357" i="1"/>
  <c r="Y357" i="1"/>
  <c r="AB357" i="1"/>
  <c r="AC357" i="1"/>
  <c r="AG357" i="1"/>
  <c r="AI357" i="1"/>
  <c r="AJ357" i="1"/>
  <c r="AK357" i="1"/>
  <c r="X358" i="1"/>
  <c r="Y358" i="1"/>
  <c r="AB358" i="1"/>
  <c r="AC358" i="1"/>
  <c r="AG358" i="1"/>
  <c r="AI358" i="1"/>
  <c r="AJ358" i="1"/>
  <c r="AK358" i="1"/>
  <c r="X359" i="1"/>
  <c r="Y359" i="1"/>
  <c r="AB359" i="1"/>
  <c r="AC359" i="1"/>
  <c r="AG359" i="1"/>
  <c r="AI359" i="1"/>
  <c r="AJ359" i="1"/>
  <c r="AK359" i="1"/>
  <c r="X360" i="1"/>
  <c r="Y360" i="1"/>
  <c r="AB360" i="1"/>
  <c r="AC360" i="1"/>
  <c r="AG360" i="1"/>
  <c r="AI360" i="1"/>
  <c r="AJ360" i="1"/>
  <c r="AK360" i="1"/>
  <c r="X361" i="1"/>
  <c r="Y361" i="1"/>
  <c r="AB361" i="1"/>
  <c r="AC361" i="1"/>
  <c r="AG361" i="1"/>
  <c r="AI361" i="1"/>
  <c r="AJ361" i="1"/>
  <c r="AK361" i="1"/>
  <c r="X362" i="1"/>
  <c r="Y362" i="1"/>
  <c r="AB362" i="1"/>
  <c r="AC362" i="1"/>
  <c r="AG362" i="1"/>
  <c r="AI362" i="1"/>
  <c r="AJ362" i="1"/>
  <c r="AK362" i="1"/>
  <c r="X363" i="1"/>
  <c r="Y363" i="1"/>
  <c r="AB363" i="1"/>
  <c r="AC363" i="1"/>
  <c r="AG363" i="1"/>
  <c r="AI363" i="1"/>
  <c r="AJ363" i="1"/>
  <c r="AK363" i="1"/>
  <c r="X364" i="1"/>
  <c r="Y364" i="1"/>
  <c r="AB364" i="1"/>
  <c r="AC364" i="1"/>
  <c r="AG364" i="1"/>
  <c r="AI364" i="1"/>
  <c r="AJ364" i="1"/>
  <c r="AK364" i="1"/>
  <c r="X365" i="1"/>
  <c r="Y365" i="1"/>
  <c r="AB365" i="1"/>
  <c r="AC365" i="1"/>
  <c r="AG365" i="1"/>
  <c r="AI365" i="1"/>
  <c r="AJ365" i="1"/>
  <c r="AK365" i="1"/>
  <c r="X366" i="1"/>
  <c r="Y366" i="1"/>
  <c r="AB366" i="1"/>
  <c r="AC366" i="1"/>
  <c r="AG366" i="1"/>
  <c r="AI366" i="1"/>
  <c r="AJ366" i="1"/>
  <c r="AK366" i="1"/>
  <c r="X367" i="1"/>
  <c r="Y367" i="1"/>
  <c r="AB367" i="1"/>
  <c r="AC367" i="1"/>
  <c r="AG367" i="1"/>
  <c r="AI367" i="1"/>
  <c r="AJ367" i="1"/>
  <c r="AK367" i="1"/>
  <c r="X368" i="1"/>
  <c r="Y368" i="1"/>
  <c r="AB368" i="1"/>
  <c r="AC368" i="1"/>
  <c r="AG368" i="1"/>
  <c r="AI368" i="1"/>
  <c r="AJ368" i="1"/>
  <c r="AK368" i="1"/>
  <c r="X369" i="1"/>
  <c r="Y369" i="1"/>
  <c r="AB369" i="1"/>
  <c r="AC369" i="1"/>
  <c r="AG369" i="1"/>
  <c r="AI369" i="1"/>
  <c r="AJ369" i="1"/>
  <c r="AK369" i="1"/>
  <c r="X370" i="1"/>
  <c r="Y370" i="1"/>
  <c r="AB370" i="1"/>
  <c r="AC370" i="1"/>
  <c r="AG370" i="1"/>
  <c r="AI370" i="1"/>
  <c r="AJ370" i="1"/>
  <c r="AK370" i="1"/>
  <c r="X371" i="1"/>
  <c r="Y371" i="1"/>
  <c r="AB371" i="1"/>
  <c r="AC371" i="1"/>
  <c r="AG371" i="1"/>
  <c r="AI371" i="1"/>
  <c r="AJ371" i="1"/>
  <c r="AK371" i="1"/>
  <c r="X372" i="1"/>
  <c r="Y372" i="1"/>
  <c r="AB372" i="1"/>
  <c r="AC372" i="1"/>
  <c r="AG372" i="1"/>
  <c r="AI372" i="1"/>
  <c r="AJ372" i="1"/>
  <c r="AK372" i="1"/>
  <c r="X373" i="1"/>
  <c r="Y373" i="1"/>
  <c r="AB373" i="1"/>
  <c r="AC373" i="1"/>
  <c r="AG373" i="1"/>
  <c r="AI373" i="1"/>
  <c r="AJ373" i="1"/>
  <c r="AK373" i="1"/>
  <c r="X374" i="1"/>
  <c r="Y374" i="1"/>
  <c r="AB374" i="1"/>
  <c r="AC374" i="1"/>
  <c r="AG374" i="1"/>
  <c r="AI374" i="1"/>
  <c r="AJ374" i="1"/>
  <c r="AK374" i="1"/>
  <c r="X375" i="1"/>
  <c r="Y375" i="1"/>
  <c r="AB375" i="1"/>
  <c r="AC375" i="1"/>
  <c r="AG375" i="1"/>
  <c r="AI375" i="1"/>
  <c r="AJ375" i="1"/>
  <c r="AK375" i="1"/>
  <c r="X376" i="1"/>
  <c r="Y376" i="1"/>
  <c r="AB376" i="1"/>
  <c r="AC376" i="1"/>
  <c r="AG376" i="1"/>
  <c r="AI376" i="1"/>
  <c r="AJ376" i="1"/>
  <c r="AK376" i="1"/>
  <c r="X377" i="1"/>
  <c r="Y377" i="1"/>
  <c r="AB377" i="1"/>
  <c r="AC377" i="1"/>
  <c r="AG377" i="1"/>
  <c r="AI377" i="1"/>
  <c r="AJ377" i="1"/>
  <c r="AK377" i="1"/>
  <c r="X378" i="1"/>
  <c r="Y378" i="1"/>
  <c r="AB378" i="1"/>
  <c r="AC378" i="1"/>
  <c r="AG378" i="1"/>
  <c r="AI378" i="1"/>
  <c r="AJ378" i="1"/>
  <c r="AK378" i="1"/>
  <c r="X379" i="1"/>
  <c r="Y379" i="1"/>
  <c r="AB379" i="1"/>
  <c r="AC379" i="1"/>
  <c r="AG379" i="1"/>
  <c r="AI379" i="1"/>
  <c r="AJ379" i="1"/>
  <c r="AK379" i="1"/>
  <c r="X380" i="1"/>
  <c r="Y380" i="1"/>
  <c r="AB380" i="1"/>
  <c r="AC380" i="1"/>
  <c r="AG380" i="1"/>
  <c r="AI380" i="1"/>
  <c r="AJ380" i="1"/>
  <c r="AK380" i="1"/>
  <c r="X381" i="1"/>
  <c r="Y381" i="1"/>
  <c r="AB381" i="1"/>
  <c r="AC381" i="1"/>
  <c r="AG381" i="1"/>
  <c r="AI381" i="1"/>
  <c r="AJ381" i="1"/>
  <c r="AK381" i="1"/>
  <c r="X382" i="1"/>
  <c r="Y382" i="1"/>
  <c r="AB382" i="1"/>
  <c r="AC382" i="1"/>
  <c r="AG382" i="1"/>
  <c r="AI382" i="1"/>
  <c r="AJ382" i="1"/>
  <c r="AK382" i="1"/>
  <c r="X383" i="1"/>
  <c r="Y383" i="1"/>
  <c r="AB383" i="1"/>
  <c r="AC383" i="1"/>
  <c r="AG383" i="1"/>
  <c r="AI383" i="1"/>
  <c r="AJ383" i="1"/>
  <c r="AK383" i="1"/>
  <c r="X384" i="1"/>
  <c r="Y384" i="1"/>
  <c r="AB384" i="1"/>
  <c r="AC384" i="1"/>
  <c r="AG384" i="1"/>
  <c r="AI384" i="1"/>
  <c r="AJ384" i="1"/>
  <c r="AK384" i="1"/>
  <c r="X385" i="1"/>
  <c r="Y385" i="1"/>
  <c r="AB385" i="1"/>
  <c r="AC385" i="1"/>
  <c r="AG385" i="1"/>
  <c r="AI385" i="1"/>
  <c r="AJ385" i="1"/>
  <c r="AK385" i="1"/>
  <c r="X386" i="1"/>
  <c r="Y386" i="1"/>
  <c r="AB386" i="1"/>
  <c r="AC386" i="1"/>
  <c r="AG386" i="1"/>
  <c r="AI386" i="1"/>
  <c r="AJ386" i="1"/>
  <c r="AK386" i="1"/>
  <c r="X387" i="1"/>
  <c r="Y387" i="1"/>
  <c r="AB387" i="1"/>
  <c r="AC387" i="1"/>
  <c r="AG387" i="1"/>
  <c r="AI387" i="1"/>
  <c r="AJ387" i="1"/>
  <c r="AK387" i="1"/>
  <c r="X388" i="1"/>
  <c r="Y388" i="1"/>
  <c r="AB388" i="1"/>
  <c r="AC388" i="1"/>
  <c r="AG388" i="1"/>
  <c r="AI388" i="1"/>
  <c r="AJ388" i="1"/>
  <c r="AK388" i="1"/>
  <c r="X389" i="1"/>
  <c r="Y389" i="1"/>
  <c r="AB389" i="1"/>
  <c r="AC389" i="1"/>
  <c r="AG389" i="1"/>
  <c r="AI389" i="1"/>
  <c r="AJ389" i="1"/>
  <c r="AK389" i="1"/>
  <c r="X390" i="1"/>
  <c r="Y390" i="1"/>
  <c r="AB390" i="1"/>
  <c r="AC390" i="1"/>
  <c r="AG390" i="1"/>
  <c r="AI390" i="1"/>
  <c r="AJ390" i="1"/>
  <c r="AK390" i="1"/>
  <c r="X391" i="1"/>
  <c r="Y391" i="1"/>
  <c r="AB391" i="1"/>
  <c r="AC391" i="1"/>
  <c r="AG391" i="1"/>
  <c r="AI391" i="1"/>
  <c r="AJ391" i="1"/>
  <c r="AK391" i="1"/>
  <c r="X392" i="1"/>
  <c r="Y392" i="1"/>
  <c r="AB392" i="1"/>
  <c r="AC392" i="1"/>
  <c r="AG392" i="1"/>
  <c r="AI392" i="1"/>
  <c r="AJ392" i="1"/>
  <c r="AK392" i="1"/>
  <c r="X393" i="1"/>
  <c r="Y393" i="1"/>
  <c r="AB393" i="1"/>
  <c r="AC393" i="1"/>
  <c r="AG393" i="1"/>
  <c r="AI393" i="1"/>
  <c r="AJ393" i="1"/>
  <c r="AK393" i="1"/>
  <c r="X394" i="1"/>
  <c r="Y394" i="1"/>
  <c r="AB394" i="1"/>
  <c r="AC394" i="1"/>
  <c r="AG394" i="1"/>
  <c r="AI394" i="1"/>
  <c r="AJ394" i="1"/>
  <c r="AK394" i="1"/>
  <c r="X395" i="1"/>
  <c r="Y395" i="1"/>
  <c r="AB395" i="1"/>
  <c r="AC395" i="1"/>
  <c r="AG395" i="1"/>
  <c r="AI395" i="1"/>
  <c r="AJ395" i="1"/>
  <c r="AK395" i="1"/>
  <c r="X396" i="1"/>
  <c r="Y396" i="1"/>
  <c r="AB396" i="1"/>
  <c r="AC396" i="1"/>
  <c r="AG396" i="1"/>
  <c r="AI396" i="1"/>
  <c r="AJ396" i="1"/>
  <c r="AK396" i="1"/>
  <c r="X397" i="1"/>
  <c r="Y397" i="1"/>
  <c r="AB397" i="1"/>
  <c r="AC397" i="1"/>
  <c r="AG397" i="1"/>
  <c r="AI397" i="1"/>
  <c r="AJ397" i="1"/>
  <c r="AK397" i="1"/>
  <c r="X398" i="1"/>
  <c r="Y398" i="1"/>
  <c r="AB398" i="1"/>
  <c r="AC398" i="1"/>
  <c r="AG398" i="1"/>
  <c r="AI398" i="1"/>
  <c r="AJ398" i="1"/>
  <c r="AK398" i="1"/>
  <c r="X399" i="1"/>
  <c r="Y399" i="1"/>
  <c r="AB399" i="1"/>
  <c r="AC399" i="1"/>
  <c r="AG399" i="1"/>
  <c r="AI399" i="1"/>
  <c r="AJ399" i="1"/>
  <c r="AK399" i="1"/>
  <c r="X400" i="1"/>
  <c r="Y400" i="1"/>
  <c r="AB400" i="1"/>
  <c r="AC400" i="1"/>
  <c r="AG400" i="1"/>
  <c r="AI400" i="1"/>
  <c r="AJ400" i="1"/>
  <c r="AK400" i="1"/>
  <c r="X401" i="1"/>
  <c r="Y401" i="1"/>
  <c r="AB401" i="1"/>
  <c r="AC401" i="1"/>
  <c r="AG401" i="1"/>
  <c r="AI401" i="1"/>
  <c r="AJ401" i="1"/>
  <c r="AK401" i="1"/>
  <c r="X402" i="1"/>
  <c r="Y402" i="1"/>
  <c r="AB402" i="1"/>
  <c r="AC402" i="1"/>
  <c r="AG402" i="1"/>
  <c r="AI402" i="1"/>
  <c r="AJ402" i="1"/>
  <c r="AK402" i="1"/>
  <c r="X403" i="1"/>
  <c r="Y403" i="1"/>
  <c r="AB403" i="1"/>
  <c r="AC403" i="1"/>
  <c r="AG403" i="1"/>
  <c r="AI403" i="1"/>
  <c r="AJ403" i="1"/>
  <c r="AK403" i="1"/>
  <c r="X404" i="1"/>
  <c r="Y404" i="1"/>
  <c r="AB404" i="1"/>
  <c r="AC404" i="1"/>
  <c r="AG404" i="1"/>
  <c r="AI404" i="1"/>
  <c r="AJ404" i="1"/>
  <c r="AK404" i="1"/>
  <c r="X405" i="1"/>
  <c r="Y405" i="1"/>
  <c r="AB405" i="1"/>
  <c r="AC405" i="1"/>
  <c r="AG405" i="1"/>
  <c r="AI405" i="1"/>
  <c r="AJ405" i="1"/>
  <c r="AK405" i="1"/>
  <c r="X406" i="1"/>
  <c r="Y406" i="1"/>
  <c r="AB406" i="1"/>
  <c r="AC406" i="1"/>
  <c r="AG406" i="1"/>
  <c r="AI406" i="1"/>
  <c r="AJ406" i="1"/>
  <c r="AK406" i="1"/>
  <c r="X407" i="1"/>
  <c r="Y407" i="1"/>
  <c r="AB407" i="1"/>
  <c r="AC407" i="1"/>
  <c r="AG407" i="1"/>
  <c r="AI407" i="1"/>
  <c r="AJ407" i="1"/>
  <c r="AK407" i="1"/>
  <c r="X408" i="1"/>
  <c r="Y408" i="1"/>
  <c r="AB408" i="1"/>
  <c r="AC408" i="1"/>
  <c r="AG408" i="1"/>
  <c r="AI408" i="1"/>
  <c r="AJ408" i="1"/>
  <c r="AK408" i="1"/>
  <c r="X409" i="1"/>
  <c r="Y409" i="1"/>
  <c r="AB409" i="1"/>
  <c r="AC409" i="1"/>
  <c r="AG409" i="1"/>
  <c r="AI409" i="1"/>
  <c r="AJ409" i="1"/>
  <c r="AK409" i="1"/>
  <c r="X410" i="1"/>
  <c r="Y410" i="1"/>
  <c r="AB410" i="1"/>
  <c r="AC410" i="1"/>
  <c r="AG410" i="1"/>
  <c r="AI410" i="1"/>
  <c r="AJ410" i="1"/>
  <c r="AK410" i="1"/>
  <c r="X411" i="1"/>
  <c r="Y411" i="1"/>
  <c r="AB411" i="1"/>
  <c r="AC411" i="1"/>
  <c r="AG411" i="1"/>
  <c r="AI411" i="1"/>
  <c r="AJ411" i="1"/>
  <c r="AK411" i="1"/>
  <c r="X412" i="1"/>
  <c r="Y412" i="1"/>
  <c r="AB412" i="1"/>
  <c r="AC412" i="1"/>
  <c r="AG412" i="1"/>
  <c r="AI412" i="1"/>
  <c r="AJ412" i="1"/>
  <c r="AK412" i="1"/>
  <c r="X413" i="1"/>
  <c r="Y413" i="1"/>
  <c r="AB413" i="1"/>
  <c r="AC413" i="1"/>
  <c r="AG413" i="1"/>
  <c r="AI413" i="1"/>
  <c r="AJ413" i="1"/>
  <c r="AK413" i="1"/>
  <c r="X414" i="1"/>
  <c r="Y414" i="1"/>
  <c r="AB414" i="1"/>
  <c r="AC414" i="1"/>
  <c r="AG414" i="1"/>
  <c r="AI414" i="1"/>
  <c r="AJ414" i="1"/>
  <c r="AK414" i="1"/>
  <c r="X415" i="1"/>
  <c r="Y415" i="1"/>
  <c r="AB415" i="1"/>
  <c r="AC415" i="1"/>
  <c r="AG415" i="1"/>
  <c r="AI415" i="1"/>
  <c r="AJ415" i="1"/>
  <c r="AK415" i="1"/>
  <c r="X416" i="1"/>
  <c r="Y416" i="1"/>
  <c r="AB416" i="1"/>
  <c r="AC416" i="1"/>
  <c r="AG416" i="1"/>
  <c r="AI416" i="1"/>
  <c r="AJ416" i="1"/>
  <c r="AK416" i="1"/>
  <c r="X417" i="1"/>
  <c r="Y417" i="1"/>
  <c r="AB417" i="1"/>
  <c r="AC417" i="1"/>
  <c r="AG417" i="1"/>
  <c r="AI417" i="1"/>
  <c r="AJ417" i="1"/>
  <c r="AK417" i="1"/>
  <c r="X418" i="1"/>
  <c r="Y418" i="1"/>
  <c r="AB418" i="1"/>
  <c r="AC418" i="1"/>
  <c r="AG418" i="1"/>
  <c r="AI418" i="1"/>
  <c r="AJ418" i="1"/>
  <c r="AK418" i="1"/>
  <c r="X419" i="1"/>
  <c r="Y419" i="1"/>
  <c r="AB419" i="1"/>
  <c r="AC419" i="1"/>
  <c r="AG419" i="1"/>
  <c r="AI419" i="1"/>
  <c r="AJ419" i="1"/>
  <c r="AK419" i="1"/>
  <c r="X420" i="1"/>
  <c r="Y420" i="1"/>
  <c r="AB420" i="1"/>
  <c r="AC420" i="1"/>
  <c r="AG420" i="1"/>
  <c r="AI420" i="1"/>
  <c r="AJ420" i="1"/>
  <c r="AK420" i="1"/>
  <c r="X421" i="1"/>
  <c r="Y421" i="1"/>
  <c r="AB421" i="1"/>
  <c r="AC421" i="1"/>
  <c r="AG421" i="1"/>
  <c r="AI421" i="1"/>
  <c r="AJ421" i="1"/>
  <c r="AK421" i="1"/>
  <c r="X422" i="1"/>
  <c r="Y422" i="1"/>
  <c r="AB422" i="1"/>
  <c r="AC422" i="1"/>
  <c r="AG422" i="1"/>
  <c r="AI422" i="1"/>
  <c r="AJ422" i="1"/>
  <c r="AK422" i="1"/>
  <c r="X423" i="1"/>
  <c r="Y423" i="1"/>
  <c r="AB423" i="1"/>
  <c r="AC423" i="1"/>
  <c r="AG423" i="1"/>
  <c r="AI423" i="1"/>
  <c r="AJ423" i="1"/>
  <c r="AK423" i="1"/>
  <c r="X424" i="1"/>
  <c r="Y424" i="1"/>
  <c r="AB424" i="1"/>
  <c r="AC424" i="1"/>
  <c r="AG424" i="1"/>
  <c r="AI424" i="1"/>
  <c r="AJ424" i="1"/>
  <c r="AK424" i="1"/>
  <c r="X425" i="1"/>
  <c r="Y425" i="1"/>
  <c r="AB425" i="1"/>
  <c r="AC425" i="1"/>
  <c r="AG425" i="1"/>
  <c r="AI425" i="1"/>
  <c r="AJ425" i="1"/>
  <c r="AK425" i="1"/>
  <c r="X426" i="1"/>
  <c r="Y426" i="1"/>
  <c r="AB426" i="1"/>
  <c r="AC426" i="1"/>
  <c r="AG426" i="1"/>
  <c r="AI426" i="1"/>
  <c r="AJ426" i="1"/>
  <c r="AK426" i="1"/>
  <c r="X427" i="1"/>
  <c r="Y427" i="1"/>
  <c r="AB427" i="1"/>
  <c r="AC427" i="1"/>
  <c r="AG427" i="1"/>
  <c r="AI427" i="1"/>
  <c r="AJ427" i="1"/>
  <c r="AK427" i="1"/>
  <c r="X428" i="1"/>
  <c r="Y428" i="1"/>
  <c r="AB428" i="1"/>
  <c r="AC428" i="1"/>
  <c r="AG428" i="1"/>
  <c r="AI428" i="1"/>
  <c r="AJ428" i="1"/>
  <c r="AK428" i="1"/>
  <c r="X429" i="1"/>
  <c r="Y429" i="1"/>
  <c r="AB429" i="1"/>
  <c r="AC429" i="1"/>
  <c r="AG429" i="1"/>
  <c r="AI429" i="1"/>
  <c r="AJ429" i="1"/>
  <c r="AK429" i="1"/>
  <c r="X430" i="1"/>
  <c r="Y430" i="1"/>
  <c r="AB430" i="1"/>
  <c r="AC430" i="1"/>
  <c r="AG430" i="1"/>
  <c r="AI430" i="1"/>
  <c r="AJ430" i="1"/>
  <c r="AK430" i="1"/>
  <c r="X431" i="1"/>
  <c r="Y431" i="1"/>
  <c r="AB431" i="1"/>
  <c r="AC431" i="1"/>
  <c r="AG431" i="1"/>
  <c r="AI431" i="1"/>
  <c r="AJ431" i="1"/>
  <c r="AK431" i="1"/>
  <c r="X432" i="1"/>
  <c r="Y432" i="1"/>
  <c r="AB432" i="1"/>
  <c r="AC432" i="1"/>
  <c r="AG432" i="1"/>
  <c r="AI432" i="1"/>
  <c r="AJ432" i="1"/>
  <c r="AK432" i="1"/>
  <c r="X433" i="1"/>
  <c r="Y433" i="1"/>
  <c r="AB433" i="1"/>
  <c r="AC433" i="1"/>
  <c r="AG433" i="1"/>
  <c r="AI433" i="1"/>
  <c r="AJ433" i="1"/>
  <c r="AK433" i="1"/>
  <c r="X434" i="1"/>
  <c r="Y434" i="1"/>
  <c r="AB434" i="1"/>
  <c r="AC434" i="1"/>
  <c r="AG434" i="1"/>
  <c r="AI434" i="1"/>
  <c r="AJ434" i="1"/>
  <c r="AK434" i="1"/>
  <c r="X435" i="1"/>
  <c r="Y435" i="1"/>
  <c r="AB435" i="1"/>
  <c r="AC435" i="1"/>
  <c r="AG435" i="1"/>
  <c r="AI435" i="1"/>
  <c r="AJ435" i="1"/>
  <c r="AK435" i="1"/>
  <c r="X436" i="1"/>
  <c r="Y436" i="1"/>
  <c r="AB436" i="1"/>
  <c r="AC436" i="1"/>
  <c r="AG436" i="1"/>
  <c r="AI436" i="1"/>
  <c r="AJ436" i="1"/>
  <c r="AK436" i="1"/>
  <c r="X437" i="1"/>
  <c r="Y437" i="1"/>
  <c r="AB437" i="1"/>
  <c r="AC437" i="1"/>
  <c r="AG437" i="1"/>
  <c r="AI437" i="1"/>
  <c r="AJ437" i="1"/>
  <c r="AK437" i="1"/>
  <c r="X438" i="1"/>
  <c r="Y438" i="1"/>
  <c r="AB438" i="1"/>
  <c r="AC438" i="1"/>
  <c r="AG438" i="1"/>
  <c r="AI438" i="1"/>
  <c r="AJ438" i="1"/>
  <c r="AK438" i="1"/>
  <c r="X439" i="1"/>
  <c r="Y439" i="1"/>
  <c r="AB439" i="1"/>
  <c r="AC439" i="1"/>
  <c r="AG439" i="1"/>
  <c r="AI439" i="1"/>
  <c r="AJ439" i="1"/>
  <c r="AK439" i="1"/>
  <c r="X440" i="1"/>
  <c r="Y440" i="1"/>
  <c r="AB440" i="1"/>
  <c r="AC440" i="1"/>
  <c r="AG440" i="1"/>
  <c r="AI440" i="1"/>
  <c r="AJ440" i="1"/>
  <c r="AK440" i="1"/>
  <c r="X441" i="1"/>
  <c r="Y441" i="1"/>
  <c r="AB441" i="1"/>
  <c r="AC441" i="1"/>
  <c r="AG441" i="1"/>
  <c r="AI441" i="1"/>
  <c r="AJ441" i="1"/>
  <c r="AK441" i="1"/>
  <c r="X442" i="1"/>
  <c r="Y442" i="1"/>
  <c r="AB442" i="1"/>
  <c r="AC442" i="1"/>
  <c r="AG442" i="1"/>
  <c r="AI442" i="1"/>
  <c r="AJ442" i="1"/>
  <c r="AK442" i="1"/>
  <c r="X443" i="1"/>
  <c r="Y443" i="1"/>
  <c r="AB443" i="1"/>
  <c r="AC443" i="1"/>
  <c r="AG443" i="1"/>
  <c r="AI443" i="1"/>
  <c r="AJ443" i="1"/>
  <c r="AK443" i="1"/>
  <c r="X444" i="1"/>
  <c r="Y444" i="1"/>
  <c r="AB444" i="1"/>
  <c r="AC444" i="1"/>
  <c r="AG444" i="1"/>
  <c r="AI444" i="1"/>
  <c r="AJ444" i="1"/>
  <c r="AK444" i="1"/>
  <c r="X445" i="1"/>
  <c r="Y445" i="1"/>
  <c r="AB445" i="1"/>
  <c r="AC445" i="1"/>
  <c r="AG445" i="1"/>
  <c r="AI445" i="1"/>
  <c r="AJ445" i="1"/>
  <c r="AK445" i="1"/>
  <c r="X446" i="1"/>
  <c r="Y446" i="1"/>
  <c r="AB446" i="1"/>
  <c r="AC446" i="1"/>
  <c r="AG446" i="1"/>
  <c r="AI446" i="1"/>
  <c r="AJ446" i="1"/>
  <c r="AK446" i="1"/>
  <c r="X447" i="1"/>
  <c r="Y447" i="1"/>
  <c r="AB447" i="1"/>
  <c r="AC447" i="1"/>
  <c r="AG447" i="1"/>
  <c r="AI447" i="1"/>
  <c r="AJ447" i="1"/>
  <c r="AK447" i="1"/>
  <c r="X448" i="1"/>
  <c r="Y448" i="1"/>
  <c r="AB448" i="1"/>
  <c r="AC448" i="1"/>
  <c r="AG448" i="1"/>
  <c r="AI448" i="1"/>
  <c r="AJ448" i="1"/>
  <c r="AK448" i="1"/>
  <c r="X449" i="1"/>
  <c r="Y449" i="1"/>
  <c r="AB449" i="1"/>
  <c r="AC449" i="1"/>
  <c r="AG449" i="1"/>
  <c r="AI449" i="1"/>
  <c r="AJ449" i="1"/>
  <c r="AK449" i="1"/>
  <c r="X450" i="1"/>
  <c r="Y450" i="1"/>
  <c r="AB450" i="1"/>
  <c r="AC450" i="1"/>
  <c r="AG450" i="1"/>
  <c r="AI450" i="1"/>
  <c r="AJ450" i="1"/>
  <c r="AK450" i="1"/>
  <c r="X451" i="1"/>
  <c r="Y451" i="1"/>
  <c r="AB451" i="1"/>
  <c r="AC451" i="1"/>
  <c r="AG451" i="1"/>
  <c r="AI451" i="1"/>
  <c r="AJ451" i="1"/>
  <c r="AK451" i="1"/>
  <c r="X452" i="1"/>
  <c r="Y452" i="1"/>
  <c r="AB452" i="1"/>
  <c r="AC452" i="1"/>
  <c r="AG452" i="1"/>
  <c r="AI452" i="1"/>
  <c r="AJ452" i="1"/>
  <c r="AK452" i="1"/>
  <c r="X453" i="1"/>
  <c r="Y453" i="1"/>
  <c r="AB453" i="1"/>
  <c r="AC453" i="1"/>
  <c r="AG453" i="1"/>
  <c r="AI453" i="1"/>
  <c r="AJ453" i="1"/>
  <c r="AK453" i="1"/>
  <c r="X454" i="1"/>
  <c r="Y454" i="1"/>
  <c r="AB454" i="1"/>
  <c r="AC454" i="1"/>
  <c r="AG454" i="1"/>
  <c r="AI454" i="1"/>
  <c r="AJ454" i="1"/>
  <c r="AK454" i="1"/>
  <c r="X455" i="1"/>
  <c r="Y455" i="1"/>
  <c r="AB455" i="1"/>
  <c r="AC455" i="1"/>
  <c r="AG455" i="1"/>
  <c r="AI455" i="1"/>
  <c r="AJ455" i="1"/>
  <c r="AK455" i="1"/>
  <c r="X456" i="1"/>
  <c r="Y456" i="1"/>
  <c r="AB456" i="1"/>
  <c r="AC456" i="1"/>
  <c r="AG456" i="1"/>
  <c r="AI456" i="1"/>
  <c r="AJ456" i="1"/>
  <c r="AK456" i="1"/>
  <c r="X457" i="1"/>
  <c r="Y457" i="1"/>
  <c r="AB457" i="1"/>
  <c r="AC457" i="1"/>
  <c r="AG457" i="1"/>
  <c r="AI457" i="1"/>
  <c r="AJ457" i="1"/>
  <c r="AK457" i="1"/>
  <c r="X458" i="1"/>
  <c r="Y458" i="1"/>
  <c r="AB458" i="1"/>
  <c r="AC458" i="1"/>
  <c r="AG458" i="1"/>
  <c r="AI458" i="1"/>
  <c r="AJ458" i="1"/>
  <c r="AK458" i="1"/>
  <c r="X459" i="1"/>
  <c r="Y459" i="1"/>
  <c r="AB459" i="1"/>
  <c r="AC459" i="1"/>
  <c r="AG459" i="1"/>
  <c r="AI459" i="1"/>
  <c r="AJ459" i="1"/>
  <c r="AK459" i="1"/>
  <c r="X460" i="1"/>
  <c r="Y460" i="1"/>
  <c r="AB460" i="1"/>
  <c r="AC460" i="1"/>
  <c r="AG460" i="1"/>
  <c r="AI460" i="1"/>
  <c r="AJ460" i="1"/>
  <c r="AK460" i="1"/>
  <c r="X461" i="1"/>
  <c r="Y461" i="1"/>
  <c r="AB461" i="1"/>
  <c r="AC461" i="1"/>
  <c r="AG461" i="1"/>
  <c r="AI461" i="1"/>
  <c r="AJ461" i="1"/>
  <c r="AK461" i="1"/>
  <c r="X462" i="1"/>
  <c r="Y462" i="1"/>
  <c r="AB462" i="1"/>
  <c r="AC462" i="1"/>
  <c r="AG462" i="1"/>
  <c r="AI462" i="1"/>
  <c r="AJ462" i="1"/>
  <c r="AK462" i="1"/>
  <c r="X463" i="1"/>
  <c r="Y463" i="1"/>
  <c r="AB463" i="1"/>
  <c r="AC463" i="1"/>
  <c r="AG463" i="1"/>
  <c r="AI463" i="1"/>
  <c r="AJ463" i="1"/>
  <c r="AK463" i="1"/>
  <c r="X464" i="1"/>
  <c r="Y464" i="1"/>
  <c r="AB464" i="1"/>
  <c r="AC464" i="1"/>
  <c r="AG464" i="1"/>
  <c r="AI464" i="1"/>
  <c r="AJ464" i="1"/>
  <c r="AK464" i="1"/>
  <c r="X465" i="1"/>
  <c r="Y465" i="1"/>
  <c r="AB465" i="1"/>
  <c r="AC465" i="1"/>
  <c r="AG465" i="1"/>
  <c r="AI465" i="1"/>
  <c r="AJ465" i="1"/>
  <c r="AK465" i="1"/>
  <c r="X466" i="1"/>
  <c r="Y466" i="1"/>
  <c r="AB466" i="1"/>
  <c r="AC466" i="1"/>
  <c r="AG466" i="1"/>
  <c r="AI466" i="1"/>
  <c r="AJ466" i="1"/>
  <c r="AK466" i="1"/>
  <c r="X467" i="1"/>
  <c r="Y467" i="1"/>
  <c r="AB467" i="1"/>
  <c r="AC467" i="1"/>
  <c r="AG467" i="1"/>
  <c r="AI467" i="1"/>
  <c r="AJ467" i="1"/>
  <c r="AK467" i="1"/>
  <c r="X468" i="1"/>
  <c r="Y468" i="1"/>
  <c r="AB468" i="1"/>
  <c r="AC468" i="1"/>
  <c r="AG468" i="1"/>
  <c r="AI468" i="1"/>
  <c r="AJ468" i="1"/>
  <c r="AK468" i="1"/>
  <c r="X469" i="1"/>
  <c r="Y469" i="1"/>
  <c r="AB469" i="1"/>
  <c r="AC469" i="1"/>
  <c r="AG469" i="1"/>
  <c r="AI469" i="1"/>
  <c r="AJ469" i="1"/>
  <c r="AK469" i="1"/>
  <c r="X470" i="1"/>
  <c r="Y470" i="1"/>
  <c r="AB470" i="1"/>
  <c r="AC470" i="1"/>
  <c r="AG470" i="1"/>
  <c r="AI470" i="1"/>
  <c r="AJ470" i="1"/>
  <c r="AK470" i="1"/>
  <c r="X471" i="1"/>
  <c r="Y471" i="1"/>
  <c r="AB471" i="1"/>
  <c r="AC471" i="1"/>
  <c r="AG471" i="1"/>
  <c r="AI471" i="1"/>
  <c r="AJ471" i="1"/>
  <c r="AK471" i="1"/>
  <c r="X472" i="1"/>
  <c r="Y472" i="1"/>
  <c r="AB472" i="1"/>
  <c r="AC472" i="1"/>
  <c r="AG472" i="1"/>
  <c r="AI472" i="1"/>
  <c r="AJ472" i="1"/>
  <c r="AK472" i="1"/>
  <c r="X473" i="1"/>
  <c r="Y473" i="1"/>
  <c r="AB473" i="1"/>
  <c r="AC473" i="1"/>
  <c r="AG473" i="1"/>
  <c r="AI473" i="1"/>
  <c r="AJ473" i="1"/>
  <c r="AK473" i="1"/>
  <c r="X474" i="1"/>
  <c r="Y474" i="1"/>
  <c r="AB474" i="1"/>
  <c r="AC474" i="1"/>
  <c r="AG474" i="1"/>
  <c r="AI474" i="1"/>
  <c r="AJ474" i="1"/>
  <c r="AK474" i="1"/>
  <c r="X475" i="1"/>
  <c r="Y475" i="1"/>
  <c r="AB475" i="1"/>
  <c r="AC475" i="1"/>
  <c r="AG475" i="1"/>
  <c r="AI475" i="1"/>
  <c r="AJ475" i="1"/>
  <c r="AK475" i="1"/>
  <c r="X476" i="1"/>
  <c r="Y476" i="1"/>
  <c r="AB476" i="1"/>
  <c r="AC476" i="1"/>
  <c r="AG476" i="1"/>
  <c r="AI476" i="1"/>
  <c r="AJ476" i="1"/>
  <c r="AK476" i="1"/>
  <c r="X477" i="1"/>
  <c r="Y477" i="1"/>
  <c r="AB477" i="1"/>
  <c r="AC477" i="1"/>
  <c r="AG477" i="1"/>
  <c r="AI477" i="1"/>
  <c r="AJ477" i="1"/>
  <c r="AK477" i="1"/>
  <c r="X478" i="1"/>
  <c r="Y478" i="1"/>
  <c r="AB478" i="1"/>
  <c r="AC478" i="1"/>
  <c r="AG478" i="1"/>
  <c r="AI478" i="1"/>
  <c r="AJ478" i="1"/>
  <c r="AK478" i="1"/>
  <c r="X479" i="1"/>
  <c r="Y479" i="1"/>
  <c r="AB479" i="1"/>
  <c r="AC479" i="1"/>
  <c r="AG479" i="1"/>
  <c r="AI479" i="1"/>
  <c r="AJ479" i="1"/>
  <c r="AK479" i="1"/>
  <c r="X480" i="1"/>
  <c r="Y480" i="1"/>
  <c r="AB480" i="1"/>
  <c r="AC480" i="1"/>
  <c r="AG480" i="1"/>
  <c r="AI480" i="1"/>
  <c r="AJ480" i="1"/>
  <c r="AK480" i="1"/>
  <c r="X481" i="1"/>
  <c r="Y481" i="1"/>
  <c r="AB481" i="1"/>
  <c r="AC481" i="1"/>
  <c r="AG481" i="1"/>
  <c r="AI481" i="1"/>
  <c r="AJ481" i="1"/>
  <c r="AK481" i="1"/>
  <c r="X482" i="1"/>
  <c r="Y482" i="1"/>
  <c r="AB482" i="1"/>
  <c r="AC482" i="1"/>
  <c r="AG482" i="1"/>
  <c r="AI482" i="1"/>
  <c r="AJ482" i="1"/>
  <c r="AK482" i="1"/>
  <c r="X483" i="1"/>
  <c r="Y483" i="1"/>
  <c r="AB483" i="1"/>
  <c r="AC483" i="1"/>
  <c r="AG483" i="1"/>
  <c r="AI483" i="1"/>
  <c r="AJ483" i="1"/>
  <c r="AK483" i="1"/>
  <c r="X484" i="1"/>
  <c r="Y484" i="1"/>
  <c r="AB484" i="1"/>
  <c r="AC484" i="1"/>
  <c r="AG484" i="1"/>
  <c r="AI484" i="1"/>
  <c r="AJ484" i="1"/>
  <c r="AK484" i="1"/>
  <c r="X485" i="1"/>
  <c r="Y485" i="1"/>
  <c r="AB485" i="1"/>
  <c r="AC485" i="1"/>
  <c r="AG485" i="1"/>
  <c r="AI485" i="1"/>
  <c r="AJ485" i="1"/>
  <c r="AK485" i="1"/>
  <c r="X486" i="1"/>
  <c r="Y486" i="1"/>
  <c r="AB486" i="1"/>
  <c r="AC486" i="1"/>
  <c r="AG486" i="1"/>
  <c r="AI486" i="1"/>
  <c r="AJ486" i="1"/>
  <c r="AK486" i="1"/>
  <c r="X487" i="1"/>
  <c r="Y487" i="1"/>
  <c r="AB487" i="1"/>
  <c r="AC487" i="1"/>
  <c r="AG487" i="1"/>
  <c r="AI487" i="1"/>
  <c r="AJ487" i="1"/>
  <c r="AK487" i="1"/>
  <c r="X488" i="1"/>
  <c r="Y488" i="1"/>
  <c r="AB488" i="1"/>
  <c r="AC488" i="1"/>
  <c r="AG488" i="1"/>
  <c r="AI488" i="1"/>
  <c r="AJ488" i="1"/>
  <c r="AK488" i="1"/>
  <c r="X489" i="1"/>
  <c r="Y489" i="1"/>
  <c r="AB489" i="1"/>
  <c r="AC489" i="1"/>
  <c r="AG489" i="1"/>
  <c r="AI489" i="1"/>
  <c r="AJ489" i="1"/>
  <c r="AK489" i="1"/>
  <c r="X490" i="1"/>
  <c r="Y490" i="1"/>
  <c r="AB490" i="1"/>
  <c r="AC490" i="1"/>
  <c r="AG490" i="1"/>
  <c r="AI490" i="1"/>
  <c r="AJ490" i="1"/>
  <c r="AK490" i="1"/>
  <c r="X491" i="1"/>
  <c r="Y491" i="1"/>
  <c r="AB491" i="1"/>
  <c r="AC491" i="1"/>
  <c r="AG491" i="1"/>
  <c r="AI491" i="1"/>
  <c r="AJ491" i="1"/>
  <c r="AK491" i="1"/>
  <c r="X492" i="1"/>
  <c r="Y492" i="1"/>
  <c r="AB492" i="1"/>
  <c r="AC492" i="1"/>
  <c r="AG492" i="1"/>
  <c r="AI492" i="1"/>
  <c r="AJ492" i="1"/>
  <c r="AK492" i="1"/>
  <c r="X493" i="1"/>
  <c r="Y493" i="1"/>
  <c r="AB493" i="1"/>
  <c r="AC493" i="1"/>
  <c r="AG493" i="1"/>
  <c r="AI493" i="1"/>
  <c r="AJ493" i="1"/>
  <c r="AK493" i="1"/>
  <c r="X494" i="1"/>
  <c r="Y494" i="1"/>
  <c r="AB494" i="1"/>
  <c r="AC494" i="1"/>
  <c r="AG494" i="1"/>
  <c r="AI494" i="1"/>
  <c r="AJ494" i="1"/>
  <c r="AK494" i="1"/>
  <c r="X495" i="1"/>
  <c r="Y495" i="1"/>
  <c r="AB495" i="1"/>
  <c r="AC495" i="1"/>
  <c r="AG495" i="1"/>
  <c r="AI495" i="1"/>
  <c r="AJ495" i="1"/>
  <c r="AK495" i="1"/>
  <c r="X496" i="1"/>
  <c r="Y496" i="1"/>
  <c r="AB496" i="1"/>
  <c r="AC496" i="1"/>
  <c r="AG496" i="1"/>
  <c r="AI496" i="1"/>
  <c r="AJ496" i="1"/>
  <c r="AK496" i="1"/>
  <c r="X497" i="1"/>
  <c r="Y497" i="1"/>
  <c r="AB497" i="1"/>
  <c r="AC497" i="1"/>
  <c r="AG497" i="1"/>
  <c r="AI497" i="1"/>
  <c r="AJ497" i="1"/>
  <c r="AK497" i="1"/>
  <c r="X498" i="1"/>
  <c r="Y498" i="1"/>
  <c r="AB498" i="1"/>
  <c r="AC498" i="1"/>
  <c r="AG498" i="1"/>
  <c r="AI498" i="1"/>
  <c r="AJ498" i="1"/>
  <c r="AK498" i="1"/>
  <c r="X499" i="1"/>
  <c r="Y499" i="1"/>
  <c r="AB499" i="1"/>
  <c r="AC499" i="1"/>
  <c r="AG499" i="1"/>
  <c r="AI499" i="1"/>
  <c r="AJ499" i="1"/>
  <c r="AK499" i="1"/>
  <c r="X500" i="1"/>
  <c r="Y500" i="1"/>
  <c r="AB500" i="1"/>
  <c r="AC500" i="1"/>
  <c r="AG500" i="1"/>
  <c r="AI500" i="1"/>
  <c r="AJ500" i="1"/>
  <c r="AK500" i="1"/>
  <c r="X501" i="1"/>
  <c r="Y501" i="1"/>
  <c r="AB501" i="1"/>
  <c r="AC501" i="1"/>
  <c r="AG501" i="1"/>
  <c r="AI501" i="1"/>
  <c r="AJ501" i="1"/>
  <c r="AK501" i="1"/>
  <c r="X502" i="1"/>
  <c r="Y502" i="1"/>
  <c r="AB502" i="1"/>
  <c r="AC502" i="1"/>
  <c r="AG502" i="1"/>
  <c r="AI502" i="1"/>
  <c r="AJ502" i="1"/>
  <c r="AK502" i="1"/>
  <c r="X503" i="1"/>
  <c r="Y503" i="1"/>
  <c r="AB503" i="1"/>
  <c r="AC503" i="1"/>
  <c r="AG503" i="1"/>
  <c r="AI503" i="1"/>
  <c r="AJ503" i="1"/>
  <c r="AK503" i="1"/>
  <c r="X504" i="1"/>
  <c r="Y504" i="1"/>
  <c r="AB504" i="1"/>
  <c r="AC504" i="1"/>
  <c r="AG504" i="1"/>
  <c r="AI504" i="1"/>
  <c r="AJ504" i="1"/>
  <c r="AK504" i="1"/>
  <c r="X505" i="1"/>
  <c r="Y505" i="1"/>
  <c r="AB505" i="1"/>
  <c r="AC505" i="1"/>
  <c r="AG505" i="1"/>
  <c r="AI505" i="1"/>
  <c r="AJ505" i="1"/>
  <c r="AK505" i="1"/>
  <c r="X506" i="1"/>
  <c r="Y506" i="1"/>
  <c r="AB506" i="1"/>
  <c r="AC506" i="1"/>
  <c r="AG506" i="1"/>
  <c r="AI506" i="1"/>
  <c r="AJ506" i="1"/>
  <c r="AK506" i="1"/>
  <c r="X507" i="1"/>
  <c r="Y507" i="1"/>
  <c r="AB507" i="1"/>
  <c r="AC507" i="1"/>
  <c r="AG507" i="1"/>
  <c r="AI507" i="1"/>
  <c r="AJ507" i="1"/>
  <c r="AK507" i="1"/>
  <c r="X508" i="1"/>
  <c r="Y508" i="1"/>
  <c r="AB508" i="1"/>
  <c r="AC508" i="1"/>
  <c r="AG508" i="1"/>
  <c r="AI508" i="1"/>
  <c r="AJ508" i="1"/>
  <c r="AK508" i="1"/>
  <c r="X509" i="1"/>
  <c r="Y509" i="1"/>
  <c r="AB509" i="1"/>
  <c r="AC509" i="1"/>
  <c r="AG509" i="1"/>
  <c r="AI509" i="1"/>
  <c r="AJ509" i="1"/>
  <c r="AK509" i="1"/>
  <c r="X510" i="1"/>
  <c r="Y510" i="1"/>
  <c r="AB510" i="1"/>
  <c r="AC510" i="1"/>
  <c r="AG510" i="1"/>
  <c r="AI510" i="1"/>
  <c r="AJ510" i="1"/>
  <c r="AK510" i="1"/>
  <c r="X511" i="1"/>
  <c r="Y511" i="1"/>
  <c r="AB511" i="1"/>
  <c r="AC511" i="1"/>
  <c r="AG511" i="1"/>
  <c r="AI511" i="1"/>
  <c r="AJ511" i="1"/>
  <c r="AK511" i="1"/>
  <c r="X512" i="1"/>
  <c r="Y512" i="1"/>
  <c r="AB512" i="1"/>
  <c r="AC512" i="1"/>
  <c r="AG512" i="1"/>
  <c r="AI512" i="1"/>
  <c r="AJ512" i="1"/>
  <c r="AK512" i="1"/>
  <c r="X513" i="1"/>
  <c r="Y513" i="1"/>
  <c r="AB513" i="1"/>
  <c r="AC513" i="1"/>
  <c r="AG513" i="1"/>
  <c r="AI513" i="1"/>
  <c r="AJ513" i="1"/>
  <c r="AK513" i="1"/>
  <c r="X514" i="1"/>
  <c r="Y514" i="1"/>
  <c r="AB514" i="1"/>
  <c r="AC514" i="1"/>
  <c r="AG514" i="1"/>
  <c r="AI514" i="1"/>
  <c r="AJ514" i="1"/>
  <c r="AK514" i="1"/>
  <c r="X515" i="1"/>
  <c r="Y515" i="1"/>
  <c r="AB515" i="1"/>
  <c r="AC515" i="1"/>
  <c r="AG515" i="1"/>
  <c r="AI515" i="1"/>
  <c r="AJ515" i="1"/>
  <c r="AK515" i="1"/>
  <c r="X516" i="1"/>
  <c r="Y516" i="1"/>
  <c r="AB516" i="1"/>
  <c r="AC516" i="1"/>
  <c r="AG516" i="1"/>
  <c r="AI516" i="1"/>
  <c r="AJ516" i="1"/>
  <c r="AK516" i="1"/>
  <c r="X517" i="1"/>
  <c r="Y517" i="1"/>
  <c r="AB517" i="1"/>
  <c r="AC517" i="1"/>
  <c r="AG517" i="1"/>
  <c r="AI517" i="1"/>
  <c r="AJ517" i="1"/>
  <c r="AK517" i="1"/>
  <c r="X518" i="1"/>
  <c r="Y518" i="1"/>
  <c r="AB518" i="1"/>
  <c r="AC518" i="1"/>
  <c r="AG518" i="1"/>
  <c r="AI518" i="1"/>
  <c r="AJ518" i="1"/>
  <c r="AK518" i="1"/>
  <c r="X519" i="1"/>
  <c r="Y519" i="1"/>
  <c r="AB519" i="1"/>
  <c r="AC519" i="1"/>
  <c r="AG519" i="1"/>
  <c r="AI519" i="1"/>
  <c r="AJ519" i="1"/>
  <c r="AK519" i="1"/>
  <c r="X520" i="1"/>
  <c r="Y520" i="1"/>
  <c r="AB520" i="1"/>
  <c r="AC520" i="1"/>
  <c r="AG520" i="1"/>
  <c r="AI520" i="1"/>
  <c r="AJ520" i="1"/>
  <c r="AK520" i="1"/>
  <c r="X521" i="1"/>
  <c r="Y521" i="1"/>
  <c r="AB521" i="1"/>
  <c r="AC521" i="1"/>
  <c r="AG521" i="1"/>
  <c r="AI521" i="1"/>
  <c r="AJ521" i="1"/>
  <c r="AK521" i="1"/>
  <c r="X522" i="1"/>
  <c r="Y522" i="1"/>
  <c r="AB522" i="1"/>
  <c r="AC522" i="1"/>
  <c r="AG522" i="1"/>
  <c r="AI522" i="1"/>
  <c r="AJ522" i="1"/>
  <c r="AK522" i="1"/>
  <c r="X523" i="1"/>
  <c r="Y523" i="1"/>
  <c r="AB523" i="1"/>
  <c r="AC523" i="1"/>
  <c r="AG523" i="1"/>
  <c r="AI523" i="1"/>
  <c r="AJ523" i="1"/>
  <c r="AK523" i="1"/>
  <c r="X524" i="1"/>
  <c r="Y524" i="1"/>
  <c r="AB524" i="1"/>
  <c r="AC524" i="1"/>
  <c r="AG524" i="1"/>
  <c r="AI524" i="1"/>
  <c r="AJ524" i="1"/>
  <c r="AK524" i="1"/>
  <c r="X525" i="1"/>
  <c r="Y525" i="1"/>
  <c r="AB525" i="1"/>
  <c r="AC525" i="1"/>
  <c r="AG525" i="1"/>
  <c r="AI525" i="1"/>
  <c r="AJ525" i="1"/>
  <c r="AK525" i="1"/>
  <c r="X526" i="1"/>
  <c r="Y526" i="1"/>
  <c r="AB526" i="1"/>
  <c r="AC526" i="1"/>
  <c r="AG526" i="1"/>
  <c r="AI526" i="1"/>
  <c r="AJ526" i="1"/>
  <c r="AK526" i="1"/>
  <c r="X527" i="1"/>
  <c r="Y527" i="1"/>
  <c r="AB527" i="1"/>
  <c r="AC527" i="1"/>
  <c r="AG527" i="1"/>
  <c r="AI527" i="1"/>
  <c r="AJ527" i="1"/>
  <c r="AK527" i="1"/>
  <c r="X528" i="1"/>
  <c r="Y528" i="1"/>
  <c r="AB528" i="1"/>
  <c r="AC528" i="1"/>
  <c r="AG528" i="1"/>
  <c r="AI528" i="1"/>
  <c r="AJ528" i="1"/>
  <c r="AK528" i="1"/>
  <c r="X529" i="1"/>
  <c r="Y529" i="1"/>
  <c r="AB529" i="1"/>
  <c r="AC529" i="1"/>
  <c r="AG529" i="1"/>
  <c r="AI529" i="1"/>
  <c r="AJ529" i="1"/>
  <c r="AK529" i="1"/>
  <c r="X530" i="1"/>
  <c r="Y530" i="1"/>
  <c r="AB530" i="1"/>
  <c r="AC530" i="1"/>
  <c r="AG530" i="1"/>
  <c r="AI530" i="1"/>
  <c r="AJ530" i="1"/>
  <c r="AK530" i="1"/>
  <c r="X531" i="1"/>
  <c r="Y531" i="1"/>
  <c r="AB531" i="1"/>
  <c r="AC531" i="1"/>
  <c r="AG531" i="1"/>
  <c r="AI531" i="1"/>
  <c r="AJ531" i="1"/>
  <c r="AK531" i="1"/>
  <c r="X532" i="1"/>
  <c r="Y532" i="1"/>
  <c r="AB532" i="1"/>
  <c r="AC532" i="1"/>
  <c r="AG532" i="1"/>
  <c r="AI532" i="1"/>
  <c r="AJ532" i="1"/>
  <c r="AK532" i="1"/>
  <c r="X533" i="1"/>
  <c r="Y533" i="1"/>
  <c r="AB533" i="1"/>
  <c r="AC533" i="1"/>
  <c r="AG533" i="1"/>
  <c r="AI533" i="1"/>
  <c r="AJ533" i="1"/>
  <c r="AK533" i="1"/>
  <c r="X534" i="1"/>
  <c r="Y534" i="1"/>
  <c r="AB534" i="1"/>
  <c r="AC534" i="1"/>
  <c r="AG534" i="1"/>
  <c r="AI534" i="1"/>
  <c r="AJ534" i="1"/>
  <c r="AK534" i="1"/>
  <c r="X535" i="1"/>
  <c r="Y535" i="1"/>
  <c r="AB535" i="1"/>
  <c r="AC535" i="1"/>
  <c r="AG535" i="1"/>
  <c r="AI535" i="1"/>
  <c r="AJ535" i="1"/>
  <c r="AK535" i="1"/>
  <c r="X536" i="1"/>
  <c r="Y536" i="1"/>
  <c r="AB536" i="1"/>
  <c r="AC536" i="1"/>
  <c r="AG536" i="1"/>
  <c r="AI536" i="1"/>
  <c r="AJ536" i="1"/>
  <c r="AK536" i="1"/>
  <c r="X537" i="1"/>
  <c r="Y537" i="1"/>
  <c r="AB537" i="1"/>
  <c r="AC537" i="1"/>
  <c r="AG537" i="1"/>
  <c r="AI537" i="1"/>
  <c r="AJ537" i="1"/>
  <c r="AK537" i="1"/>
  <c r="X538" i="1"/>
  <c r="Y538" i="1"/>
  <c r="AB538" i="1"/>
  <c r="AC538" i="1"/>
  <c r="AG538" i="1"/>
  <c r="AI538" i="1"/>
  <c r="AJ538" i="1"/>
  <c r="AK538" i="1"/>
  <c r="X539" i="1"/>
  <c r="Y539" i="1"/>
  <c r="AB539" i="1"/>
  <c r="AC539" i="1"/>
  <c r="AG539" i="1"/>
  <c r="AI539" i="1"/>
  <c r="AJ539" i="1"/>
  <c r="AK539" i="1"/>
  <c r="X540" i="1"/>
  <c r="Y540" i="1"/>
  <c r="AB540" i="1"/>
  <c r="AC540" i="1"/>
  <c r="AG540" i="1"/>
  <c r="AI540" i="1"/>
  <c r="AJ540" i="1"/>
  <c r="AK540" i="1"/>
  <c r="X541" i="1"/>
  <c r="Y541" i="1"/>
  <c r="AB541" i="1"/>
  <c r="AC541" i="1"/>
  <c r="AG541" i="1"/>
  <c r="AI541" i="1"/>
  <c r="AJ541" i="1"/>
  <c r="AK541" i="1"/>
  <c r="X542" i="1"/>
  <c r="Y542" i="1"/>
  <c r="AB542" i="1"/>
  <c r="AC542" i="1"/>
  <c r="AG542" i="1"/>
  <c r="AI542" i="1"/>
  <c r="AJ542" i="1"/>
  <c r="AK542" i="1"/>
  <c r="X543" i="1"/>
  <c r="Y543" i="1"/>
  <c r="AB543" i="1"/>
  <c r="AC543" i="1"/>
  <c r="AG543" i="1"/>
  <c r="AI543" i="1"/>
  <c r="AJ543" i="1"/>
  <c r="AK543" i="1"/>
  <c r="X544" i="1"/>
  <c r="Y544" i="1"/>
  <c r="AB544" i="1"/>
  <c r="AC544" i="1"/>
  <c r="AG544" i="1"/>
  <c r="AI544" i="1"/>
  <c r="AJ544" i="1"/>
  <c r="AK544" i="1"/>
  <c r="X545" i="1"/>
  <c r="Y545" i="1"/>
  <c r="AB545" i="1"/>
  <c r="AC545" i="1"/>
  <c r="AG545" i="1"/>
  <c r="AI545" i="1"/>
  <c r="AJ545" i="1"/>
  <c r="AK545" i="1"/>
  <c r="X546" i="1"/>
  <c r="Y546" i="1"/>
  <c r="AB546" i="1"/>
  <c r="AC546" i="1"/>
  <c r="AG546" i="1"/>
  <c r="AI546" i="1"/>
  <c r="AJ546" i="1"/>
  <c r="AK546" i="1"/>
  <c r="X547" i="1"/>
  <c r="Y547" i="1"/>
  <c r="AB547" i="1"/>
  <c r="AC547" i="1"/>
  <c r="AG547" i="1"/>
  <c r="AI547" i="1"/>
  <c r="AJ547" i="1"/>
  <c r="AK547" i="1"/>
  <c r="X548" i="1"/>
  <c r="Y548" i="1"/>
  <c r="AB548" i="1"/>
  <c r="AC548" i="1"/>
  <c r="AG548" i="1"/>
  <c r="AI548" i="1"/>
  <c r="AJ548" i="1"/>
  <c r="AK548" i="1"/>
  <c r="X549" i="1"/>
  <c r="Y549" i="1"/>
  <c r="AB549" i="1"/>
  <c r="AC549" i="1"/>
  <c r="AG549" i="1"/>
  <c r="AI549" i="1"/>
  <c r="AJ549" i="1"/>
  <c r="AK549" i="1"/>
  <c r="X550" i="1"/>
  <c r="Y550" i="1"/>
  <c r="AB550" i="1"/>
  <c r="AC550" i="1"/>
  <c r="AG550" i="1"/>
  <c r="AI550" i="1"/>
  <c r="AJ550" i="1"/>
  <c r="AK550" i="1"/>
  <c r="X551" i="1"/>
  <c r="Y551" i="1"/>
  <c r="AB551" i="1"/>
  <c r="AC551" i="1"/>
  <c r="AG551" i="1"/>
  <c r="AI551" i="1"/>
  <c r="AJ551" i="1"/>
  <c r="AK551" i="1"/>
  <c r="X552" i="1"/>
  <c r="Y552" i="1"/>
  <c r="AB552" i="1"/>
  <c r="AC552" i="1"/>
  <c r="AG552" i="1"/>
  <c r="AI552" i="1"/>
  <c r="AJ552" i="1"/>
  <c r="AK552" i="1"/>
  <c r="X553" i="1"/>
  <c r="Y553" i="1"/>
  <c r="AB553" i="1"/>
  <c r="AC553" i="1"/>
  <c r="AG553" i="1"/>
  <c r="AI553" i="1"/>
  <c r="AJ553" i="1"/>
  <c r="AK553" i="1"/>
  <c r="X554" i="1"/>
  <c r="Y554" i="1"/>
  <c r="AB554" i="1"/>
  <c r="AC554" i="1"/>
  <c r="AG554" i="1"/>
  <c r="AI554" i="1"/>
  <c r="AJ554" i="1"/>
  <c r="AK554" i="1"/>
  <c r="X555" i="1"/>
  <c r="Y555" i="1"/>
  <c r="AB555" i="1"/>
  <c r="AC555" i="1"/>
  <c r="AG555" i="1"/>
  <c r="AI555" i="1"/>
  <c r="AJ555" i="1"/>
  <c r="AK555" i="1"/>
  <c r="X556" i="1"/>
  <c r="Y556" i="1"/>
  <c r="AB556" i="1"/>
  <c r="AC556" i="1"/>
  <c r="AG556" i="1"/>
  <c r="AI556" i="1"/>
  <c r="AJ556" i="1"/>
  <c r="AK556" i="1"/>
  <c r="X557" i="1"/>
  <c r="Y557" i="1"/>
  <c r="AB557" i="1"/>
  <c r="AC557" i="1"/>
  <c r="AG557" i="1"/>
  <c r="AI557" i="1"/>
  <c r="AJ557" i="1"/>
  <c r="AK557" i="1"/>
  <c r="X558" i="1"/>
  <c r="Y558" i="1"/>
  <c r="AB558" i="1"/>
  <c r="AC558" i="1"/>
  <c r="AG558" i="1"/>
  <c r="AI558" i="1"/>
  <c r="AJ558" i="1"/>
  <c r="AK558" i="1"/>
  <c r="X559" i="1"/>
  <c r="Y559" i="1"/>
  <c r="AB559" i="1"/>
  <c r="AC559" i="1"/>
  <c r="AG559" i="1"/>
  <c r="AI559" i="1"/>
  <c r="AJ559" i="1"/>
  <c r="AK559" i="1"/>
  <c r="X560" i="1"/>
  <c r="Y560" i="1"/>
  <c r="AB560" i="1"/>
  <c r="AC560" i="1"/>
  <c r="AG560" i="1"/>
  <c r="AI560" i="1"/>
  <c r="AJ560" i="1"/>
  <c r="AK560" i="1"/>
  <c r="X561" i="1"/>
  <c r="Y561" i="1"/>
  <c r="AB561" i="1"/>
  <c r="AC561" i="1"/>
  <c r="AG561" i="1"/>
  <c r="AI561" i="1"/>
  <c r="AJ561" i="1"/>
  <c r="AK561" i="1"/>
  <c r="X562" i="1"/>
  <c r="Y562" i="1"/>
  <c r="AB562" i="1"/>
  <c r="AC562" i="1"/>
  <c r="AG562" i="1"/>
  <c r="AI562" i="1"/>
  <c r="AJ562" i="1"/>
  <c r="AK562" i="1"/>
  <c r="X563" i="1"/>
  <c r="Y563" i="1"/>
  <c r="AB563" i="1"/>
  <c r="AC563" i="1"/>
  <c r="AG563" i="1"/>
  <c r="AI563" i="1"/>
  <c r="AJ563" i="1"/>
  <c r="AK563" i="1"/>
  <c r="X564" i="1"/>
  <c r="Y564" i="1"/>
  <c r="AB564" i="1"/>
  <c r="AC564" i="1"/>
  <c r="AG564" i="1"/>
  <c r="AI564" i="1"/>
  <c r="AJ564" i="1"/>
  <c r="AK564" i="1"/>
  <c r="X565" i="1"/>
  <c r="Y565" i="1"/>
  <c r="AB565" i="1"/>
  <c r="AC565" i="1"/>
  <c r="AG565" i="1"/>
  <c r="AI565" i="1"/>
  <c r="AJ565" i="1"/>
  <c r="AK565" i="1"/>
  <c r="X566" i="1"/>
  <c r="Y566" i="1"/>
  <c r="AB566" i="1"/>
  <c r="AC566" i="1"/>
  <c r="AG566" i="1"/>
  <c r="AI566" i="1"/>
  <c r="AJ566" i="1"/>
  <c r="AK566" i="1"/>
  <c r="X567" i="1"/>
  <c r="Y567" i="1"/>
  <c r="AB567" i="1"/>
  <c r="AC567" i="1"/>
  <c r="AG567" i="1"/>
  <c r="AI567" i="1"/>
  <c r="AJ567" i="1"/>
  <c r="AK567" i="1"/>
  <c r="X568" i="1"/>
  <c r="Y568" i="1"/>
  <c r="AB568" i="1"/>
  <c r="AC568" i="1"/>
  <c r="AG568" i="1"/>
  <c r="AI568" i="1"/>
  <c r="AJ568" i="1"/>
  <c r="AK568" i="1"/>
  <c r="X569" i="1"/>
  <c r="Y569" i="1"/>
  <c r="AB569" i="1"/>
  <c r="AC569" i="1"/>
  <c r="AG569" i="1"/>
  <c r="AI569" i="1"/>
  <c r="AJ569" i="1"/>
  <c r="AK569" i="1"/>
  <c r="X570" i="1"/>
  <c r="Y570" i="1"/>
  <c r="AB570" i="1"/>
  <c r="AC570" i="1"/>
  <c r="AG570" i="1"/>
  <c r="AI570" i="1"/>
  <c r="AJ570" i="1"/>
  <c r="AK570" i="1"/>
  <c r="X571" i="1"/>
  <c r="Y571" i="1"/>
  <c r="AB571" i="1"/>
  <c r="AC571" i="1"/>
  <c r="AG571" i="1"/>
  <c r="AI571" i="1"/>
  <c r="AJ571" i="1"/>
  <c r="AK571" i="1"/>
  <c r="X572" i="1"/>
  <c r="Y572" i="1"/>
  <c r="AB572" i="1"/>
  <c r="AC572" i="1"/>
  <c r="AG572" i="1"/>
  <c r="AI572" i="1"/>
  <c r="AJ572" i="1"/>
  <c r="AK572" i="1"/>
  <c r="X573" i="1"/>
  <c r="Y573" i="1"/>
  <c r="AB573" i="1"/>
  <c r="AC573" i="1"/>
  <c r="AG573" i="1"/>
  <c r="AI573" i="1"/>
  <c r="AJ573" i="1"/>
  <c r="AK573" i="1"/>
  <c r="X574" i="1"/>
  <c r="Y574" i="1"/>
  <c r="AB574" i="1"/>
  <c r="AC574" i="1"/>
  <c r="AG574" i="1"/>
  <c r="AI574" i="1"/>
  <c r="AJ574" i="1"/>
  <c r="AK574" i="1"/>
  <c r="X575" i="1"/>
  <c r="Y575" i="1"/>
  <c r="AB575" i="1"/>
  <c r="AC575" i="1"/>
  <c r="AG575" i="1"/>
  <c r="AI575" i="1"/>
  <c r="AJ575" i="1"/>
  <c r="AK575" i="1"/>
  <c r="X576" i="1"/>
  <c r="Y576" i="1"/>
  <c r="AB576" i="1"/>
  <c r="AC576" i="1"/>
  <c r="AG576" i="1"/>
  <c r="AI576" i="1"/>
  <c r="AJ576" i="1"/>
  <c r="AK576" i="1"/>
  <c r="X577" i="1"/>
  <c r="Y577" i="1"/>
  <c r="AB577" i="1"/>
  <c r="AC577" i="1"/>
  <c r="AG577" i="1"/>
  <c r="AI577" i="1"/>
  <c r="AJ577" i="1"/>
  <c r="AK577" i="1"/>
  <c r="X578" i="1"/>
  <c r="Y578" i="1"/>
  <c r="AB578" i="1"/>
  <c r="AC578" i="1"/>
  <c r="AG578" i="1"/>
  <c r="AI578" i="1"/>
  <c r="AJ578" i="1"/>
  <c r="AK578" i="1"/>
  <c r="X579" i="1"/>
  <c r="Y579" i="1"/>
  <c r="AB579" i="1"/>
  <c r="AC579" i="1"/>
  <c r="AG579" i="1"/>
  <c r="AI579" i="1"/>
  <c r="AJ579" i="1"/>
  <c r="AK579" i="1"/>
  <c r="X580" i="1"/>
  <c r="Y580" i="1"/>
  <c r="AB580" i="1"/>
  <c r="AC580" i="1"/>
  <c r="AG580" i="1"/>
  <c r="AI580" i="1"/>
  <c r="AJ580" i="1"/>
  <c r="AK580" i="1"/>
  <c r="X581" i="1"/>
  <c r="Y581" i="1"/>
  <c r="AB581" i="1"/>
  <c r="AC581" i="1"/>
  <c r="AG581" i="1"/>
  <c r="AI581" i="1"/>
  <c r="AJ581" i="1"/>
  <c r="AK581" i="1"/>
  <c r="X582" i="1"/>
  <c r="Y582" i="1"/>
  <c r="AB582" i="1"/>
  <c r="AC582" i="1"/>
  <c r="AG582" i="1"/>
  <c r="AI582" i="1"/>
  <c r="AJ582" i="1"/>
  <c r="AK582" i="1"/>
  <c r="X583" i="1"/>
  <c r="Y583" i="1"/>
  <c r="AB583" i="1"/>
  <c r="AC583" i="1"/>
  <c r="AG583" i="1"/>
  <c r="AI583" i="1"/>
  <c r="AJ583" i="1"/>
  <c r="AK583" i="1"/>
  <c r="X584" i="1"/>
  <c r="Y584" i="1"/>
  <c r="AB584" i="1"/>
  <c r="AC584" i="1"/>
  <c r="AG584" i="1"/>
  <c r="AI584" i="1"/>
  <c r="AJ584" i="1"/>
  <c r="AK584" i="1"/>
  <c r="X585" i="1"/>
  <c r="Y585" i="1"/>
  <c r="AB585" i="1"/>
  <c r="AC585" i="1"/>
  <c r="AG585" i="1"/>
  <c r="AI585" i="1"/>
  <c r="AJ585" i="1"/>
  <c r="AK585" i="1"/>
  <c r="X586" i="1"/>
  <c r="Y586" i="1"/>
  <c r="AB586" i="1"/>
  <c r="AC586" i="1"/>
  <c r="AG586" i="1"/>
  <c r="AI586" i="1"/>
  <c r="AJ586" i="1"/>
  <c r="AK586" i="1"/>
  <c r="X587" i="1"/>
  <c r="Y587" i="1"/>
  <c r="AB587" i="1"/>
  <c r="AC587" i="1"/>
  <c r="AG587" i="1"/>
  <c r="AI587" i="1"/>
  <c r="AJ587" i="1"/>
  <c r="AK587" i="1"/>
  <c r="X588" i="1"/>
  <c r="Y588" i="1"/>
  <c r="AB588" i="1"/>
  <c r="AC588" i="1"/>
  <c r="AG588" i="1"/>
  <c r="AI588" i="1"/>
  <c r="AJ588" i="1"/>
  <c r="AK588" i="1"/>
  <c r="X589" i="1"/>
  <c r="Y589" i="1"/>
  <c r="AB589" i="1"/>
  <c r="AC589" i="1"/>
  <c r="AG589" i="1"/>
  <c r="AI589" i="1"/>
  <c r="AJ589" i="1"/>
  <c r="AK589" i="1"/>
  <c r="X590" i="1"/>
  <c r="Y590" i="1"/>
  <c r="AB590" i="1"/>
  <c r="AC590" i="1"/>
  <c r="AG590" i="1"/>
  <c r="AI590" i="1"/>
  <c r="AJ590" i="1"/>
  <c r="AK590" i="1"/>
  <c r="X591" i="1"/>
  <c r="Y591" i="1"/>
  <c r="AB591" i="1"/>
  <c r="AC591" i="1"/>
  <c r="AG591" i="1"/>
  <c r="AI591" i="1"/>
  <c r="AJ591" i="1"/>
  <c r="AK591" i="1"/>
  <c r="X592" i="1"/>
  <c r="Y592" i="1"/>
  <c r="AB592" i="1"/>
  <c r="AC592" i="1"/>
  <c r="AG592" i="1"/>
  <c r="AI592" i="1"/>
  <c r="AJ592" i="1"/>
  <c r="AK592" i="1"/>
  <c r="X593" i="1"/>
  <c r="Y593" i="1"/>
  <c r="AB593" i="1"/>
  <c r="AC593" i="1"/>
  <c r="AG593" i="1"/>
  <c r="AI593" i="1"/>
  <c r="AJ593" i="1"/>
  <c r="AK593" i="1"/>
  <c r="X594" i="1"/>
  <c r="Y594" i="1"/>
  <c r="AB594" i="1"/>
  <c r="AC594" i="1"/>
  <c r="AG594" i="1"/>
  <c r="AI594" i="1"/>
  <c r="AJ594" i="1"/>
  <c r="AK594" i="1"/>
  <c r="X595" i="1"/>
  <c r="Y595" i="1"/>
  <c r="AB595" i="1"/>
  <c r="AC595" i="1"/>
  <c r="AG595" i="1"/>
  <c r="AI595" i="1"/>
  <c r="AJ595" i="1"/>
  <c r="AK595" i="1"/>
  <c r="X596" i="1"/>
  <c r="Y596" i="1"/>
  <c r="AB596" i="1"/>
  <c r="AC596" i="1"/>
  <c r="AG596" i="1"/>
  <c r="AI596" i="1"/>
  <c r="AJ596" i="1"/>
  <c r="AK596" i="1"/>
  <c r="X597" i="1"/>
  <c r="Y597" i="1"/>
  <c r="AB597" i="1"/>
  <c r="AC597" i="1"/>
  <c r="AG597" i="1"/>
  <c r="AI597" i="1"/>
  <c r="AJ597" i="1"/>
  <c r="AK597" i="1"/>
  <c r="X598" i="1"/>
  <c r="Y598" i="1"/>
  <c r="AB598" i="1"/>
  <c r="AC598" i="1"/>
  <c r="AG598" i="1"/>
  <c r="AI598" i="1"/>
  <c r="AJ598" i="1"/>
  <c r="AK598" i="1"/>
  <c r="X599" i="1"/>
  <c r="Y599" i="1"/>
  <c r="AB599" i="1"/>
  <c r="AC599" i="1"/>
  <c r="AG599" i="1"/>
  <c r="AI599" i="1"/>
  <c r="AJ599" i="1"/>
  <c r="AK599" i="1"/>
  <c r="X600" i="1"/>
  <c r="Y600" i="1"/>
  <c r="AB600" i="1"/>
  <c r="AC600" i="1"/>
  <c r="AG600" i="1"/>
  <c r="AI600" i="1"/>
  <c r="AJ600" i="1"/>
  <c r="AK600" i="1"/>
  <c r="X601" i="1"/>
  <c r="Y601" i="1"/>
  <c r="AB601" i="1"/>
  <c r="AC601" i="1"/>
  <c r="AG601" i="1"/>
  <c r="AI601" i="1"/>
  <c r="AJ601" i="1"/>
  <c r="AK601" i="1"/>
  <c r="X602" i="1"/>
  <c r="Y602" i="1"/>
  <c r="AB602" i="1"/>
  <c r="AC602" i="1"/>
  <c r="AG602" i="1"/>
  <c r="AI602" i="1"/>
  <c r="AJ602" i="1"/>
  <c r="AK602" i="1"/>
  <c r="X603" i="1"/>
  <c r="Y603" i="1"/>
  <c r="AB603" i="1"/>
  <c r="AC603" i="1"/>
  <c r="AG603" i="1"/>
  <c r="AI603" i="1"/>
  <c r="AJ603" i="1"/>
  <c r="AK603" i="1"/>
  <c r="X604" i="1"/>
  <c r="Y604" i="1"/>
  <c r="AB604" i="1"/>
  <c r="AC604" i="1"/>
  <c r="AG604" i="1"/>
  <c r="AI604" i="1"/>
  <c r="AJ604" i="1"/>
  <c r="AK604" i="1"/>
  <c r="X605" i="1"/>
  <c r="Y605" i="1"/>
  <c r="AB605" i="1"/>
  <c r="AC605" i="1"/>
  <c r="AG605" i="1"/>
  <c r="AI605" i="1"/>
  <c r="AJ605" i="1"/>
  <c r="AK605" i="1"/>
  <c r="X606" i="1"/>
  <c r="Y606" i="1"/>
  <c r="AB606" i="1"/>
  <c r="AC606" i="1"/>
  <c r="AG606" i="1"/>
  <c r="AI606" i="1"/>
  <c r="AJ606" i="1"/>
  <c r="AK606" i="1"/>
  <c r="X607" i="1"/>
  <c r="Y607" i="1"/>
  <c r="AB607" i="1"/>
  <c r="AC607" i="1"/>
  <c r="AG607" i="1"/>
  <c r="AI607" i="1"/>
  <c r="AJ607" i="1"/>
  <c r="AK607" i="1"/>
  <c r="X608" i="1"/>
  <c r="Y608" i="1"/>
  <c r="AB608" i="1"/>
  <c r="AC608" i="1"/>
  <c r="AG608" i="1"/>
  <c r="AI608" i="1"/>
  <c r="AJ608" i="1"/>
  <c r="AK608" i="1"/>
  <c r="X609" i="1"/>
  <c r="Y609" i="1"/>
  <c r="AB609" i="1"/>
  <c r="AC609" i="1"/>
  <c r="AG609" i="1"/>
  <c r="AI609" i="1"/>
  <c r="AJ609" i="1"/>
  <c r="AK609" i="1"/>
  <c r="X610" i="1"/>
  <c r="Y610" i="1"/>
  <c r="AB610" i="1"/>
  <c r="AC610" i="1"/>
  <c r="AG610" i="1"/>
  <c r="AI610" i="1"/>
  <c r="AJ610" i="1"/>
  <c r="AK610" i="1"/>
  <c r="X611" i="1"/>
  <c r="Y611" i="1"/>
  <c r="AB611" i="1"/>
  <c r="AC611" i="1"/>
  <c r="AG611" i="1"/>
  <c r="AI611" i="1"/>
  <c r="AJ611" i="1"/>
  <c r="AK611" i="1"/>
  <c r="X612" i="1"/>
  <c r="Y612" i="1"/>
  <c r="AB612" i="1"/>
  <c r="AC612" i="1"/>
  <c r="AG612" i="1"/>
  <c r="AI612" i="1"/>
  <c r="AJ612" i="1"/>
  <c r="AK612" i="1"/>
  <c r="X613" i="1"/>
  <c r="Y613" i="1"/>
  <c r="AB613" i="1"/>
  <c r="AC613" i="1"/>
  <c r="AG613" i="1"/>
  <c r="AI613" i="1"/>
  <c r="AJ613" i="1"/>
  <c r="AK613" i="1"/>
  <c r="X614" i="1"/>
  <c r="Y614" i="1"/>
  <c r="AB614" i="1"/>
  <c r="AC614" i="1"/>
  <c r="AG614" i="1"/>
  <c r="AI614" i="1"/>
  <c r="AJ614" i="1"/>
  <c r="AK614" i="1"/>
  <c r="X615" i="1"/>
  <c r="Y615" i="1"/>
  <c r="AB615" i="1"/>
  <c r="AC615" i="1"/>
  <c r="AG615" i="1"/>
  <c r="AI615" i="1"/>
  <c r="AJ615" i="1"/>
  <c r="AK615" i="1"/>
  <c r="X616" i="1"/>
  <c r="Y616" i="1"/>
  <c r="AB616" i="1"/>
  <c r="AC616" i="1"/>
  <c r="AG616" i="1"/>
  <c r="AI616" i="1"/>
  <c r="AJ616" i="1"/>
  <c r="AK616" i="1"/>
  <c r="X617" i="1"/>
  <c r="Y617" i="1"/>
  <c r="AB617" i="1"/>
  <c r="AC617" i="1"/>
  <c r="AG617" i="1"/>
  <c r="AI617" i="1"/>
  <c r="AJ617" i="1"/>
  <c r="AK617" i="1"/>
  <c r="X618" i="1"/>
  <c r="Y618" i="1"/>
  <c r="AB618" i="1"/>
  <c r="AC618" i="1"/>
  <c r="AG618" i="1"/>
  <c r="AI618" i="1"/>
  <c r="AJ618" i="1"/>
  <c r="AK618" i="1"/>
  <c r="X619" i="1"/>
  <c r="Y619" i="1"/>
  <c r="AB619" i="1"/>
  <c r="AC619" i="1"/>
  <c r="AG619" i="1"/>
  <c r="AI619" i="1"/>
  <c r="AJ619" i="1"/>
  <c r="AK619" i="1"/>
  <c r="X620" i="1"/>
  <c r="Y620" i="1"/>
  <c r="AB620" i="1"/>
  <c r="AC620" i="1"/>
  <c r="AG620" i="1"/>
  <c r="AI620" i="1"/>
  <c r="AJ620" i="1"/>
  <c r="AK620" i="1"/>
  <c r="X621" i="1"/>
  <c r="Y621" i="1"/>
  <c r="AB621" i="1"/>
  <c r="AC621" i="1"/>
  <c r="AG621" i="1"/>
  <c r="AI621" i="1"/>
  <c r="AJ621" i="1"/>
  <c r="AK621" i="1"/>
  <c r="X622" i="1"/>
  <c r="Y622" i="1"/>
  <c r="AB622" i="1"/>
  <c r="AC622" i="1"/>
  <c r="AG622" i="1"/>
  <c r="AI622" i="1"/>
  <c r="AJ622" i="1"/>
  <c r="AK622" i="1"/>
  <c r="X623" i="1"/>
  <c r="Y623" i="1"/>
  <c r="AB623" i="1"/>
  <c r="AC623" i="1"/>
  <c r="AG623" i="1"/>
  <c r="AI623" i="1"/>
  <c r="AJ623" i="1"/>
  <c r="AK623" i="1"/>
  <c r="X624" i="1"/>
  <c r="Y624" i="1"/>
  <c r="AB624" i="1"/>
  <c r="AC624" i="1"/>
  <c r="AG624" i="1"/>
  <c r="AI624" i="1"/>
  <c r="AJ624" i="1"/>
  <c r="AK624" i="1"/>
  <c r="X625" i="1"/>
  <c r="Y625" i="1"/>
  <c r="AB625" i="1"/>
  <c r="AC625" i="1"/>
  <c r="AG625" i="1"/>
  <c r="AI625" i="1"/>
  <c r="AJ625" i="1"/>
  <c r="AK625" i="1"/>
  <c r="X626" i="1"/>
  <c r="Y626" i="1"/>
  <c r="AB626" i="1"/>
  <c r="AC626" i="1"/>
  <c r="AG626" i="1"/>
  <c r="AI626" i="1"/>
  <c r="AJ626" i="1"/>
  <c r="AK626" i="1"/>
  <c r="X627" i="1"/>
  <c r="Y627" i="1"/>
  <c r="AB627" i="1"/>
  <c r="AC627" i="1"/>
  <c r="AG627" i="1"/>
  <c r="AI627" i="1"/>
  <c r="AJ627" i="1"/>
  <c r="AK627" i="1"/>
  <c r="X628" i="1"/>
  <c r="Y628" i="1"/>
  <c r="AB628" i="1"/>
  <c r="AC628" i="1"/>
  <c r="AG628" i="1"/>
  <c r="AI628" i="1"/>
  <c r="AJ628" i="1"/>
  <c r="AK628" i="1"/>
  <c r="X629" i="1"/>
  <c r="Y629" i="1"/>
  <c r="AB629" i="1"/>
  <c r="AC629" i="1"/>
  <c r="AG629" i="1"/>
  <c r="AI629" i="1"/>
  <c r="AJ629" i="1"/>
  <c r="AK629" i="1"/>
  <c r="X630" i="1"/>
  <c r="Y630" i="1"/>
  <c r="AB630" i="1"/>
  <c r="AC630" i="1"/>
  <c r="AG630" i="1"/>
  <c r="AI630" i="1"/>
  <c r="AJ630" i="1"/>
  <c r="AK630" i="1"/>
  <c r="X631" i="1"/>
  <c r="Y631" i="1"/>
  <c r="AB631" i="1"/>
  <c r="AC631" i="1"/>
  <c r="AG631" i="1"/>
  <c r="AI631" i="1"/>
  <c r="AJ631" i="1"/>
  <c r="AK631" i="1"/>
  <c r="X632" i="1"/>
  <c r="Y632" i="1"/>
  <c r="AB632" i="1"/>
  <c r="AC632" i="1"/>
  <c r="AG632" i="1"/>
  <c r="AI632" i="1"/>
  <c r="AJ632" i="1"/>
  <c r="AK632" i="1"/>
  <c r="X633" i="1"/>
  <c r="Y633" i="1"/>
  <c r="AB633" i="1"/>
  <c r="AC633" i="1"/>
  <c r="AG633" i="1"/>
  <c r="AI633" i="1"/>
  <c r="AJ633" i="1"/>
  <c r="AK633" i="1"/>
  <c r="X634" i="1"/>
  <c r="Y634" i="1"/>
  <c r="AB634" i="1"/>
  <c r="AC634" i="1"/>
  <c r="AG634" i="1"/>
  <c r="AI634" i="1"/>
  <c r="AJ634" i="1"/>
  <c r="AK634" i="1"/>
  <c r="X635" i="1"/>
  <c r="Y635" i="1"/>
  <c r="AB635" i="1"/>
  <c r="AC635" i="1"/>
  <c r="AG635" i="1"/>
  <c r="AI635" i="1"/>
  <c r="AJ635" i="1"/>
  <c r="AK635" i="1"/>
  <c r="X636" i="1"/>
  <c r="Y636" i="1"/>
  <c r="AB636" i="1"/>
  <c r="AC636" i="1"/>
  <c r="AG636" i="1"/>
  <c r="AI636" i="1"/>
  <c r="AJ636" i="1"/>
  <c r="AK636" i="1"/>
  <c r="X637" i="1"/>
  <c r="Y637" i="1"/>
  <c r="AB637" i="1"/>
  <c r="AC637" i="1"/>
  <c r="AG637" i="1"/>
  <c r="AI637" i="1"/>
  <c r="AJ637" i="1"/>
  <c r="AK637" i="1"/>
  <c r="X638" i="1"/>
  <c r="Y638" i="1"/>
  <c r="AB638" i="1"/>
  <c r="AC638" i="1"/>
  <c r="AG638" i="1"/>
  <c r="AI638" i="1"/>
  <c r="AJ638" i="1"/>
  <c r="AK638" i="1"/>
  <c r="X639" i="1"/>
  <c r="Y639" i="1"/>
  <c r="AB639" i="1"/>
  <c r="AC639" i="1"/>
  <c r="AG639" i="1"/>
  <c r="AI639" i="1"/>
  <c r="AJ639" i="1"/>
  <c r="AK639" i="1"/>
  <c r="X640" i="1"/>
  <c r="Y640" i="1"/>
  <c r="AB640" i="1"/>
  <c r="AC640" i="1"/>
  <c r="AG640" i="1"/>
  <c r="AI640" i="1"/>
  <c r="AJ640" i="1"/>
  <c r="AK640" i="1"/>
  <c r="X641" i="1"/>
  <c r="Y641" i="1"/>
  <c r="AB641" i="1"/>
  <c r="AC641" i="1"/>
  <c r="AG641" i="1"/>
  <c r="AI641" i="1"/>
  <c r="AJ641" i="1"/>
  <c r="AK641" i="1"/>
  <c r="X642" i="1"/>
  <c r="Y642" i="1"/>
  <c r="AB642" i="1"/>
  <c r="AC642" i="1"/>
  <c r="AG642" i="1"/>
  <c r="AI642" i="1"/>
  <c r="AJ642" i="1"/>
  <c r="AK642" i="1"/>
  <c r="X643" i="1"/>
  <c r="Y643" i="1"/>
  <c r="AB643" i="1"/>
  <c r="AC643" i="1"/>
  <c r="AG643" i="1"/>
  <c r="AI643" i="1"/>
  <c r="AJ643" i="1"/>
  <c r="AK643" i="1"/>
  <c r="X644" i="1"/>
  <c r="Y644" i="1"/>
  <c r="AB644" i="1"/>
  <c r="AC644" i="1"/>
  <c r="AG644" i="1"/>
  <c r="AI644" i="1"/>
  <c r="AJ644" i="1"/>
  <c r="AK644" i="1"/>
  <c r="X645" i="1"/>
  <c r="Y645" i="1"/>
  <c r="AB645" i="1"/>
  <c r="AC645" i="1"/>
  <c r="AG645" i="1"/>
  <c r="AI645" i="1"/>
  <c r="AJ645" i="1"/>
  <c r="AK645" i="1"/>
  <c r="X646" i="1"/>
  <c r="Y646" i="1"/>
  <c r="AB646" i="1"/>
  <c r="AC646" i="1"/>
  <c r="AG646" i="1"/>
  <c r="AI646" i="1"/>
  <c r="AJ646" i="1"/>
  <c r="AK646" i="1"/>
  <c r="X647" i="1"/>
  <c r="Y647" i="1"/>
  <c r="AB647" i="1"/>
  <c r="AC647" i="1"/>
  <c r="AG647" i="1"/>
  <c r="AI647" i="1"/>
  <c r="AJ647" i="1"/>
  <c r="AK647" i="1"/>
  <c r="X648" i="1"/>
  <c r="Y648" i="1"/>
  <c r="AB648" i="1"/>
  <c r="AC648" i="1"/>
  <c r="AG648" i="1"/>
  <c r="AI648" i="1"/>
  <c r="AJ648" i="1"/>
  <c r="AK648" i="1"/>
  <c r="X649" i="1"/>
  <c r="Y649" i="1"/>
  <c r="AB649" i="1"/>
  <c r="AC649" i="1"/>
  <c r="AG649" i="1"/>
  <c r="AI649" i="1"/>
  <c r="AJ649" i="1"/>
  <c r="AK649" i="1"/>
  <c r="X650" i="1"/>
  <c r="Y650" i="1"/>
  <c r="AB650" i="1"/>
  <c r="AC650" i="1"/>
  <c r="AG650" i="1"/>
  <c r="AI650" i="1"/>
  <c r="AJ650" i="1"/>
  <c r="AK650" i="1"/>
  <c r="X651" i="1"/>
  <c r="Y651" i="1"/>
  <c r="AB651" i="1"/>
  <c r="AC651" i="1"/>
  <c r="AG651" i="1"/>
  <c r="AI651" i="1"/>
  <c r="AJ651" i="1"/>
  <c r="AK651" i="1"/>
  <c r="X652" i="1"/>
  <c r="Y652" i="1"/>
  <c r="AB652" i="1"/>
  <c r="AC652" i="1"/>
  <c r="AG652" i="1"/>
  <c r="AI652" i="1"/>
  <c r="AJ652" i="1"/>
  <c r="AK652" i="1"/>
  <c r="X653" i="1"/>
  <c r="Y653" i="1"/>
  <c r="AB653" i="1"/>
  <c r="AC653" i="1"/>
  <c r="AG653" i="1"/>
  <c r="AI653" i="1"/>
  <c r="AJ653" i="1"/>
  <c r="AK653" i="1"/>
  <c r="X654" i="1"/>
  <c r="Y654" i="1"/>
  <c r="AB654" i="1"/>
  <c r="AC654" i="1"/>
  <c r="AG654" i="1"/>
  <c r="AI654" i="1"/>
  <c r="AJ654" i="1"/>
  <c r="AK654" i="1"/>
  <c r="X655" i="1"/>
  <c r="Y655" i="1"/>
  <c r="AB655" i="1"/>
  <c r="AC655" i="1"/>
  <c r="AG655" i="1"/>
  <c r="AI655" i="1"/>
  <c r="AJ655" i="1"/>
  <c r="AK655" i="1"/>
  <c r="X656" i="1"/>
  <c r="Y656" i="1"/>
  <c r="AB656" i="1"/>
  <c r="AC656" i="1"/>
  <c r="AG656" i="1"/>
  <c r="AI656" i="1"/>
  <c r="AJ656" i="1"/>
  <c r="AK656" i="1"/>
  <c r="X657" i="1"/>
  <c r="Y657" i="1"/>
  <c r="AB657" i="1"/>
  <c r="AC657" i="1"/>
  <c r="AG657" i="1"/>
  <c r="AI657" i="1"/>
  <c r="AJ657" i="1"/>
  <c r="AK657" i="1"/>
  <c r="X658" i="1"/>
  <c r="Y658" i="1"/>
  <c r="AB658" i="1"/>
  <c r="AC658" i="1"/>
  <c r="AG658" i="1"/>
  <c r="AI658" i="1"/>
  <c r="AJ658" i="1"/>
  <c r="AK658" i="1"/>
  <c r="X659" i="1"/>
  <c r="Y659" i="1"/>
  <c r="AB659" i="1"/>
  <c r="AC659" i="1"/>
  <c r="AG659" i="1"/>
  <c r="AI659" i="1"/>
  <c r="AJ659" i="1"/>
  <c r="AK659" i="1"/>
  <c r="X660" i="1"/>
  <c r="Y660" i="1"/>
  <c r="AB660" i="1"/>
  <c r="AC660" i="1"/>
  <c r="AG660" i="1"/>
  <c r="AI660" i="1"/>
  <c r="AJ660" i="1"/>
  <c r="AK660" i="1"/>
  <c r="X661" i="1"/>
  <c r="Y661" i="1"/>
  <c r="AB661" i="1"/>
  <c r="AC661" i="1"/>
  <c r="AG661" i="1"/>
  <c r="AI661" i="1"/>
  <c r="AJ661" i="1"/>
  <c r="AK661" i="1"/>
  <c r="X662" i="1"/>
  <c r="Y662" i="1"/>
  <c r="AB662" i="1"/>
  <c r="AC662" i="1"/>
  <c r="AG662" i="1"/>
  <c r="AI662" i="1"/>
  <c r="AJ662" i="1"/>
  <c r="AK662" i="1"/>
  <c r="X663" i="1"/>
  <c r="Y663" i="1"/>
  <c r="AB663" i="1"/>
  <c r="AC663" i="1"/>
  <c r="AG663" i="1"/>
  <c r="AI663" i="1"/>
  <c r="AJ663" i="1"/>
  <c r="AK663" i="1"/>
  <c r="X664" i="1"/>
  <c r="Y664" i="1"/>
  <c r="AB664" i="1"/>
  <c r="AC664" i="1"/>
  <c r="AG664" i="1"/>
  <c r="AI664" i="1"/>
  <c r="AJ664" i="1"/>
  <c r="AK664" i="1"/>
  <c r="X665" i="1"/>
  <c r="Y665" i="1"/>
  <c r="AB665" i="1"/>
  <c r="AC665" i="1"/>
  <c r="AG665" i="1"/>
  <c r="AI665" i="1"/>
  <c r="AJ665" i="1"/>
  <c r="AK665" i="1"/>
  <c r="X666" i="1"/>
  <c r="Y666" i="1"/>
  <c r="AB666" i="1"/>
  <c r="AC666" i="1"/>
  <c r="AG666" i="1"/>
  <c r="AI666" i="1"/>
  <c r="AJ666" i="1"/>
  <c r="AK666" i="1"/>
  <c r="X667" i="1"/>
  <c r="Y667" i="1"/>
  <c r="AB667" i="1"/>
  <c r="AC667" i="1"/>
  <c r="AG667" i="1"/>
  <c r="AI667" i="1"/>
  <c r="AJ667" i="1"/>
  <c r="AK667" i="1"/>
  <c r="X668" i="1"/>
  <c r="Y668" i="1"/>
  <c r="AB668" i="1"/>
  <c r="AC668" i="1"/>
  <c r="AG668" i="1"/>
  <c r="AI668" i="1"/>
  <c r="AJ668" i="1"/>
  <c r="AK668" i="1"/>
  <c r="X669" i="1"/>
  <c r="Y669" i="1"/>
  <c r="AB669" i="1"/>
  <c r="AC669" i="1"/>
  <c r="AG669" i="1"/>
  <c r="AI669" i="1"/>
  <c r="AJ669" i="1"/>
  <c r="AK669" i="1"/>
  <c r="X670" i="1"/>
  <c r="Y670" i="1"/>
  <c r="AB670" i="1"/>
  <c r="AC670" i="1"/>
  <c r="AG670" i="1"/>
  <c r="AI670" i="1"/>
  <c r="AJ670" i="1"/>
  <c r="AK670" i="1"/>
  <c r="X671" i="1"/>
  <c r="Y671" i="1"/>
  <c r="AB671" i="1"/>
  <c r="AC671" i="1"/>
  <c r="AG671" i="1"/>
  <c r="AI671" i="1"/>
  <c r="AJ671" i="1"/>
  <c r="AK671" i="1"/>
  <c r="X672" i="1"/>
  <c r="Y672" i="1"/>
  <c r="AB672" i="1"/>
  <c r="AC672" i="1"/>
  <c r="AG672" i="1"/>
  <c r="AI672" i="1"/>
  <c r="AJ672" i="1"/>
  <c r="AK672" i="1"/>
  <c r="X673" i="1"/>
  <c r="Y673" i="1"/>
  <c r="AB673" i="1"/>
  <c r="AC673" i="1"/>
  <c r="AG673" i="1"/>
  <c r="AI673" i="1"/>
  <c r="AJ673" i="1"/>
  <c r="AK673" i="1"/>
  <c r="X674" i="1"/>
  <c r="Y674" i="1"/>
  <c r="AB674" i="1"/>
  <c r="AC674" i="1"/>
  <c r="AG674" i="1"/>
  <c r="AI674" i="1"/>
  <c r="AJ674" i="1"/>
  <c r="AK674" i="1"/>
  <c r="X675" i="1"/>
  <c r="Y675" i="1"/>
  <c r="AB675" i="1"/>
  <c r="AC675" i="1"/>
  <c r="AG675" i="1"/>
  <c r="AI675" i="1"/>
  <c r="AJ675" i="1"/>
  <c r="AK675" i="1"/>
  <c r="X676" i="1"/>
  <c r="Y676" i="1"/>
  <c r="AB676" i="1"/>
  <c r="AC676" i="1"/>
  <c r="AG676" i="1"/>
  <c r="AI676" i="1"/>
  <c r="AJ676" i="1"/>
  <c r="AK676" i="1"/>
  <c r="X677" i="1"/>
  <c r="Y677" i="1"/>
  <c r="AB677" i="1"/>
  <c r="AC677" i="1"/>
  <c r="AG677" i="1"/>
  <c r="AI677" i="1"/>
  <c r="AJ677" i="1"/>
  <c r="AK677" i="1"/>
  <c r="X678" i="1"/>
  <c r="Y678" i="1"/>
  <c r="AB678" i="1"/>
  <c r="AC678" i="1"/>
  <c r="AG678" i="1"/>
  <c r="AI678" i="1"/>
  <c r="AJ678" i="1"/>
  <c r="AK678" i="1"/>
  <c r="X679" i="1"/>
  <c r="Y679" i="1"/>
  <c r="AB679" i="1"/>
  <c r="AC679" i="1"/>
  <c r="AG679" i="1"/>
  <c r="AI679" i="1"/>
  <c r="AJ679" i="1"/>
  <c r="AK679" i="1"/>
  <c r="X680" i="1"/>
  <c r="Y680" i="1"/>
  <c r="AB680" i="1"/>
  <c r="AC680" i="1"/>
  <c r="AG680" i="1"/>
  <c r="AI680" i="1"/>
  <c r="AJ680" i="1"/>
  <c r="AK680" i="1"/>
  <c r="X681" i="1"/>
  <c r="Y681" i="1"/>
  <c r="AB681" i="1"/>
  <c r="AC681" i="1"/>
  <c r="AG681" i="1"/>
  <c r="AI681" i="1"/>
  <c r="AJ681" i="1"/>
  <c r="AK681" i="1"/>
  <c r="X682" i="1"/>
  <c r="Y682" i="1"/>
  <c r="AB682" i="1"/>
  <c r="AC682" i="1"/>
  <c r="AG682" i="1"/>
  <c r="AI682" i="1"/>
  <c r="AJ682" i="1"/>
  <c r="AK682" i="1"/>
  <c r="X683" i="1"/>
  <c r="Y683" i="1"/>
  <c r="AB683" i="1"/>
  <c r="AC683" i="1"/>
  <c r="AG683" i="1"/>
  <c r="AI683" i="1"/>
  <c r="AJ683" i="1"/>
  <c r="AK683" i="1"/>
  <c r="X684" i="1"/>
  <c r="Y684" i="1"/>
  <c r="AB684" i="1"/>
  <c r="AC684" i="1"/>
  <c r="AG684" i="1"/>
  <c r="AI684" i="1"/>
  <c r="AJ684" i="1"/>
  <c r="AK684" i="1"/>
  <c r="X685" i="1"/>
  <c r="Y685" i="1"/>
  <c r="AB685" i="1"/>
  <c r="AC685" i="1"/>
  <c r="AG685" i="1"/>
  <c r="AI685" i="1"/>
  <c r="AJ685" i="1"/>
  <c r="AK685" i="1"/>
  <c r="X686" i="1"/>
  <c r="Y686" i="1"/>
  <c r="AB686" i="1"/>
  <c r="AC686" i="1"/>
  <c r="AG686" i="1"/>
  <c r="AI686" i="1"/>
  <c r="AJ686" i="1"/>
  <c r="AK686" i="1"/>
  <c r="X687" i="1"/>
  <c r="Y687" i="1"/>
  <c r="AB687" i="1"/>
  <c r="AC687" i="1"/>
  <c r="AG687" i="1"/>
  <c r="AI687" i="1"/>
  <c r="AJ687" i="1"/>
  <c r="AK687" i="1"/>
  <c r="X688" i="1"/>
  <c r="Y688" i="1"/>
  <c r="AB688" i="1"/>
  <c r="AC688" i="1"/>
  <c r="AG688" i="1"/>
  <c r="AI688" i="1"/>
  <c r="AJ688" i="1"/>
  <c r="AK688" i="1"/>
  <c r="X689" i="1"/>
  <c r="Y689" i="1"/>
  <c r="AB689" i="1"/>
  <c r="AC689" i="1"/>
  <c r="AG689" i="1"/>
  <c r="AI689" i="1"/>
  <c r="AJ689" i="1"/>
  <c r="AK689" i="1"/>
  <c r="X690" i="1"/>
  <c r="Y690" i="1"/>
  <c r="AB690" i="1"/>
  <c r="AC690" i="1"/>
  <c r="AG690" i="1"/>
  <c r="AI690" i="1"/>
  <c r="AJ690" i="1"/>
  <c r="AK690" i="1"/>
  <c r="X691" i="1"/>
  <c r="Y691" i="1"/>
  <c r="AB691" i="1"/>
  <c r="AC691" i="1"/>
  <c r="AG691" i="1"/>
  <c r="AI691" i="1"/>
  <c r="AJ691" i="1"/>
  <c r="AK691" i="1"/>
  <c r="X692" i="1"/>
  <c r="Y692" i="1"/>
  <c r="AB692" i="1"/>
  <c r="AC692" i="1"/>
  <c r="AG692" i="1"/>
  <c r="AI692" i="1"/>
  <c r="AJ692" i="1"/>
  <c r="AK692" i="1"/>
  <c r="X693" i="1"/>
  <c r="Y693" i="1"/>
  <c r="AB693" i="1"/>
  <c r="AC693" i="1"/>
  <c r="AG693" i="1"/>
  <c r="AI693" i="1"/>
  <c r="AJ693" i="1"/>
  <c r="AK693" i="1"/>
  <c r="X694" i="1"/>
  <c r="Y694" i="1"/>
  <c r="AB694" i="1"/>
  <c r="AC694" i="1"/>
  <c r="AG694" i="1"/>
  <c r="AI694" i="1"/>
  <c r="AJ694" i="1"/>
  <c r="AK694" i="1"/>
  <c r="X695" i="1"/>
  <c r="Y695" i="1"/>
  <c r="AB695" i="1"/>
  <c r="AC695" i="1"/>
  <c r="AG695" i="1"/>
  <c r="AI695" i="1"/>
  <c r="AJ695" i="1"/>
  <c r="AK695" i="1"/>
  <c r="X696" i="1"/>
  <c r="Y696" i="1"/>
  <c r="AB696" i="1"/>
  <c r="AC696" i="1"/>
  <c r="AG696" i="1"/>
  <c r="AI696" i="1"/>
  <c r="AJ696" i="1"/>
  <c r="AK696" i="1"/>
  <c r="X697" i="1"/>
  <c r="Y697" i="1"/>
  <c r="AB697" i="1"/>
  <c r="AC697" i="1"/>
  <c r="AG697" i="1"/>
  <c r="AI697" i="1"/>
  <c r="AJ697" i="1"/>
  <c r="AK697" i="1"/>
  <c r="X698" i="1"/>
  <c r="Y698" i="1"/>
  <c r="AB698" i="1"/>
  <c r="AC698" i="1"/>
  <c r="AG698" i="1"/>
  <c r="AI698" i="1"/>
  <c r="AJ698" i="1"/>
  <c r="AK698" i="1"/>
  <c r="X699" i="1"/>
  <c r="Y699" i="1"/>
  <c r="AB699" i="1"/>
  <c r="AC699" i="1"/>
  <c r="AG699" i="1"/>
  <c r="AI699" i="1"/>
  <c r="AJ699" i="1"/>
  <c r="AK699" i="1"/>
  <c r="X700" i="1"/>
  <c r="Y700" i="1"/>
  <c r="AB700" i="1"/>
  <c r="AC700" i="1"/>
  <c r="AG700" i="1"/>
  <c r="AI700" i="1"/>
  <c r="AJ700" i="1"/>
  <c r="AK700" i="1"/>
  <c r="X701" i="1"/>
  <c r="Y701" i="1"/>
  <c r="AB701" i="1"/>
  <c r="AC701" i="1"/>
  <c r="AG701" i="1"/>
  <c r="AI701" i="1"/>
  <c r="AJ701" i="1"/>
  <c r="AK701" i="1"/>
  <c r="X702" i="1"/>
  <c r="Y702" i="1"/>
  <c r="AB702" i="1"/>
  <c r="AC702" i="1"/>
  <c r="AG702" i="1"/>
  <c r="AI702" i="1"/>
  <c r="AJ702" i="1"/>
  <c r="AK702" i="1"/>
  <c r="X703" i="1"/>
  <c r="Y703" i="1"/>
  <c r="AB703" i="1"/>
  <c r="AC703" i="1"/>
  <c r="AG703" i="1"/>
  <c r="AI703" i="1"/>
  <c r="AJ703" i="1"/>
  <c r="AK703" i="1"/>
  <c r="X704" i="1"/>
  <c r="Y704" i="1"/>
  <c r="AB704" i="1"/>
  <c r="AC704" i="1"/>
  <c r="AG704" i="1"/>
  <c r="AI704" i="1"/>
  <c r="AJ704" i="1"/>
  <c r="AK704" i="1"/>
  <c r="X705" i="1"/>
  <c r="Y705" i="1"/>
  <c r="AB705" i="1"/>
  <c r="AC705" i="1"/>
  <c r="AG705" i="1"/>
  <c r="AI705" i="1"/>
  <c r="AJ705" i="1"/>
  <c r="AK705" i="1"/>
  <c r="X706" i="1"/>
  <c r="Y706" i="1"/>
  <c r="AB706" i="1"/>
  <c r="AC706" i="1"/>
  <c r="AG706" i="1"/>
  <c r="AI706" i="1"/>
  <c r="AJ706" i="1"/>
  <c r="AK706" i="1"/>
  <c r="X707" i="1"/>
  <c r="Y707" i="1"/>
  <c r="AB707" i="1"/>
  <c r="AC707" i="1"/>
  <c r="AG707" i="1"/>
  <c r="AI707" i="1"/>
  <c r="AJ707" i="1"/>
  <c r="AK707" i="1"/>
  <c r="X708" i="1"/>
  <c r="Y708" i="1"/>
  <c r="AB708" i="1"/>
  <c r="AC708" i="1"/>
  <c r="AG708" i="1"/>
  <c r="AI708" i="1"/>
  <c r="AJ708" i="1"/>
  <c r="AK708" i="1"/>
  <c r="X709" i="1"/>
  <c r="Y709" i="1"/>
  <c r="AB709" i="1"/>
  <c r="AC709" i="1"/>
  <c r="AG709" i="1"/>
  <c r="AI709" i="1"/>
  <c r="AJ709" i="1"/>
  <c r="AK709" i="1"/>
  <c r="X710" i="1"/>
  <c r="Y710" i="1"/>
  <c r="AB710" i="1"/>
  <c r="AC710" i="1"/>
  <c r="AG710" i="1"/>
  <c r="AI710" i="1"/>
  <c r="AJ710" i="1"/>
  <c r="AK710" i="1"/>
  <c r="X711" i="1"/>
  <c r="Y711" i="1"/>
  <c r="AB711" i="1"/>
  <c r="AC711" i="1"/>
  <c r="AG711" i="1"/>
  <c r="AI711" i="1"/>
  <c r="AJ711" i="1"/>
  <c r="AK711" i="1"/>
  <c r="X712" i="1"/>
  <c r="Y712" i="1"/>
  <c r="AB712" i="1"/>
  <c r="AC712" i="1"/>
  <c r="AG712" i="1"/>
  <c r="AI712" i="1"/>
  <c r="AJ712" i="1"/>
  <c r="AK712" i="1"/>
  <c r="X713" i="1"/>
  <c r="Y713" i="1"/>
  <c r="AB713" i="1"/>
  <c r="AC713" i="1"/>
  <c r="AG713" i="1"/>
  <c r="AI713" i="1"/>
  <c r="AJ713" i="1"/>
  <c r="AK713" i="1"/>
  <c r="X714" i="1"/>
  <c r="Y714" i="1"/>
  <c r="AB714" i="1"/>
  <c r="AC714" i="1"/>
  <c r="AG714" i="1"/>
  <c r="AI714" i="1"/>
  <c r="AJ714" i="1"/>
  <c r="AK714" i="1"/>
  <c r="X715" i="1"/>
  <c r="Y715" i="1"/>
  <c r="AB715" i="1"/>
  <c r="AC715" i="1"/>
  <c r="AG715" i="1"/>
  <c r="AI715" i="1"/>
  <c r="AJ715" i="1"/>
  <c r="AK715" i="1"/>
  <c r="X716" i="1"/>
  <c r="Y716" i="1"/>
  <c r="AB716" i="1"/>
  <c r="AC716" i="1"/>
  <c r="AG716" i="1"/>
  <c r="AI716" i="1"/>
  <c r="AJ716" i="1"/>
  <c r="AK716" i="1"/>
  <c r="X717" i="1"/>
  <c r="Y717" i="1"/>
  <c r="AB717" i="1"/>
  <c r="AC717" i="1"/>
  <c r="AG717" i="1"/>
  <c r="AI717" i="1"/>
  <c r="AJ717" i="1"/>
  <c r="AK717" i="1"/>
  <c r="X718" i="1"/>
  <c r="Y718" i="1"/>
  <c r="AB718" i="1"/>
  <c r="AC718" i="1"/>
  <c r="AG718" i="1"/>
  <c r="AI718" i="1"/>
  <c r="AJ718" i="1"/>
  <c r="AK718" i="1"/>
  <c r="X719" i="1"/>
  <c r="Y719" i="1"/>
  <c r="AB719" i="1"/>
  <c r="AC719" i="1"/>
  <c r="AG719" i="1"/>
  <c r="AI719" i="1"/>
  <c r="AJ719" i="1"/>
  <c r="AK719" i="1"/>
  <c r="X720" i="1"/>
  <c r="Y720" i="1"/>
  <c r="AB720" i="1"/>
  <c r="AC720" i="1"/>
  <c r="AG720" i="1"/>
  <c r="AI720" i="1"/>
  <c r="AJ720" i="1"/>
  <c r="AK720" i="1"/>
  <c r="X721" i="1"/>
  <c r="Y721" i="1"/>
  <c r="AB721" i="1"/>
  <c r="AC721" i="1"/>
  <c r="AG721" i="1"/>
  <c r="AI721" i="1"/>
  <c r="AJ721" i="1"/>
  <c r="AK721" i="1"/>
  <c r="X722" i="1"/>
  <c r="Y722" i="1"/>
  <c r="AB722" i="1"/>
  <c r="AC722" i="1"/>
  <c r="AG722" i="1"/>
  <c r="AI722" i="1"/>
  <c r="AJ722" i="1"/>
  <c r="AK722" i="1"/>
  <c r="X723" i="1"/>
  <c r="Y723" i="1"/>
  <c r="AB723" i="1"/>
  <c r="AC723" i="1"/>
  <c r="AG723" i="1"/>
  <c r="AI723" i="1"/>
  <c r="AJ723" i="1"/>
  <c r="AK723" i="1"/>
  <c r="X724" i="1"/>
  <c r="Y724" i="1"/>
  <c r="AB724" i="1"/>
  <c r="AC724" i="1"/>
  <c r="AG724" i="1"/>
  <c r="AI724" i="1"/>
  <c r="AJ724" i="1"/>
  <c r="AK724" i="1"/>
  <c r="X725" i="1"/>
  <c r="Y725" i="1"/>
  <c r="AB725" i="1"/>
  <c r="AC725" i="1"/>
  <c r="AG725" i="1"/>
  <c r="AI725" i="1"/>
  <c r="AJ725" i="1"/>
  <c r="AK725" i="1"/>
  <c r="X726" i="1"/>
  <c r="Y726" i="1"/>
  <c r="AB726" i="1"/>
  <c r="AC726" i="1"/>
  <c r="AG726" i="1"/>
  <c r="AI726" i="1"/>
  <c r="AJ726" i="1"/>
  <c r="AK726" i="1"/>
  <c r="X727" i="1"/>
  <c r="Y727" i="1"/>
  <c r="AB727" i="1"/>
  <c r="AC727" i="1"/>
  <c r="AG727" i="1"/>
  <c r="AI727" i="1"/>
  <c r="AJ727" i="1"/>
  <c r="AK727" i="1"/>
  <c r="X728" i="1"/>
  <c r="Y728" i="1"/>
  <c r="AB728" i="1"/>
  <c r="AC728" i="1"/>
  <c r="AG728" i="1"/>
  <c r="AI728" i="1"/>
  <c r="AJ728" i="1"/>
  <c r="AK728" i="1"/>
  <c r="X729" i="1"/>
  <c r="Y729" i="1"/>
  <c r="AB729" i="1"/>
  <c r="AC729" i="1"/>
  <c r="AG729" i="1"/>
  <c r="AI729" i="1"/>
  <c r="AJ729" i="1"/>
  <c r="AK729" i="1"/>
  <c r="X730" i="1"/>
  <c r="Y730" i="1"/>
  <c r="AB730" i="1"/>
  <c r="AC730" i="1"/>
  <c r="AG730" i="1"/>
  <c r="AI730" i="1"/>
  <c r="AJ730" i="1"/>
  <c r="AK730" i="1"/>
  <c r="X731" i="1"/>
  <c r="Y731" i="1"/>
  <c r="AB731" i="1"/>
  <c r="AC731" i="1"/>
  <c r="AG731" i="1"/>
  <c r="AI731" i="1"/>
  <c r="AJ731" i="1"/>
  <c r="AK731" i="1"/>
  <c r="X732" i="1"/>
  <c r="Y732" i="1"/>
  <c r="AB732" i="1"/>
  <c r="AC732" i="1"/>
  <c r="AG732" i="1"/>
  <c r="AI732" i="1"/>
  <c r="AJ732" i="1"/>
  <c r="AK732" i="1"/>
  <c r="X733" i="1"/>
  <c r="Y733" i="1"/>
  <c r="AB733" i="1"/>
  <c r="AC733" i="1"/>
  <c r="AG733" i="1"/>
  <c r="AI733" i="1"/>
  <c r="AJ733" i="1"/>
  <c r="AK733" i="1"/>
  <c r="X734" i="1"/>
  <c r="Y734" i="1"/>
  <c r="AB734" i="1"/>
  <c r="AC734" i="1"/>
  <c r="AG734" i="1"/>
  <c r="AI734" i="1"/>
  <c r="AJ734" i="1"/>
  <c r="AK734" i="1"/>
  <c r="X735" i="1"/>
  <c r="Y735" i="1"/>
  <c r="AB735" i="1"/>
  <c r="AC735" i="1"/>
  <c r="AG735" i="1"/>
  <c r="AI735" i="1"/>
  <c r="AJ735" i="1"/>
  <c r="AK735" i="1"/>
  <c r="X736" i="1"/>
  <c r="Y736" i="1"/>
  <c r="AB736" i="1"/>
  <c r="AC736" i="1"/>
  <c r="AG736" i="1"/>
  <c r="AI736" i="1"/>
  <c r="AJ736" i="1"/>
  <c r="AK736" i="1"/>
  <c r="X737" i="1"/>
  <c r="Y737" i="1"/>
  <c r="AB737" i="1"/>
  <c r="AC737" i="1"/>
  <c r="AG737" i="1"/>
  <c r="AI737" i="1"/>
  <c r="AJ737" i="1"/>
  <c r="AK737" i="1"/>
  <c r="X738" i="1"/>
  <c r="Y738" i="1"/>
  <c r="AB738" i="1"/>
  <c r="AC738" i="1"/>
  <c r="AG738" i="1"/>
  <c r="AI738" i="1"/>
  <c r="AJ738" i="1"/>
  <c r="AK738" i="1"/>
  <c r="X739" i="1"/>
  <c r="Y739" i="1"/>
  <c r="AB739" i="1"/>
  <c r="AC739" i="1"/>
  <c r="AG739" i="1"/>
  <c r="AI739" i="1"/>
  <c r="AJ739" i="1"/>
  <c r="AK739" i="1"/>
  <c r="X740" i="1"/>
  <c r="Y740" i="1"/>
  <c r="AB740" i="1"/>
  <c r="AC740" i="1"/>
  <c r="AG740" i="1"/>
  <c r="AI740" i="1"/>
  <c r="AJ740" i="1"/>
  <c r="AK740" i="1"/>
  <c r="X741" i="1"/>
  <c r="Y741" i="1"/>
  <c r="AB741" i="1"/>
  <c r="AC741" i="1"/>
  <c r="AG741" i="1"/>
  <c r="AI741" i="1"/>
  <c r="AJ741" i="1"/>
  <c r="AK741" i="1"/>
  <c r="X742" i="1"/>
  <c r="Y742" i="1"/>
  <c r="AB742" i="1"/>
  <c r="AC742" i="1"/>
  <c r="AG742" i="1"/>
  <c r="AI742" i="1"/>
  <c r="AJ742" i="1"/>
  <c r="AK742" i="1"/>
  <c r="X743" i="1"/>
  <c r="Y743" i="1"/>
  <c r="AB743" i="1"/>
  <c r="AC743" i="1"/>
  <c r="AG743" i="1"/>
  <c r="AI743" i="1"/>
  <c r="AJ743" i="1"/>
  <c r="AK743" i="1"/>
  <c r="X744" i="1"/>
  <c r="Y744" i="1"/>
  <c r="AB744" i="1"/>
  <c r="AC744" i="1"/>
  <c r="AG744" i="1"/>
  <c r="AI744" i="1"/>
  <c r="AJ744" i="1"/>
  <c r="AK744" i="1"/>
  <c r="X745" i="1"/>
  <c r="Y745" i="1"/>
  <c r="AB745" i="1"/>
  <c r="AC745" i="1"/>
  <c r="AG745" i="1"/>
  <c r="AI745" i="1"/>
  <c r="AJ745" i="1"/>
  <c r="AK745" i="1"/>
  <c r="X746" i="1"/>
  <c r="Y746" i="1"/>
  <c r="AB746" i="1"/>
  <c r="AC746" i="1"/>
  <c r="AG746" i="1"/>
  <c r="AI746" i="1"/>
  <c r="AJ746" i="1"/>
  <c r="AK746" i="1"/>
  <c r="X747" i="1"/>
  <c r="Y747" i="1"/>
  <c r="AB747" i="1"/>
  <c r="AC747" i="1"/>
  <c r="AG747" i="1"/>
  <c r="AI747" i="1"/>
  <c r="AJ747" i="1"/>
  <c r="AK747" i="1"/>
  <c r="X748" i="1"/>
  <c r="Y748" i="1"/>
  <c r="AB748" i="1"/>
  <c r="AC748" i="1"/>
  <c r="AG748" i="1"/>
  <c r="AI748" i="1"/>
  <c r="AJ748" i="1"/>
  <c r="AK748" i="1"/>
  <c r="X749" i="1"/>
  <c r="Y749" i="1"/>
  <c r="AB749" i="1"/>
  <c r="AC749" i="1"/>
  <c r="AG749" i="1"/>
  <c r="AI749" i="1"/>
  <c r="AJ749" i="1"/>
  <c r="AK749" i="1"/>
  <c r="X750" i="1"/>
  <c r="Y750" i="1"/>
  <c r="AB750" i="1"/>
  <c r="AC750" i="1"/>
  <c r="AG750" i="1"/>
  <c r="AI750" i="1"/>
  <c r="AJ750" i="1"/>
  <c r="AK750" i="1"/>
  <c r="X751" i="1"/>
  <c r="Y751" i="1"/>
  <c r="AB751" i="1"/>
  <c r="AC751" i="1"/>
  <c r="AG751" i="1"/>
  <c r="AI751" i="1"/>
  <c r="AJ751" i="1"/>
  <c r="AK751" i="1"/>
  <c r="X752" i="1"/>
  <c r="Y752" i="1"/>
  <c r="AB752" i="1"/>
  <c r="AC752" i="1"/>
  <c r="AG752" i="1"/>
  <c r="AI752" i="1"/>
  <c r="AJ752" i="1"/>
  <c r="AK752" i="1"/>
  <c r="X753" i="1"/>
  <c r="Y753" i="1"/>
  <c r="AB753" i="1"/>
  <c r="AC753" i="1"/>
  <c r="AG753" i="1"/>
  <c r="AI753" i="1"/>
  <c r="AJ753" i="1"/>
  <c r="AK753" i="1"/>
  <c r="X754" i="1"/>
  <c r="Y754" i="1"/>
  <c r="AB754" i="1"/>
  <c r="AC754" i="1"/>
  <c r="AG754" i="1"/>
  <c r="AI754" i="1"/>
  <c r="AJ754" i="1"/>
  <c r="AK754" i="1"/>
  <c r="X755" i="1"/>
  <c r="Y755" i="1"/>
  <c r="AB755" i="1"/>
  <c r="AC755" i="1"/>
  <c r="AG755" i="1"/>
  <c r="AI755" i="1"/>
  <c r="AJ755" i="1"/>
  <c r="AK755" i="1"/>
  <c r="X756" i="1"/>
  <c r="Y756" i="1"/>
  <c r="AB756" i="1"/>
  <c r="AC756" i="1"/>
  <c r="AG756" i="1"/>
  <c r="AI756" i="1"/>
  <c r="AJ756" i="1"/>
  <c r="AK756" i="1"/>
  <c r="X757" i="1"/>
  <c r="Y757" i="1"/>
  <c r="AB757" i="1"/>
  <c r="AC757" i="1"/>
  <c r="AG757" i="1"/>
  <c r="AI757" i="1"/>
  <c r="AJ757" i="1"/>
  <c r="AK757" i="1"/>
  <c r="X758" i="1"/>
  <c r="Y758" i="1"/>
  <c r="AB758" i="1"/>
  <c r="AC758" i="1"/>
  <c r="AG758" i="1"/>
  <c r="AI758" i="1"/>
  <c r="AJ758" i="1"/>
  <c r="AK758" i="1"/>
  <c r="X759" i="1"/>
  <c r="Y759" i="1"/>
  <c r="AB759" i="1"/>
  <c r="AC759" i="1"/>
  <c r="AG759" i="1"/>
  <c r="AI759" i="1"/>
  <c r="AJ759" i="1"/>
  <c r="AK759" i="1"/>
  <c r="X760" i="1"/>
  <c r="Y760" i="1"/>
  <c r="AB760" i="1"/>
  <c r="AC760" i="1"/>
  <c r="AG760" i="1"/>
  <c r="AI760" i="1"/>
  <c r="AJ760" i="1"/>
  <c r="AK760" i="1"/>
  <c r="X761" i="1"/>
  <c r="Y761" i="1"/>
  <c r="AB761" i="1"/>
  <c r="AC761" i="1"/>
  <c r="AG761" i="1"/>
  <c r="AI761" i="1"/>
  <c r="AJ761" i="1"/>
  <c r="AK761" i="1"/>
  <c r="X762" i="1"/>
  <c r="Y762" i="1"/>
  <c r="AB762" i="1"/>
  <c r="AC762" i="1"/>
  <c r="AG762" i="1"/>
  <c r="AI762" i="1"/>
  <c r="AJ762" i="1"/>
  <c r="AK762" i="1"/>
  <c r="X763" i="1"/>
  <c r="Y763" i="1"/>
  <c r="AB763" i="1"/>
  <c r="AC763" i="1"/>
  <c r="AG763" i="1"/>
  <c r="AI763" i="1"/>
  <c r="AJ763" i="1"/>
  <c r="AK763" i="1"/>
  <c r="X764" i="1"/>
  <c r="Y764" i="1"/>
  <c r="AB764" i="1"/>
  <c r="AC764" i="1"/>
  <c r="AG764" i="1"/>
  <c r="AI764" i="1"/>
  <c r="AJ764" i="1"/>
  <c r="AK764" i="1"/>
  <c r="X765" i="1"/>
  <c r="Y765" i="1"/>
  <c r="AB765" i="1"/>
  <c r="AC765" i="1"/>
  <c r="AG765" i="1"/>
  <c r="AI765" i="1"/>
  <c r="AJ765" i="1"/>
  <c r="AK765" i="1"/>
  <c r="X766" i="1"/>
  <c r="Y766" i="1"/>
  <c r="AB766" i="1"/>
  <c r="AC766" i="1"/>
  <c r="AG766" i="1"/>
  <c r="AI766" i="1"/>
  <c r="AJ766" i="1"/>
  <c r="AK766" i="1"/>
  <c r="X767" i="1"/>
  <c r="Y767" i="1"/>
  <c r="AB767" i="1"/>
  <c r="AC767" i="1"/>
  <c r="AG767" i="1"/>
  <c r="AI767" i="1"/>
  <c r="AJ767" i="1"/>
  <c r="AK767" i="1"/>
  <c r="X768" i="1"/>
  <c r="Y768" i="1"/>
  <c r="AB768" i="1"/>
  <c r="AC768" i="1"/>
  <c r="AG768" i="1"/>
  <c r="AI768" i="1"/>
  <c r="AJ768" i="1"/>
  <c r="AK768" i="1"/>
  <c r="X769" i="1"/>
  <c r="Y769" i="1"/>
  <c r="AB769" i="1"/>
  <c r="AC769" i="1"/>
  <c r="AG769" i="1"/>
  <c r="AI769" i="1"/>
  <c r="AJ769" i="1"/>
  <c r="AK769" i="1"/>
  <c r="X770" i="1"/>
  <c r="Y770" i="1"/>
  <c r="AB770" i="1"/>
  <c r="AC770" i="1"/>
  <c r="AG770" i="1"/>
  <c r="AI770" i="1"/>
  <c r="AJ770" i="1"/>
  <c r="AK770" i="1"/>
  <c r="X771" i="1"/>
  <c r="Y771" i="1"/>
  <c r="AB771" i="1"/>
  <c r="AC771" i="1"/>
  <c r="AG771" i="1"/>
  <c r="AI771" i="1"/>
  <c r="AJ771" i="1"/>
  <c r="AK771" i="1"/>
  <c r="X772" i="1"/>
  <c r="Y772" i="1"/>
  <c r="AB772" i="1"/>
  <c r="AC772" i="1"/>
  <c r="AG772" i="1"/>
  <c r="AI772" i="1"/>
  <c r="AJ772" i="1"/>
  <c r="AK772" i="1"/>
  <c r="X773" i="1"/>
  <c r="Y773" i="1"/>
  <c r="AB773" i="1"/>
  <c r="AC773" i="1"/>
  <c r="AG773" i="1"/>
  <c r="AI773" i="1"/>
  <c r="AJ773" i="1"/>
  <c r="AK773" i="1"/>
  <c r="X774" i="1"/>
  <c r="Y774" i="1"/>
  <c r="AB774" i="1"/>
  <c r="AC774" i="1"/>
  <c r="AG774" i="1"/>
  <c r="AI774" i="1"/>
  <c r="AJ774" i="1"/>
  <c r="AK774" i="1"/>
  <c r="X775" i="1"/>
  <c r="Y775" i="1"/>
  <c r="AB775" i="1"/>
  <c r="AC775" i="1"/>
  <c r="AG775" i="1"/>
  <c r="AI775" i="1"/>
  <c r="AJ775" i="1"/>
  <c r="AK775" i="1"/>
  <c r="X776" i="1"/>
  <c r="Y776" i="1"/>
  <c r="AB776" i="1"/>
  <c r="AC776" i="1"/>
  <c r="AG776" i="1"/>
  <c r="AI776" i="1"/>
  <c r="AJ776" i="1"/>
  <c r="AK776" i="1"/>
  <c r="X777" i="1"/>
  <c r="Y777" i="1"/>
  <c r="AB777" i="1"/>
  <c r="AC777" i="1"/>
  <c r="AG777" i="1"/>
  <c r="AI777" i="1"/>
  <c r="AJ777" i="1"/>
  <c r="AK777" i="1"/>
  <c r="X778" i="1"/>
  <c r="Y778" i="1"/>
  <c r="AB778" i="1"/>
  <c r="AC778" i="1"/>
  <c r="AG778" i="1"/>
  <c r="AI778" i="1"/>
  <c r="AJ778" i="1"/>
  <c r="AK778" i="1"/>
  <c r="X779" i="1"/>
  <c r="Y779" i="1"/>
  <c r="AB779" i="1"/>
  <c r="AC779" i="1"/>
  <c r="AG779" i="1"/>
  <c r="AI779" i="1"/>
  <c r="AJ779" i="1"/>
  <c r="AK779" i="1"/>
  <c r="X780" i="1"/>
  <c r="Y780" i="1"/>
  <c r="AB780" i="1"/>
  <c r="AC780" i="1"/>
  <c r="AG780" i="1"/>
  <c r="AI780" i="1"/>
  <c r="AJ780" i="1"/>
  <c r="AK780" i="1"/>
  <c r="X781" i="1"/>
  <c r="Y781" i="1"/>
  <c r="AB781" i="1"/>
  <c r="AC781" i="1"/>
  <c r="AG781" i="1"/>
  <c r="AI781" i="1"/>
  <c r="AJ781" i="1"/>
  <c r="AK781" i="1"/>
  <c r="X782" i="1"/>
  <c r="Y782" i="1"/>
  <c r="AB782" i="1"/>
  <c r="AC782" i="1"/>
  <c r="AG782" i="1"/>
  <c r="AI782" i="1"/>
  <c r="AJ782" i="1"/>
  <c r="AK782" i="1"/>
  <c r="X783" i="1"/>
  <c r="Y783" i="1"/>
  <c r="AB783" i="1"/>
  <c r="AC783" i="1"/>
  <c r="AG783" i="1"/>
  <c r="AI783" i="1"/>
  <c r="AJ783" i="1"/>
  <c r="AK783" i="1"/>
  <c r="X784" i="1"/>
  <c r="Y784" i="1"/>
  <c r="AB784" i="1"/>
  <c r="AC784" i="1"/>
  <c r="AG784" i="1"/>
  <c r="AI784" i="1"/>
  <c r="AJ784" i="1"/>
  <c r="AK784" i="1"/>
  <c r="X785" i="1"/>
  <c r="Y785" i="1"/>
  <c r="AB785" i="1"/>
  <c r="AC785" i="1"/>
  <c r="AG785" i="1"/>
  <c r="AI785" i="1"/>
  <c r="AJ785" i="1"/>
  <c r="AK785" i="1"/>
  <c r="X786" i="1"/>
  <c r="Y786" i="1"/>
  <c r="AB786" i="1"/>
  <c r="AC786" i="1"/>
  <c r="AG786" i="1"/>
  <c r="AI786" i="1"/>
  <c r="AJ786" i="1"/>
  <c r="AK786" i="1"/>
  <c r="X787" i="1"/>
  <c r="Y787" i="1"/>
  <c r="AB787" i="1"/>
  <c r="AC787" i="1"/>
  <c r="AG787" i="1"/>
  <c r="AI787" i="1"/>
  <c r="AJ787" i="1"/>
  <c r="AK787" i="1"/>
  <c r="X788" i="1"/>
  <c r="Y788" i="1"/>
  <c r="AB788" i="1"/>
  <c r="AC788" i="1"/>
  <c r="AG788" i="1"/>
  <c r="AI788" i="1"/>
  <c r="AJ788" i="1"/>
  <c r="AK788" i="1"/>
  <c r="X789" i="1"/>
  <c r="Y789" i="1"/>
  <c r="AB789" i="1"/>
  <c r="AC789" i="1"/>
  <c r="AG789" i="1"/>
  <c r="AI789" i="1"/>
  <c r="AJ789" i="1"/>
  <c r="AK789" i="1"/>
  <c r="X790" i="1"/>
  <c r="Y790" i="1"/>
  <c r="AB790" i="1"/>
  <c r="AC790" i="1"/>
  <c r="AG790" i="1"/>
  <c r="AI790" i="1"/>
  <c r="AJ790" i="1"/>
  <c r="AK790" i="1"/>
  <c r="X791" i="1"/>
  <c r="Y791" i="1"/>
  <c r="AB791" i="1"/>
  <c r="AC791" i="1"/>
  <c r="AG791" i="1"/>
  <c r="AI791" i="1"/>
  <c r="AJ791" i="1"/>
  <c r="AK791" i="1"/>
  <c r="X792" i="1"/>
  <c r="Y792" i="1"/>
  <c r="AB792" i="1"/>
  <c r="AC792" i="1"/>
  <c r="AG792" i="1"/>
  <c r="AI792" i="1"/>
  <c r="AJ792" i="1"/>
  <c r="AK792" i="1"/>
  <c r="X793" i="1"/>
  <c r="Y793" i="1"/>
  <c r="AB793" i="1"/>
  <c r="AC793" i="1"/>
  <c r="AG793" i="1"/>
  <c r="AI793" i="1"/>
  <c r="AJ793" i="1"/>
  <c r="AK793" i="1"/>
  <c r="X794" i="1"/>
  <c r="Y794" i="1"/>
  <c r="AB794" i="1"/>
  <c r="AC794" i="1"/>
  <c r="AG794" i="1"/>
  <c r="AI794" i="1"/>
  <c r="AJ794" i="1"/>
  <c r="AK794" i="1"/>
  <c r="X795" i="1"/>
  <c r="Y795" i="1"/>
  <c r="AB795" i="1"/>
  <c r="AC795" i="1"/>
  <c r="AG795" i="1"/>
  <c r="AI795" i="1"/>
  <c r="AJ795" i="1"/>
  <c r="AK795" i="1"/>
  <c r="X796" i="1"/>
  <c r="Y796" i="1"/>
  <c r="AB796" i="1"/>
  <c r="AC796" i="1"/>
  <c r="AG796" i="1"/>
  <c r="AI796" i="1"/>
  <c r="AJ796" i="1"/>
  <c r="AK796" i="1"/>
  <c r="X797" i="1"/>
  <c r="Y797" i="1"/>
  <c r="AB797" i="1"/>
  <c r="AC797" i="1"/>
  <c r="AG797" i="1"/>
  <c r="AI797" i="1"/>
  <c r="AJ797" i="1"/>
  <c r="AK797" i="1"/>
  <c r="X798" i="1"/>
  <c r="Y798" i="1"/>
  <c r="AB798" i="1"/>
  <c r="AC798" i="1"/>
  <c r="AG798" i="1"/>
  <c r="AI798" i="1"/>
  <c r="AJ798" i="1"/>
  <c r="AK798" i="1"/>
  <c r="X799" i="1"/>
  <c r="Y799" i="1"/>
  <c r="AB799" i="1"/>
  <c r="AC799" i="1"/>
  <c r="AG799" i="1"/>
  <c r="AI799" i="1"/>
  <c r="AJ799" i="1"/>
  <c r="AK799" i="1"/>
  <c r="X800" i="1"/>
  <c r="Y800" i="1"/>
  <c r="AB800" i="1"/>
  <c r="AC800" i="1"/>
  <c r="AG800" i="1"/>
  <c r="AI800" i="1"/>
  <c r="AJ800" i="1"/>
  <c r="AK800" i="1"/>
  <c r="X801" i="1"/>
  <c r="Y801" i="1"/>
  <c r="AB801" i="1"/>
  <c r="AC801" i="1"/>
  <c r="AG801" i="1"/>
  <c r="AI801" i="1"/>
  <c r="AJ801" i="1"/>
  <c r="AK801" i="1"/>
  <c r="X802" i="1"/>
  <c r="Y802" i="1"/>
  <c r="AB802" i="1"/>
  <c r="AC802" i="1"/>
  <c r="AG802" i="1"/>
  <c r="AI802" i="1"/>
  <c r="AJ802" i="1"/>
  <c r="AK802" i="1"/>
  <c r="X803" i="1"/>
  <c r="Y803" i="1"/>
  <c r="AB803" i="1"/>
  <c r="AC803" i="1"/>
  <c r="AG803" i="1"/>
  <c r="AI803" i="1"/>
  <c r="AJ803" i="1"/>
  <c r="AK803" i="1"/>
  <c r="X804" i="1"/>
  <c r="Y804" i="1"/>
  <c r="AB804" i="1"/>
  <c r="AC804" i="1"/>
  <c r="AG804" i="1"/>
  <c r="AI804" i="1"/>
  <c r="AJ804" i="1"/>
  <c r="AK804" i="1"/>
  <c r="X805" i="1"/>
  <c r="Y805" i="1"/>
  <c r="AB805" i="1"/>
  <c r="AC805" i="1"/>
  <c r="AG805" i="1"/>
  <c r="AI805" i="1"/>
  <c r="AJ805" i="1"/>
  <c r="AK805" i="1"/>
  <c r="X806" i="1"/>
  <c r="Y806" i="1"/>
  <c r="AB806" i="1"/>
  <c r="AC806" i="1"/>
  <c r="AG806" i="1"/>
  <c r="AI806" i="1"/>
  <c r="AJ806" i="1"/>
  <c r="AK806" i="1"/>
  <c r="X807" i="1"/>
  <c r="Y807" i="1"/>
  <c r="AB807" i="1"/>
  <c r="AC807" i="1"/>
  <c r="AG807" i="1"/>
  <c r="AI807" i="1"/>
  <c r="AJ807" i="1"/>
  <c r="AK807" i="1"/>
  <c r="X808" i="1"/>
  <c r="Y808" i="1"/>
  <c r="AB808" i="1"/>
  <c r="AC808" i="1"/>
  <c r="AG808" i="1"/>
  <c r="AI808" i="1"/>
  <c r="AJ808" i="1"/>
  <c r="AK808" i="1"/>
  <c r="X809" i="1"/>
  <c r="Y809" i="1"/>
  <c r="AB809" i="1"/>
  <c r="AC809" i="1"/>
  <c r="AG809" i="1"/>
  <c r="AI809" i="1"/>
  <c r="AJ809" i="1"/>
  <c r="AK809" i="1"/>
  <c r="X810" i="1"/>
  <c r="Y810" i="1"/>
  <c r="AB810" i="1"/>
  <c r="AC810" i="1"/>
  <c r="AG810" i="1"/>
  <c r="AI810" i="1"/>
  <c r="AJ810" i="1"/>
  <c r="AK810" i="1"/>
  <c r="X811" i="1"/>
  <c r="Y811" i="1"/>
  <c r="AB811" i="1"/>
  <c r="AC811" i="1"/>
  <c r="AG811" i="1"/>
  <c r="AI811" i="1"/>
  <c r="AJ811" i="1"/>
  <c r="AK811" i="1"/>
  <c r="X812" i="1"/>
  <c r="Y812" i="1"/>
  <c r="AB812" i="1"/>
  <c r="AC812" i="1"/>
  <c r="AG812" i="1"/>
  <c r="AI812" i="1"/>
  <c r="AJ812" i="1"/>
  <c r="AK812" i="1"/>
  <c r="X813" i="1"/>
  <c r="Y813" i="1"/>
  <c r="AB813" i="1"/>
  <c r="AC813" i="1"/>
  <c r="AG813" i="1"/>
  <c r="AI813" i="1"/>
  <c r="AJ813" i="1"/>
  <c r="AK813" i="1"/>
  <c r="X814" i="1"/>
  <c r="Y814" i="1"/>
  <c r="AB814" i="1"/>
  <c r="AC814" i="1"/>
  <c r="AG814" i="1"/>
  <c r="AI814" i="1"/>
  <c r="AJ814" i="1"/>
  <c r="AK814" i="1"/>
  <c r="X815" i="1"/>
  <c r="Y815" i="1"/>
  <c r="AB815" i="1"/>
  <c r="AC815" i="1"/>
  <c r="AG815" i="1"/>
  <c r="AI815" i="1"/>
  <c r="AJ815" i="1"/>
  <c r="AK815" i="1"/>
  <c r="X816" i="1"/>
  <c r="Y816" i="1"/>
  <c r="AB816" i="1"/>
  <c r="AC816" i="1"/>
  <c r="AG816" i="1"/>
  <c r="AI816" i="1"/>
  <c r="AJ816" i="1"/>
  <c r="AK816" i="1"/>
  <c r="X817" i="1"/>
  <c r="Y817" i="1"/>
  <c r="AB817" i="1"/>
  <c r="AC817" i="1"/>
  <c r="AG817" i="1"/>
  <c r="AI817" i="1"/>
  <c r="AJ817" i="1"/>
  <c r="AK817" i="1"/>
  <c r="X818" i="1"/>
  <c r="Y818" i="1"/>
  <c r="AB818" i="1"/>
  <c r="AC818" i="1"/>
  <c r="AG818" i="1"/>
  <c r="AI818" i="1"/>
  <c r="AJ818" i="1"/>
  <c r="AK818" i="1"/>
  <c r="X819" i="1"/>
  <c r="Y819" i="1"/>
  <c r="AB819" i="1"/>
  <c r="AC819" i="1"/>
  <c r="AG819" i="1"/>
  <c r="AI819" i="1"/>
  <c r="AJ819" i="1"/>
  <c r="AK819" i="1"/>
  <c r="X820" i="1"/>
  <c r="Y820" i="1"/>
  <c r="AB820" i="1"/>
  <c r="AC820" i="1"/>
  <c r="AG820" i="1"/>
  <c r="AI820" i="1"/>
  <c r="AJ820" i="1"/>
  <c r="AK820" i="1"/>
  <c r="X821" i="1"/>
  <c r="Y821" i="1"/>
  <c r="AB821" i="1"/>
  <c r="AC821" i="1"/>
  <c r="AG821" i="1"/>
  <c r="AI821" i="1"/>
  <c r="AJ821" i="1"/>
  <c r="AK821" i="1"/>
  <c r="X822" i="1"/>
  <c r="Y822" i="1"/>
  <c r="AB822" i="1"/>
  <c r="AC822" i="1"/>
  <c r="AG822" i="1"/>
  <c r="AI822" i="1"/>
  <c r="AJ822" i="1"/>
  <c r="AK822" i="1"/>
  <c r="X823" i="1"/>
  <c r="Y823" i="1"/>
  <c r="AB823" i="1"/>
  <c r="AC823" i="1"/>
  <c r="AG823" i="1"/>
  <c r="AI823" i="1"/>
  <c r="AJ823" i="1"/>
  <c r="AK823" i="1"/>
  <c r="X824" i="1"/>
  <c r="Y824" i="1"/>
  <c r="AB824" i="1"/>
  <c r="AC824" i="1"/>
  <c r="AG824" i="1"/>
  <c r="AI824" i="1"/>
  <c r="AJ824" i="1"/>
  <c r="AK824" i="1"/>
  <c r="X825" i="1"/>
  <c r="Y825" i="1"/>
  <c r="AB825" i="1"/>
  <c r="AC825" i="1"/>
  <c r="AG825" i="1"/>
  <c r="AI825" i="1"/>
  <c r="AJ825" i="1"/>
  <c r="AK825" i="1"/>
  <c r="X826" i="1"/>
  <c r="Y826" i="1"/>
  <c r="AB826" i="1"/>
  <c r="AC826" i="1"/>
  <c r="AG826" i="1"/>
  <c r="AI826" i="1"/>
  <c r="AJ826" i="1"/>
  <c r="AK826" i="1"/>
  <c r="X827" i="1"/>
  <c r="Y827" i="1"/>
  <c r="AB827" i="1"/>
  <c r="AC827" i="1"/>
  <c r="AG827" i="1"/>
  <c r="AI827" i="1"/>
  <c r="AJ827" i="1"/>
  <c r="AK827" i="1"/>
  <c r="X828" i="1"/>
  <c r="Y828" i="1"/>
  <c r="AB828" i="1"/>
  <c r="AC828" i="1"/>
  <c r="AG828" i="1"/>
  <c r="AI828" i="1"/>
  <c r="AJ828" i="1"/>
  <c r="AK828" i="1"/>
  <c r="X829" i="1"/>
  <c r="Y829" i="1"/>
  <c r="AB829" i="1"/>
  <c r="AC829" i="1"/>
  <c r="AG829" i="1"/>
  <c r="AI829" i="1"/>
  <c r="AJ829" i="1"/>
  <c r="AK829" i="1"/>
  <c r="X830" i="1"/>
  <c r="Y830" i="1"/>
  <c r="AB830" i="1"/>
  <c r="AC830" i="1"/>
  <c r="AG830" i="1"/>
  <c r="AI830" i="1"/>
  <c r="AJ830" i="1"/>
  <c r="AK830" i="1"/>
  <c r="X831" i="1"/>
  <c r="Y831" i="1"/>
  <c r="AB831" i="1"/>
  <c r="AC831" i="1"/>
  <c r="AG831" i="1"/>
  <c r="AI831" i="1"/>
  <c r="AJ831" i="1"/>
  <c r="AK831" i="1"/>
  <c r="X832" i="1"/>
  <c r="Y832" i="1"/>
  <c r="AB832" i="1"/>
  <c r="AC832" i="1"/>
  <c r="AG832" i="1"/>
  <c r="AI832" i="1"/>
  <c r="AJ832" i="1"/>
  <c r="AK832" i="1"/>
  <c r="X833" i="1"/>
  <c r="Y833" i="1"/>
  <c r="AB833" i="1"/>
  <c r="AC833" i="1"/>
  <c r="AG833" i="1"/>
  <c r="AI833" i="1"/>
  <c r="AJ833" i="1"/>
  <c r="AK833" i="1"/>
  <c r="X834" i="1"/>
  <c r="Y834" i="1"/>
  <c r="AB834" i="1"/>
  <c r="AC834" i="1"/>
  <c r="AG834" i="1"/>
  <c r="AI834" i="1"/>
  <c r="AJ834" i="1"/>
  <c r="AK834" i="1"/>
  <c r="X835" i="1"/>
  <c r="Y835" i="1"/>
  <c r="AB835" i="1"/>
  <c r="AC835" i="1"/>
  <c r="AG835" i="1"/>
  <c r="AI835" i="1"/>
  <c r="AJ835" i="1"/>
  <c r="AK835" i="1"/>
  <c r="X836" i="1"/>
  <c r="Y836" i="1"/>
  <c r="AB836" i="1"/>
  <c r="AC836" i="1"/>
  <c r="AG836" i="1"/>
  <c r="AI836" i="1"/>
  <c r="AJ836" i="1"/>
  <c r="AK836" i="1"/>
  <c r="X837" i="1"/>
  <c r="Y837" i="1"/>
  <c r="AB837" i="1"/>
  <c r="AC837" i="1"/>
  <c r="AG837" i="1"/>
  <c r="AI837" i="1"/>
  <c r="AJ837" i="1"/>
  <c r="AK837" i="1"/>
  <c r="X838" i="1"/>
  <c r="Y838" i="1"/>
  <c r="AB838" i="1"/>
  <c r="AC838" i="1"/>
  <c r="AG838" i="1"/>
  <c r="AI838" i="1"/>
  <c r="AJ838" i="1"/>
  <c r="AK838" i="1"/>
  <c r="X839" i="1"/>
  <c r="Y839" i="1"/>
  <c r="AB839" i="1"/>
  <c r="AC839" i="1"/>
  <c r="AG839" i="1"/>
  <c r="AI839" i="1"/>
  <c r="AJ839" i="1"/>
  <c r="AK839" i="1"/>
  <c r="X840" i="1"/>
  <c r="Y840" i="1"/>
  <c r="AB840" i="1"/>
  <c r="AC840" i="1"/>
  <c r="AG840" i="1"/>
  <c r="AI840" i="1"/>
  <c r="AJ840" i="1"/>
  <c r="AK840" i="1"/>
  <c r="X841" i="1"/>
  <c r="Y841" i="1"/>
  <c r="AB841" i="1"/>
  <c r="AC841" i="1"/>
  <c r="AG841" i="1"/>
  <c r="AI841" i="1"/>
  <c r="AJ841" i="1"/>
  <c r="AK841" i="1"/>
  <c r="X842" i="1"/>
  <c r="Y842" i="1"/>
  <c r="AB842" i="1"/>
  <c r="AC842" i="1"/>
  <c r="AG842" i="1"/>
  <c r="AI842" i="1"/>
  <c r="AJ842" i="1"/>
  <c r="AK842" i="1"/>
  <c r="X843" i="1"/>
  <c r="Y843" i="1"/>
  <c r="AB843" i="1"/>
  <c r="AC843" i="1"/>
  <c r="AG843" i="1"/>
  <c r="AI843" i="1"/>
  <c r="AJ843" i="1"/>
  <c r="AK843" i="1"/>
  <c r="X844" i="1"/>
  <c r="Y844" i="1"/>
  <c r="AB844" i="1"/>
  <c r="AC844" i="1"/>
  <c r="AG844" i="1"/>
  <c r="AI844" i="1"/>
  <c r="AJ844" i="1"/>
  <c r="AK844" i="1"/>
  <c r="X845" i="1"/>
  <c r="Y845" i="1"/>
  <c r="AB845" i="1"/>
  <c r="AC845" i="1"/>
  <c r="AG845" i="1"/>
  <c r="AI845" i="1"/>
  <c r="AJ845" i="1"/>
  <c r="AK845" i="1"/>
  <c r="X846" i="1"/>
  <c r="Y846" i="1"/>
  <c r="AB846" i="1"/>
  <c r="AC846" i="1"/>
  <c r="AG846" i="1"/>
  <c r="AI846" i="1"/>
  <c r="AJ846" i="1"/>
  <c r="AK846" i="1"/>
  <c r="X847" i="1"/>
  <c r="Y847" i="1"/>
  <c r="AB847" i="1"/>
  <c r="AC847" i="1"/>
  <c r="AG847" i="1"/>
  <c r="AI847" i="1"/>
  <c r="AJ847" i="1"/>
  <c r="AK847" i="1"/>
  <c r="X848" i="1"/>
  <c r="Y848" i="1"/>
  <c r="AB848" i="1"/>
  <c r="AC848" i="1"/>
  <c r="AG848" i="1"/>
  <c r="AI848" i="1"/>
  <c r="AJ848" i="1"/>
  <c r="AK848" i="1"/>
  <c r="X849" i="1"/>
  <c r="Y849" i="1"/>
  <c r="AB849" i="1"/>
  <c r="AC849" i="1"/>
  <c r="AG849" i="1"/>
  <c r="AI849" i="1"/>
  <c r="AJ849" i="1"/>
  <c r="AK849" i="1"/>
  <c r="X850" i="1"/>
  <c r="Y850" i="1"/>
  <c r="AB850" i="1"/>
  <c r="AC850" i="1"/>
  <c r="AG850" i="1"/>
  <c r="AI850" i="1"/>
  <c r="AJ850" i="1"/>
  <c r="AK850" i="1"/>
  <c r="X851" i="1"/>
  <c r="Y851" i="1"/>
  <c r="AB851" i="1"/>
  <c r="AC851" i="1"/>
  <c r="AG851" i="1"/>
  <c r="AI851" i="1"/>
  <c r="AJ851" i="1"/>
  <c r="AK851" i="1"/>
  <c r="X852" i="1"/>
  <c r="Y852" i="1"/>
  <c r="AB852" i="1"/>
  <c r="AC852" i="1"/>
  <c r="AG852" i="1"/>
  <c r="AI852" i="1"/>
  <c r="AJ852" i="1"/>
  <c r="AK852" i="1"/>
  <c r="X853" i="1"/>
  <c r="Y853" i="1"/>
  <c r="AB853" i="1"/>
  <c r="AC853" i="1"/>
  <c r="AG853" i="1"/>
  <c r="AI853" i="1"/>
  <c r="AJ853" i="1"/>
  <c r="AK853" i="1"/>
  <c r="X854" i="1"/>
  <c r="Y854" i="1"/>
  <c r="AB854" i="1"/>
  <c r="AC854" i="1"/>
  <c r="AG854" i="1"/>
  <c r="AI854" i="1"/>
  <c r="AJ854" i="1"/>
  <c r="AK854" i="1"/>
  <c r="X855" i="1"/>
  <c r="Y855" i="1"/>
  <c r="AB855" i="1"/>
  <c r="AC855" i="1"/>
  <c r="AG855" i="1"/>
  <c r="AI855" i="1"/>
  <c r="AJ855" i="1"/>
  <c r="AK855" i="1"/>
  <c r="X856" i="1"/>
  <c r="Y856" i="1"/>
  <c r="AB856" i="1"/>
  <c r="AC856" i="1"/>
  <c r="AG856" i="1"/>
  <c r="AI856" i="1"/>
  <c r="AJ856" i="1"/>
  <c r="AK856" i="1"/>
  <c r="X857" i="1"/>
  <c r="Y857" i="1"/>
  <c r="AB857" i="1"/>
  <c r="AC857" i="1"/>
  <c r="AG857" i="1"/>
  <c r="AI857" i="1"/>
  <c r="AJ857" i="1"/>
  <c r="AK857" i="1"/>
  <c r="X858" i="1"/>
  <c r="Y858" i="1"/>
  <c r="AB858" i="1"/>
  <c r="AC858" i="1"/>
  <c r="AG858" i="1"/>
  <c r="AI858" i="1"/>
  <c r="AJ858" i="1"/>
  <c r="AK858" i="1"/>
  <c r="X859" i="1"/>
  <c r="Y859" i="1"/>
  <c r="AB859" i="1"/>
  <c r="AC859" i="1"/>
  <c r="AG859" i="1"/>
  <c r="AI859" i="1"/>
  <c r="AJ859" i="1"/>
  <c r="AK859" i="1"/>
  <c r="X860" i="1"/>
  <c r="Y860" i="1"/>
  <c r="AB860" i="1"/>
  <c r="AC860" i="1"/>
  <c r="AG860" i="1"/>
  <c r="AI860" i="1"/>
  <c r="AJ860" i="1"/>
  <c r="AK860" i="1"/>
  <c r="X861" i="1"/>
  <c r="Y861" i="1"/>
  <c r="AB861" i="1"/>
  <c r="AC861" i="1"/>
  <c r="AG861" i="1"/>
  <c r="AI861" i="1"/>
  <c r="AJ861" i="1"/>
  <c r="AK861" i="1"/>
  <c r="X862" i="1"/>
  <c r="Y862" i="1"/>
  <c r="AB862" i="1"/>
  <c r="AC862" i="1"/>
  <c r="AG862" i="1"/>
  <c r="AI862" i="1"/>
  <c r="AJ862" i="1"/>
  <c r="AK862" i="1"/>
  <c r="X863" i="1"/>
  <c r="Y863" i="1"/>
  <c r="AB863" i="1"/>
  <c r="AC863" i="1"/>
  <c r="AG863" i="1"/>
  <c r="AI863" i="1"/>
  <c r="AJ863" i="1"/>
  <c r="AK863" i="1"/>
  <c r="X864" i="1"/>
  <c r="Y864" i="1"/>
  <c r="AB864" i="1"/>
  <c r="AC864" i="1"/>
  <c r="AG864" i="1"/>
  <c r="AI864" i="1"/>
  <c r="AJ864" i="1"/>
  <c r="AK864" i="1"/>
  <c r="X865" i="1"/>
  <c r="Y865" i="1"/>
  <c r="AB865" i="1"/>
  <c r="AC865" i="1"/>
  <c r="AG865" i="1"/>
  <c r="AI865" i="1"/>
  <c r="AJ865" i="1"/>
  <c r="AK865" i="1"/>
  <c r="X866" i="1"/>
  <c r="Y866" i="1"/>
  <c r="AB866" i="1"/>
  <c r="AC866" i="1"/>
  <c r="AG866" i="1"/>
  <c r="AI866" i="1"/>
  <c r="AJ866" i="1"/>
  <c r="AK866" i="1"/>
  <c r="X867" i="1"/>
  <c r="Y867" i="1"/>
  <c r="AB867" i="1"/>
  <c r="AC867" i="1"/>
  <c r="AG867" i="1"/>
  <c r="AI867" i="1"/>
  <c r="AJ867" i="1"/>
  <c r="AK867" i="1"/>
  <c r="X868" i="1"/>
  <c r="Y868" i="1"/>
  <c r="AB868" i="1"/>
  <c r="AC868" i="1"/>
  <c r="AG868" i="1"/>
  <c r="AI868" i="1"/>
  <c r="AJ868" i="1"/>
  <c r="AK868" i="1"/>
  <c r="X869" i="1"/>
  <c r="Y869" i="1"/>
  <c r="AB869" i="1"/>
  <c r="AC869" i="1"/>
  <c r="AG869" i="1"/>
  <c r="AI869" i="1"/>
  <c r="AJ869" i="1"/>
  <c r="AK869" i="1"/>
  <c r="X870" i="1"/>
  <c r="Y870" i="1"/>
  <c r="AB870" i="1"/>
  <c r="AC870" i="1"/>
  <c r="AG870" i="1"/>
  <c r="AI870" i="1"/>
  <c r="AJ870" i="1"/>
  <c r="AK870" i="1"/>
  <c r="X871" i="1"/>
  <c r="Y871" i="1"/>
  <c r="AB871" i="1"/>
  <c r="AC871" i="1"/>
  <c r="AG871" i="1"/>
  <c r="AI871" i="1"/>
  <c r="AJ871" i="1"/>
  <c r="AK871" i="1"/>
  <c r="X872" i="1"/>
  <c r="Y872" i="1"/>
  <c r="AB872" i="1"/>
  <c r="AC872" i="1"/>
  <c r="AG872" i="1"/>
  <c r="AI872" i="1"/>
  <c r="AJ872" i="1"/>
  <c r="AK872" i="1"/>
  <c r="X873" i="1"/>
  <c r="Y873" i="1"/>
  <c r="AB873" i="1"/>
  <c r="AC873" i="1"/>
  <c r="AG873" i="1"/>
  <c r="AI873" i="1"/>
  <c r="AJ873" i="1"/>
  <c r="AK873" i="1"/>
  <c r="X874" i="1"/>
  <c r="Y874" i="1"/>
  <c r="AB874" i="1"/>
  <c r="AC874" i="1"/>
  <c r="AG874" i="1"/>
  <c r="AI874" i="1"/>
  <c r="AJ874" i="1"/>
  <c r="AK874" i="1"/>
  <c r="X875" i="1"/>
  <c r="Y875" i="1"/>
  <c r="AB875" i="1"/>
  <c r="AC875" i="1"/>
  <c r="AG875" i="1"/>
  <c r="AI875" i="1"/>
  <c r="AJ875" i="1"/>
  <c r="AK875" i="1"/>
  <c r="X876" i="1"/>
  <c r="Y876" i="1"/>
  <c r="AB876" i="1"/>
  <c r="AC876" i="1"/>
  <c r="AG876" i="1"/>
  <c r="AI876" i="1"/>
  <c r="AJ876" i="1"/>
  <c r="AK876" i="1"/>
  <c r="X877" i="1"/>
  <c r="Y877" i="1"/>
  <c r="AB877" i="1"/>
  <c r="AC877" i="1"/>
  <c r="AG877" i="1"/>
  <c r="AI877" i="1"/>
  <c r="AJ877" i="1"/>
  <c r="AK877" i="1"/>
  <c r="X878" i="1"/>
  <c r="Y878" i="1"/>
  <c r="AB878" i="1"/>
  <c r="AC878" i="1"/>
  <c r="AG878" i="1"/>
  <c r="AI878" i="1"/>
  <c r="AJ878" i="1"/>
  <c r="AK878" i="1"/>
  <c r="X879" i="1"/>
  <c r="Y879" i="1"/>
  <c r="AB879" i="1"/>
  <c r="AC879" i="1"/>
  <c r="AG879" i="1"/>
  <c r="AI879" i="1"/>
  <c r="AJ879" i="1"/>
  <c r="AK879" i="1"/>
  <c r="X880" i="1"/>
  <c r="Y880" i="1"/>
  <c r="AB880" i="1"/>
  <c r="AC880" i="1"/>
  <c r="AG880" i="1"/>
  <c r="AI880" i="1"/>
  <c r="AJ880" i="1"/>
  <c r="AK880" i="1"/>
  <c r="X881" i="1"/>
  <c r="Y881" i="1"/>
  <c r="AB881" i="1"/>
  <c r="AC881" i="1"/>
  <c r="AG881" i="1"/>
  <c r="AI881" i="1"/>
  <c r="AJ881" i="1"/>
  <c r="AK881" i="1"/>
  <c r="X882" i="1"/>
  <c r="Y882" i="1"/>
  <c r="AB882" i="1"/>
  <c r="AC882" i="1"/>
  <c r="AG882" i="1"/>
  <c r="AI882" i="1"/>
  <c r="AJ882" i="1"/>
  <c r="AK882" i="1"/>
  <c r="X883" i="1"/>
  <c r="Y883" i="1"/>
  <c r="AB883" i="1"/>
  <c r="AC883" i="1"/>
  <c r="AG883" i="1"/>
  <c r="AI883" i="1"/>
  <c r="AJ883" i="1"/>
  <c r="AK883" i="1"/>
  <c r="X884" i="1"/>
  <c r="Y884" i="1"/>
  <c r="AB884" i="1"/>
  <c r="AC884" i="1"/>
  <c r="AG884" i="1"/>
  <c r="AI884" i="1"/>
  <c r="AJ884" i="1"/>
  <c r="AK884" i="1"/>
  <c r="X885" i="1"/>
  <c r="Y885" i="1"/>
  <c r="AB885" i="1"/>
  <c r="AC885" i="1"/>
  <c r="AG885" i="1"/>
  <c r="AI885" i="1"/>
  <c r="AJ885" i="1"/>
  <c r="AK885" i="1"/>
  <c r="X886" i="1"/>
  <c r="Y886" i="1"/>
  <c r="AB886" i="1"/>
  <c r="AC886" i="1"/>
  <c r="AG886" i="1"/>
  <c r="AI886" i="1"/>
  <c r="AJ886" i="1"/>
  <c r="AK886" i="1"/>
  <c r="X887" i="1"/>
  <c r="Y887" i="1"/>
  <c r="AB887" i="1"/>
  <c r="AC887" i="1"/>
  <c r="AG887" i="1"/>
  <c r="AI887" i="1"/>
  <c r="AJ887" i="1"/>
  <c r="AK887" i="1"/>
  <c r="X888" i="1"/>
  <c r="Y888" i="1"/>
  <c r="AB888" i="1"/>
  <c r="AC888" i="1"/>
  <c r="AG888" i="1"/>
  <c r="AI888" i="1"/>
  <c r="AJ888" i="1"/>
  <c r="AK888" i="1"/>
  <c r="X889" i="1"/>
  <c r="Y889" i="1"/>
  <c r="AB889" i="1"/>
  <c r="AC889" i="1"/>
  <c r="AG889" i="1"/>
  <c r="AI889" i="1"/>
  <c r="AJ889" i="1"/>
  <c r="AK889" i="1"/>
  <c r="X890" i="1"/>
  <c r="Y890" i="1"/>
  <c r="AB890" i="1"/>
  <c r="AC890" i="1"/>
  <c r="AG890" i="1"/>
  <c r="AI890" i="1"/>
  <c r="AJ890" i="1"/>
  <c r="AK890" i="1"/>
  <c r="X891" i="1"/>
  <c r="Y891" i="1"/>
  <c r="AB891" i="1"/>
  <c r="AC891" i="1"/>
  <c r="AG891" i="1"/>
  <c r="AI891" i="1"/>
  <c r="AJ891" i="1"/>
  <c r="AK891" i="1"/>
  <c r="X892" i="1"/>
  <c r="Y892" i="1"/>
  <c r="AB892" i="1"/>
  <c r="AC892" i="1"/>
  <c r="AG892" i="1"/>
  <c r="AI892" i="1"/>
  <c r="AJ892" i="1"/>
  <c r="AK892" i="1"/>
  <c r="X893" i="1"/>
  <c r="Y893" i="1"/>
  <c r="AB893" i="1"/>
  <c r="AC893" i="1"/>
  <c r="AG893" i="1"/>
  <c r="AI893" i="1"/>
  <c r="AJ893" i="1"/>
  <c r="AK893" i="1"/>
  <c r="X894" i="1"/>
  <c r="Y894" i="1"/>
  <c r="AB894" i="1"/>
  <c r="AC894" i="1"/>
  <c r="AG894" i="1"/>
  <c r="AI894" i="1"/>
  <c r="AJ894" i="1"/>
  <c r="AK894" i="1"/>
  <c r="X895" i="1"/>
  <c r="Y895" i="1"/>
  <c r="AB895" i="1"/>
  <c r="AC895" i="1"/>
  <c r="AG895" i="1"/>
  <c r="AI895" i="1"/>
  <c r="AJ895" i="1"/>
  <c r="AK895" i="1"/>
  <c r="X896" i="1"/>
  <c r="Y896" i="1"/>
  <c r="AB896" i="1"/>
  <c r="AC896" i="1"/>
  <c r="AG896" i="1"/>
  <c r="AI896" i="1"/>
  <c r="AJ896" i="1"/>
  <c r="AK896" i="1"/>
  <c r="X897" i="1"/>
  <c r="Y897" i="1"/>
  <c r="AB897" i="1"/>
  <c r="AC897" i="1"/>
  <c r="AG897" i="1"/>
  <c r="AI897" i="1"/>
  <c r="AJ897" i="1"/>
  <c r="AK897" i="1"/>
  <c r="X898" i="1"/>
  <c r="Y898" i="1"/>
  <c r="AB898" i="1"/>
  <c r="AC898" i="1"/>
  <c r="AG898" i="1"/>
  <c r="AI898" i="1"/>
  <c r="AJ898" i="1"/>
  <c r="AK898" i="1"/>
  <c r="X899" i="1"/>
  <c r="Y899" i="1"/>
  <c r="AB899" i="1"/>
  <c r="AC899" i="1"/>
  <c r="AG899" i="1"/>
  <c r="AI899" i="1"/>
  <c r="AJ899" i="1"/>
  <c r="AK899" i="1"/>
  <c r="X900" i="1"/>
  <c r="Y900" i="1"/>
  <c r="AB900" i="1"/>
  <c r="AC900" i="1"/>
  <c r="AG900" i="1"/>
  <c r="AI900" i="1"/>
  <c r="AJ900" i="1"/>
  <c r="AK900" i="1"/>
  <c r="X901" i="1"/>
  <c r="Y901" i="1"/>
  <c r="AB901" i="1"/>
  <c r="AC901" i="1"/>
  <c r="AG901" i="1"/>
  <c r="AI901" i="1"/>
  <c r="AJ901" i="1"/>
  <c r="AK901" i="1"/>
  <c r="X902" i="1"/>
  <c r="Y902" i="1"/>
  <c r="AB902" i="1"/>
  <c r="AC902" i="1"/>
  <c r="AG902" i="1"/>
  <c r="AI902" i="1"/>
  <c r="AJ902" i="1"/>
  <c r="AK902" i="1"/>
  <c r="X903" i="1"/>
  <c r="Y903" i="1"/>
  <c r="AB903" i="1"/>
  <c r="AC903" i="1"/>
  <c r="AG903" i="1"/>
  <c r="AI903" i="1"/>
  <c r="AJ903" i="1"/>
  <c r="AK903" i="1"/>
  <c r="X904" i="1"/>
  <c r="Y904" i="1"/>
  <c r="AB904" i="1"/>
  <c r="AC904" i="1"/>
  <c r="AG904" i="1"/>
  <c r="AI904" i="1"/>
  <c r="AJ904" i="1"/>
  <c r="AK904" i="1"/>
  <c r="X905" i="1"/>
  <c r="Y905" i="1"/>
  <c r="AB905" i="1"/>
  <c r="AC905" i="1"/>
  <c r="AG905" i="1"/>
  <c r="AI905" i="1"/>
  <c r="AJ905" i="1"/>
  <c r="AK905" i="1"/>
  <c r="X906" i="1"/>
  <c r="Y906" i="1"/>
  <c r="AB906" i="1"/>
  <c r="AC906" i="1"/>
  <c r="AG906" i="1"/>
  <c r="AI906" i="1"/>
  <c r="AJ906" i="1"/>
  <c r="AK906" i="1"/>
  <c r="X907" i="1"/>
  <c r="Y907" i="1"/>
  <c r="AB907" i="1"/>
  <c r="AC907" i="1"/>
  <c r="AG907" i="1"/>
  <c r="AI907" i="1"/>
  <c r="AJ907" i="1"/>
  <c r="AK907" i="1"/>
  <c r="X908" i="1"/>
  <c r="Y908" i="1"/>
  <c r="AB908" i="1"/>
  <c r="AC908" i="1"/>
  <c r="AG908" i="1"/>
  <c r="AI908" i="1"/>
  <c r="AJ908" i="1"/>
  <c r="AK908" i="1"/>
  <c r="X909" i="1"/>
  <c r="Y909" i="1"/>
  <c r="AB909" i="1"/>
  <c r="AC909" i="1"/>
  <c r="AG909" i="1"/>
  <c r="AI909" i="1"/>
  <c r="AJ909" i="1"/>
  <c r="AK909" i="1"/>
  <c r="X910" i="1"/>
  <c r="Y910" i="1"/>
  <c r="AB910" i="1"/>
  <c r="AC910" i="1"/>
  <c r="AG910" i="1"/>
  <c r="AI910" i="1"/>
  <c r="AJ910" i="1"/>
  <c r="AK910" i="1"/>
  <c r="X911" i="1"/>
  <c r="Y911" i="1"/>
  <c r="AB911" i="1"/>
  <c r="AC911" i="1"/>
  <c r="AG911" i="1"/>
  <c r="AI911" i="1"/>
  <c r="AJ911" i="1"/>
  <c r="AK911" i="1"/>
  <c r="X912" i="1"/>
  <c r="Y912" i="1"/>
  <c r="AB912" i="1"/>
  <c r="AC912" i="1"/>
  <c r="AG912" i="1"/>
  <c r="AI912" i="1"/>
  <c r="AJ912" i="1"/>
  <c r="AK912" i="1"/>
  <c r="X913" i="1"/>
  <c r="Y913" i="1"/>
  <c r="AB913" i="1"/>
  <c r="AC913" i="1"/>
  <c r="AG913" i="1"/>
  <c r="AI913" i="1"/>
  <c r="AJ913" i="1"/>
  <c r="AK913" i="1"/>
  <c r="X914" i="1"/>
  <c r="Y914" i="1"/>
  <c r="AB914" i="1"/>
  <c r="AC914" i="1"/>
  <c r="AG914" i="1"/>
  <c r="AI914" i="1"/>
  <c r="AJ914" i="1"/>
  <c r="AK914" i="1"/>
  <c r="X915" i="1"/>
  <c r="Y915" i="1"/>
  <c r="AB915" i="1"/>
  <c r="AC915" i="1"/>
  <c r="AG915" i="1"/>
  <c r="AI915" i="1"/>
  <c r="AJ915" i="1"/>
  <c r="AK915" i="1"/>
  <c r="X916" i="1"/>
  <c r="Y916" i="1"/>
  <c r="AB916" i="1"/>
  <c r="AC916" i="1"/>
  <c r="AG916" i="1"/>
  <c r="AI916" i="1"/>
  <c r="AJ916" i="1"/>
  <c r="AK916" i="1"/>
  <c r="X917" i="1"/>
  <c r="Y917" i="1"/>
  <c r="AB917" i="1"/>
  <c r="AC917" i="1"/>
  <c r="AG917" i="1"/>
  <c r="AI917" i="1"/>
  <c r="AJ917" i="1"/>
  <c r="AK917" i="1"/>
  <c r="X918" i="1"/>
  <c r="Y918" i="1"/>
  <c r="AB918" i="1"/>
  <c r="AC918" i="1"/>
  <c r="AG918" i="1"/>
  <c r="AI918" i="1"/>
  <c r="AJ918" i="1"/>
  <c r="AK918" i="1"/>
  <c r="X919" i="1"/>
  <c r="Y919" i="1"/>
  <c r="AB919" i="1"/>
  <c r="AC919" i="1"/>
  <c r="AG919" i="1"/>
  <c r="AI919" i="1"/>
  <c r="AJ919" i="1"/>
  <c r="AK919" i="1"/>
  <c r="X920" i="1"/>
  <c r="Y920" i="1"/>
  <c r="AB920" i="1"/>
  <c r="AC920" i="1"/>
  <c r="AG920" i="1"/>
  <c r="AI920" i="1"/>
  <c r="AJ920" i="1"/>
  <c r="AK920" i="1"/>
  <c r="X921" i="1"/>
  <c r="Y921" i="1"/>
  <c r="AB921" i="1"/>
  <c r="AC921" i="1"/>
  <c r="AG921" i="1"/>
  <c r="AI921" i="1"/>
  <c r="AJ921" i="1"/>
  <c r="AK921" i="1"/>
  <c r="X922" i="1"/>
  <c r="Y922" i="1"/>
  <c r="AB922" i="1"/>
  <c r="AC922" i="1"/>
  <c r="AG922" i="1"/>
  <c r="AI922" i="1"/>
  <c r="AJ922" i="1"/>
  <c r="AK922" i="1"/>
  <c r="X923" i="1"/>
  <c r="Y923" i="1"/>
  <c r="AB923" i="1"/>
  <c r="AC923" i="1"/>
  <c r="AG923" i="1"/>
  <c r="AI923" i="1"/>
  <c r="AJ923" i="1"/>
  <c r="AK923" i="1"/>
  <c r="X924" i="1"/>
  <c r="Y924" i="1"/>
  <c r="AB924" i="1"/>
  <c r="AC924" i="1"/>
  <c r="AG924" i="1"/>
  <c r="AI924" i="1"/>
  <c r="AJ924" i="1"/>
  <c r="AK924" i="1"/>
  <c r="X925" i="1"/>
  <c r="Y925" i="1"/>
  <c r="AB925" i="1"/>
  <c r="AC925" i="1"/>
  <c r="AG925" i="1"/>
  <c r="AI925" i="1"/>
  <c r="AJ925" i="1"/>
  <c r="AK925" i="1"/>
  <c r="X926" i="1"/>
  <c r="Y926" i="1"/>
  <c r="AB926" i="1"/>
  <c r="AC926" i="1"/>
  <c r="AG926" i="1"/>
  <c r="AI926" i="1"/>
  <c r="AJ926" i="1"/>
  <c r="AK926" i="1"/>
  <c r="X927" i="1"/>
  <c r="Y927" i="1"/>
  <c r="AB927" i="1"/>
  <c r="AC927" i="1"/>
  <c r="AG927" i="1"/>
  <c r="AI927" i="1"/>
  <c r="AJ927" i="1"/>
  <c r="AK927" i="1"/>
  <c r="X928" i="1"/>
  <c r="Y928" i="1"/>
  <c r="AB928" i="1"/>
  <c r="AC928" i="1"/>
  <c r="AG928" i="1"/>
  <c r="AI928" i="1"/>
  <c r="AJ928" i="1"/>
  <c r="AK928" i="1"/>
  <c r="X929" i="1"/>
  <c r="Y929" i="1"/>
  <c r="AB929" i="1"/>
  <c r="AC929" i="1"/>
  <c r="AG929" i="1"/>
  <c r="AI929" i="1"/>
  <c r="AJ929" i="1"/>
  <c r="AK929" i="1"/>
  <c r="X930" i="1"/>
  <c r="Y930" i="1"/>
  <c r="AB930" i="1"/>
  <c r="AC930" i="1"/>
  <c r="AG930" i="1"/>
  <c r="AI930" i="1"/>
  <c r="AJ930" i="1"/>
  <c r="AK930" i="1"/>
  <c r="X931" i="1"/>
  <c r="Y931" i="1"/>
  <c r="AB931" i="1"/>
  <c r="AC931" i="1"/>
  <c r="AG931" i="1"/>
  <c r="AI931" i="1"/>
  <c r="AJ931" i="1"/>
  <c r="AK931" i="1"/>
  <c r="X932" i="1"/>
  <c r="Y932" i="1"/>
  <c r="AB932" i="1"/>
  <c r="AC932" i="1"/>
  <c r="AG932" i="1"/>
  <c r="AI932" i="1"/>
  <c r="AJ932" i="1"/>
  <c r="AK932" i="1"/>
  <c r="X933" i="1"/>
  <c r="Y933" i="1"/>
  <c r="AB933" i="1"/>
  <c r="AC933" i="1"/>
  <c r="AG933" i="1"/>
  <c r="AI933" i="1"/>
  <c r="AJ933" i="1"/>
  <c r="AK933" i="1"/>
  <c r="X934" i="1"/>
  <c r="Y934" i="1"/>
  <c r="AB934" i="1"/>
  <c r="AC934" i="1"/>
  <c r="AG934" i="1"/>
  <c r="AI934" i="1"/>
  <c r="AJ934" i="1"/>
  <c r="AK934" i="1"/>
  <c r="X935" i="1"/>
  <c r="Y935" i="1"/>
  <c r="AB935" i="1"/>
  <c r="AC935" i="1"/>
  <c r="AG935" i="1"/>
  <c r="AI935" i="1"/>
  <c r="AJ935" i="1"/>
  <c r="AK935" i="1"/>
  <c r="X936" i="1"/>
  <c r="Y936" i="1"/>
  <c r="AB936" i="1"/>
  <c r="AC936" i="1"/>
  <c r="AG936" i="1"/>
  <c r="AI936" i="1"/>
  <c r="AJ936" i="1"/>
  <c r="AK936" i="1"/>
  <c r="X937" i="1"/>
  <c r="Y937" i="1"/>
  <c r="AB937" i="1"/>
  <c r="AC937" i="1"/>
  <c r="AG937" i="1"/>
  <c r="AI937" i="1"/>
  <c r="AJ937" i="1"/>
  <c r="AK937" i="1"/>
  <c r="X938" i="1"/>
  <c r="Y938" i="1"/>
  <c r="AB938" i="1"/>
  <c r="AC938" i="1"/>
  <c r="AG938" i="1"/>
  <c r="AI938" i="1"/>
  <c r="AJ938" i="1"/>
  <c r="AK938" i="1"/>
  <c r="X939" i="1"/>
  <c r="Y939" i="1"/>
  <c r="AB939" i="1"/>
  <c r="AC939" i="1"/>
  <c r="AG939" i="1"/>
  <c r="AI939" i="1"/>
  <c r="AJ939" i="1"/>
  <c r="AK939" i="1"/>
  <c r="X940" i="1"/>
  <c r="Y940" i="1"/>
  <c r="AB940" i="1"/>
  <c r="AC940" i="1"/>
  <c r="AG940" i="1"/>
  <c r="AI940" i="1"/>
  <c r="AJ940" i="1"/>
  <c r="AK940" i="1"/>
  <c r="X941" i="1"/>
  <c r="Y941" i="1"/>
  <c r="AB941" i="1"/>
  <c r="AC941" i="1"/>
  <c r="AG941" i="1"/>
  <c r="AI941" i="1"/>
  <c r="AJ941" i="1"/>
  <c r="AK941" i="1"/>
  <c r="X942" i="1"/>
  <c r="Y942" i="1"/>
  <c r="AB942" i="1"/>
  <c r="AC942" i="1"/>
  <c r="AG942" i="1"/>
  <c r="AI942" i="1"/>
  <c r="AJ942" i="1"/>
  <c r="AK942" i="1"/>
  <c r="X943" i="1"/>
  <c r="Y943" i="1"/>
  <c r="AB943" i="1"/>
  <c r="AC943" i="1"/>
  <c r="AG943" i="1"/>
  <c r="AI943" i="1"/>
  <c r="AJ943" i="1"/>
  <c r="AK943" i="1"/>
  <c r="X944" i="1"/>
  <c r="Y944" i="1"/>
  <c r="AB944" i="1"/>
  <c r="AC944" i="1"/>
  <c r="AG944" i="1"/>
  <c r="AI944" i="1"/>
  <c r="AJ944" i="1"/>
  <c r="AK944" i="1"/>
  <c r="X945" i="1"/>
  <c r="Y945" i="1"/>
  <c r="AB945" i="1"/>
  <c r="AC945" i="1"/>
  <c r="AG945" i="1"/>
  <c r="AI945" i="1"/>
  <c r="AJ945" i="1"/>
  <c r="AK945" i="1"/>
  <c r="X946" i="1"/>
  <c r="Y946" i="1"/>
  <c r="AB946" i="1"/>
  <c r="AC946" i="1"/>
  <c r="AG946" i="1"/>
  <c r="AI946" i="1"/>
  <c r="AJ946" i="1"/>
  <c r="AK946" i="1"/>
  <c r="X947" i="1"/>
  <c r="Y947" i="1"/>
  <c r="AB947" i="1"/>
  <c r="AC947" i="1"/>
  <c r="AG947" i="1"/>
  <c r="AI947" i="1"/>
  <c r="AJ947" i="1"/>
  <c r="AK947" i="1"/>
  <c r="X948" i="1"/>
  <c r="Y948" i="1"/>
  <c r="AB948" i="1"/>
  <c r="AC948" i="1"/>
  <c r="AG948" i="1"/>
  <c r="AI948" i="1"/>
  <c r="AJ948" i="1"/>
  <c r="AK948" i="1"/>
  <c r="X949" i="1"/>
  <c r="Y949" i="1"/>
  <c r="AB949" i="1"/>
  <c r="AC949" i="1"/>
  <c r="AG949" i="1"/>
  <c r="AI949" i="1"/>
  <c r="AJ949" i="1"/>
  <c r="AK949" i="1"/>
  <c r="X950" i="1"/>
  <c r="Y950" i="1"/>
  <c r="AB950" i="1"/>
  <c r="AC950" i="1"/>
  <c r="AG950" i="1"/>
  <c r="AI950" i="1"/>
  <c r="AJ950" i="1"/>
  <c r="AK950" i="1"/>
  <c r="X951" i="1"/>
  <c r="Y951" i="1"/>
  <c r="AB951" i="1"/>
  <c r="AC951" i="1"/>
  <c r="AG951" i="1"/>
  <c r="AI951" i="1"/>
  <c r="AJ951" i="1"/>
  <c r="AK951" i="1"/>
  <c r="X952" i="1"/>
  <c r="Y952" i="1"/>
  <c r="AB952" i="1"/>
  <c r="AC952" i="1"/>
  <c r="AG952" i="1"/>
  <c r="AI952" i="1"/>
  <c r="AJ952" i="1"/>
  <c r="AK952" i="1"/>
  <c r="X953" i="1"/>
  <c r="Y953" i="1"/>
  <c r="AB953" i="1"/>
  <c r="AC953" i="1"/>
  <c r="AG953" i="1"/>
  <c r="AI953" i="1"/>
  <c r="AJ953" i="1"/>
  <c r="AK953" i="1"/>
  <c r="X954" i="1"/>
  <c r="Y954" i="1"/>
  <c r="AB954" i="1"/>
  <c r="AC954" i="1"/>
  <c r="AG954" i="1"/>
  <c r="AI954" i="1"/>
  <c r="AJ954" i="1"/>
  <c r="AK954" i="1"/>
  <c r="X955" i="1"/>
  <c r="Y955" i="1"/>
  <c r="AB955" i="1"/>
  <c r="AC955" i="1"/>
  <c r="AG955" i="1"/>
  <c r="AI955" i="1"/>
  <c r="AJ955" i="1"/>
  <c r="AK955" i="1"/>
  <c r="X956" i="1"/>
  <c r="Y956" i="1"/>
  <c r="AB956" i="1"/>
  <c r="AC956" i="1"/>
  <c r="AG956" i="1"/>
  <c r="AI956" i="1"/>
  <c r="AJ956" i="1"/>
  <c r="AK956" i="1"/>
  <c r="X957" i="1"/>
  <c r="Y957" i="1"/>
  <c r="AB957" i="1"/>
  <c r="AC957" i="1"/>
  <c r="AG957" i="1"/>
  <c r="AI957" i="1"/>
  <c r="AJ957" i="1"/>
  <c r="AK957" i="1"/>
  <c r="X958" i="1"/>
  <c r="Y958" i="1"/>
  <c r="AB958" i="1"/>
  <c r="AC958" i="1"/>
  <c r="AG958" i="1"/>
  <c r="AI958" i="1"/>
  <c r="AJ958" i="1"/>
  <c r="AK958" i="1"/>
  <c r="X959" i="1"/>
  <c r="Y959" i="1"/>
  <c r="AB959" i="1"/>
  <c r="AC959" i="1"/>
  <c r="AG959" i="1"/>
  <c r="AI959" i="1"/>
  <c r="AJ959" i="1"/>
  <c r="AK959" i="1"/>
  <c r="X960" i="1"/>
  <c r="Y960" i="1"/>
  <c r="AB960" i="1"/>
  <c r="AC960" i="1"/>
  <c r="AG960" i="1"/>
  <c r="AI960" i="1"/>
  <c r="AJ960" i="1"/>
  <c r="AK960" i="1"/>
  <c r="X961" i="1"/>
  <c r="Y961" i="1"/>
  <c r="AB961" i="1"/>
  <c r="AC961" i="1"/>
  <c r="AG961" i="1"/>
  <c r="AI961" i="1"/>
  <c r="AJ961" i="1"/>
  <c r="AK961" i="1"/>
  <c r="X962" i="1"/>
  <c r="Y962" i="1"/>
  <c r="AB962" i="1"/>
  <c r="AC962" i="1"/>
  <c r="AG962" i="1"/>
  <c r="AI962" i="1"/>
  <c r="AJ962" i="1"/>
  <c r="AK962" i="1"/>
  <c r="X963" i="1"/>
  <c r="Y963" i="1"/>
  <c r="AB963" i="1"/>
  <c r="AC963" i="1"/>
  <c r="AG963" i="1"/>
  <c r="AI963" i="1"/>
  <c r="AJ963" i="1"/>
  <c r="AK963" i="1"/>
  <c r="X964" i="1"/>
  <c r="Y964" i="1"/>
  <c r="AB964" i="1"/>
  <c r="AC964" i="1"/>
  <c r="AG964" i="1"/>
  <c r="AI964" i="1"/>
  <c r="AJ964" i="1"/>
  <c r="AK964" i="1"/>
  <c r="X965" i="1"/>
  <c r="Y965" i="1"/>
  <c r="AB965" i="1"/>
  <c r="AC965" i="1"/>
  <c r="AG965" i="1"/>
  <c r="AI965" i="1"/>
  <c r="AJ965" i="1"/>
  <c r="AK965" i="1"/>
  <c r="X966" i="1"/>
  <c r="Y966" i="1"/>
  <c r="AB966" i="1"/>
  <c r="AC966" i="1"/>
  <c r="AG966" i="1"/>
  <c r="AI966" i="1"/>
  <c r="AJ966" i="1"/>
  <c r="AK966" i="1"/>
  <c r="X967" i="1"/>
  <c r="Y967" i="1"/>
  <c r="AB967" i="1"/>
  <c r="AC967" i="1"/>
  <c r="AG967" i="1"/>
  <c r="AI967" i="1"/>
  <c r="AJ967" i="1"/>
  <c r="AK967" i="1"/>
  <c r="X968" i="1"/>
  <c r="Y968" i="1"/>
  <c r="AB968" i="1"/>
  <c r="AC968" i="1"/>
  <c r="AG968" i="1"/>
  <c r="AI968" i="1"/>
  <c r="AJ968" i="1"/>
  <c r="AK968" i="1"/>
  <c r="X969" i="1"/>
  <c r="Y969" i="1"/>
  <c r="AB969" i="1"/>
  <c r="AC969" i="1"/>
  <c r="AG969" i="1"/>
  <c r="AI969" i="1"/>
  <c r="AJ969" i="1"/>
  <c r="AK969" i="1"/>
  <c r="X970" i="1"/>
  <c r="Y970" i="1"/>
  <c r="AB970" i="1"/>
  <c r="AC970" i="1"/>
  <c r="AG970" i="1"/>
  <c r="AI970" i="1"/>
  <c r="AJ970" i="1"/>
  <c r="AK970" i="1"/>
  <c r="X971" i="1"/>
  <c r="Y971" i="1"/>
  <c r="AB971" i="1"/>
  <c r="AC971" i="1"/>
  <c r="AG971" i="1"/>
  <c r="AI971" i="1"/>
  <c r="AJ971" i="1"/>
  <c r="AK971" i="1"/>
  <c r="X972" i="1"/>
  <c r="Y972" i="1"/>
  <c r="AB972" i="1"/>
  <c r="AC972" i="1"/>
  <c r="AG972" i="1"/>
  <c r="AI972" i="1"/>
  <c r="AJ972" i="1"/>
  <c r="AK972" i="1"/>
  <c r="X973" i="1"/>
  <c r="Y973" i="1"/>
  <c r="AB973" i="1"/>
  <c r="AC973" i="1"/>
  <c r="AG973" i="1"/>
  <c r="AI973" i="1"/>
  <c r="AJ973" i="1"/>
  <c r="AK973" i="1"/>
  <c r="X974" i="1"/>
  <c r="Y974" i="1"/>
  <c r="AB974" i="1"/>
  <c r="AC974" i="1"/>
  <c r="AG974" i="1"/>
  <c r="AI974" i="1"/>
  <c r="AJ974" i="1"/>
  <c r="AK974" i="1"/>
  <c r="X975" i="1"/>
  <c r="Y975" i="1"/>
  <c r="AB975" i="1"/>
  <c r="AC975" i="1"/>
  <c r="AG975" i="1"/>
  <c r="AI975" i="1"/>
  <c r="AJ975" i="1"/>
  <c r="AK975" i="1"/>
  <c r="X976" i="1"/>
  <c r="Y976" i="1"/>
  <c r="AB976" i="1"/>
  <c r="AC976" i="1"/>
  <c r="AG976" i="1"/>
  <c r="AI976" i="1"/>
  <c r="AJ976" i="1"/>
  <c r="AK976" i="1"/>
  <c r="X977" i="1"/>
  <c r="Y977" i="1"/>
  <c r="AB977" i="1"/>
  <c r="AC977" i="1"/>
  <c r="AG977" i="1"/>
  <c r="AI977" i="1"/>
  <c r="AJ977" i="1"/>
  <c r="AK977" i="1"/>
  <c r="X978" i="1"/>
  <c r="Y978" i="1"/>
  <c r="AB978" i="1"/>
  <c r="AC978" i="1"/>
  <c r="AG978" i="1"/>
  <c r="AI978" i="1"/>
  <c r="AJ978" i="1"/>
  <c r="AK978" i="1"/>
  <c r="X979" i="1"/>
  <c r="Y979" i="1"/>
  <c r="AB979" i="1"/>
  <c r="AC979" i="1"/>
  <c r="AG979" i="1"/>
  <c r="AI979" i="1"/>
  <c r="AJ979" i="1"/>
  <c r="AK979" i="1"/>
  <c r="X980" i="1"/>
  <c r="Y980" i="1"/>
  <c r="AB980" i="1"/>
  <c r="AC980" i="1"/>
  <c r="AG980" i="1"/>
  <c r="AI980" i="1"/>
  <c r="AJ980" i="1"/>
  <c r="AK980" i="1"/>
  <c r="X981" i="1"/>
  <c r="Y981" i="1"/>
  <c r="AB981" i="1"/>
  <c r="AC981" i="1"/>
  <c r="AG981" i="1"/>
  <c r="AI981" i="1"/>
  <c r="AJ981" i="1"/>
  <c r="AK981" i="1"/>
  <c r="X982" i="1"/>
  <c r="Y982" i="1"/>
  <c r="AB982" i="1"/>
  <c r="AC982" i="1"/>
  <c r="AG982" i="1"/>
  <c r="AI982" i="1"/>
  <c r="AJ982" i="1"/>
  <c r="AK982" i="1"/>
  <c r="X983" i="1"/>
  <c r="Y983" i="1"/>
  <c r="AB983" i="1"/>
  <c r="AC983" i="1"/>
  <c r="AG983" i="1"/>
  <c r="AI983" i="1"/>
  <c r="AJ983" i="1"/>
  <c r="AK983" i="1"/>
  <c r="X984" i="1"/>
  <c r="Y984" i="1"/>
  <c r="AB984" i="1"/>
  <c r="AC984" i="1"/>
  <c r="AG984" i="1"/>
  <c r="AI984" i="1"/>
  <c r="AJ984" i="1"/>
  <c r="AK984" i="1"/>
  <c r="X985" i="1"/>
  <c r="Y985" i="1"/>
  <c r="AB985" i="1"/>
  <c r="AC985" i="1"/>
  <c r="AG985" i="1"/>
  <c r="AI985" i="1"/>
  <c r="AJ985" i="1"/>
  <c r="AK985" i="1"/>
  <c r="X986" i="1"/>
  <c r="Y986" i="1"/>
  <c r="AB986" i="1"/>
  <c r="AC986" i="1"/>
  <c r="AG986" i="1"/>
  <c r="AI986" i="1"/>
  <c r="AJ986" i="1"/>
  <c r="AK986" i="1"/>
  <c r="X987" i="1"/>
  <c r="Y987" i="1"/>
  <c r="AB987" i="1"/>
  <c r="AC987" i="1"/>
  <c r="AG987" i="1"/>
  <c r="AI987" i="1"/>
  <c r="AJ987" i="1"/>
  <c r="AK987" i="1"/>
  <c r="X988" i="1"/>
  <c r="Y988" i="1"/>
  <c r="AB988" i="1"/>
  <c r="AC988" i="1"/>
  <c r="AG988" i="1"/>
  <c r="AI988" i="1"/>
  <c r="AJ988" i="1"/>
  <c r="AK988" i="1"/>
  <c r="X989" i="1"/>
  <c r="Y989" i="1"/>
  <c r="AB989" i="1"/>
  <c r="AC989" i="1"/>
  <c r="AG989" i="1"/>
  <c r="AI989" i="1"/>
  <c r="AJ989" i="1"/>
  <c r="AK989" i="1"/>
  <c r="X990" i="1"/>
  <c r="Y990" i="1"/>
  <c r="AB990" i="1"/>
  <c r="AC990" i="1"/>
  <c r="AG990" i="1"/>
  <c r="AI990" i="1"/>
  <c r="AJ990" i="1"/>
  <c r="AK990" i="1"/>
  <c r="X991" i="1"/>
  <c r="Y991" i="1"/>
  <c r="AB991" i="1"/>
  <c r="AC991" i="1"/>
  <c r="AG991" i="1"/>
  <c r="AI991" i="1"/>
  <c r="AJ991" i="1"/>
  <c r="AK991" i="1"/>
  <c r="X992" i="1"/>
  <c r="Y992" i="1"/>
  <c r="AB992" i="1"/>
  <c r="AC992" i="1"/>
  <c r="AG992" i="1"/>
  <c r="AI992" i="1"/>
  <c r="AJ992" i="1"/>
  <c r="AK992" i="1"/>
  <c r="X993" i="1"/>
  <c r="Y993" i="1"/>
  <c r="AB993" i="1"/>
  <c r="AC993" i="1"/>
  <c r="AG993" i="1"/>
  <c r="AI993" i="1"/>
  <c r="AJ993" i="1"/>
  <c r="AK993" i="1"/>
  <c r="X994" i="1"/>
  <c r="Y994" i="1"/>
  <c r="AB994" i="1"/>
  <c r="AC994" i="1"/>
  <c r="AG994" i="1"/>
  <c r="AI994" i="1"/>
  <c r="AJ994" i="1"/>
  <c r="AK994" i="1"/>
  <c r="X995" i="1"/>
  <c r="Y995" i="1"/>
  <c r="AB995" i="1"/>
  <c r="AC995" i="1"/>
  <c r="AG995" i="1"/>
  <c r="AI995" i="1"/>
  <c r="AJ995" i="1"/>
  <c r="AK995" i="1"/>
  <c r="X996" i="1"/>
  <c r="Y996" i="1"/>
  <c r="AB996" i="1"/>
  <c r="AC996" i="1"/>
  <c r="AG996" i="1"/>
  <c r="AI996" i="1"/>
  <c r="AJ996" i="1"/>
  <c r="AK996" i="1"/>
  <c r="X997" i="1"/>
  <c r="Y997" i="1"/>
  <c r="AB997" i="1"/>
  <c r="AC997" i="1"/>
  <c r="AG997" i="1"/>
  <c r="AI997" i="1"/>
  <c r="AJ997" i="1"/>
  <c r="AK997" i="1"/>
  <c r="X998" i="1"/>
  <c r="Y998" i="1"/>
  <c r="AB998" i="1"/>
  <c r="AC998" i="1"/>
  <c r="AG998" i="1"/>
  <c r="AI998" i="1"/>
  <c r="AJ998" i="1"/>
  <c r="AK998" i="1"/>
  <c r="X999" i="1"/>
  <c r="Y999" i="1"/>
  <c r="AB999" i="1"/>
  <c r="AC999" i="1"/>
  <c r="AG999" i="1"/>
  <c r="AI999" i="1"/>
  <c r="AJ999" i="1"/>
  <c r="AK999" i="1"/>
  <c r="X1000" i="1"/>
  <c r="Y1000" i="1"/>
  <c r="AB1000" i="1"/>
  <c r="AC1000" i="1"/>
  <c r="AG1000" i="1"/>
  <c r="AI1000" i="1"/>
  <c r="AJ1000" i="1"/>
  <c r="AK1000" i="1"/>
  <c r="X1001" i="1"/>
  <c r="Y1001" i="1"/>
  <c r="AB1001" i="1"/>
  <c r="AC1001" i="1"/>
  <c r="AG1001" i="1"/>
  <c r="AI1001" i="1"/>
  <c r="AJ1001" i="1"/>
  <c r="AK1001" i="1"/>
  <c r="X1002" i="1"/>
  <c r="Y1002" i="1"/>
  <c r="AB1002" i="1"/>
  <c r="AC1002" i="1"/>
  <c r="AG1002" i="1"/>
  <c r="AI1002" i="1"/>
  <c r="AJ1002" i="1"/>
  <c r="AK1002" i="1"/>
  <c r="X1003" i="1"/>
  <c r="Y1003" i="1"/>
  <c r="AB1003" i="1"/>
  <c r="AC1003" i="1"/>
  <c r="AG1003" i="1"/>
  <c r="AI1003" i="1"/>
  <c r="AJ1003" i="1"/>
  <c r="AK1003" i="1"/>
  <c r="X1004" i="1"/>
  <c r="Y1004" i="1"/>
  <c r="AB1004" i="1"/>
  <c r="AC1004" i="1"/>
  <c r="AG1004" i="1"/>
  <c r="AI1004" i="1"/>
  <c r="AJ1004" i="1"/>
  <c r="AK1004" i="1"/>
  <c r="X1005" i="1"/>
  <c r="Y1005" i="1"/>
  <c r="AB1005" i="1"/>
  <c r="AC1005" i="1"/>
  <c r="AG1005" i="1"/>
  <c r="AI1005" i="1"/>
  <c r="AJ1005" i="1"/>
  <c r="AK1005" i="1"/>
  <c r="X1006" i="1"/>
  <c r="Y1006" i="1"/>
  <c r="AB1006" i="1"/>
  <c r="AC1006" i="1"/>
  <c r="AG1006" i="1"/>
  <c r="AI1006" i="1"/>
  <c r="AJ1006" i="1"/>
  <c r="AK1006" i="1"/>
  <c r="X1007" i="1"/>
  <c r="Y1007" i="1"/>
  <c r="AB1007" i="1"/>
  <c r="AC1007" i="1"/>
  <c r="AG1007" i="1"/>
  <c r="AI1007" i="1"/>
  <c r="AJ1007" i="1"/>
  <c r="AK1007" i="1"/>
  <c r="X1008" i="1"/>
  <c r="Y1008" i="1"/>
  <c r="AB1008" i="1"/>
  <c r="AC1008" i="1"/>
  <c r="AG1008" i="1"/>
  <c r="AI1008" i="1"/>
  <c r="AJ1008" i="1"/>
  <c r="AK1008" i="1"/>
  <c r="X1009" i="1"/>
  <c r="Y1009" i="1"/>
  <c r="AB1009" i="1"/>
  <c r="AC1009" i="1"/>
  <c r="AG1009" i="1"/>
  <c r="AI1009" i="1"/>
  <c r="AJ1009" i="1"/>
  <c r="AK1009" i="1"/>
  <c r="X1010" i="1"/>
  <c r="Y1010" i="1"/>
  <c r="AB1010" i="1"/>
  <c r="AC1010" i="1"/>
  <c r="AG1010" i="1"/>
  <c r="AI1010" i="1"/>
  <c r="AJ1010" i="1"/>
  <c r="AK1010" i="1"/>
  <c r="X1011" i="1"/>
  <c r="Y1011" i="1"/>
  <c r="AB1011" i="1"/>
  <c r="AC1011" i="1"/>
  <c r="AG1011" i="1"/>
  <c r="AI1011" i="1"/>
  <c r="AJ1011" i="1"/>
  <c r="AK1011" i="1"/>
  <c r="X1012" i="1"/>
  <c r="Y1012" i="1"/>
  <c r="AB1012" i="1"/>
  <c r="AC1012" i="1"/>
  <c r="AG1012" i="1"/>
  <c r="AI1012" i="1"/>
  <c r="AJ1012" i="1"/>
  <c r="AK1012" i="1"/>
  <c r="X1013" i="1"/>
  <c r="Y1013" i="1"/>
  <c r="AB1013" i="1"/>
  <c r="AC1013" i="1"/>
  <c r="AG1013" i="1"/>
  <c r="AI1013" i="1"/>
  <c r="AJ1013" i="1"/>
  <c r="AK1013" i="1"/>
  <c r="X1014" i="1"/>
  <c r="Y1014" i="1"/>
  <c r="AB1014" i="1"/>
  <c r="AC1014" i="1"/>
  <c r="AG1014" i="1"/>
  <c r="AI1014" i="1"/>
  <c r="AJ1014" i="1"/>
  <c r="AK1014" i="1"/>
  <c r="X1015" i="1"/>
  <c r="Y1015" i="1"/>
  <c r="AB1015" i="1"/>
  <c r="AC1015" i="1"/>
  <c r="AG1015" i="1"/>
  <c r="AI1015" i="1"/>
  <c r="AJ1015" i="1"/>
  <c r="AK1015" i="1"/>
  <c r="X1016" i="1"/>
  <c r="Y1016" i="1"/>
  <c r="AB1016" i="1"/>
  <c r="AC1016" i="1"/>
  <c r="AG1016" i="1"/>
  <c r="AI1016" i="1"/>
  <c r="AJ1016" i="1"/>
  <c r="AK1016" i="1"/>
  <c r="X1017" i="1"/>
  <c r="Y1017" i="1"/>
  <c r="AB1017" i="1"/>
  <c r="AC1017" i="1"/>
  <c r="AG1017" i="1"/>
  <c r="AI1017" i="1"/>
  <c r="AJ1017" i="1"/>
  <c r="AK1017" i="1"/>
  <c r="X1018" i="1"/>
  <c r="Y1018" i="1"/>
  <c r="Z1018" i="1" s="1"/>
  <c r="AB1018" i="1"/>
  <c r="AC1018" i="1"/>
  <c r="AG1018" i="1"/>
  <c r="AI1018" i="1"/>
  <c r="AJ1018" i="1"/>
  <c r="AK1018" i="1"/>
  <c r="X1019" i="1"/>
  <c r="Y1019" i="1"/>
  <c r="AB1019" i="1"/>
  <c r="AC1019" i="1"/>
  <c r="AG1019" i="1"/>
  <c r="AI1019" i="1"/>
  <c r="AJ1019" i="1"/>
  <c r="AK1019" i="1"/>
  <c r="X1020" i="1"/>
  <c r="Y1020" i="1"/>
  <c r="AB1020" i="1"/>
  <c r="AC1020" i="1"/>
  <c r="AG1020" i="1"/>
  <c r="AI1020" i="1"/>
  <c r="AJ1020" i="1"/>
  <c r="AK1020" i="1"/>
  <c r="X1021" i="1"/>
  <c r="Y1021" i="1"/>
  <c r="AB1021" i="1"/>
  <c r="AC1021" i="1"/>
  <c r="AG1021" i="1"/>
  <c r="AI1021" i="1"/>
  <c r="AJ1021" i="1"/>
  <c r="AK1021" i="1"/>
  <c r="X1022" i="1"/>
  <c r="Y1022" i="1"/>
  <c r="AB1022" i="1"/>
  <c r="AC1022" i="1"/>
  <c r="AG1022" i="1"/>
  <c r="AI1022" i="1"/>
  <c r="AJ1022" i="1"/>
  <c r="AK1022" i="1"/>
  <c r="X1023" i="1"/>
  <c r="Y1023" i="1"/>
  <c r="AB1023" i="1"/>
  <c r="AC1023" i="1"/>
  <c r="AG1023" i="1"/>
  <c r="AI1023" i="1"/>
  <c r="AJ1023" i="1"/>
  <c r="AK1023" i="1"/>
  <c r="X1024" i="1"/>
  <c r="Y1024" i="1"/>
  <c r="AB1024" i="1"/>
  <c r="AC1024" i="1"/>
  <c r="AG1024" i="1"/>
  <c r="AI1024" i="1"/>
  <c r="AJ1024" i="1"/>
  <c r="AK1024" i="1"/>
  <c r="X1025" i="1"/>
  <c r="Y1025" i="1"/>
  <c r="AB1025" i="1"/>
  <c r="AC1025" i="1"/>
  <c r="AG1025" i="1"/>
  <c r="AI1025" i="1"/>
  <c r="AJ1025" i="1"/>
  <c r="AK1025" i="1"/>
  <c r="X1026" i="1"/>
  <c r="Y1026" i="1"/>
  <c r="AB1026" i="1"/>
  <c r="AC1026" i="1"/>
  <c r="AG1026" i="1"/>
  <c r="AI1026" i="1"/>
  <c r="AJ1026" i="1"/>
  <c r="AK1026" i="1"/>
  <c r="X1027" i="1"/>
  <c r="Y1027" i="1"/>
  <c r="AB1027" i="1"/>
  <c r="AC1027" i="1"/>
  <c r="AG1027" i="1"/>
  <c r="AI1027" i="1"/>
  <c r="AJ1027" i="1"/>
  <c r="AK1027" i="1"/>
  <c r="X1028" i="1"/>
  <c r="Y1028" i="1"/>
  <c r="AB1028" i="1"/>
  <c r="AC1028" i="1"/>
  <c r="AG1028" i="1"/>
  <c r="AI1028" i="1"/>
  <c r="AJ1028" i="1"/>
  <c r="AK1028" i="1"/>
  <c r="X1029" i="1"/>
  <c r="Y1029" i="1"/>
  <c r="AB1029" i="1"/>
  <c r="AC1029" i="1"/>
  <c r="AG1029" i="1"/>
  <c r="AI1029" i="1"/>
  <c r="AJ1029" i="1"/>
  <c r="AK1029" i="1"/>
  <c r="X1030" i="1"/>
  <c r="Y1030" i="1"/>
  <c r="AB1030" i="1"/>
  <c r="AC1030" i="1"/>
  <c r="AG1030" i="1"/>
  <c r="AI1030" i="1"/>
  <c r="AJ1030" i="1"/>
  <c r="AK1030" i="1"/>
  <c r="X1031" i="1"/>
  <c r="Y1031" i="1"/>
  <c r="AB1031" i="1"/>
  <c r="AC1031" i="1"/>
  <c r="AG1031" i="1"/>
  <c r="AI1031" i="1"/>
  <c r="AJ1031" i="1"/>
  <c r="AK1031" i="1"/>
  <c r="X1032" i="1"/>
  <c r="Y1032" i="1"/>
  <c r="AB1032" i="1"/>
  <c r="AC1032" i="1"/>
  <c r="AG1032" i="1"/>
  <c r="AI1032" i="1"/>
  <c r="AJ1032" i="1"/>
  <c r="AK1032" i="1"/>
  <c r="X1033" i="1"/>
  <c r="Y1033" i="1"/>
  <c r="AB1033" i="1"/>
  <c r="AC1033" i="1"/>
  <c r="AG1033" i="1"/>
  <c r="AI1033" i="1"/>
  <c r="AJ1033" i="1"/>
  <c r="AK1033" i="1"/>
  <c r="X1034" i="1"/>
  <c r="Y1034" i="1"/>
  <c r="AB1034" i="1"/>
  <c r="AC1034" i="1"/>
  <c r="AG1034" i="1"/>
  <c r="AI1034" i="1"/>
  <c r="AJ1034" i="1"/>
  <c r="AK1034" i="1"/>
  <c r="X1035" i="1"/>
  <c r="Y1035" i="1"/>
  <c r="AB1035" i="1"/>
  <c r="AC1035" i="1"/>
  <c r="AG1035" i="1"/>
  <c r="AI1035" i="1"/>
  <c r="AJ1035" i="1"/>
  <c r="AK1035" i="1"/>
  <c r="X1036" i="1"/>
  <c r="Y1036" i="1"/>
  <c r="AB1036" i="1"/>
  <c r="AC1036" i="1"/>
  <c r="AG1036" i="1"/>
  <c r="AI1036" i="1"/>
  <c r="AJ1036" i="1"/>
  <c r="AK1036" i="1"/>
  <c r="X1037" i="1"/>
  <c r="Y1037" i="1"/>
  <c r="AB1037" i="1"/>
  <c r="AC1037" i="1"/>
  <c r="AG1037" i="1"/>
  <c r="AI1037" i="1"/>
  <c r="AJ1037" i="1"/>
  <c r="AK1037" i="1"/>
  <c r="X1038" i="1"/>
  <c r="Y1038" i="1"/>
  <c r="AB1038" i="1"/>
  <c r="AC1038" i="1"/>
  <c r="AG1038" i="1"/>
  <c r="AI1038" i="1"/>
  <c r="AJ1038" i="1"/>
  <c r="AK1038" i="1"/>
  <c r="X1039" i="1"/>
  <c r="Y1039" i="1"/>
  <c r="AB1039" i="1"/>
  <c r="AC1039" i="1"/>
  <c r="AG1039" i="1"/>
  <c r="AI1039" i="1"/>
  <c r="AJ1039" i="1"/>
  <c r="AK1039" i="1"/>
  <c r="X1040" i="1"/>
  <c r="Y1040" i="1"/>
  <c r="AB1040" i="1"/>
  <c r="AC1040" i="1"/>
  <c r="AG1040" i="1"/>
  <c r="AI1040" i="1"/>
  <c r="AJ1040" i="1"/>
  <c r="AK1040" i="1"/>
  <c r="X1041" i="1"/>
  <c r="Y1041" i="1"/>
  <c r="AB1041" i="1"/>
  <c r="AC1041" i="1"/>
  <c r="AG1041" i="1"/>
  <c r="AI1041" i="1"/>
  <c r="AJ1041" i="1"/>
  <c r="AK1041" i="1"/>
  <c r="X1042" i="1"/>
  <c r="Y1042" i="1"/>
  <c r="AB1042" i="1"/>
  <c r="AC1042" i="1"/>
  <c r="AG1042" i="1"/>
  <c r="AI1042" i="1"/>
  <c r="AJ1042" i="1"/>
  <c r="AK1042" i="1"/>
  <c r="X1043" i="1"/>
  <c r="Y1043" i="1"/>
  <c r="AB1043" i="1"/>
  <c r="AC1043" i="1"/>
  <c r="AG1043" i="1"/>
  <c r="AI1043" i="1"/>
  <c r="AJ1043" i="1"/>
  <c r="AK1043" i="1"/>
  <c r="X1044" i="1"/>
  <c r="Y1044" i="1"/>
  <c r="AB1044" i="1"/>
  <c r="AC1044" i="1"/>
  <c r="AG1044" i="1"/>
  <c r="AI1044" i="1"/>
  <c r="AJ1044" i="1"/>
  <c r="AK1044" i="1"/>
  <c r="X1045" i="1"/>
  <c r="Y1045" i="1"/>
  <c r="AB1045" i="1"/>
  <c r="AC1045" i="1"/>
  <c r="AG1045" i="1"/>
  <c r="AI1045" i="1"/>
  <c r="AJ1045" i="1"/>
  <c r="AK1045" i="1"/>
  <c r="X1046" i="1"/>
  <c r="Y1046" i="1"/>
  <c r="AB1046" i="1"/>
  <c r="AC1046" i="1"/>
  <c r="AG1046" i="1"/>
  <c r="AI1046" i="1"/>
  <c r="AJ1046" i="1"/>
  <c r="AK1046" i="1"/>
  <c r="X1047" i="1"/>
  <c r="Y1047" i="1"/>
  <c r="AB1047" i="1"/>
  <c r="AC1047" i="1"/>
  <c r="AG1047" i="1"/>
  <c r="AI1047" i="1"/>
  <c r="AJ1047" i="1"/>
  <c r="AK1047" i="1"/>
  <c r="X1048" i="1"/>
  <c r="Y1048" i="1"/>
  <c r="AB1048" i="1"/>
  <c r="AC1048" i="1"/>
  <c r="AG1048" i="1"/>
  <c r="AI1048" i="1"/>
  <c r="AJ1048" i="1"/>
  <c r="AK1048" i="1"/>
  <c r="X1049" i="1"/>
  <c r="Y1049" i="1"/>
  <c r="AB1049" i="1"/>
  <c r="AC1049" i="1"/>
  <c r="AG1049" i="1"/>
  <c r="AI1049" i="1"/>
  <c r="AJ1049" i="1"/>
  <c r="AK1049" i="1"/>
  <c r="X1050" i="1"/>
  <c r="Y1050" i="1"/>
  <c r="AB1050" i="1"/>
  <c r="AC1050" i="1"/>
  <c r="AG1050" i="1"/>
  <c r="AI1050" i="1"/>
  <c r="AJ1050" i="1"/>
  <c r="AK1050" i="1"/>
  <c r="X1051" i="1"/>
  <c r="Y1051" i="1"/>
  <c r="AB1051" i="1"/>
  <c r="AC1051" i="1"/>
  <c r="AG1051" i="1"/>
  <c r="AI1051" i="1"/>
  <c r="AJ1051" i="1"/>
  <c r="AK1051" i="1"/>
  <c r="X1052" i="1"/>
  <c r="Y1052" i="1"/>
  <c r="AB1052" i="1"/>
  <c r="AC1052" i="1"/>
  <c r="AG1052" i="1"/>
  <c r="AI1052" i="1"/>
  <c r="AJ1052" i="1"/>
  <c r="AK1052" i="1"/>
  <c r="X1053" i="1"/>
  <c r="Y1053" i="1"/>
  <c r="AB1053" i="1"/>
  <c r="AC1053" i="1"/>
  <c r="AG1053" i="1"/>
  <c r="AI1053" i="1"/>
  <c r="AJ1053" i="1"/>
  <c r="AK1053" i="1"/>
  <c r="X1054" i="1"/>
  <c r="Y1054" i="1"/>
  <c r="AB1054" i="1"/>
  <c r="AC1054" i="1"/>
  <c r="AG1054" i="1"/>
  <c r="AI1054" i="1"/>
  <c r="AJ1054" i="1"/>
  <c r="AK1054" i="1"/>
  <c r="X1055" i="1"/>
  <c r="Y1055" i="1"/>
  <c r="AB1055" i="1"/>
  <c r="AC1055" i="1"/>
  <c r="AG1055" i="1"/>
  <c r="AI1055" i="1"/>
  <c r="AJ1055" i="1"/>
  <c r="AK1055" i="1"/>
  <c r="X1056" i="1"/>
  <c r="Y1056" i="1"/>
  <c r="AB1056" i="1"/>
  <c r="AC1056" i="1"/>
  <c r="AG1056" i="1"/>
  <c r="AI1056" i="1"/>
  <c r="AJ1056" i="1"/>
  <c r="AK1056" i="1"/>
  <c r="X1057" i="1"/>
  <c r="Y1057" i="1"/>
  <c r="AB1057" i="1"/>
  <c r="AC1057" i="1"/>
  <c r="AG1057" i="1"/>
  <c r="AI1057" i="1"/>
  <c r="AJ1057" i="1"/>
  <c r="AK1057" i="1"/>
  <c r="X1058" i="1"/>
  <c r="Y1058" i="1"/>
  <c r="AB1058" i="1"/>
  <c r="AC1058" i="1"/>
  <c r="AG1058" i="1"/>
  <c r="AI1058" i="1"/>
  <c r="AJ1058" i="1"/>
  <c r="AK1058" i="1"/>
  <c r="X1059" i="1"/>
  <c r="Y1059" i="1"/>
  <c r="AB1059" i="1"/>
  <c r="AC1059" i="1"/>
  <c r="AG1059" i="1"/>
  <c r="AI1059" i="1"/>
  <c r="AJ1059" i="1"/>
  <c r="AK1059" i="1"/>
  <c r="X1060" i="1"/>
  <c r="Y1060" i="1"/>
  <c r="AB1060" i="1"/>
  <c r="AC1060" i="1"/>
  <c r="AG1060" i="1"/>
  <c r="AI1060" i="1"/>
  <c r="AJ1060" i="1"/>
  <c r="AK1060" i="1"/>
  <c r="X1061" i="1"/>
  <c r="Y1061" i="1"/>
  <c r="AB1061" i="1"/>
  <c r="AC1061" i="1"/>
  <c r="AG1061" i="1"/>
  <c r="AI1061" i="1"/>
  <c r="AJ1061" i="1"/>
  <c r="AK1061" i="1"/>
  <c r="X1062" i="1"/>
  <c r="Y1062" i="1"/>
  <c r="AB1062" i="1"/>
  <c r="AC1062" i="1"/>
  <c r="AG1062" i="1"/>
  <c r="AI1062" i="1"/>
  <c r="AJ1062" i="1"/>
  <c r="AK1062" i="1"/>
  <c r="X1063" i="1"/>
  <c r="Y1063" i="1"/>
  <c r="AB1063" i="1"/>
  <c r="AC1063" i="1"/>
  <c r="AG1063" i="1"/>
  <c r="AI1063" i="1"/>
  <c r="AJ1063" i="1"/>
  <c r="AK1063" i="1"/>
  <c r="X1064" i="1"/>
  <c r="Y1064" i="1"/>
  <c r="AB1064" i="1"/>
  <c r="AC1064" i="1"/>
  <c r="AG1064" i="1"/>
  <c r="AI1064" i="1"/>
  <c r="AJ1064" i="1"/>
  <c r="AK1064" i="1"/>
  <c r="X1065" i="1"/>
  <c r="Y1065" i="1"/>
  <c r="AB1065" i="1"/>
  <c r="AC1065" i="1"/>
  <c r="AG1065" i="1"/>
  <c r="AI1065" i="1"/>
  <c r="AJ1065" i="1"/>
  <c r="AK1065" i="1"/>
  <c r="X1066" i="1"/>
  <c r="Y1066" i="1"/>
  <c r="AB1066" i="1"/>
  <c r="AC1066" i="1"/>
  <c r="AG1066" i="1"/>
  <c r="AI1066" i="1"/>
  <c r="AJ1066" i="1"/>
  <c r="AK1066" i="1"/>
  <c r="X1067" i="1"/>
  <c r="Y1067" i="1"/>
  <c r="AB1067" i="1"/>
  <c r="AC1067" i="1"/>
  <c r="AG1067" i="1"/>
  <c r="AI1067" i="1"/>
  <c r="AJ1067" i="1"/>
  <c r="AK1067" i="1"/>
  <c r="X1068" i="1"/>
  <c r="Y1068" i="1"/>
  <c r="AB1068" i="1"/>
  <c r="AC1068" i="1"/>
  <c r="AG1068" i="1"/>
  <c r="AI1068" i="1"/>
  <c r="AJ1068" i="1"/>
  <c r="AK1068" i="1"/>
  <c r="X1069" i="1"/>
  <c r="Y1069" i="1"/>
  <c r="AB1069" i="1"/>
  <c r="AC1069" i="1"/>
  <c r="AG1069" i="1"/>
  <c r="AI1069" i="1"/>
  <c r="AJ1069" i="1"/>
  <c r="AK1069" i="1"/>
  <c r="X1070" i="1"/>
  <c r="Y1070" i="1"/>
  <c r="AB1070" i="1"/>
  <c r="AC1070" i="1"/>
  <c r="AG1070" i="1"/>
  <c r="AI1070" i="1"/>
  <c r="AJ1070" i="1"/>
  <c r="AK1070" i="1"/>
  <c r="X1071" i="1"/>
  <c r="Y1071" i="1"/>
  <c r="AB1071" i="1"/>
  <c r="AC1071" i="1"/>
  <c r="AG1071" i="1"/>
  <c r="AI1071" i="1"/>
  <c r="AJ1071" i="1"/>
  <c r="AK1071" i="1"/>
  <c r="X1072" i="1"/>
  <c r="Y1072" i="1"/>
  <c r="AB1072" i="1"/>
  <c r="AC1072" i="1"/>
  <c r="AG1072" i="1"/>
  <c r="AI1072" i="1"/>
  <c r="AJ1072" i="1"/>
  <c r="AK1072" i="1"/>
  <c r="X1073" i="1"/>
  <c r="Y1073" i="1"/>
  <c r="AB1073" i="1"/>
  <c r="AC1073" i="1"/>
  <c r="AG1073" i="1"/>
  <c r="AI1073" i="1"/>
  <c r="AJ1073" i="1"/>
  <c r="AK1073" i="1"/>
  <c r="X1074" i="1"/>
  <c r="Y1074" i="1"/>
  <c r="AB1074" i="1"/>
  <c r="AC1074" i="1"/>
  <c r="AG1074" i="1"/>
  <c r="AI1074" i="1"/>
  <c r="AJ1074" i="1"/>
  <c r="AK1074" i="1"/>
  <c r="X1075" i="1"/>
  <c r="Y1075" i="1"/>
  <c r="AB1075" i="1"/>
  <c r="AC1075" i="1"/>
  <c r="AG1075" i="1"/>
  <c r="AI1075" i="1"/>
  <c r="AJ1075" i="1"/>
  <c r="AK1075" i="1"/>
  <c r="X1076" i="1"/>
  <c r="Y1076" i="1"/>
  <c r="AB1076" i="1"/>
  <c r="AC1076" i="1"/>
  <c r="AG1076" i="1"/>
  <c r="AI1076" i="1"/>
  <c r="AJ1076" i="1"/>
  <c r="AK1076" i="1"/>
  <c r="X1077" i="1"/>
  <c r="Y1077" i="1"/>
  <c r="AB1077" i="1"/>
  <c r="AC1077" i="1"/>
  <c r="AG1077" i="1"/>
  <c r="AI1077" i="1"/>
  <c r="AJ1077" i="1"/>
  <c r="AK1077" i="1"/>
  <c r="X1078" i="1"/>
  <c r="Y1078" i="1"/>
  <c r="AB1078" i="1"/>
  <c r="AC1078" i="1"/>
  <c r="AG1078" i="1"/>
  <c r="AI1078" i="1"/>
  <c r="AJ1078" i="1"/>
  <c r="AK1078" i="1"/>
  <c r="X1079" i="1"/>
  <c r="Y1079" i="1"/>
  <c r="AB1079" i="1"/>
  <c r="AC1079" i="1"/>
  <c r="AG1079" i="1"/>
  <c r="AI1079" i="1"/>
  <c r="AJ1079" i="1"/>
  <c r="AK1079" i="1"/>
  <c r="X1080" i="1"/>
  <c r="Y1080" i="1"/>
  <c r="AB1080" i="1"/>
  <c r="AC1080" i="1"/>
  <c r="AG1080" i="1"/>
  <c r="AI1080" i="1"/>
  <c r="AJ1080" i="1"/>
  <c r="AK1080" i="1"/>
  <c r="X1081" i="1"/>
  <c r="Y1081" i="1"/>
  <c r="AB1081" i="1"/>
  <c r="AC1081" i="1"/>
  <c r="AG1081" i="1"/>
  <c r="AI1081" i="1"/>
  <c r="AJ1081" i="1"/>
  <c r="AK1081" i="1"/>
  <c r="X1082" i="1"/>
  <c r="Y1082" i="1"/>
  <c r="AB1082" i="1"/>
  <c r="AC1082" i="1"/>
  <c r="AG1082" i="1"/>
  <c r="AI1082" i="1"/>
  <c r="AJ1082" i="1"/>
  <c r="AK1082" i="1"/>
  <c r="X1083" i="1"/>
  <c r="Y1083" i="1"/>
  <c r="AB1083" i="1"/>
  <c r="AC1083" i="1"/>
  <c r="AG1083" i="1"/>
  <c r="AI1083" i="1"/>
  <c r="AJ1083" i="1"/>
  <c r="AK1083" i="1"/>
  <c r="X1084" i="1"/>
  <c r="Y1084" i="1"/>
  <c r="AB1084" i="1"/>
  <c r="AC1084" i="1"/>
  <c r="AG1084" i="1"/>
  <c r="AI1084" i="1"/>
  <c r="AJ1084" i="1"/>
  <c r="AK1084" i="1"/>
  <c r="X1085" i="1"/>
  <c r="Y1085" i="1"/>
  <c r="AB1085" i="1"/>
  <c r="AC1085" i="1"/>
  <c r="AG1085" i="1"/>
  <c r="AI1085" i="1"/>
  <c r="AJ1085" i="1"/>
  <c r="AK1085" i="1"/>
  <c r="X1086" i="1"/>
  <c r="Y1086" i="1"/>
  <c r="AB1086" i="1"/>
  <c r="AC1086" i="1"/>
  <c r="AG1086" i="1"/>
  <c r="AI1086" i="1"/>
  <c r="AJ1086" i="1"/>
  <c r="AK1086" i="1"/>
  <c r="X1087" i="1"/>
  <c r="Y1087" i="1"/>
  <c r="AB1087" i="1"/>
  <c r="AC1087" i="1"/>
  <c r="AG1087" i="1"/>
  <c r="AI1087" i="1"/>
  <c r="AJ1087" i="1"/>
  <c r="AK1087" i="1"/>
  <c r="X1088" i="1"/>
  <c r="Y1088" i="1"/>
  <c r="AB1088" i="1"/>
  <c r="AC1088" i="1"/>
  <c r="AG1088" i="1"/>
  <c r="AI1088" i="1"/>
  <c r="AJ1088" i="1"/>
  <c r="AK1088" i="1"/>
  <c r="X1089" i="1"/>
  <c r="Y1089" i="1"/>
  <c r="AB1089" i="1"/>
  <c r="AC1089" i="1"/>
  <c r="AG1089" i="1"/>
  <c r="AI1089" i="1"/>
  <c r="AJ1089" i="1"/>
  <c r="AK1089" i="1"/>
  <c r="X1090" i="1"/>
  <c r="Y1090" i="1"/>
  <c r="AB1090" i="1"/>
  <c r="AC1090" i="1"/>
  <c r="AG1090" i="1"/>
  <c r="AI1090" i="1"/>
  <c r="AJ1090" i="1"/>
  <c r="AK1090" i="1"/>
  <c r="X1091" i="1"/>
  <c r="Y1091" i="1"/>
  <c r="AB1091" i="1"/>
  <c r="AC1091" i="1"/>
  <c r="AG1091" i="1"/>
  <c r="AI1091" i="1"/>
  <c r="AJ1091" i="1"/>
  <c r="AK1091" i="1"/>
  <c r="X1092" i="1"/>
  <c r="Y1092" i="1"/>
  <c r="AB1092" i="1"/>
  <c r="AC1092" i="1"/>
  <c r="AG1092" i="1"/>
  <c r="AI1092" i="1"/>
  <c r="AJ1092" i="1"/>
  <c r="AK1092" i="1"/>
  <c r="X1093" i="1"/>
  <c r="Y1093" i="1"/>
  <c r="AB1093" i="1"/>
  <c r="AC1093" i="1"/>
  <c r="AG1093" i="1"/>
  <c r="AI1093" i="1"/>
  <c r="AJ1093" i="1"/>
  <c r="AK1093" i="1"/>
  <c r="X1094" i="1"/>
  <c r="Y1094" i="1"/>
  <c r="AB1094" i="1"/>
  <c r="AC1094" i="1"/>
  <c r="AG1094" i="1"/>
  <c r="AI1094" i="1"/>
  <c r="AJ1094" i="1"/>
  <c r="AK1094" i="1"/>
  <c r="X1095" i="1"/>
  <c r="Y1095" i="1"/>
  <c r="AB1095" i="1"/>
  <c r="AC1095" i="1"/>
  <c r="AG1095" i="1"/>
  <c r="AI1095" i="1"/>
  <c r="AJ1095" i="1"/>
  <c r="AK1095" i="1"/>
  <c r="X1096" i="1"/>
  <c r="Y1096" i="1"/>
  <c r="AB1096" i="1"/>
  <c r="AC1096" i="1"/>
  <c r="AG1096" i="1"/>
  <c r="AI1096" i="1"/>
  <c r="AJ1096" i="1"/>
  <c r="AK1096" i="1"/>
  <c r="X1097" i="1"/>
  <c r="Y1097" i="1"/>
  <c r="AB1097" i="1"/>
  <c r="AC1097" i="1"/>
  <c r="AG1097" i="1"/>
  <c r="AI1097" i="1"/>
  <c r="AJ1097" i="1"/>
  <c r="AK1097" i="1"/>
  <c r="X1098" i="1"/>
  <c r="Y1098" i="1"/>
  <c r="AB1098" i="1"/>
  <c r="AC1098" i="1"/>
  <c r="AG1098" i="1"/>
  <c r="AI1098" i="1"/>
  <c r="AJ1098" i="1"/>
  <c r="AK1098" i="1"/>
  <c r="X1099" i="1"/>
  <c r="Y1099" i="1"/>
  <c r="AB1099" i="1"/>
  <c r="AC1099" i="1"/>
  <c r="AG1099" i="1"/>
  <c r="AI1099" i="1"/>
  <c r="AJ1099" i="1"/>
  <c r="AK1099" i="1"/>
  <c r="X1100" i="1"/>
  <c r="Y1100" i="1"/>
  <c r="AB1100" i="1"/>
  <c r="AC1100" i="1"/>
  <c r="AG1100" i="1"/>
  <c r="AI1100" i="1"/>
  <c r="AJ1100" i="1"/>
  <c r="AK1100" i="1"/>
  <c r="X1101" i="1"/>
  <c r="Y1101" i="1"/>
  <c r="AB1101" i="1"/>
  <c r="AC1101" i="1"/>
  <c r="AG1101" i="1"/>
  <c r="AI1101" i="1"/>
  <c r="AJ1101" i="1"/>
  <c r="AK1101" i="1"/>
  <c r="X1102" i="1"/>
  <c r="Y1102" i="1"/>
  <c r="AB1102" i="1"/>
  <c r="AC1102" i="1"/>
  <c r="AG1102" i="1"/>
  <c r="AI1102" i="1"/>
  <c r="AJ1102" i="1"/>
  <c r="AK1102" i="1"/>
  <c r="X1103" i="1"/>
  <c r="Y1103" i="1"/>
  <c r="AB1103" i="1"/>
  <c r="AC1103" i="1"/>
  <c r="AG1103" i="1"/>
  <c r="AI1103" i="1"/>
  <c r="AJ1103" i="1"/>
  <c r="AK1103" i="1"/>
  <c r="X1104" i="1"/>
  <c r="Y1104" i="1"/>
  <c r="AB1104" i="1"/>
  <c r="AC1104" i="1"/>
  <c r="AG1104" i="1"/>
  <c r="AI1104" i="1"/>
  <c r="AJ1104" i="1"/>
  <c r="AK1104" i="1"/>
  <c r="X1105" i="1"/>
  <c r="Y1105" i="1"/>
  <c r="AB1105" i="1"/>
  <c r="AC1105" i="1"/>
  <c r="AG1105" i="1"/>
  <c r="AI1105" i="1"/>
  <c r="AJ1105" i="1"/>
  <c r="AK1105" i="1"/>
  <c r="X1106" i="1"/>
  <c r="Y1106" i="1"/>
  <c r="AB1106" i="1"/>
  <c r="AC1106" i="1"/>
  <c r="AG1106" i="1"/>
  <c r="AI1106" i="1"/>
  <c r="AJ1106" i="1"/>
  <c r="AK1106" i="1"/>
  <c r="X1107" i="1"/>
  <c r="Y1107" i="1"/>
  <c r="AB1107" i="1"/>
  <c r="AC1107" i="1"/>
  <c r="AG1107" i="1"/>
  <c r="AI1107" i="1"/>
  <c r="AJ1107" i="1"/>
  <c r="AK1107" i="1"/>
  <c r="X1108" i="1"/>
  <c r="Y1108" i="1"/>
  <c r="AB1108" i="1"/>
  <c r="AC1108" i="1"/>
  <c r="AG1108" i="1"/>
  <c r="AI1108" i="1"/>
  <c r="AJ1108" i="1"/>
  <c r="AK1108" i="1"/>
  <c r="X1109" i="1"/>
  <c r="Y1109" i="1"/>
  <c r="AB1109" i="1"/>
  <c r="AC1109" i="1"/>
  <c r="AG1109" i="1"/>
  <c r="AI1109" i="1"/>
  <c r="AJ1109" i="1"/>
  <c r="AK1109" i="1"/>
  <c r="X1110" i="1"/>
  <c r="Y1110" i="1"/>
  <c r="AB1110" i="1"/>
  <c r="AC1110" i="1"/>
  <c r="AG1110" i="1"/>
  <c r="AI1110" i="1"/>
  <c r="AJ1110" i="1"/>
  <c r="AK1110" i="1"/>
  <c r="X1111" i="1"/>
  <c r="Y1111" i="1"/>
  <c r="AB1111" i="1"/>
  <c r="AC1111" i="1"/>
  <c r="AG1111" i="1"/>
  <c r="AI1111" i="1"/>
  <c r="AJ1111" i="1"/>
  <c r="AK1111" i="1"/>
  <c r="X1112" i="1"/>
  <c r="Y1112" i="1"/>
  <c r="AB1112" i="1"/>
  <c r="AC1112" i="1"/>
  <c r="AG1112" i="1"/>
  <c r="AI1112" i="1"/>
  <c r="AJ1112" i="1"/>
  <c r="AK1112" i="1"/>
  <c r="X1113" i="1"/>
  <c r="Y1113" i="1"/>
  <c r="AB1113" i="1"/>
  <c r="AC1113" i="1"/>
  <c r="AG1113" i="1"/>
  <c r="AI1113" i="1"/>
  <c r="AJ1113" i="1"/>
  <c r="AK1113" i="1"/>
  <c r="X1114" i="1"/>
  <c r="Y1114" i="1"/>
  <c r="AB1114" i="1"/>
  <c r="AC1114" i="1"/>
  <c r="AG1114" i="1"/>
  <c r="AI1114" i="1"/>
  <c r="AJ1114" i="1"/>
  <c r="AK1114" i="1"/>
  <c r="X1115" i="1"/>
  <c r="Y1115" i="1"/>
  <c r="AB1115" i="1"/>
  <c r="AC1115" i="1"/>
  <c r="AG1115" i="1"/>
  <c r="AI1115" i="1"/>
  <c r="AJ1115" i="1"/>
  <c r="AK1115" i="1"/>
  <c r="X1116" i="1"/>
  <c r="Y1116" i="1"/>
  <c r="AB1116" i="1"/>
  <c r="AC1116" i="1"/>
  <c r="AG1116" i="1"/>
  <c r="AI1116" i="1"/>
  <c r="AJ1116" i="1"/>
  <c r="AK1116" i="1"/>
  <c r="X1117" i="1"/>
  <c r="Y1117" i="1"/>
  <c r="AB1117" i="1"/>
  <c r="AC1117" i="1"/>
  <c r="AG1117" i="1"/>
  <c r="AI1117" i="1"/>
  <c r="AJ1117" i="1"/>
  <c r="AK1117" i="1"/>
  <c r="X1118" i="1"/>
  <c r="Y1118" i="1"/>
  <c r="AB1118" i="1"/>
  <c r="AC1118" i="1"/>
  <c r="AG1118" i="1"/>
  <c r="AI1118" i="1"/>
  <c r="AJ1118" i="1"/>
  <c r="AK1118" i="1"/>
  <c r="X1119" i="1"/>
  <c r="Y1119" i="1"/>
  <c r="AB1119" i="1"/>
  <c r="AC1119" i="1"/>
  <c r="AG1119" i="1"/>
  <c r="AI1119" i="1"/>
  <c r="AJ1119" i="1"/>
  <c r="AK1119" i="1"/>
  <c r="X1120" i="1"/>
  <c r="Y1120" i="1"/>
  <c r="AB1120" i="1"/>
  <c r="AC1120" i="1"/>
  <c r="AG1120" i="1"/>
  <c r="AI1120" i="1"/>
  <c r="AJ1120" i="1"/>
  <c r="AK1120" i="1"/>
  <c r="X1121" i="1"/>
  <c r="Y1121" i="1"/>
  <c r="AB1121" i="1"/>
  <c r="AC1121" i="1"/>
  <c r="AG1121" i="1"/>
  <c r="AI1121" i="1"/>
  <c r="AJ1121" i="1"/>
  <c r="AK1121" i="1"/>
  <c r="X1122" i="1"/>
  <c r="Y1122" i="1"/>
  <c r="AB1122" i="1"/>
  <c r="AC1122" i="1"/>
  <c r="AG1122" i="1"/>
  <c r="AI1122" i="1"/>
  <c r="AJ1122" i="1"/>
  <c r="AK1122" i="1"/>
  <c r="X1123" i="1"/>
  <c r="Y1123" i="1"/>
  <c r="AB1123" i="1"/>
  <c r="AC1123" i="1"/>
  <c r="AG1123" i="1"/>
  <c r="AI1123" i="1"/>
  <c r="AJ1123" i="1"/>
  <c r="AK1123" i="1"/>
  <c r="X1124" i="1"/>
  <c r="Y1124" i="1"/>
  <c r="AB1124" i="1"/>
  <c r="AC1124" i="1"/>
  <c r="AG1124" i="1"/>
  <c r="AI1124" i="1"/>
  <c r="AJ1124" i="1"/>
  <c r="AK1124" i="1"/>
  <c r="X1125" i="1"/>
  <c r="Y1125" i="1"/>
  <c r="AB1125" i="1"/>
  <c r="AC1125" i="1"/>
  <c r="AG1125" i="1"/>
  <c r="AI1125" i="1"/>
  <c r="AJ1125" i="1"/>
  <c r="AK1125" i="1"/>
  <c r="X1126" i="1"/>
  <c r="Y1126" i="1"/>
  <c r="AB1126" i="1"/>
  <c r="AC1126" i="1"/>
  <c r="AG1126" i="1"/>
  <c r="AI1126" i="1"/>
  <c r="AJ1126" i="1"/>
  <c r="AK1126" i="1"/>
  <c r="X1127" i="1"/>
  <c r="Y1127" i="1"/>
  <c r="AB1127" i="1"/>
  <c r="AC1127" i="1"/>
  <c r="AG1127" i="1"/>
  <c r="AI1127" i="1"/>
  <c r="AJ1127" i="1"/>
  <c r="AK1127" i="1"/>
  <c r="X1128" i="1"/>
  <c r="Y1128" i="1"/>
  <c r="AB1128" i="1"/>
  <c r="AC1128" i="1"/>
  <c r="AG1128" i="1"/>
  <c r="AI1128" i="1"/>
  <c r="AJ1128" i="1"/>
  <c r="AK1128" i="1"/>
  <c r="X1129" i="1"/>
  <c r="Y1129" i="1"/>
  <c r="AB1129" i="1"/>
  <c r="AC1129" i="1"/>
  <c r="AG1129" i="1"/>
  <c r="AI1129" i="1"/>
  <c r="AJ1129" i="1"/>
  <c r="AK1129" i="1"/>
  <c r="X1130" i="1"/>
  <c r="Y1130" i="1"/>
  <c r="AB1130" i="1"/>
  <c r="AC1130" i="1"/>
  <c r="AG1130" i="1"/>
  <c r="AI1130" i="1"/>
  <c r="AJ1130" i="1"/>
  <c r="AK1130" i="1"/>
  <c r="X1131" i="1"/>
  <c r="Y1131" i="1"/>
  <c r="AB1131" i="1"/>
  <c r="AC1131" i="1"/>
  <c r="AG1131" i="1"/>
  <c r="AI1131" i="1"/>
  <c r="AJ1131" i="1"/>
  <c r="AK1131" i="1"/>
  <c r="X1132" i="1"/>
  <c r="Y1132" i="1"/>
  <c r="AB1132" i="1"/>
  <c r="AC1132" i="1"/>
  <c r="AG1132" i="1"/>
  <c r="AI1132" i="1"/>
  <c r="AJ1132" i="1"/>
  <c r="AK1132" i="1"/>
  <c r="X1133" i="1"/>
  <c r="Y1133" i="1"/>
  <c r="AB1133" i="1"/>
  <c r="AC1133" i="1"/>
  <c r="AG1133" i="1"/>
  <c r="AI1133" i="1"/>
  <c r="AJ1133" i="1"/>
  <c r="AK1133" i="1"/>
  <c r="X1134" i="1"/>
  <c r="Y1134" i="1"/>
  <c r="AB1134" i="1"/>
  <c r="AC1134" i="1"/>
  <c r="AG1134" i="1"/>
  <c r="AI1134" i="1"/>
  <c r="AJ1134" i="1"/>
  <c r="AK1134" i="1"/>
  <c r="X1135" i="1"/>
  <c r="Y1135" i="1"/>
  <c r="AB1135" i="1"/>
  <c r="AC1135" i="1"/>
  <c r="AG1135" i="1"/>
  <c r="AI1135" i="1"/>
  <c r="AJ1135" i="1"/>
  <c r="AK1135" i="1"/>
  <c r="X1136" i="1"/>
  <c r="Y1136" i="1"/>
  <c r="AB1136" i="1"/>
  <c r="AC1136" i="1"/>
  <c r="AG1136" i="1"/>
  <c r="AI1136" i="1"/>
  <c r="AJ1136" i="1"/>
  <c r="AK1136" i="1"/>
  <c r="X1137" i="1"/>
  <c r="Y1137" i="1"/>
  <c r="AB1137" i="1"/>
  <c r="AC1137" i="1"/>
  <c r="AG1137" i="1"/>
  <c r="AI1137" i="1"/>
  <c r="AJ1137" i="1"/>
  <c r="AK1137" i="1"/>
  <c r="X1138" i="1"/>
  <c r="Y1138" i="1"/>
  <c r="AB1138" i="1"/>
  <c r="AC1138" i="1"/>
  <c r="AG1138" i="1"/>
  <c r="AI1138" i="1"/>
  <c r="AJ1138" i="1"/>
  <c r="AK1138" i="1"/>
  <c r="X1139" i="1"/>
  <c r="Y1139" i="1"/>
  <c r="AB1139" i="1"/>
  <c r="AC1139" i="1"/>
  <c r="AG1139" i="1"/>
  <c r="AI1139" i="1"/>
  <c r="AJ1139" i="1"/>
  <c r="AK1139" i="1"/>
  <c r="X1140" i="1"/>
  <c r="Y1140" i="1"/>
  <c r="AB1140" i="1"/>
  <c r="AC1140" i="1"/>
  <c r="AG1140" i="1"/>
  <c r="AI1140" i="1"/>
  <c r="AJ1140" i="1"/>
  <c r="AK1140" i="1"/>
  <c r="X1141" i="1"/>
  <c r="Y1141" i="1"/>
  <c r="AB1141" i="1"/>
  <c r="AC1141" i="1"/>
  <c r="AG1141" i="1"/>
  <c r="AI1141" i="1"/>
  <c r="AJ1141" i="1"/>
  <c r="AK1141" i="1"/>
  <c r="X1142" i="1"/>
  <c r="Y1142" i="1"/>
  <c r="AB1142" i="1"/>
  <c r="AC1142" i="1"/>
  <c r="AG1142" i="1"/>
  <c r="AI1142" i="1"/>
  <c r="AJ1142" i="1"/>
  <c r="AK1142" i="1"/>
  <c r="X1143" i="1"/>
  <c r="Y1143" i="1"/>
  <c r="AB1143" i="1"/>
  <c r="AC1143" i="1"/>
  <c r="AG1143" i="1"/>
  <c r="AI1143" i="1"/>
  <c r="AJ1143" i="1"/>
  <c r="AK1143" i="1"/>
  <c r="X1144" i="1"/>
  <c r="Y1144" i="1"/>
  <c r="AB1144" i="1"/>
  <c r="AC1144" i="1"/>
  <c r="AG1144" i="1"/>
  <c r="AI1144" i="1"/>
  <c r="AJ1144" i="1"/>
  <c r="AK1144" i="1"/>
  <c r="X1145" i="1"/>
  <c r="Y1145" i="1"/>
  <c r="AB1145" i="1"/>
  <c r="AC1145" i="1"/>
  <c r="AG1145" i="1"/>
  <c r="AI1145" i="1"/>
  <c r="AJ1145" i="1"/>
  <c r="AK1145" i="1"/>
  <c r="X1146" i="1"/>
  <c r="Y1146" i="1"/>
  <c r="AB1146" i="1"/>
  <c r="AC1146" i="1"/>
  <c r="AG1146" i="1"/>
  <c r="AI1146" i="1"/>
  <c r="AJ1146" i="1"/>
  <c r="AK1146" i="1"/>
  <c r="X1147" i="1"/>
  <c r="Y1147" i="1"/>
  <c r="AB1147" i="1"/>
  <c r="AC1147" i="1"/>
  <c r="AG1147" i="1"/>
  <c r="AI1147" i="1"/>
  <c r="AJ1147" i="1"/>
  <c r="AK1147" i="1"/>
  <c r="X1148" i="1"/>
  <c r="Y1148" i="1"/>
  <c r="AB1148" i="1"/>
  <c r="AC1148" i="1"/>
  <c r="AG1148" i="1"/>
  <c r="AI1148" i="1"/>
  <c r="AJ1148" i="1"/>
  <c r="AK1148" i="1"/>
  <c r="X1149" i="1"/>
  <c r="Y1149" i="1"/>
  <c r="AB1149" i="1"/>
  <c r="AC1149" i="1"/>
  <c r="AG1149" i="1"/>
  <c r="AI1149" i="1"/>
  <c r="AJ1149" i="1"/>
  <c r="AK1149" i="1"/>
  <c r="X1150" i="1"/>
  <c r="Y1150" i="1"/>
  <c r="AB1150" i="1"/>
  <c r="AC1150" i="1"/>
  <c r="AG1150" i="1"/>
  <c r="AI1150" i="1"/>
  <c r="AJ1150" i="1"/>
  <c r="AK1150" i="1"/>
  <c r="X1151" i="1"/>
  <c r="Y1151" i="1"/>
  <c r="AB1151" i="1"/>
  <c r="AC1151" i="1"/>
  <c r="AG1151" i="1"/>
  <c r="AI1151" i="1"/>
  <c r="AJ1151" i="1"/>
  <c r="AK1151" i="1"/>
  <c r="X1152" i="1"/>
  <c r="Y1152" i="1"/>
  <c r="AB1152" i="1"/>
  <c r="AC1152" i="1"/>
  <c r="AG1152" i="1"/>
  <c r="AI1152" i="1"/>
  <c r="AJ1152" i="1"/>
  <c r="AK1152" i="1"/>
  <c r="X1153" i="1"/>
  <c r="Y1153" i="1"/>
  <c r="AB1153" i="1"/>
  <c r="AC1153" i="1"/>
  <c r="AG1153" i="1"/>
  <c r="AI1153" i="1"/>
  <c r="AJ1153" i="1"/>
  <c r="AK1153" i="1"/>
  <c r="X1154" i="1"/>
  <c r="Y1154" i="1"/>
  <c r="AB1154" i="1"/>
  <c r="AC1154" i="1"/>
  <c r="AG1154" i="1"/>
  <c r="AI1154" i="1"/>
  <c r="AJ1154" i="1"/>
  <c r="AK1154" i="1"/>
  <c r="X1155" i="1"/>
  <c r="Y1155" i="1"/>
  <c r="AB1155" i="1"/>
  <c r="AC1155" i="1"/>
  <c r="AG1155" i="1"/>
  <c r="AI1155" i="1"/>
  <c r="AJ1155" i="1"/>
  <c r="AK1155" i="1"/>
  <c r="X1156" i="1"/>
  <c r="Y1156" i="1"/>
  <c r="AB1156" i="1"/>
  <c r="AC1156" i="1"/>
  <c r="AG1156" i="1"/>
  <c r="AI1156" i="1"/>
  <c r="AJ1156" i="1"/>
  <c r="AK1156" i="1"/>
  <c r="X1157" i="1"/>
  <c r="Y1157" i="1"/>
  <c r="AB1157" i="1"/>
  <c r="AC1157" i="1"/>
  <c r="AG1157" i="1"/>
  <c r="AI1157" i="1"/>
  <c r="AJ1157" i="1"/>
  <c r="AK1157" i="1"/>
  <c r="X1158" i="1"/>
  <c r="Y1158" i="1"/>
  <c r="AB1158" i="1"/>
  <c r="AC1158" i="1"/>
  <c r="AG1158" i="1"/>
  <c r="AI1158" i="1"/>
  <c r="AJ1158" i="1"/>
  <c r="AK1158" i="1"/>
  <c r="X1159" i="1"/>
  <c r="Y1159" i="1"/>
  <c r="AB1159" i="1"/>
  <c r="AC1159" i="1"/>
  <c r="AG1159" i="1"/>
  <c r="AI1159" i="1"/>
  <c r="AJ1159" i="1"/>
  <c r="AK1159" i="1"/>
  <c r="X1160" i="1"/>
  <c r="Y1160" i="1"/>
  <c r="AB1160" i="1"/>
  <c r="AC1160" i="1"/>
  <c r="AG1160" i="1"/>
  <c r="AI1160" i="1"/>
  <c r="AJ1160" i="1"/>
  <c r="AK1160" i="1"/>
  <c r="X1161" i="1"/>
  <c r="Y1161" i="1"/>
  <c r="AB1161" i="1"/>
  <c r="AC1161" i="1"/>
  <c r="AG1161" i="1"/>
  <c r="AI1161" i="1"/>
  <c r="AJ1161" i="1"/>
  <c r="AK1161" i="1"/>
  <c r="X1162" i="1"/>
  <c r="Y1162" i="1"/>
  <c r="AB1162" i="1"/>
  <c r="AC1162" i="1"/>
  <c r="AG1162" i="1"/>
  <c r="AI1162" i="1"/>
  <c r="AJ1162" i="1"/>
  <c r="AK1162" i="1"/>
  <c r="X1163" i="1"/>
  <c r="Y1163" i="1"/>
  <c r="AB1163" i="1"/>
  <c r="AC1163" i="1"/>
  <c r="AG1163" i="1"/>
  <c r="AI1163" i="1"/>
  <c r="AJ1163" i="1"/>
  <c r="AK1163" i="1"/>
  <c r="X1164" i="1"/>
  <c r="Y1164" i="1"/>
  <c r="AB1164" i="1"/>
  <c r="AC1164" i="1"/>
  <c r="AG1164" i="1"/>
  <c r="AI1164" i="1"/>
  <c r="AJ1164" i="1"/>
  <c r="AK1164" i="1"/>
  <c r="X1165" i="1"/>
  <c r="Y1165" i="1"/>
  <c r="AB1165" i="1"/>
  <c r="AC1165" i="1"/>
  <c r="AG1165" i="1"/>
  <c r="AI1165" i="1"/>
  <c r="AJ1165" i="1"/>
  <c r="AK1165" i="1"/>
  <c r="X1166" i="1"/>
  <c r="Y1166" i="1"/>
  <c r="AB1166" i="1"/>
  <c r="AC1166" i="1"/>
  <c r="AG1166" i="1"/>
  <c r="AI1166" i="1"/>
  <c r="AJ1166" i="1"/>
  <c r="AK1166" i="1"/>
  <c r="X1167" i="1"/>
  <c r="Y1167" i="1"/>
  <c r="AB1167" i="1"/>
  <c r="AC1167" i="1"/>
  <c r="AG1167" i="1"/>
  <c r="AI1167" i="1"/>
  <c r="AJ1167" i="1"/>
  <c r="AK1167" i="1"/>
  <c r="X1168" i="1"/>
  <c r="Y1168" i="1"/>
  <c r="AB1168" i="1"/>
  <c r="AC1168" i="1"/>
  <c r="AG1168" i="1"/>
  <c r="AI1168" i="1"/>
  <c r="AJ1168" i="1"/>
  <c r="AK1168" i="1"/>
  <c r="X1169" i="1"/>
  <c r="Y1169" i="1"/>
  <c r="AB1169" i="1"/>
  <c r="AC1169" i="1"/>
  <c r="AG1169" i="1"/>
  <c r="AI1169" i="1"/>
  <c r="AJ1169" i="1"/>
  <c r="AK1169" i="1"/>
  <c r="X1170" i="1"/>
  <c r="Y1170" i="1"/>
  <c r="AB1170" i="1"/>
  <c r="AC1170" i="1"/>
  <c r="AG1170" i="1"/>
  <c r="AI1170" i="1"/>
  <c r="AJ1170" i="1"/>
  <c r="AK1170" i="1"/>
  <c r="X1171" i="1"/>
  <c r="Y1171" i="1"/>
  <c r="AB1171" i="1"/>
  <c r="AC1171" i="1"/>
  <c r="AG1171" i="1"/>
  <c r="AI1171" i="1"/>
  <c r="AJ1171" i="1"/>
  <c r="AK1171" i="1"/>
  <c r="X1172" i="1"/>
  <c r="Y1172" i="1"/>
  <c r="AB1172" i="1"/>
  <c r="AC1172" i="1"/>
  <c r="AG1172" i="1"/>
  <c r="AI1172" i="1"/>
  <c r="AJ1172" i="1"/>
  <c r="AK1172" i="1"/>
  <c r="X1173" i="1"/>
  <c r="Y1173" i="1"/>
  <c r="AB1173" i="1"/>
  <c r="AC1173" i="1"/>
  <c r="AG1173" i="1"/>
  <c r="AI1173" i="1"/>
  <c r="AJ1173" i="1"/>
  <c r="AK1173" i="1"/>
  <c r="X1174" i="1"/>
  <c r="Y1174" i="1"/>
  <c r="AB1174" i="1"/>
  <c r="AC1174" i="1"/>
  <c r="AG1174" i="1"/>
  <c r="AI1174" i="1"/>
  <c r="AJ1174" i="1"/>
  <c r="AK1174" i="1"/>
  <c r="X1175" i="1"/>
  <c r="Y1175" i="1"/>
  <c r="AB1175" i="1"/>
  <c r="AC1175" i="1"/>
  <c r="AG1175" i="1"/>
  <c r="AI1175" i="1"/>
  <c r="AJ1175" i="1"/>
  <c r="AK1175" i="1"/>
  <c r="X1176" i="1"/>
  <c r="Y1176" i="1"/>
  <c r="AB1176" i="1"/>
  <c r="AC1176" i="1"/>
  <c r="AG1176" i="1"/>
  <c r="AI1176" i="1"/>
  <c r="AJ1176" i="1"/>
  <c r="AK1176" i="1"/>
  <c r="X1177" i="1"/>
  <c r="Y1177" i="1"/>
  <c r="AB1177" i="1"/>
  <c r="AC1177" i="1"/>
  <c r="AG1177" i="1"/>
  <c r="AI1177" i="1"/>
  <c r="AJ1177" i="1"/>
  <c r="AK1177" i="1"/>
  <c r="X1178" i="1"/>
  <c r="Y1178" i="1"/>
  <c r="AB1178" i="1"/>
  <c r="AC1178" i="1"/>
  <c r="AG1178" i="1"/>
  <c r="AI1178" i="1"/>
  <c r="AJ1178" i="1"/>
  <c r="AK1178" i="1"/>
  <c r="X1179" i="1"/>
  <c r="Y1179" i="1"/>
  <c r="AB1179" i="1"/>
  <c r="AC1179" i="1"/>
  <c r="AG1179" i="1"/>
  <c r="AI1179" i="1"/>
  <c r="AJ1179" i="1"/>
  <c r="AK1179" i="1"/>
  <c r="X1180" i="1"/>
  <c r="Y1180" i="1"/>
  <c r="AB1180" i="1"/>
  <c r="AC1180" i="1"/>
  <c r="AG1180" i="1"/>
  <c r="AI1180" i="1"/>
  <c r="AJ1180" i="1"/>
  <c r="AK1180" i="1"/>
  <c r="X1181" i="1"/>
  <c r="Y1181" i="1"/>
  <c r="AB1181" i="1"/>
  <c r="AC1181" i="1"/>
  <c r="AG1181" i="1"/>
  <c r="AI1181" i="1"/>
  <c r="AJ1181" i="1"/>
  <c r="AK1181" i="1"/>
  <c r="X1182" i="1"/>
  <c r="Y1182" i="1"/>
  <c r="AB1182" i="1"/>
  <c r="AC1182" i="1"/>
  <c r="AG1182" i="1"/>
  <c r="AI1182" i="1"/>
  <c r="AJ1182" i="1"/>
  <c r="AK1182" i="1"/>
  <c r="X1183" i="1"/>
  <c r="Y1183" i="1"/>
  <c r="AB1183" i="1"/>
  <c r="AC1183" i="1"/>
  <c r="AG1183" i="1"/>
  <c r="AI1183" i="1"/>
  <c r="AJ1183" i="1"/>
  <c r="AK1183" i="1"/>
  <c r="X1184" i="1"/>
  <c r="Y1184" i="1"/>
  <c r="AB1184" i="1"/>
  <c r="AC1184" i="1"/>
  <c r="AG1184" i="1"/>
  <c r="AI1184" i="1"/>
  <c r="AJ1184" i="1"/>
  <c r="AK1184" i="1"/>
  <c r="X1185" i="1"/>
  <c r="Y1185" i="1"/>
  <c r="AB1185" i="1"/>
  <c r="AC1185" i="1"/>
  <c r="AG1185" i="1"/>
  <c r="AI1185" i="1"/>
  <c r="AJ1185" i="1"/>
  <c r="AK1185" i="1"/>
  <c r="X1186" i="1"/>
  <c r="Y1186" i="1"/>
  <c r="AB1186" i="1"/>
  <c r="AC1186" i="1"/>
  <c r="AG1186" i="1"/>
  <c r="AI1186" i="1"/>
  <c r="AJ1186" i="1"/>
  <c r="AK1186" i="1"/>
  <c r="X1187" i="1"/>
  <c r="Y1187" i="1"/>
  <c r="AB1187" i="1"/>
  <c r="AC1187" i="1"/>
  <c r="AG1187" i="1"/>
  <c r="AI1187" i="1"/>
  <c r="AJ1187" i="1"/>
  <c r="AK1187" i="1"/>
  <c r="X1188" i="1"/>
  <c r="Y1188" i="1"/>
  <c r="AB1188" i="1"/>
  <c r="AC1188" i="1"/>
  <c r="AG1188" i="1"/>
  <c r="AI1188" i="1"/>
  <c r="AJ1188" i="1"/>
  <c r="AK1188" i="1"/>
  <c r="X1189" i="1"/>
  <c r="Y1189" i="1"/>
  <c r="AB1189" i="1"/>
  <c r="AC1189" i="1"/>
  <c r="AG1189" i="1"/>
  <c r="AI1189" i="1"/>
  <c r="AJ1189" i="1"/>
  <c r="AK1189" i="1"/>
  <c r="X1190" i="1"/>
  <c r="Y1190" i="1"/>
  <c r="AB1190" i="1"/>
  <c r="AC1190" i="1"/>
  <c r="AG1190" i="1"/>
  <c r="AI1190" i="1"/>
  <c r="AJ1190" i="1"/>
  <c r="AK1190" i="1"/>
  <c r="X1191" i="1"/>
  <c r="Y1191" i="1"/>
  <c r="AB1191" i="1"/>
  <c r="AC1191" i="1"/>
  <c r="AG1191" i="1"/>
  <c r="AI1191" i="1"/>
  <c r="AJ1191" i="1"/>
  <c r="AK1191" i="1"/>
  <c r="X1192" i="1"/>
  <c r="Y1192" i="1"/>
  <c r="AB1192" i="1"/>
  <c r="AC1192" i="1"/>
  <c r="AG1192" i="1"/>
  <c r="AI1192" i="1"/>
  <c r="AJ1192" i="1"/>
  <c r="AK1192" i="1"/>
  <c r="X1193" i="1"/>
  <c r="Y1193" i="1"/>
  <c r="AB1193" i="1"/>
  <c r="AC1193" i="1"/>
  <c r="AG1193" i="1"/>
  <c r="AI1193" i="1"/>
  <c r="AJ1193" i="1"/>
  <c r="AK1193" i="1"/>
  <c r="X1194" i="1"/>
  <c r="Y1194" i="1"/>
  <c r="AB1194" i="1"/>
  <c r="AC1194" i="1"/>
  <c r="AG1194" i="1"/>
  <c r="AI1194" i="1"/>
  <c r="AJ1194" i="1"/>
  <c r="AK1194" i="1"/>
  <c r="X1195" i="1"/>
  <c r="Y1195" i="1"/>
  <c r="AB1195" i="1"/>
  <c r="AC1195" i="1"/>
  <c r="AG1195" i="1"/>
  <c r="AI1195" i="1"/>
  <c r="AJ1195" i="1"/>
  <c r="AK1195" i="1"/>
  <c r="X1196" i="1"/>
  <c r="Y1196" i="1"/>
  <c r="AB1196" i="1"/>
  <c r="AC1196" i="1"/>
  <c r="AG1196" i="1"/>
  <c r="AI1196" i="1"/>
  <c r="AJ1196" i="1"/>
  <c r="AK1196" i="1"/>
  <c r="X1197" i="1"/>
  <c r="Y1197" i="1"/>
  <c r="AB1197" i="1"/>
  <c r="AC1197" i="1"/>
  <c r="AG1197" i="1"/>
  <c r="AI1197" i="1"/>
  <c r="AJ1197" i="1"/>
  <c r="AK1197" i="1"/>
  <c r="X1198" i="1"/>
  <c r="Y1198" i="1"/>
  <c r="AB1198" i="1"/>
  <c r="AC1198" i="1"/>
  <c r="AG1198" i="1"/>
  <c r="AI1198" i="1"/>
  <c r="AJ1198" i="1"/>
  <c r="AK1198" i="1"/>
  <c r="X1199" i="1"/>
  <c r="Y1199" i="1"/>
  <c r="AB1199" i="1"/>
  <c r="AC1199" i="1"/>
  <c r="AG1199" i="1"/>
  <c r="AI1199" i="1"/>
  <c r="AJ1199" i="1"/>
  <c r="AK1199" i="1"/>
  <c r="X1200" i="1"/>
  <c r="Y1200" i="1"/>
  <c r="AB1200" i="1"/>
  <c r="AC1200" i="1"/>
  <c r="AG1200" i="1"/>
  <c r="AI1200" i="1"/>
  <c r="AJ1200" i="1"/>
  <c r="AK1200" i="1"/>
  <c r="X1201" i="1"/>
  <c r="Y1201" i="1"/>
  <c r="AB1201" i="1"/>
  <c r="AC1201" i="1"/>
  <c r="AG1201" i="1"/>
  <c r="AI1201" i="1"/>
  <c r="AJ1201" i="1"/>
  <c r="AK1201" i="1"/>
  <c r="X1202" i="1"/>
  <c r="Y1202" i="1"/>
  <c r="AB1202" i="1"/>
  <c r="AC1202" i="1"/>
  <c r="AG1202" i="1"/>
  <c r="AI1202" i="1"/>
  <c r="AJ1202" i="1"/>
  <c r="AK1202" i="1"/>
  <c r="X1203" i="1"/>
  <c r="Y1203" i="1"/>
  <c r="AB1203" i="1"/>
  <c r="AC1203" i="1"/>
  <c r="AG1203" i="1"/>
  <c r="AI1203" i="1"/>
  <c r="AJ1203" i="1"/>
  <c r="AK1203" i="1"/>
  <c r="X1204" i="1"/>
  <c r="Y1204" i="1"/>
  <c r="AB1204" i="1"/>
  <c r="AC1204" i="1"/>
  <c r="AG1204" i="1"/>
  <c r="AI1204" i="1"/>
  <c r="AJ1204" i="1"/>
  <c r="AK1204" i="1"/>
  <c r="X1205" i="1"/>
  <c r="Y1205" i="1"/>
  <c r="AB1205" i="1"/>
  <c r="AC1205" i="1"/>
  <c r="AG1205" i="1"/>
  <c r="AI1205" i="1"/>
  <c r="AJ1205" i="1"/>
  <c r="AK1205" i="1"/>
  <c r="X1206" i="1"/>
  <c r="Y1206" i="1"/>
  <c r="AB1206" i="1"/>
  <c r="AC1206" i="1"/>
  <c r="AG1206" i="1"/>
  <c r="AI1206" i="1"/>
  <c r="AJ1206" i="1"/>
  <c r="AK1206" i="1"/>
  <c r="X1207" i="1"/>
  <c r="Y1207" i="1"/>
  <c r="AB1207" i="1"/>
  <c r="AC1207" i="1"/>
  <c r="AG1207" i="1"/>
  <c r="AI1207" i="1"/>
  <c r="AJ1207" i="1"/>
  <c r="AK1207" i="1"/>
  <c r="X1208" i="1"/>
  <c r="Y1208" i="1"/>
  <c r="AB1208" i="1"/>
  <c r="AC1208" i="1"/>
  <c r="AG1208" i="1"/>
  <c r="AI1208" i="1"/>
  <c r="AJ1208" i="1"/>
  <c r="AK1208" i="1"/>
  <c r="X1209" i="1"/>
  <c r="Y1209" i="1"/>
  <c r="AB1209" i="1"/>
  <c r="AC1209" i="1"/>
  <c r="AG1209" i="1"/>
  <c r="AI1209" i="1"/>
  <c r="AJ1209" i="1"/>
  <c r="AK1209" i="1"/>
  <c r="X1210" i="1"/>
  <c r="Y1210" i="1"/>
  <c r="AB1210" i="1"/>
  <c r="AC1210" i="1"/>
  <c r="AG1210" i="1"/>
  <c r="AI1210" i="1"/>
  <c r="AJ1210" i="1"/>
  <c r="AK1210" i="1"/>
  <c r="X1211" i="1"/>
  <c r="Y1211" i="1"/>
  <c r="AB1211" i="1"/>
  <c r="AC1211" i="1"/>
  <c r="AG1211" i="1"/>
  <c r="AI1211" i="1"/>
  <c r="AJ1211" i="1"/>
  <c r="AK1211" i="1"/>
  <c r="X1212" i="1"/>
  <c r="Y1212" i="1"/>
  <c r="AB1212" i="1"/>
  <c r="AC1212" i="1"/>
  <c r="AG1212" i="1"/>
  <c r="AI1212" i="1"/>
  <c r="AJ1212" i="1"/>
  <c r="AK1212" i="1"/>
  <c r="X1213" i="1"/>
  <c r="Y1213" i="1"/>
  <c r="AB1213" i="1"/>
  <c r="AC1213" i="1"/>
  <c r="AG1213" i="1"/>
  <c r="AI1213" i="1"/>
  <c r="AJ1213" i="1"/>
  <c r="AK1213" i="1"/>
  <c r="X1214" i="1"/>
  <c r="Y1214" i="1"/>
  <c r="AB1214" i="1"/>
  <c r="AC1214" i="1"/>
  <c r="AG1214" i="1"/>
  <c r="AI1214" i="1"/>
  <c r="AJ1214" i="1"/>
  <c r="AK1214" i="1"/>
  <c r="X1215" i="1"/>
  <c r="Y1215" i="1"/>
  <c r="AB1215" i="1"/>
  <c r="AC1215" i="1"/>
  <c r="AG1215" i="1"/>
  <c r="AI1215" i="1"/>
  <c r="AJ1215" i="1"/>
  <c r="AK1215" i="1"/>
  <c r="X1216" i="1"/>
  <c r="Y1216" i="1"/>
  <c r="AB1216" i="1"/>
  <c r="AC1216" i="1"/>
  <c r="AG1216" i="1"/>
  <c r="AI1216" i="1"/>
  <c r="AJ1216" i="1"/>
  <c r="AK1216" i="1"/>
  <c r="X1217" i="1"/>
  <c r="Y1217" i="1"/>
  <c r="AB1217" i="1"/>
  <c r="AC1217" i="1"/>
  <c r="AG1217" i="1"/>
  <c r="AI1217" i="1"/>
  <c r="AJ1217" i="1"/>
  <c r="AK1217" i="1"/>
  <c r="X1218" i="1"/>
  <c r="Y1218" i="1"/>
  <c r="AB1218" i="1"/>
  <c r="AC1218" i="1"/>
  <c r="AG1218" i="1"/>
  <c r="AI1218" i="1"/>
  <c r="AJ1218" i="1"/>
  <c r="AK1218" i="1"/>
  <c r="X1219" i="1"/>
  <c r="Y1219" i="1"/>
  <c r="AB1219" i="1"/>
  <c r="AC1219" i="1"/>
  <c r="AG1219" i="1"/>
  <c r="AI1219" i="1"/>
  <c r="AJ1219" i="1"/>
  <c r="AK1219" i="1"/>
  <c r="X1220" i="1"/>
  <c r="Y1220" i="1"/>
  <c r="AB1220" i="1"/>
  <c r="AC1220" i="1"/>
  <c r="AG1220" i="1"/>
  <c r="AI1220" i="1"/>
  <c r="AJ1220" i="1"/>
  <c r="AK1220" i="1"/>
  <c r="X1221" i="1"/>
  <c r="Y1221" i="1"/>
  <c r="AB1221" i="1"/>
  <c r="AC1221" i="1"/>
  <c r="AG1221" i="1"/>
  <c r="AI1221" i="1"/>
  <c r="AJ1221" i="1"/>
  <c r="AK1221" i="1"/>
  <c r="X1222" i="1"/>
  <c r="Y1222" i="1"/>
  <c r="AB1222" i="1"/>
  <c r="AC1222" i="1"/>
  <c r="AG1222" i="1"/>
  <c r="AI1222" i="1"/>
  <c r="AJ1222" i="1"/>
  <c r="AK1222" i="1"/>
  <c r="X1223" i="1"/>
  <c r="Y1223" i="1"/>
  <c r="AB1223" i="1"/>
  <c r="AC1223" i="1"/>
  <c r="AG1223" i="1"/>
  <c r="AI1223" i="1"/>
  <c r="AJ1223" i="1"/>
  <c r="AK1223" i="1"/>
  <c r="X1224" i="1"/>
  <c r="Y1224" i="1"/>
  <c r="AB1224" i="1"/>
  <c r="AC1224" i="1"/>
  <c r="AG1224" i="1"/>
  <c r="AI1224" i="1"/>
  <c r="AJ1224" i="1"/>
  <c r="AK1224" i="1"/>
  <c r="X1225" i="1"/>
  <c r="Y1225" i="1"/>
  <c r="AB1225" i="1"/>
  <c r="AC1225" i="1"/>
  <c r="AG1225" i="1"/>
  <c r="AI1225" i="1"/>
  <c r="AJ1225" i="1"/>
  <c r="AK1225" i="1"/>
  <c r="X1226" i="1"/>
  <c r="Y1226" i="1"/>
  <c r="AB1226" i="1"/>
  <c r="AC1226" i="1"/>
  <c r="AG1226" i="1"/>
  <c r="AI1226" i="1"/>
  <c r="AJ1226" i="1"/>
  <c r="AK1226" i="1"/>
  <c r="X1227" i="1"/>
  <c r="Y1227" i="1"/>
  <c r="AB1227" i="1"/>
  <c r="AC1227" i="1"/>
  <c r="AG1227" i="1"/>
  <c r="AI1227" i="1"/>
  <c r="AJ1227" i="1"/>
  <c r="AK1227" i="1"/>
  <c r="X1228" i="1"/>
  <c r="Y1228" i="1"/>
  <c r="AB1228" i="1"/>
  <c r="AC1228" i="1"/>
  <c r="AG1228" i="1"/>
  <c r="AI1228" i="1"/>
  <c r="AJ1228" i="1"/>
  <c r="AK1228" i="1"/>
  <c r="X1229" i="1"/>
  <c r="Y1229" i="1"/>
  <c r="AB1229" i="1"/>
  <c r="AC1229" i="1"/>
  <c r="AG1229" i="1"/>
  <c r="AI1229" i="1"/>
  <c r="AJ1229" i="1"/>
  <c r="AK1229" i="1"/>
  <c r="X1230" i="1"/>
  <c r="Y1230" i="1"/>
  <c r="AB1230" i="1"/>
  <c r="AC1230" i="1"/>
  <c r="AG1230" i="1"/>
  <c r="AI1230" i="1"/>
  <c r="AJ1230" i="1"/>
  <c r="AK1230" i="1"/>
  <c r="X1231" i="1"/>
  <c r="Y1231" i="1"/>
  <c r="AB1231" i="1"/>
  <c r="AC1231" i="1"/>
  <c r="AG1231" i="1"/>
  <c r="AI1231" i="1"/>
  <c r="AJ1231" i="1"/>
  <c r="AK1231" i="1"/>
  <c r="X1232" i="1"/>
  <c r="Y1232" i="1"/>
  <c r="AB1232" i="1"/>
  <c r="AC1232" i="1"/>
  <c r="AG1232" i="1"/>
  <c r="AI1232" i="1"/>
  <c r="AJ1232" i="1"/>
  <c r="AK1232" i="1"/>
  <c r="X1233" i="1"/>
  <c r="Y1233" i="1"/>
  <c r="AB1233" i="1"/>
  <c r="AC1233" i="1"/>
  <c r="AG1233" i="1"/>
  <c r="AI1233" i="1"/>
  <c r="AJ1233" i="1"/>
  <c r="AK1233" i="1"/>
  <c r="X1234" i="1"/>
  <c r="Y1234" i="1"/>
  <c r="AB1234" i="1"/>
  <c r="AC1234" i="1"/>
  <c r="AG1234" i="1"/>
  <c r="AI1234" i="1"/>
  <c r="AJ1234" i="1"/>
  <c r="AK1234" i="1"/>
  <c r="X1235" i="1"/>
  <c r="Y1235" i="1"/>
  <c r="AB1235" i="1"/>
  <c r="AC1235" i="1"/>
  <c r="AG1235" i="1"/>
  <c r="AI1235" i="1"/>
  <c r="AJ1235" i="1"/>
  <c r="AK1235" i="1"/>
  <c r="X1236" i="1"/>
  <c r="Y1236" i="1"/>
  <c r="AB1236" i="1"/>
  <c r="AC1236" i="1"/>
  <c r="AG1236" i="1"/>
  <c r="AI1236" i="1"/>
  <c r="AJ1236" i="1"/>
  <c r="AK1236" i="1"/>
  <c r="X1237" i="1"/>
  <c r="Y1237" i="1"/>
  <c r="AB1237" i="1"/>
  <c r="AC1237" i="1"/>
  <c r="AG1237" i="1"/>
  <c r="AI1237" i="1"/>
  <c r="AJ1237" i="1"/>
  <c r="AK1237" i="1"/>
  <c r="X1238" i="1"/>
  <c r="Y1238" i="1"/>
  <c r="AB1238" i="1"/>
  <c r="AC1238" i="1"/>
  <c r="AG1238" i="1"/>
  <c r="AI1238" i="1"/>
  <c r="AJ1238" i="1"/>
  <c r="AK1238" i="1"/>
  <c r="X1239" i="1"/>
  <c r="Y1239" i="1"/>
  <c r="AB1239" i="1"/>
  <c r="AC1239" i="1"/>
  <c r="AG1239" i="1"/>
  <c r="AI1239" i="1"/>
  <c r="AJ1239" i="1"/>
  <c r="AK1239" i="1"/>
  <c r="X1240" i="1"/>
  <c r="Y1240" i="1"/>
  <c r="AB1240" i="1"/>
  <c r="AC1240" i="1"/>
  <c r="AG1240" i="1"/>
  <c r="AI1240" i="1"/>
  <c r="AJ1240" i="1"/>
  <c r="AK1240" i="1"/>
  <c r="X1241" i="1"/>
  <c r="Y1241" i="1"/>
  <c r="AB1241" i="1"/>
  <c r="AC1241" i="1"/>
  <c r="AG1241" i="1"/>
  <c r="AI1241" i="1"/>
  <c r="AJ1241" i="1"/>
  <c r="AK1241" i="1"/>
  <c r="X1242" i="1"/>
  <c r="Y1242" i="1"/>
  <c r="AB1242" i="1"/>
  <c r="AC1242" i="1"/>
  <c r="AG1242" i="1"/>
  <c r="AI1242" i="1"/>
  <c r="AJ1242" i="1"/>
  <c r="AK1242" i="1"/>
  <c r="X1243" i="1"/>
  <c r="Y1243" i="1"/>
  <c r="AB1243" i="1"/>
  <c r="AC1243" i="1"/>
  <c r="AG1243" i="1"/>
  <c r="AI1243" i="1"/>
  <c r="AJ1243" i="1"/>
  <c r="AK1243" i="1"/>
  <c r="X1244" i="1"/>
  <c r="Y1244" i="1"/>
  <c r="AB1244" i="1"/>
  <c r="AC1244" i="1"/>
  <c r="AG1244" i="1"/>
  <c r="AI1244" i="1"/>
  <c r="AJ1244" i="1"/>
  <c r="AK1244" i="1"/>
  <c r="X1245" i="1"/>
  <c r="Y1245" i="1"/>
  <c r="AB1245" i="1"/>
  <c r="AC1245" i="1"/>
  <c r="AG1245" i="1"/>
  <c r="AI1245" i="1"/>
  <c r="AJ1245" i="1"/>
  <c r="AK1245" i="1"/>
  <c r="X1246" i="1"/>
  <c r="Y1246" i="1"/>
  <c r="AB1246" i="1"/>
  <c r="AC1246" i="1"/>
  <c r="AG1246" i="1"/>
  <c r="AI1246" i="1"/>
  <c r="AJ1246" i="1"/>
  <c r="AK1246" i="1"/>
  <c r="X1247" i="1"/>
  <c r="Y1247" i="1"/>
  <c r="AB1247" i="1"/>
  <c r="AC1247" i="1"/>
  <c r="AG1247" i="1"/>
  <c r="AI1247" i="1"/>
  <c r="AJ1247" i="1"/>
  <c r="AK1247" i="1"/>
  <c r="X1248" i="1"/>
  <c r="Y1248" i="1"/>
  <c r="AB1248" i="1"/>
  <c r="AC1248" i="1"/>
  <c r="AG1248" i="1"/>
  <c r="AI1248" i="1"/>
  <c r="AJ1248" i="1"/>
  <c r="AK1248" i="1"/>
  <c r="X1249" i="1"/>
  <c r="Y1249" i="1"/>
  <c r="AB1249" i="1"/>
  <c r="AC1249" i="1"/>
  <c r="AG1249" i="1"/>
  <c r="AI1249" i="1"/>
  <c r="AJ1249" i="1"/>
  <c r="AK1249" i="1"/>
  <c r="X1250" i="1"/>
  <c r="Y1250" i="1"/>
  <c r="AB1250" i="1"/>
  <c r="AC1250" i="1"/>
  <c r="AG1250" i="1"/>
  <c r="AI1250" i="1"/>
  <c r="AJ1250" i="1"/>
  <c r="AK1250" i="1"/>
  <c r="X1251" i="1"/>
  <c r="Y1251" i="1"/>
  <c r="AB1251" i="1"/>
  <c r="AC1251" i="1"/>
  <c r="AG1251" i="1"/>
  <c r="AI1251" i="1"/>
  <c r="AJ1251" i="1"/>
  <c r="AK1251" i="1"/>
  <c r="X1252" i="1"/>
  <c r="Y1252" i="1"/>
  <c r="AB1252" i="1"/>
  <c r="AC1252" i="1"/>
  <c r="AG1252" i="1"/>
  <c r="AI1252" i="1"/>
  <c r="AJ1252" i="1"/>
  <c r="AK1252" i="1"/>
  <c r="X1253" i="1"/>
  <c r="Y1253" i="1"/>
  <c r="AB1253" i="1"/>
  <c r="AC1253" i="1"/>
  <c r="AG1253" i="1"/>
  <c r="AI1253" i="1"/>
  <c r="AJ1253" i="1"/>
  <c r="AK1253" i="1"/>
  <c r="X1254" i="1"/>
  <c r="Y1254" i="1"/>
  <c r="AB1254" i="1"/>
  <c r="AC1254" i="1"/>
  <c r="AG1254" i="1"/>
  <c r="AI1254" i="1"/>
  <c r="AJ1254" i="1"/>
  <c r="AK1254" i="1"/>
  <c r="X1255" i="1"/>
  <c r="Y1255" i="1"/>
  <c r="AB1255" i="1"/>
  <c r="AC1255" i="1"/>
  <c r="AG1255" i="1"/>
  <c r="AI1255" i="1"/>
  <c r="AJ1255" i="1"/>
  <c r="AK1255" i="1"/>
  <c r="X1256" i="1"/>
  <c r="Y1256" i="1"/>
  <c r="AB1256" i="1"/>
  <c r="AC1256" i="1"/>
  <c r="AG1256" i="1"/>
  <c r="AI1256" i="1"/>
  <c r="AJ1256" i="1"/>
  <c r="AK1256" i="1"/>
  <c r="X1257" i="1"/>
  <c r="Y1257" i="1"/>
  <c r="AB1257" i="1"/>
  <c r="AC1257" i="1"/>
  <c r="AG1257" i="1"/>
  <c r="AI1257" i="1"/>
  <c r="AJ1257" i="1"/>
  <c r="AK1257" i="1"/>
  <c r="X1258" i="1"/>
  <c r="Y1258" i="1"/>
  <c r="AB1258" i="1"/>
  <c r="AC1258" i="1"/>
  <c r="AG1258" i="1"/>
  <c r="AI1258" i="1"/>
  <c r="AJ1258" i="1"/>
  <c r="AK1258" i="1"/>
  <c r="X1259" i="1"/>
  <c r="Y1259" i="1"/>
  <c r="AB1259" i="1"/>
  <c r="AC1259" i="1"/>
  <c r="AG1259" i="1"/>
  <c r="AI1259" i="1"/>
  <c r="AJ1259" i="1"/>
  <c r="AK1259" i="1"/>
  <c r="X1260" i="1"/>
  <c r="Y1260" i="1"/>
  <c r="AB1260" i="1"/>
  <c r="AC1260" i="1"/>
  <c r="AG1260" i="1"/>
  <c r="AI1260" i="1"/>
  <c r="AJ1260" i="1"/>
  <c r="AK1260" i="1"/>
  <c r="X1261" i="1"/>
  <c r="Y1261" i="1"/>
  <c r="AB1261" i="1"/>
  <c r="AC1261" i="1"/>
  <c r="AG1261" i="1"/>
  <c r="AI1261" i="1"/>
  <c r="AJ1261" i="1"/>
  <c r="AK1261" i="1"/>
  <c r="X1262" i="1"/>
  <c r="Y1262" i="1"/>
  <c r="AB1262" i="1"/>
  <c r="AC1262" i="1"/>
  <c r="AG1262" i="1"/>
  <c r="AI1262" i="1"/>
  <c r="AJ1262" i="1"/>
  <c r="AK1262" i="1"/>
  <c r="X1263" i="1"/>
  <c r="Y1263" i="1"/>
  <c r="AB1263" i="1"/>
  <c r="AC1263" i="1"/>
  <c r="AG1263" i="1"/>
  <c r="AI1263" i="1"/>
  <c r="AJ1263" i="1"/>
  <c r="AK1263" i="1"/>
  <c r="X1264" i="1"/>
  <c r="Y1264" i="1"/>
  <c r="AB1264" i="1"/>
  <c r="AC1264" i="1"/>
  <c r="AG1264" i="1"/>
  <c r="AI1264" i="1"/>
  <c r="AJ1264" i="1"/>
  <c r="AK1264" i="1"/>
  <c r="X1265" i="1"/>
  <c r="Y1265" i="1"/>
  <c r="AB1265" i="1"/>
  <c r="AC1265" i="1"/>
  <c r="AG1265" i="1"/>
  <c r="AI1265" i="1"/>
  <c r="AJ1265" i="1"/>
  <c r="AK1265" i="1"/>
  <c r="X1266" i="1"/>
  <c r="Y1266" i="1"/>
  <c r="AB1266" i="1"/>
  <c r="AC1266" i="1"/>
  <c r="AG1266" i="1"/>
  <c r="AI1266" i="1"/>
  <c r="AJ1266" i="1"/>
  <c r="AK1266" i="1"/>
  <c r="X1267" i="1"/>
  <c r="Y1267" i="1"/>
  <c r="AB1267" i="1"/>
  <c r="AC1267" i="1"/>
  <c r="AG1267" i="1"/>
  <c r="AI1267" i="1"/>
  <c r="AJ1267" i="1"/>
  <c r="AK1267" i="1"/>
  <c r="X1268" i="1"/>
  <c r="Y1268" i="1"/>
  <c r="AB1268" i="1"/>
  <c r="AC1268" i="1"/>
  <c r="AG1268" i="1"/>
  <c r="AI1268" i="1"/>
  <c r="AJ1268" i="1"/>
  <c r="AK1268" i="1"/>
  <c r="X1269" i="1"/>
  <c r="Y1269" i="1"/>
  <c r="AB1269" i="1"/>
  <c r="AC1269" i="1"/>
  <c r="AG1269" i="1"/>
  <c r="AI1269" i="1"/>
  <c r="AJ1269" i="1"/>
  <c r="AK1269" i="1"/>
  <c r="X1270" i="1"/>
  <c r="Y1270" i="1"/>
  <c r="AB1270" i="1"/>
  <c r="AC1270" i="1"/>
  <c r="AG1270" i="1"/>
  <c r="AI1270" i="1"/>
  <c r="AJ1270" i="1"/>
  <c r="AK1270" i="1"/>
  <c r="X1271" i="1"/>
  <c r="Y1271" i="1"/>
  <c r="AB1271" i="1"/>
  <c r="AC1271" i="1"/>
  <c r="AG1271" i="1"/>
  <c r="AI1271" i="1"/>
  <c r="AJ1271" i="1"/>
  <c r="AK1271" i="1"/>
  <c r="X1272" i="1"/>
  <c r="Y1272" i="1"/>
  <c r="AB1272" i="1"/>
  <c r="AC1272" i="1"/>
  <c r="AG1272" i="1"/>
  <c r="AI1272" i="1"/>
  <c r="AJ1272" i="1"/>
  <c r="AK1272" i="1"/>
  <c r="X1273" i="1"/>
  <c r="Y1273" i="1"/>
  <c r="AB1273" i="1"/>
  <c r="AC1273" i="1"/>
  <c r="AG1273" i="1"/>
  <c r="AI1273" i="1"/>
  <c r="AJ1273" i="1"/>
  <c r="AK1273" i="1"/>
  <c r="X1274" i="1"/>
  <c r="Y1274" i="1"/>
  <c r="AB1274" i="1"/>
  <c r="AC1274" i="1"/>
  <c r="AG1274" i="1"/>
  <c r="AI1274" i="1"/>
  <c r="AJ1274" i="1"/>
  <c r="AK1274" i="1"/>
  <c r="X1275" i="1"/>
  <c r="Y1275" i="1"/>
  <c r="AB1275" i="1"/>
  <c r="AC1275" i="1"/>
  <c r="AG1275" i="1"/>
  <c r="AI1275" i="1"/>
  <c r="AJ1275" i="1"/>
  <c r="AK1275" i="1"/>
  <c r="X1276" i="1"/>
  <c r="Y1276" i="1"/>
  <c r="AB1276" i="1"/>
  <c r="AC1276" i="1"/>
  <c r="AG1276" i="1"/>
  <c r="AI1276" i="1"/>
  <c r="AJ1276" i="1"/>
  <c r="AK1276" i="1"/>
  <c r="X1277" i="1"/>
  <c r="Y1277" i="1"/>
  <c r="AB1277" i="1"/>
  <c r="AC1277" i="1"/>
  <c r="AG1277" i="1"/>
  <c r="AI1277" i="1"/>
  <c r="AJ1277" i="1"/>
  <c r="AK1277" i="1"/>
  <c r="X1278" i="1"/>
  <c r="Y1278" i="1"/>
  <c r="AB1278" i="1"/>
  <c r="AC1278" i="1"/>
  <c r="AG1278" i="1"/>
  <c r="AI1278" i="1"/>
  <c r="AJ1278" i="1"/>
  <c r="AK1278" i="1"/>
  <c r="X1279" i="1"/>
  <c r="Y1279" i="1"/>
  <c r="AB1279" i="1"/>
  <c r="AC1279" i="1"/>
  <c r="AG1279" i="1"/>
  <c r="AI1279" i="1"/>
  <c r="AJ1279" i="1"/>
  <c r="AK1279" i="1"/>
  <c r="X1280" i="1"/>
  <c r="Y1280" i="1"/>
  <c r="AB1280" i="1"/>
  <c r="AC1280" i="1"/>
  <c r="AG1280" i="1"/>
  <c r="AI1280" i="1"/>
  <c r="AJ1280" i="1"/>
  <c r="AK1280" i="1"/>
  <c r="X1281" i="1"/>
  <c r="Y1281" i="1"/>
  <c r="AB1281" i="1"/>
  <c r="AC1281" i="1"/>
  <c r="AG1281" i="1"/>
  <c r="AI1281" i="1"/>
  <c r="AJ1281" i="1"/>
  <c r="AK1281" i="1"/>
  <c r="X1282" i="1"/>
  <c r="Y1282" i="1"/>
  <c r="AB1282" i="1"/>
  <c r="AC1282" i="1"/>
  <c r="AG1282" i="1"/>
  <c r="AI1282" i="1"/>
  <c r="AJ1282" i="1"/>
  <c r="AK1282" i="1"/>
  <c r="X1283" i="1"/>
  <c r="Y1283" i="1"/>
  <c r="AB1283" i="1"/>
  <c r="AC1283" i="1"/>
  <c r="AG1283" i="1"/>
  <c r="AI1283" i="1"/>
  <c r="AJ1283" i="1"/>
  <c r="AK1283" i="1"/>
  <c r="X1284" i="1"/>
  <c r="Y1284" i="1"/>
  <c r="AB1284" i="1"/>
  <c r="AC1284" i="1"/>
  <c r="AG1284" i="1"/>
  <c r="AI1284" i="1"/>
  <c r="AJ1284" i="1"/>
  <c r="AK1284" i="1"/>
  <c r="X1285" i="1"/>
  <c r="Y1285" i="1"/>
  <c r="AB1285" i="1"/>
  <c r="AC1285" i="1"/>
  <c r="AG1285" i="1"/>
  <c r="AI1285" i="1"/>
  <c r="AJ1285" i="1"/>
  <c r="AK1285" i="1"/>
  <c r="X1286" i="1"/>
  <c r="Y1286" i="1"/>
  <c r="AB1286" i="1"/>
  <c r="AC1286" i="1"/>
  <c r="AG1286" i="1"/>
  <c r="AI1286" i="1"/>
  <c r="AJ1286" i="1"/>
  <c r="AK1286" i="1"/>
  <c r="X1287" i="1"/>
  <c r="Y1287" i="1"/>
  <c r="AB1287" i="1"/>
  <c r="AC1287" i="1"/>
  <c r="AG1287" i="1"/>
  <c r="AI1287" i="1"/>
  <c r="AJ1287" i="1"/>
  <c r="AK1287" i="1"/>
  <c r="X1288" i="1"/>
  <c r="Y1288" i="1"/>
  <c r="AB1288" i="1"/>
  <c r="AC1288" i="1"/>
  <c r="AG1288" i="1"/>
  <c r="AI1288" i="1"/>
  <c r="AJ1288" i="1"/>
  <c r="AK1288" i="1"/>
  <c r="X1289" i="1"/>
  <c r="Y1289" i="1"/>
  <c r="AB1289" i="1"/>
  <c r="AC1289" i="1"/>
  <c r="AG1289" i="1"/>
  <c r="AI1289" i="1"/>
  <c r="AJ1289" i="1"/>
  <c r="AK1289" i="1"/>
  <c r="X1290" i="1"/>
  <c r="Y1290" i="1"/>
  <c r="AB1290" i="1"/>
  <c r="AC1290" i="1"/>
  <c r="AG1290" i="1"/>
  <c r="AI1290" i="1"/>
  <c r="AJ1290" i="1"/>
  <c r="AK1290" i="1"/>
  <c r="X1291" i="1"/>
  <c r="Y1291" i="1"/>
  <c r="AB1291" i="1"/>
  <c r="AC1291" i="1"/>
  <c r="AG1291" i="1"/>
  <c r="AI1291" i="1"/>
  <c r="AJ1291" i="1"/>
  <c r="AK1291" i="1"/>
  <c r="X1292" i="1"/>
  <c r="Y1292" i="1"/>
  <c r="AB1292" i="1"/>
  <c r="AC1292" i="1"/>
  <c r="AG1292" i="1"/>
  <c r="AI1292" i="1"/>
  <c r="AJ1292" i="1"/>
  <c r="AK1292" i="1"/>
  <c r="X1293" i="1"/>
  <c r="Y1293" i="1"/>
  <c r="AB1293" i="1"/>
  <c r="AC1293" i="1"/>
  <c r="AG1293" i="1"/>
  <c r="AI1293" i="1"/>
  <c r="AJ1293" i="1"/>
  <c r="AK1293" i="1"/>
  <c r="X1294" i="1"/>
  <c r="Y1294" i="1"/>
  <c r="AB1294" i="1"/>
  <c r="AC1294" i="1"/>
  <c r="AG1294" i="1"/>
  <c r="AI1294" i="1"/>
  <c r="AJ1294" i="1"/>
  <c r="AK1294" i="1"/>
  <c r="X1295" i="1"/>
  <c r="Y1295" i="1"/>
  <c r="AB1295" i="1"/>
  <c r="AC1295" i="1"/>
  <c r="AG1295" i="1"/>
  <c r="AI1295" i="1"/>
  <c r="AJ1295" i="1"/>
  <c r="AK1295" i="1"/>
  <c r="X1296" i="1"/>
  <c r="Y1296" i="1"/>
  <c r="AB1296" i="1"/>
  <c r="AC1296" i="1"/>
  <c r="AG1296" i="1"/>
  <c r="AI1296" i="1"/>
  <c r="AJ1296" i="1"/>
  <c r="AK1296" i="1"/>
  <c r="X1297" i="1"/>
  <c r="Y1297" i="1"/>
  <c r="AB1297" i="1"/>
  <c r="AC1297" i="1"/>
  <c r="AG1297" i="1"/>
  <c r="AI1297" i="1"/>
  <c r="AJ1297" i="1"/>
  <c r="AK1297" i="1"/>
  <c r="X1298" i="1"/>
  <c r="Y1298" i="1"/>
  <c r="AB1298" i="1"/>
  <c r="AC1298" i="1"/>
  <c r="AG1298" i="1"/>
  <c r="AI1298" i="1"/>
  <c r="AJ1298" i="1"/>
  <c r="AK1298" i="1"/>
  <c r="X1299" i="1"/>
  <c r="Y1299" i="1"/>
  <c r="AB1299" i="1"/>
  <c r="AC1299" i="1"/>
  <c r="AG1299" i="1"/>
  <c r="AI1299" i="1"/>
  <c r="AJ1299" i="1"/>
  <c r="AK1299" i="1"/>
  <c r="X1300" i="1"/>
  <c r="Y1300" i="1"/>
  <c r="AB1300" i="1"/>
  <c r="AC1300" i="1"/>
  <c r="AG1300" i="1"/>
  <c r="AI1300" i="1"/>
  <c r="AJ1300" i="1"/>
  <c r="AK1300" i="1"/>
  <c r="X1301" i="1"/>
  <c r="Y1301" i="1"/>
  <c r="AB1301" i="1"/>
  <c r="AC1301" i="1"/>
  <c r="AG1301" i="1"/>
  <c r="AI1301" i="1"/>
  <c r="AJ1301" i="1"/>
  <c r="AK1301" i="1"/>
  <c r="X1302" i="1"/>
  <c r="Y1302" i="1"/>
  <c r="AB1302" i="1"/>
  <c r="AC1302" i="1"/>
  <c r="AG1302" i="1"/>
  <c r="AI1302" i="1"/>
  <c r="AJ1302" i="1"/>
  <c r="AK1302" i="1"/>
  <c r="X1303" i="1"/>
  <c r="Y1303" i="1"/>
  <c r="AB1303" i="1"/>
  <c r="AC1303" i="1"/>
  <c r="AG1303" i="1"/>
  <c r="AI1303" i="1"/>
  <c r="AJ1303" i="1"/>
  <c r="AK1303" i="1"/>
  <c r="X1304" i="1"/>
  <c r="Y1304" i="1"/>
  <c r="AB1304" i="1"/>
  <c r="AC1304" i="1"/>
  <c r="AG1304" i="1"/>
  <c r="AI1304" i="1"/>
  <c r="AJ1304" i="1"/>
  <c r="AK1304" i="1"/>
  <c r="X1305" i="1"/>
  <c r="Y1305" i="1"/>
  <c r="AB1305" i="1"/>
  <c r="AC1305" i="1"/>
  <c r="AG1305" i="1"/>
  <c r="AI1305" i="1"/>
  <c r="AJ1305" i="1"/>
  <c r="AK1305" i="1"/>
  <c r="X1306" i="1"/>
  <c r="Y1306" i="1"/>
  <c r="AB1306" i="1"/>
  <c r="AC1306" i="1"/>
  <c r="AG1306" i="1"/>
  <c r="AI1306" i="1"/>
  <c r="AJ1306" i="1"/>
  <c r="AK1306" i="1"/>
  <c r="X1307" i="1"/>
  <c r="Y1307" i="1"/>
  <c r="AB1307" i="1"/>
  <c r="AC1307" i="1"/>
  <c r="AG1307" i="1"/>
  <c r="AI1307" i="1"/>
  <c r="AJ1307" i="1"/>
  <c r="AK1307" i="1"/>
  <c r="X1308" i="1"/>
  <c r="Y1308" i="1"/>
  <c r="AB1308" i="1"/>
  <c r="AC1308" i="1"/>
  <c r="AG1308" i="1"/>
  <c r="AI1308" i="1"/>
  <c r="AJ1308" i="1"/>
  <c r="AK1308" i="1"/>
  <c r="X1309" i="1"/>
  <c r="Y1309" i="1"/>
  <c r="AB1309" i="1"/>
  <c r="AC1309" i="1"/>
  <c r="AG1309" i="1"/>
  <c r="AI1309" i="1"/>
  <c r="AJ1309" i="1"/>
  <c r="AK1309" i="1"/>
  <c r="X1310" i="1"/>
  <c r="Y1310" i="1"/>
  <c r="AB1310" i="1"/>
  <c r="AC1310" i="1"/>
  <c r="AG1310" i="1"/>
  <c r="AI1310" i="1"/>
  <c r="AJ1310" i="1"/>
  <c r="AK1310" i="1"/>
  <c r="X1311" i="1"/>
  <c r="Y1311" i="1"/>
  <c r="AB1311" i="1"/>
  <c r="AC1311" i="1"/>
  <c r="AG1311" i="1"/>
  <c r="AI1311" i="1"/>
  <c r="AJ1311" i="1"/>
  <c r="AK1311" i="1"/>
  <c r="X1312" i="1"/>
  <c r="Y1312" i="1"/>
  <c r="AB1312" i="1"/>
  <c r="AC1312" i="1"/>
  <c r="AG1312" i="1"/>
  <c r="AI1312" i="1"/>
  <c r="AJ1312" i="1"/>
  <c r="AK1312" i="1"/>
  <c r="X1313" i="1"/>
  <c r="Y1313" i="1"/>
  <c r="AB1313" i="1"/>
  <c r="AC1313" i="1"/>
  <c r="AG1313" i="1"/>
  <c r="AI1313" i="1"/>
  <c r="AJ1313" i="1"/>
  <c r="AK1313" i="1"/>
  <c r="X1314" i="1"/>
  <c r="Y1314" i="1"/>
  <c r="AB1314" i="1"/>
  <c r="AC1314" i="1"/>
  <c r="AG1314" i="1"/>
  <c r="AI1314" i="1"/>
  <c r="AJ1314" i="1"/>
  <c r="AK1314" i="1"/>
  <c r="X1315" i="1"/>
  <c r="Y1315" i="1"/>
  <c r="AB1315" i="1"/>
  <c r="AC1315" i="1"/>
  <c r="AG1315" i="1"/>
  <c r="AI1315" i="1"/>
  <c r="AJ1315" i="1"/>
  <c r="AK1315" i="1"/>
  <c r="X1316" i="1"/>
  <c r="Y1316" i="1"/>
  <c r="AB1316" i="1"/>
  <c r="AC1316" i="1"/>
  <c r="AG1316" i="1"/>
  <c r="AI1316" i="1"/>
  <c r="AJ1316" i="1"/>
  <c r="AK1316" i="1"/>
  <c r="X1317" i="1"/>
  <c r="Y1317" i="1"/>
  <c r="AB1317" i="1"/>
  <c r="AC1317" i="1"/>
  <c r="AG1317" i="1"/>
  <c r="AI1317" i="1"/>
  <c r="AJ1317" i="1"/>
  <c r="AK1317" i="1"/>
  <c r="X1318" i="1"/>
  <c r="Y1318" i="1"/>
  <c r="AB1318" i="1"/>
  <c r="AC1318" i="1"/>
  <c r="AG1318" i="1"/>
  <c r="AI1318" i="1"/>
  <c r="AJ1318" i="1"/>
  <c r="AK1318" i="1"/>
  <c r="X1319" i="1"/>
  <c r="Y1319" i="1"/>
  <c r="AB1319" i="1"/>
  <c r="AC1319" i="1"/>
  <c r="AG1319" i="1"/>
  <c r="AI1319" i="1"/>
  <c r="AJ1319" i="1"/>
  <c r="AK1319" i="1"/>
  <c r="X1320" i="1"/>
  <c r="Y1320" i="1"/>
  <c r="AB1320" i="1"/>
  <c r="AC1320" i="1"/>
  <c r="AG1320" i="1"/>
  <c r="AI1320" i="1"/>
  <c r="AJ1320" i="1"/>
  <c r="AK1320" i="1"/>
  <c r="X1321" i="1"/>
  <c r="Y1321" i="1"/>
  <c r="AB1321" i="1"/>
  <c r="AC1321" i="1"/>
  <c r="AG1321" i="1"/>
  <c r="AI1321" i="1"/>
  <c r="AJ1321" i="1"/>
  <c r="AK1321" i="1"/>
  <c r="X1322" i="1"/>
  <c r="Y1322" i="1"/>
  <c r="AB1322" i="1"/>
  <c r="AC1322" i="1"/>
  <c r="AG1322" i="1"/>
  <c r="AI1322" i="1"/>
  <c r="AJ1322" i="1"/>
  <c r="AK1322" i="1"/>
  <c r="X1323" i="1"/>
  <c r="Y1323" i="1"/>
  <c r="AB1323" i="1"/>
  <c r="AC1323" i="1"/>
  <c r="AG1323" i="1"/>
  <c r="AI1323" i="1"/>
  <c r="AJ1323" i="1"/>
  <c r="AK1323" i="1"/>
  <c r="X1324" i="1"/>
  <c r="Y1324" i="1"/>
  <c r="AB1324" i="1"/>
  <c r="AC1324" i="1"/>
  <c r="AG1324" i="1"/>
  <c r="AI1324" i="1"/>
  <c r="AJ1324" i="1"/>
  <c r="AK1324" i="1"/>
  <c r="X1325" i="1"/>
  <c r="Y1325" i="1"/>
  <c r="AB1325" i="1"/>
  <c r="AC1325" i="1"/>
  <c r="AG1325" i="1"/>
  <c r="AI1325" i="1"/>
  <c r="AJ1325" i="1"/>
  <c r="AK1325" i="1"/>
  <c r="X1326" i="1"/>
  <c r="Y1326" i="1"/>
  <c r="AB1326" i="1"/>
  <c r="AC1326" i="1"/>
  <c r="AG1326" i="1"/>
  <c r="AI1326" i="1"/>
  <c r="AJ1326" i="1"/>
  <c r="AK1326" i="1"/>
  <c r="X1327" i="1"/>
  <c r="Y1327" i="1"/>
  <c r="AB1327" i="1"/>
  <c r="AC1327" i="1"/>
  <c r="AG1327" i="1"/>
  <c r="AI1327" i="1"/>
  <c r="AJ1327" i="1"/>
  <c r="AK1327" i="1"/>
  <c r="X1328" i="1"/>
  <c r="Y1328" i="1"/>
  <c r="AB1328" i="1"/>
  <c r="AC1328" i="1"/>
  <c r="AG1328" i="1"/>
  <c r="AI1328" i="1"/>
  <c r="AJ1328" i="1"/>
  <c r="AK1328" i="1"/>
  <c r="X1329" i="1"/>
  <c r="Y1329" i="1"/>
  <c r="AB1329" i="1"/>
  <c r="AC1329" i="1"/>
  <c r="AG1329" i="1"/>
  <c r="AI1329" i="1"/>
  <c r="AJ1329" i="1"/>
  <c r="AK1329" i="1"/>
  <c r="X1330" i="1"/>
  <c r="Y1330" i="1"/>
  <c r="AB1330" i="1"/>
  <c r="AC1330" i="1"/>
  <c r="AG1330" i="1"/>
  <c r="AI1330" i="1"/>
  <c r="AJ1330" i="1"/>
  <c r="AK1330" i="1"/>
  <c r="X1331" i="1"/>
  <c r="Y1331" i="1"/>
  <c r="AB1331" i="1"/>
  <c r="AC1331" i="1"/>
  <c r="AG1331" i="1"/>
  <c r="AI1331" i="1"/>
  <c r="AJ1331" i="1"/>
  <c r="AK1331" i="1"/>
  <c r="X1332" i="1"/>
  <c r="Y1332" i="1"/>
  <c r="AB1332" i="1"/>
  <c r="AC1332" i="1"/>
  <c r="AG1332" i="1"/>
  <c r="AI1332" i="1"/>
  <c r="AJ1332" i="1"/>
  <c r="AK1332" i="1"/>
  <c r="X1333" i="1"/>
  <c r="Y1333" i="1"/>
  <c r="AB1333" i="1"/>
  <c r="AC1333" i="1"/>
  <c r="AG1333" i="1"/>
  <c r="AI1333" i="1"/>
  <c r="AJ1333" i="1"/>
  <c r="AK1333" i="1"/>
  <c r="X1334" i="1"/>
  <c r="Y1334" i="1"/>
  <c r="AB1334" i="1"/>
  <c r="AC1334" i="1"/>
  <c r="AG1334" i="1"/>
  <c r="AI1334" i="1"/>
  <c r="AJ1334" i="1"/>
  <c r="AK1334" i="1"/>
  <c r="X1335" i="1"/>
  <c r="Y1335" i="1"/>
  <c r="AB1335" i="1"/>
  <c r="AC1335" i="1"/>
  <c r="AG1335" i="1"/>
  <c r="AI1335" i="1"/>
  <c r="AJ1335" i="1"/>
  <c r="AK1335" i="1"/>
  <c r="X1336" i="1"/>
  <c r="Y1336" i="1"/>
  <c r="AB1336" i="1"/>
  <c r="AC1336" i="1"/>
  <c r="AG1336" i="1"/>
  <c r="AI1336" i="1"/>
  <c r="AJ1336" i="1"/>
  <c r="AK1336" i="1"/>
  <c r="X1337" i="1"/>
  <c r="Y1337" i="1"/>
  <c r="AB1337" i="1"/>
  <c r="AC1337" i="1"/>
  <c r="AG1337" i="1"/>
  <c r="AI1337" i="1"/>
  <c r="AJ1337" i="1"/>
  <c r="AK1337" i="1"/>
  <c r="X1338" i="1"/>
  <c r="Y1338" i="1"/>
  <c r="AB1338" i="1"/>
  <c r="AC1338" i="1"/>
  <c r="AG1338" i="1"/>
  <c r="AI1338" i="1"/>
  <c r="AJ1338" i="1"/>
  <c r="AK1338" i="1"/>
  <c r="X1339" i="1"/>
  <c r="Y1339" i="1"/>
  <c r="AB1339" i="1"/>
  <c r="AC1339" i="1"/>
  <c r="AG1339" i="1"/>
  <c r="AI1339" i="1"/>
  <c r="AJ1339" i="1"/>
  <c r="AK1339" i="1"/>
  <c r="X1340" i="1"/>
  <c r="Y1340" i="1"/>
  <c r="AB1340" i="1"/>
  <c r="AC1340" i="1"/>
  <c r="AG1340" i="1"/>
  <c r="AI1340" i="1"/>
  <c r="AJ1340" i="1"/>
  <c r="AK1340" i="1"/>
  <c r="X1341" i="1"/>
  <c r="Y1341" i="1"/>
  <c r="AB1341" i="1"/>
  <c r="AC1341" i="1"/>
  <c r="AG1341" i="1"/>
  <c r="AI1341" i="1"/>
  <c r="AJ1341" i="1"/>
  <c r="AK1341" i="1"/>
  <c r="X1342" i="1"/>
  <c r="Y1342" i="1"/>
  <c r="AB1342" i="1"/>
  <c r="AC1342" i="1"/>
  <c r="AG1342" i="1"/>
  <c r="AI1342" i="1"/>
  <c r="AJ1342" i="1"/>
  <c r="AK1342" i="1"/>
  <c r="X1343" i="1"/>
  <c r="Y1343" i="1"/>
  <c r="AB1343" i="1"/>
  <c r="AC1343" i="1"/>
  <c r="AG1343" i="1"/>
  <c r="AI1343" i="1"/>
  <c r="AJ1343" i="1"/>
  <c r="AK1343" i="1"/>
  <c r="X1344" i="1"/>
  <c r="Y1344" i="1"/>
  <c r="AB1344" i="1"/>
  <c r="AC1344" i="1"/>
  <c r="AG1344" i="1"/>
  <c r="AI1344" i="1"/>
  <c r="AJ1344" i="1"/>
  <c r="AK1344" i="1"/>
  <c r="X1345" i="1"/>
  <c r="Y1345" i="1"/>
  <c r="AB1345" i="1"/>
  <c r="AC1345" i="1"/>
  <c r="AG1345" i="1"/>
  <c r="AI1345" i="1"/>
  <c r="AJ1345" i="1"/>
  <c r="AK1345" i="1"/>
  <c r="X1346" i="1"/>
  <c r="Y1346" i="1"/>
  <c r="AB1346" i="1"/>
  <c r="AC1346" i="1"/>
  <c r="AG1346" i="1"/>
  <c r="AI1346" i="1"/>
  <c r="AJ1346" i="1"/>
  <c r="AK1346" i="1"/>
  <c r="X1347" i="1"/>
  <c r="Y1347" i="1"/>
  <c r="AB1347" i="1"/>
  <c r="AC1347" i="1"/>
  <c r="AG1347" i="1"/>
  <c r="AI1347" i="1"/>
  <c r="AJ1347" i="1"/>
  <c r="AK1347" i="1"/>
  <c r="X1348" i="1"/>
  <c r="Y1348" i="1"/>
  <c r="AB1348" i="1"/>
  <c r="AC1348" i="1"/>
  <c r="AG1348" i="1"/>
  <c r="AI1348" i="1"/>
  <c r="AJ1348" i="1"/>
  <c r="AK1348" i="1"/>
  <c r="X1349" i="1"/>
  <c r="Y1349" i="1"/>
  <c r="AB1349" i="1"/>
  <c r="AC1349" i="1"/>
  <c r="AG1349" i="1"/>
  <c r="AI1349" i="1"/>
  <c r="AJ1349" i="1"/>
  <c r="AK1349" i="1"/>
  <c r="X1350" i="1"/>
  <c r="Y1350" i="1"/>
  <c r="AB1350" i="1"/>
  <c r="AC1350" i="1"/>
  <c r="AG1350" i="1"/>
  <c r="AI1350" i="1"/>
  <c r="AJ1350" i="1"/>
  <c r="AK1350" i="1"/>
  <c r="X1351" i="1"/>
  <c r="Y1351" i="1"/>
  <c r="AB1351" i="1"/>
  <c r="AC1351" i="1"/>
  <c r="AG1351" i="1"/>
  <c r="AI1351" i="1"/>
  <c r="AJ1351" i="1"/>
  <c r="AK1351" i="1"/>
  <c r="X1352" i="1"/>
  <c r="Y1352" i="1"/>
  <c r="AB1352" i="1"/>
  <c r="AC1352" i="1"/>
  <c r="AG1352" i="1"/>
  <c r="AI1352" i="1"/>
  <c r="AJ1352" i="1"/>
  <c r="AK1352" i="1"/>
  <c r="X1353" i="1"/>
  <c r="Y1353" i="1"/>
  <c r="AB1353" i="1"/>
  <c r="AC1353" i="1"/>
  <c r="AG1353" i="1"/>
  <c r="AI1353" i="1"/>
  <c r="AJ1353" i="1"/>
  <c r="AK1353" i="1"/>
  <c r="X1354" i="1"/>
  <c r="Y1354" i="1"/>
  <c r="AB1354" i="1"/>
  <c r="AC1354" i="1"/>
  <c r="AG1354" i="1"/>
  <c r="AI1354" i="1"/>
  <c r="AJ1354" i="1"/>
  <c r="AK1354" i="1"/>
  <c r="X1355" i="1"/>
  <c r="Y1355" i="1"/>
  <c r="AB1355" i="1"/>
  <c r="AC1355" i="1"/>
  <c r="AG1355" i="1"/>
  <c r="AI1355" i="1"/>
  <c r="AJ1355" i="1"/>
  <c r="AK1355" i="1"/>
  <c r="X1356" i="1"/>
  <c r="Y1356" i="1"/>
  <c r="AB1356" i="1"/>
  <c r="AC1356" i="1"/>
  <c r="AG1356" i="1"/>
  <c r="AI1356" i="1"/>
  <c r="AJ1356" i="1"/>
  <c r="AK1356" i="1"/>
  <c r="X1357" i="1"/>
  <c r="Y1357" i="1"/>
  <c r="AB1357" i="1"/>
  <c r="AC1357" i="1"/>
  <c r="AG1357" i="1"/>
  <c r="AI1357" i="1"/>
  <c r="AJ1357" i="1"/>
  <c r="AK1357" i="1"/>
  <c r="X1358" i="1"/>
  <c r="Y1358" i="1"/>
  <c r="AB1358" i="1"/>
  <c r="AC1358" i="1"/>
  <c r="AG1358" i="1"/>
  <c r="AI1358" i="1"/>
  <c r="AJ1358" i="1"/>
  <c r="AK1358" i="1"/>
  <c r="X1359" i="1"/>
  <c r="Y1359" i="1"/>
  <c r="AB1359" i="1"/>
  <c r="AC1359" i="1"/>
  <c r="AG1359" i="1"/>
  <c r="AI1359" i="1"/>
  <c r="AJ1359" i="1"/>
  <c r="AK1359" i="1"/>
  <c r="X1360" i="1"/>
  <c r="Y1360" i="1"/>
  <c r="AB1360" i="1"/>
  <c r="AC1360" i="1"/>
  <c r="AG1360" i="1"/>
  <c r="AI1360" i="1"/>
  <c r="AJ1360" i="1"/>
  <c r="AK1360" i="1"/>
  <c r="X1361" i="1"/>
  <c r="Y1361" i="1"/>
  <c r="AB1361" i="1"/>
  <c r="AC1361" i="1"/>
  <c r="AG1361" i="1"/>
  <c r="AI1361" i="1"/>
  <c r="AJ1361" i="1"/>
  <c r="AK1361" i="1"/>
  <c r="X1362" i="1"/>
  <c r="Y1362" i="1"/>
  <c r="AB1362" i="1"/>
  <c r="AC1362" i="1"/>
  <c r="AG1362" i="1"/>
  <c r="AI1362" i="1"/>
  <c r="AJ1362" i="1"/>
  <c r="AK1362" i="1"/>
  <c r="X1363" i="1"/>
  <c r="Y1363" i="1"/>
  <c r="AB1363" i="1"/>
  <c r="AC1363" i="1"/>
  <c r="AG1363" i="1"/>
  <c r="AI1363" i="1"/>
  <c r="AJ1363" i="1"/>
  <c r="AK1363" i="1"/>
  <c r="S1436" i="1"/>
  <c r="T143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361" i="1"/>
  <c r="AQ362" i="1"/>
  <c r="AQ363" i="1"/>
  <c r="AQ364" i="1"/>
  <c r="AQ365" i="1"/>
  <c r="AQ366" i="1"/>
  <c r="AQ367" i="1"/>
  <c r="AQ368" i="1"/>
  <c r="AQ369" i="1"/>
  <c r="AQ370" i="1"/>
  <c r="AQ371" i="1"/>
  <c r="AQ372" i="1"/>
  <c r="AQ373" i="1"/>
  <c r="AQ374" i="1"/>
  <c r="AQ375" i="1"/>
  <c r="AQ376" i="1"/>
  <c r="AQ377" i="1"/>
  <c r="AQ378" i="1"/>
  <c r="AQ379" i="1"/>
  <c r="AQ380" i="1"/>
  <c r="AQ381" i="1"/>
  <c r="AQ382" i="1"/>
  <c r="AQ383" i="1"/>
  <c r="AQ384" i="1"/>
  <c r="AQ385" i="1"/>
  <c r="AQ386" i="1"/>
  <c r="AQ387" i="1"/>
  <c r="AQ388" i="1"/>
  <c r="AQ389" i="1"/>
  <c r="AQ390" i="1"/>
  <c r="AQ391" i="1"/>
  <c r="AQ392" i="1"/>
  <c r="AQ393" i="1"/>
  <c r="AQ394" i="1"/>
  <c r="AQ395" i="1"/>
  <c r="AQ396" i="1"/>
  <c r="AQ397" i="1"/>
  <c r="AQ398" i="1"/>
  <c r="AQ399" i="1"/>
  <c r="AQ400" i="1"/>
  <c r="AQ401" i="1"/>
  <c r="AQ402" i="1"/>
  <c r="AQ403" i="1"/>
  <c r="AQ404" i="1"/>
  <c r="AQ405" i="1"/>
  <c r="AQ406" i="1"/>
  <c r="AQ407" i="1"/>
  <c r="AQ408" i="1"/>
  <c r="AQ409" i="1"/>
  <c r="AQ410" i="1"/>
  <c r="AQ411" i="1"/>
  <c r="AQ412" i="1"/>
  <c r="AQ413" i="1"/>
  <c r="AQ414" i="1"/>
  <c r="AQ415" i="1"/>
  <c r="AQ416" i="1"/>
  <c r="AQ417" i="1"/>
  <c r="AQ418" i="1"/>
  <c r="AQ419" i="1"/>
  <c r="AQ420" i="1"/>
  <c r="AQ421" i="1"/>
  <c r="AQ422" i="1"/>
  <c r="AQ423" i="1"/>
  <c r="AQ424" i="1"/>
  <c r="AQ425" i="1"/>
  <c r="AQ426" i="1"/>
  <c r="AQ427" i="1"/>
  <c r="AQ428" i="1"/>
  <c r="AQ429" i="1"/>
  <c r="AQ430" i="1"/>
  <c r="AQ431" i="1"/>
  <c r="AQ432" i="1"/>
  <c r="AQ433" i="1"/>
  <c r="AQ434" i="1"/>
  <c r="AQ435" i="1"/>
  <c r="AQ436" i="1"/>
  <c r="AQ437" i="1"/>
  <c r="AQ438" i="1"/>
  <c r="AQ439" i="1"/>
  <c r="AQ440" i="1"/>
  <c r="AQ441" i="1"/>
  <c r="AQ442" i="1"/>
  <c r="AQ443" i="1"/>
  <c r="AQ444" i="1"/>
  <c r="AQ445" i="1"/>
  <c r="AQ446" i="1"/>
  <c r="AQ447" i="1"/>
  <c r="AQ448" i="1"/>
  <c r="AQ449" i="1"/>
  <c r="AQ450" i="1"/>
  <c r="AQ451" i="1"/>
  <c r="AQ452" i="1"/>
  <c r="AQ453" i="1"/>
  <c r="AQ454" i="1"/>
  <c r="AQ455" i="1"/>
  <c r="AQ456" i="1"/>
  <c r="AQ457" i="1"/>
  <c r="AQ458" i="1"/>
  <c r="AQ459" i="1"/>
  <c r="AQ460" i="1"/>
  <c r="AQ461" i="1"/>
  <c r="AQ462" i="1"/>
  <c r="AQ463" i="1"/>
  <c r="AQ464" i="1"/>
  <c r="AQ465" i="1"/>
  <c r="AQ466" i="1"/>
  <c r="AQ467" i="1"/>
  <c r="AQ468" i="1"/>
  <c r="AQ469" i="1"/>
  <c r="AQ470" i="1"/>
  <c r="AQ471" i="1"/>
  <c r="AQ472" i="1"/>
  <c r="AQ473" i="1"/>
  <c r="AQ474" i="1"/>
  <c r="AQ475" i="1"/>
  <c r="AQ476" i="1"/>
  <c r="AQ477" i="1"/>
  <c r="AQ478" i="1"/>
  <c r="AQ479" i="1"/>
  <c r="AQ480" i="1"/>
  <c r="AQ481" i="1"/>
  <c r="AQ482" i="1"/>
  <c r="AQ483" i="1"/>
  <c r="AQ484" i="1"/>
  <c r="AQ485" i="1"/>
  <c r="AQ486" i="1"/>
  <c r="AQ487" i="1"/>
  <c r="AQ488" i="1"/>
  <c r="AQ489" i="1"/>
  <c r="AQ490" i="1"/>
  <c r="AQ491" i="1"/>
  <c r="AQ492" i="1"/>
  <c r="AQ493" i="1"/>
  <c r="AQ494" i="1"/>
  <c r="AQ495" i="1"/>
  <c r="AQ496" i="1"/>
  <c r="AQ497" i="1"/>
  <c r="AQ498" i="1"/>
  <c r="AQ499" i="1"/>
  <c r="AQ500" i="1"/>
  <c r="AQ501" i="1"/>
  <c r="AQ502" i="1"/>
  <c r="AQ503" i="1"/>
  <c r="AQ504" i="1"/>
  <c r="AQ505" i="1"/>
  <c r="AQ506" i="1"/>
  <c r="AQ507" i="1"/>
  <c r="AQ508" i="1"/>
  <c r="AQ509" i="1"/>
  <c r="AQ510" i="1"/>
  <c r="AQ511" i="1"/>
  <c r="AQ512" i="1"/>
  <c r="AQ513" i="1"/>
  <c r="AQ514" i="1"/>
  <c r="AQ515" i="1"/>
  <c r="AQ516" i="1"/>
  <c r="AQ517" i="1"/>
  <c r="AQ518" i="1"/>
  <c r="AQ519" i="1"/>
  <c r="AQ520" i="1"/>
  <c r="AQ521" i="1"/>
  <c r="AQ522" i="1"/>
  <c r="AQ523" i="1"/>
  <c r="AQ524" i="1"/>
  <c r="AQ525" i="1"/>
  <c r="AQ526" i="1"/>
  <c r="AQ527" i="1"/>
  <c r="AQ528" i="1"/>
  <c r="AQ529" i="1"/>
  <c r="AQ530" i="1"/>
  <c r="AQ531" i="1"/>
  <c r="AQ532" i="1"/>
  <c r="AQ533" i="1"/>
  <c r="AQ534" i="1"/>
  <c r="AQ535" i="1"/>
  <c r="AQ536" i="1"/>
  <c r="AQ537" i="1"/>
  <c r="AQ538" i="1"/>
  <c r="AQ539" i="1"/>
  <c r="AQ540" i="1"/>
  <c r="AQ541" i="1"/>
  <c r="AQ542" i="1"/>
  <c r="AQ543" i="1"/>
  <c r="AQ544" i="1"/>
  <c r="AQ545" i="1"/>
  <c r="AQ546" i="1"/>
  <c r="AQ547" i="1"/>
  <c r="AQ548" i="1"/>
  <c r="AQ549" i="1"/>
  <c r="AQ550" i="1"/>
  <c r="AQ551" i="1"/>
  <c r="AQ552" i="1"/>
  <c r="AQ553" i="1"/>
  <c r="AQ554" i="1"/>
  <c r="AQ555" i="1"/>
  <c r="AQ556" i="1"/>
  <c r="AQ557" i="1"/>
  <c r="AQ558" i="1"/>
  <c r="AQ559" i="1"/>
  <c r="AQ560" i="1"/>
  <c r="AQ561" i="1"/>
  <c r="AQ562" i="1"/>
  <c r="AQ563" i="1"/>
  <c r="AQ564" i="1"/>
  <c r="AQ565" i="1"/>
  <c r="AQ566" i="1"/>
  <c r="AQ567" i="1"/>
  <c r="AQ568" i="1"/>
  <c r="AQ569" i="1"/>
  <c r="AQ570" i="1"/>
  <c r="AQ571" i="1"/>
  <c r="AQ572" i="1"/>
  <c r="AQ573" i="1"/>
  <c r="AQ574" i="1"/>
  <c r="AQ575" i="1"/>
  <c r="AQ576" i="1"/>
  <c r="AQ577" i="1"/>
  <c r="AQ578" i="1"/>
  <c r="AQ579" i="1"/>
  <c r="AQ580" i="1"/>
  <c r="AQ581" i="1"/>
  <c r="AQ582" i="1"/>
  <c r="AQ583" i="1"/>
  <c r="AQ584" i="1"/>
  <c r="AQ585" i="1"/>
  <c r="AQ586" i="1"/>
  <c r="AQ587" i="1"/>
  <c r="AQ588" i="1"/>
  <c r="AQ589" i="1"/>
  <c r="AQ590" i="1"/>
  <c r="AQ591" i="1"/>
  <c r="AQ592" i="1"/>
  <c r="AQ593" i="1"/>
  <c r="AQ594" i="1"/>
  <c r="AQ595" i="1"/>
  <c r="AQ596" i="1"/>
  <c r="AQ597" i="1"/>
  <c r="AQ598" i="1"/>
  <c r="AQ599" i="1"/>
  <c r="AQ600" i="1"/>
  <c r="AQ601" i="1"/>
  <c r="AQ602" i="1"/>
  <c r="AQ603" i="1"/>
  <c r="AQ604" i="1"/>
  <c r="AQ605" i="1"/>
  <c r="AQ606" i="1"/>
  <c r="AQ607" i="1"/>
  <c r="AQ608" i="1"/>
  <c r="AQ609" i="1"/>
  <c r="AQ610" i="1"/>
  <c r="AQ611" i="1"/>
  <c r="AQ612" i="1"/>
  <c r="AQ613" i="1"/>
  <c r="AQ614" i="1"/>
  <c r="AQ615" i="1"/>
  <c r="AQ616" i="1"/>
  <c r="AQ617" i="1"/>
  <c r="AQ618" i="1"/>
  <c r="AQ619" i="1"/>
  <c r="AQ620" i="1"/>
  <c r="AQ621" i="1"/>
  <c r="AQ622" i="1"/>
  <c r="AQ623" i="1"/>
  <c r="AQ624" i="1"/>
  <c r="AQ625" i="1"/>
  <c r="AQ626" i="1"/>
  <c r="AQ627" i="1"/>
  <c r="AQ628" i="1"/>
  <c r="AQ629" i="1"/>
  <c r="AQ630" i="1"/>
  <c r="AQ631" i="1"/>
  <c r="AQ632" i="1"/>
  <c r="AQ633" i="1"/>
  <c r="AQ634" i="1"/>
  <c r="AQ635" i="1"/>
  <c r="AQ636" i="1"/>
  <c r="AQ637" i="1"/>
  <c r="AQ638" i="1"/>
  <c r="AQ639" i="1"/>
  <c r="AQ640" i="1"/>
  <c r="AQ641" i="1"/>
  <c r="AQ642" i="1"/>
  <c r="AQ643" i="1"/>
  <c r="AQ644" i="1"/>
  <c r="AQ645" i="1"/>
  <c r="AQ646" i="1"/>
  <c r="AQ647" i="1"/>
  <c r="AQ648" i="1"/>
  <c r="AQ649" i="1"/>
  <c r="AQ650" i="1"/>
  <c r="AQ651" i="1"/>
  <c r="AQ652" i="1"/>
  <c r="AQ653" i="1"/>
  <c r="AQ654" i="1"/>
  <c r="AQ655" i="1"/>
  <c r="AQ656" i="1"/>
  <c r="AQ657" i="1"/>
  <c r="AQ658" i="1"/>
  <c r="AQ659" i="1"/>
  <c r="AQ660" i="1"/>
  <c r="AQ661" i="1"/>
  <c r="AQ662" i="1"/>
  <c r="AQ663" i="1"/>
  <c r="AQ664" i="1"/>
  <c r="AQ665" i="1"/>
  <c r="AQ666" i="1"/>
  <c r="AQ667" i="1"/>
  <c r="AQ668" i="1"/>
  <c r="AQ669" i="1"/>
  <c r="AQ670" i="1"/>
  <c r="AQ671" i="1"/>
  <c r="AQ672" i="1"/>
  <c r="AQ673" i="1"/>
  <c r="AQ674" i="1"/>
  <c r="AQ675" i="1"/>
  <c r="AQ676" i="1"/>
  <c r="AQ677" i="1"/>
  <c r="AQ678" i="1"/>
  <c r="AQ679" i="1"/>
  <c r="AQ680" i="1"/>
  <c r="AQ681" i="1"/>
  <c r="AQ682" i="1"/>
  <c r="AQ683" i="1"/>
  <c r="AQ684" i="1"/>
  <c r="AQ685" i="1"/>
  <c r="AQ686" i="1"/>
  <c r="AQ687" i="1"/>
  <c r="AQ688" i="1"/>
  <c r="AQ689" i="1"/>
  <c r="AQ690" i="1"/>
  <c r="AQ691" i="1"/>
  <c r="AQ692" i="1"/>
  <c r="AQ693" i="1"/>
  <c r="AQ694" i="1"/>
  <c r="AQ695" i="1"/>
  <c r="AQ696" i="1"/>
  <c r="AQ697" i="1"/>
  <c r="AQ698" i="1"/>
  <c r="AQ699" i="1"/>
  <c r="AQ700" i="1"/>
  <c r="AQ701" i="1"/>
  <c r="AQ702" i="1"/>
  <c r="AQ703" i="1"/>
  <c r="AQ704" i="1"/>
  <c r="AQ705" i="1"/>
  <c r="AQ706" i="1"/>
  <c r="AQ707" i="1"/>
  <c r="AQ708" i="1"/>
  <c r="AQ709" i="1"/>
  <c r="AQ710" i="1"/>
  <c r="AQ711" i="1"/>
  <c r="AQ712" i="1"/>
  <c r="AQ713" i="1"/>
  <c r="AQ714" i="1"/>
  <c r="AQ715" i="1"/>
  <c r="AQ716" i="1"/>
  <c r="AQ717" i="1"/>
  <c r="AQ718" i="1"/>
  <c r="AQ719" i="1"/>
  <c r="AQ720" i="1"/>
  <c r="AQ721" i="1"/>
  <c r="AQ722" i="1"/>
  <c r="AQ723" i="1"/>
  <c r="AQ724" i="1"/>
  <c r="AQ725" i="1"/>
  <c r="AQ726" i="1"/>
  <c r="AQ727" i="1"/>
  <c r="AQ728" i="1"/>
  <c r="AQ729" i="1"/>
  <c r="AQ730" i="1"/>
  <c r="AQ731" i="1"/>
  <c r="AQ732" i="1"/>
  <c r="AQ733" i="1"/>
  <c r="AQ734" i="1"/>
  <c r="AQ735" i="1"/>
  <c r="AQ736" i="1"/>
  <c r="AQ737" i="1"/>
  <c r="AQ738" i="1"/>
  <c r="AQ739" i="1"/>
  <c r="AQ740" i="1"/>
  <c r="AQ741" i="1"/>
  <c r="AQ742" i="1"/>
  <c r="AQ743" i="1"/>
  <c r="AQ744" i="1"/>
  <c r="AQ745" i="1"/>
  <c r="AQ746" i="1"/>
  <c r="AQ747" i="1"/>
  <c r="AQ748" i="1"/>
  <c r="AQ749" i="1"/>
  <c r="AQ750" i="1"/>
  <c r="AQ751" i="1"/>
  <c r="AQ752" i="1"/>
  <c r="AQ753" i="1"/>
  <c r="AQ754" i="1"/>
  <c r="AQ755" i="1"/>
  <c r="AQ756" i="1"/>
  <c r="AQ757" i="1"/>
  <c r="AQ758" i="1"/>
  <c r="AQ759" i="1"/>
  <c r="AQ760" i="1"/>
  <c r="AQ761" i="1"/>
  <c r="AQ762" i="1"/>
  <c r="AQ763" i="1"/>
  <c r="AQ764" i="1"/>
  <c r="AQ765" i="1"/>
  <c r="AQ766" i="1"/>
  <c r="AQ767" i="1"/>
  <c r="AQ768" i="1"/>
  <c r="AQ769" i="1"/>
  <c r="AQ770" i="1"/>
  <c r="AQ771" i="1"/>
  <c r="AQ772" i="1"/>
  <c r="AQ773" i="1"/>
  <c r="AQ774" i="1"/>
  <c r="AQ775" i="1"/>
  <c r="AQ776" i="1"/>
  <c r="AQ777" i="1"/>
  <c r="AQ778" i="1"/>
  <c r="AQ779" i="1"/>
  <c r="AQ780" i="1"/>
  <c r="AQ781" i="1"/>
  <c r="AQ782" i="1"/>
  <c r="AQ783" i="1"/>
  <c r="AQ784" i="1"/>
  <c r="AQ785" i="1"/>
  <c r="AQ786" i="1"/>
  <c r="AQ787" i="1"/>
  <c r="AQ788" i="1"/>
  <c r="AQ789" i="1"/>
  <c r="AQ790" i="1"/>
  <c r="AQ791" i="1"/>
  <c r="AQ792" i="1"/>
  <c r="AQ793" i="1"/>
  <c r="AQ794" i="1"/>
  <c r="AQ795" i="1"/>
  <c r="AQ796" i="1"/>
  <c r="AQ797" i="1"/>
  <c r="AQ798" i="1"/>
  <c r="AQ799" i="1"/>
  <c r="AQ800" i="1"/>
  <c r="AQ801" i="1"/>
  <c r="AQ802" i="1"/>
  <c r="AQ803" i="1"/>
  <c r="AQ804" i="1"/>
  <c r="AQ805" i="1"/>
  <c r="AQ806" i="1"/>
  <c r="AQ807" i="1"/>
  <c r="AQ808" i="1"/>
  <c r="AQ809" i="1"/>
  <c r="AQ810" i="1"/>
  <c r="AQ811" i="1"/>
  <c r="AQ812" i="1"/>
  <c r="AQ813" i="1"/>
  <c r="AQ814" i="1"/>
  <c r="AQ815" i="1"/>
  <c r="AQ816" i="1"/>
  <c r="AQ817" i="1"/>
  <c r="AQ818" i="1"/>
  <c r="AQ819" i="1"/>
  <c r="AQ820" i="1"/>
  <c r="AQ821" i="1"/>
  <c r="AQ822" i="1"/>
  <c r="AQ823" i="1"/>
  <c r="AQ824" i="1"/>
  <c r="AQ825" i="1"/>
  <c r="AQ826" i="1"/>
  <c r="AQ827" i="1"/>
  <c r="AQ828" i="1"/>
  <c r="AQ829" i="1"/>
  <c r="AQ830" i="1"/>
  <c r="AQ831" i="1"/>
  <c r="AQ832" i="1"/>
  <c r="AQ833" i="1"/>
  <c r="AQ834" i="1"/>
  <c r="AQ835" i="1"/>
  <c r="AQ836" i="1"/>
  <c r="AQ837" i="1"/>
  <c r="AQ838" i="1"/>
  <c r="AQ839" i="1"/>
  <c r="AQ840" i="1"/>
  <c r="AQ841" i="1"/>
  <c r="AQ842" i="1"/>
  <c r="AQ843" i="1"/>
  <c r="AQ844" i="1"/>
  <c r="AQ845" i="1"/>
  <c r="AQ846" i="1"/>
  <c r="AQ847" i="1"/>
  <c r="AQ848" i="1"/>
  <c r="AQ849" i="1"/>
  <c r="AQ850" i="1"/>
  <c r="AQ851" i="1"/>
  <c r="AQ852" i="1"/>
  <c r="AQ853" i="1"/>
  <c r="AQ854" i="1"/>
  <c r="AQ855" i="1"/>
  <c r="AQ856" i="1"/>
  <c r="AQ857" i="1"/>
  <c r="AQ858" i="1"/>
  <c r="AQ859" i="1"/>
  <c r="AQ860" i="1"/>
  <c r="AQ861" i="1"/>
  <c r="AQ862" i="1"/>
  <c r="AQ863" i="1"/>
  <c r="AQ864" i="1"/>
  <c r="AQ865" i="1"/>
  <c r="AQ866" i="1"/>
  <c r="AQ867" i="1"/>
  <c r="AQ868" i="1"/>
  <c r="AQ869" i="1"/>
  <c r="AQ870" i="1"/>
  <c r="AQ871" i="1"/>
  <c r="AQ872" i="1"/>
  <c r="AQ873" i="1"/>
  <c r="AQ874" i="1"/>
  <c r="AQ875" i="1"/>
  <c r="AQ876" i="1"/>
  <c r="AQ877" i="1"/>
  <c r="AQ878" i="1"/>
  <c r="AQ879" i="1"/>
  <c r="AQ880" i="1"/>
  <c r="AQ881" i="1"/>
  <c r="AQ882" i="1"/>
  <c r="AQ883" i="1"/>
  <c r="AQ884" i="1"/>
  <c r="AQ885" i="1"/>
  <c r="AQ886" i="1"/>
  <c r="AQ887" i="1"/>
  <c r="AQ888" i="1"/>
  <c r="AQ889" i="1"/>
  <c r="AQ890" i="1"/>
  <c r="AQ891" i="1"/>
  <c r="AQ892" i="1"/>
  <c r="AQ893" i="1"/>
  <c r="AQ894" i="1"/>
  <c r="AQ895" i="1"/>
  <c r="AQ896" i="1"/>
  <c r="AQ897" i="1"/>
  <c r="AQ898" i="1"/>
  <c r="AQ899" i="1"/>
  <c r="AQ900" i="1"/>
  <c r="AQ901" i="1"/>
  <c r="AQ902" i="1"/>
  <c r="AQ903" i="1"/>
  <c r="AQ904" i="1"/>
  <c r="AQ905" i="1"/>
  <c r="AQ906" i="1"/>
  <c r="AQ907" i="1"/>
  <c r="AQ908" i="1"/>
  <c r="AQ909" i="1"/>
  <c r="AQ910" i="1"/>
  <c r="AQ911" i="1"/>
  <c r="AQ912" i="1"/>
  <c r="AQ913" i="1"/>
  <c r="AQ914" i="1"/>
  <c r="AQ915" i="1"/>
  <c r="AQ916" i="1"/>
  <c r="AQ917" i="1"/>
  <c r="AQ918" i="1"/>
  <c r="AQ919" i="1"/>
  <c r="AQ920" i="1"/>
  <c r="AQ921" i="1"/>
  <c r="AQ922" i="1"/>
  <c r="AQ923" i="1"/>
  <c r="AQ924" i="1"/>
  <c r="AQ925" i="1"/>
  <c r="AQ926" i="1"/>
  <c r="AQ927" i="1"/>
  <c r="AQ928" i="1"/>
  <c r="AQ929" i="1"/>
  <c r="AQ930" i="1"/>
  <c r="AQ931" i="1"/>
  <c r="AQ932" i="1"/>
  <c r="AQ933" i="1"/>
  <c r="AQ934" i="1"/>
  <c r="AQ935" i="1"/>
  <c r="AQ936" i="1"/>
  <c r="AQ937" i="1"/>
  <c r="AQ938" i="1"/>
  <c r="AQ939" i="1"/>
  <c r="AQ940" i="1"/>
  <c r="AQ941" i="1"/>
  <c r="AQ942" i="1"/>
  <c r="AQ943" i="1"/>
  <c r="AQ944" i="1"/>
  <c r="AQ945" i="1"/>
  <c r="AQ946" i="1"/>
  <c r="AQ947" i="1"/>
  <c r="AQ948" i="1"/>
  <c r="AQ949" i="1"/>
  <c r="AQ950" i="1"/>
  <c r="AQ951" i="1"/>
  <c r="AQ952" i="1"/>
  <c r="AQ953" i="1"/>
  <c r="AQ954" i="1"/>
  <c r="AQ955" i="1"/>
  <c r="AQ956" i="1"/>
  <c r="AQ957" i="1"/>
  <c r="AQ958" i="1"/>
  <c r="AQ959" i="1"/>
  <c r="AQ960" i="1"/>
  <c r="AQ961" i="1"/>
  <c r="AQ962" i="1"/>
  <c r="AQ963" i="1"/>
  <c r="AQ964" i="1"/>
  <c r="AQ965" i="1"/>
  <c r="AQ966" i="1"/>
  <c r="AQ967" i="1"/>
  <c r="AQ968" i="1"/>
  <c r="AQ969" i="1"/>
  <c r="AQ970" i="1"/>
  <c r="AQ971" i="1"/>
  <c r="AQ972" i="1"/>
  <c r="AQ973" i="1"/>
  <c r="AQ974" i="1"/>
  <c r="AQ975" i="1"/>
  <c r="AQ976" i="1"/>
  <c r="AQ977" i="1"/>
  <c r="AQ978" i="1"/>
  <c r="AQ979" i="1"/>
  <c r="AQ980" i="1"/>
  <c r="AQ981" i="1"/>
  <c r="AQ982" i="1"/>
  <c r="AQ983" i="1"/>
  <c r="AQ984" i="1"/>
  <c r="AQ985" i="1"/>
  <c r="AQ986" i="1"/>
  <c r="AQ987" i="1"/>
  <c r="AQ988" i="1"/>
  <c r="AQ989" i="1"/>
  <c r="AQ990" i="1"/>
  <c r="AQ991" i="1"/>
  <c r="AQ992" i="1"/>
  <c r="AQ993" i="1"/>
  <c r="AQ994" i="1"/>
  <c r="AQ995" i="1"/>
  <c r="AQ996" i="1"/>
  <c r="AQ997" i="1"/>
  <c r="AQ998" i="1"/>
  <c r="AQ999" i="1"/>
  <c r="AQ1000" i="1"/>
  <c r="AQ1001" i="1"/>
  <c r="AQ1002" i="1"/>
  <c r="AQ1003" i="1"/>
  <c r="AQ1004" i="1"/>
  <c r="AQ1005" i="1"/>
  <c r="AQ1006" i="1"/>
  <c r="AQ1007" i="1"/>
  <c r="AQ1008" i="1"/>
  <c r="AQ1009" i="1"/>
  <c r="AQ1010" i="1"/>
  <c r="AQ1011" i="1"/>
  <c r="AQ1012" i="1"/>
  <c r="AQ1013" i="1"/>
  <c r="AQ1014" i="1"/>
  <c r="AQ1015" i="1"/>
  <c r="AQ1016" i="1"/>
  <c r="AQ1017" i="1"/>
  <c r="AQ1018" i="1"/>
  <c r="AQ1019" i="1"/>
  <c r="AQ1020" i="1"/>
  <c r="AQ1021" i="1"/>
  <c r="AQ1022" i="1"/>
  <c r="AQ1023" i="1"/>
  <c r="AQ1024" i="1"/>
  <c r="AQ1025" i="1"/>
  <c r="AQ1026" i="1"/>
  <c r="AQ1027" i="1"/>
  <c r="AQ1028" i="1"/>
  <c r="AQ1029" i="1"/>
  <c r="AQ1030" i="1"/>
  <c r="AQ1031" i="1"/>
  <c r="AQ1032" i="1"/>
  <c r="AQ1033" i="1"/>
  <c r="AQ1034" i="1"/>
  <c r="AQ1035" i="1"/>
  <c r="AQ1036" i="1"/>
  <c r="AQ1037" i="1"/>
  <c r="AQ1038" i="1"/>
  <c r="AQ1039" i="1"/>
  <c r="AQ1040" i="1"/>
  <c r="AQ1041" i="1"/>
  <c r="AQ1042" i="1"/>
  <c r="AQ1043" i="1"/>
  <c r="AQ1044" i="1"/>
  <c r="AQ1045" i="1"/>
  <c r="AQ1046" i="1"/>
  <c r="AQ1047" i="1"/>
  <c r="AQ1048" i="1"/>
  <c r="AQ1049" i="1"/>
  <c r="AQ1050" i="1"/>
  <c r="AQ1051" i="1"/>
  <c r="AQ1052" i="1"/>
  <c r="AQ1053" i="1"/>
  <c r="AQ1054" i="1"/>
  <c r="AQ1055" i="1"/>
  <c r="AQ1056" i="1"/>
  <c r="AQ1057" i="1"/>
  <c r="AQ1058" i="1"/>
  <c r="AQ1059" i="1"/>
  <c r="AQ1060" i="1"/>
  <c r="AQ1061" i="1"/>
  <c r="AQ1062" i="1"/>
  <c r="AQ1063" i="1"/>
  <c r="AQ1064" i="1"/>
  <c r="AQ1065" i="1"/>
  <c r="AQ1066" i="1"/>
  <c r="AQ1067" i="1"/>
  <c r="AQ1068" i="1"/>
  <c r="AQ1069" i="1"/>
  <c r="AQ1070" i="1"/>
  <c r="AQ1071" i="1"/>
  <c r="AQ1072" i="1"/>
  <c r="AQ1073" i="1"/>
  <c r="AQ1074" i="1"/>
  <c r="AQ1075" i="1"/>
  <c r="AQ1076" i="1"/>
  <c r="AQ1077" i="1"/>
  <c r="AQ1078" i="1"/>
  <c r="AQ1079" i="1"/>
  <c r="AQ1080" i="1"/>
  <c r="AQ1081" i="1"/>
  <c r="AQ1082" i="1"/>
  <c r="AQ1083" i="1"/>
  <c r="AQ1084" i="1"/>
  <c r="AQ1085" i="1"/>
  <c r="AQ1086" i="1"/>
  <c r="AQ1087" i="1"/>
  <c r="AQ1088" i="1"/>
  <c r="AQ1089" i="1"/>
  <c r="AQ1090" i="1"/>
  <c r="AQ1091" i="1"/>
  <c r="AQ1092" i="1"/>
  <c r="AQ1093" i="1"/>
  <c r="AQ1094" i="1"/>
  <c r="AQ1095" i="1"/>
  <c r="AQ1096" i="1"/>
  <c r="AQ1097" i="1"/>
  <c r="AQ1098" i="1"/>
  <c r="AQ1099" i="1"/>
  <c r="AQ1100" i="1"/>
  <c r="AQ1101" i="1"/>
  <c r="AQ1102" i="1"/>
  <c r="AQ1103" i="1"/>
  <c r="AQ1104" i="1"/>
  <c r="AQ1105" i="1"/>
  <c r="AQ1106" i="1"/>
  <c r="AQ1107" i="1"/>
  <c r="AQ1108" i="1"/>
  <c r="AQ1109" i="1"/>
  <c r="AQ1110" i="1"/>
  <c r="AQ1111" i="1"/>
  <c r="AQ1112" i="1"/>
  <c r="AQ1113" i="1"/>
  <c r="AQ1114" i="1"/>
  <c r="AQ1115" i="1"/>
  <c r="AQ1116" i="1"/>
  <c r="AQ1117" i="1"/>
  <c r="AQ1118" i="1"/>
  <c r="AQ1119" i="1"/>
  <c r="AQ1120" i="1"/>
  <c r="AQ1121" i="1"/>
  <c r="AQ1122" i="1"/>
  <c r="AQ1123" i="1"/>
  <c r="AQ1124" i="1"/>
  <c r="AQ1125" i="1"/>
  <c r="AQ1126" i="1"/>
  <c r="AQ1127" i="1"/>
  <c r="AQ1128" i="1"/>
  <c r="AQ1129" i="1"/>
  <c r="AQ1130" i="1"/>
  <c r="AQ1131" i="1"/>
  <c r="AQ1132" i="1"/>
  <c r="AQ1133" i="1"/>
  <c r="AQ1134" i="1"/>
  <c r="AQ1135" i="1"/>
  <c r="AQ1136" i="1"/>
  <c r="AQ1137" i="1"/>
  <c r="AQ1138" i="1"/>
  <c r="AQ1139" i="1"/>
  <c r="AQ1140" i="1"/>
  <c r="AQ1141" i="1"/>
  <c r="AQ1142" i="1"/>
  <c r="AQ1143" i="1"/>
  <c r="AQ1144" i="1"/>
  <c r="AQ1145" i="1"/>
  <c r="AQ1146" i="1"/>
  <c r="AQ1147" i="1"/>
  <c r="AQ1148" i="1"/>
  <c r="AQ1149" i="1"/>
  <c r="AQ1150" i="1"/>
  <c r="AQ1151" i="1"/>
  <c r="AQ1152" i="1"/>
  <c r="AQ1153" i="1"/>
  <c r="AQ1154" i="1"/>
  <c r="AQ1155" i="1"/>
  <c r="AQ1156" i="1"/>
  <c r="AQ1157" i="1"/>
  <c r="AQ1158" i="1"/>
  <c r="AQ1159" i="1"/>
  <c r="AQ1160" i="1"/>
  <c r="AQ1161" i="1"/>
  <c r="AQ1162" i="1"/>
  <c r="AQ1163" i="1"/>
  <c r="AQ1164" i="1"/>
  <c r="AQ1165" i="1"/>
  <c r="AQ1166" i="1"/>
  <c r="AQ1167" i="1"/>
  <c r="AQ1168" i="1"/>
  <c r="AQ1169" i="1"/>
  <c r="AQ1170" i="1"/>
  <c r="AQ1171" i="1"/>
  <c r="AQ1172" i="1"/>
  <c r="AQ1173" i="1"/>
  <c r="AQ1174" i="1"/>
  <c r="AQ1175" i="1"/>
  <c r="AQ1176" i="1"/>
  <c r="AQ1177" i="1"/>
  <c r="AQ1178" i="1"/>
  <c r="AQ1179" i="1"/>
  <c r="AQ1180" i="1"/>
  <c r="AQ1181" i="1"/>
  <c r="AQ1182" i="1"/>
  <c r="AQ1183" i="1"/>
  <c r="AQ1184" i="1"/>
  <c r="AQ1185" i="1"/>
  <c r="AQ1186" i="1"/>
  <c r="AQ1187" i="1"/>
  <c r="AQ1188" i="1"/>
  <c r="AQ1189" i="1"/>
  <c r="AQ1190" i="1"/>
  <c r="AQ1191" i="1"/>
  <c r="AQ1192" i="1"/>
  <c r="AQ1193" i="1"/>
  <c r="AQ1194" i="1"/>
  <c r="AQ1195" i="1"/>
  <c r="AQ1196" i="1"/>
  <c r="AQ1197" i="1"/>
  <c r="AQ1198" i="1"/>
  <c r="AQ1199" i="1"/>
  <c r="AQ1200" i="1"/>
  <c r="AQ1201" i="1"/>
  <c r="AQ1202" i="1"/>
  <c r="AQ1203" i="1"/>
  <c r="AQ1204" i="1"/>
  <c r="AQ1205" i="1"/>
  <c r="AQ1206" i="1"/>
  <c r="AQ1207" i="1"/>
  <c r="AQ1208" i="1"/>
  <c r="AQ1209" i="1"/>
  <c r="AQ1210" i="1"/>
  <c r="AQ1211" i="1"/>
  <c r="AQ1212" i="1"/>
  <c r="AQ1213" i="1"/>
  <c r="AQ1214" i="1"/>
  <c r="AQ1215" i="1"/>
  <c r="AQ1216" i="1"/>
  <c r="AQ1217" i="1"/>
  <c r="AQ1218" i="1"/>
  <c r="AQ1219" i="1"/>
  <c r="AQ1220" i="1"/>
  <c r="AQ1221" i="1"/>
  <c r="AQ1222" i="1"/>
  <c r="AQ1223" i="1"/>
  <c r="AQ1224" i="1"/>
  <c r="AQ1225" i="1"/>
  <c r="AQ1226" i="1"/>
  <c r="AQ1227" i="1"/>
  <c r="AQ1228" i="1"/>
  <c r="AQ1229" i="1"/>
  <c r="AQ1230" i="1"/>
  <c r="AQ1231" i="1"/>
  <c r="AQ1232" i="1"/>
  <c r="AQ1233" i="1"/>
  <c r="AQ1234" i="1"/>
  <c r="AQ1235" i="1"/>
  <c r="AQ1236" i="1"/>
  <c r="AQ1237" i="1"/>
  <c r="AQ1238" i="1"/>
  <c r="AQ1239" i="1"/>
  <c r="AQ1240" i="1"/>
  <c r="AQ1241" i="1"/>
  <c r="AQ1242" i="1"/>
  <c r="AQ1243" i="1"/>
  <c r="AQ1244" i="1"/>
  <c r="AQ1245" i="1"/>
  <c r="AQ1246" i="1"/>
  <c r="AQ1247" i="1"/>
  <c r="AQ1248" i="1"/>
  <c r="AQ1249" i="1"/>
  <c r="AQ1250" i="1"/>
  <c r="AQ1251" i="1"/>
  <c r="AQ1252" i="1"/>
  <c r="AQ1253" i="1"/>
  <c r="AQ1254" i="1"/>
  <c r="AQ1255" i="1"/>
  <c r="AQ1256" i="1"/>
  <c r="AQ1257" i="1"/>
  <c r="AQ1258" i="1"/>
  <c r="AQ1259" i="1"/>
  <c r="AQ1260" i="1"/>
  <c r="AQ1261" i="1"/>
  <c r="AQ1262" i="1"/>
  <c r="AQ1263" i="1"/>
  <c r="AQ1264" i="1"/>
  <c r="AQ1265" i="1"/>
  <c r="AQ1266" i="1"/>
  <c r="AQ1267" i="1"/>
  <c r="AQ1268" i="1"/>
  <c r="AQ1269" i="1"/>
  <c r="AQ1270" i="1"/>
  <c r="AQ1271" i="1"/>
  <c r="AQ1272" i="1"/>
  <c r="AQ1273" i="1"/>
  <c r="AQ1274" i="1"/>
  <c r="AQ1275" i="1"/>
  <c r="AQ1276" i="1"/>
  <c r="AQ1277" i="1"/>
  <c r="AQ1278" i="1"/>
  <c r="AQ1279" i="1"/>
  <c r="AQ1280" i="1"/>
  <c r="AQ1281" i="1"/>
  <c r="AQ1282" i="1"/>
  <c r="AQ1283" i="1"/>
  <c r="AQ1284" i="1"/>
  <c r="AQ1285" i="1"/>
  <c r="AQ1286" i="1"/>
  <c r="AQ1287" i="1"/>
  <c r="AQ1288" i="1"/>
  <c r="AQ1289" i="1"/>
  <c r="AQ1290" i="1"/>
  <c r="AQ1291" i="1"/>
  <c r="AQ1292" i="1"/>
  <c r="AQ1293" i="1"/>
  <c r="AQ1294" i="1"/>
  <c r="AQ1295" i="1"/>
  <c r="AQ1296" i="1"/>
  <c r="AQ1297" i="1"/>
  <c r="AQ1298" i="1"/>
  <c r="AQ1299" i="1"/>
  <c r="AQ1300" i="1"/>
  <c r="AQ1301" i="1"/>
  <c r="AQ1302" i="1"/>
  <c r="AQ1303" i="1"/>
  <c r="AQ1304" i="1"/>
  <c r="AQ1305" i="1"/>
  <c r="AQ1306" i="1"/>
  <c r="AQ1307" i="1"/>
  <c r="AQ1308" i="1"/>
  <c r="AQ1309" i="1"/>
  <c r="AQ1310" i="1"/>
  <c r="AQ1311" i="1"/>
  <c r="AQ1312" i="1"/>
  <c r="AQ1313" i="1"/>
  <c r="AQ1314" i="1"/>
  <c r="AQ1315" i="1"/>
  <c r="AQ1316" i="1"/>
  <c r="AQ1317" i="1"/>
  <c r="AQ1318" i="1"/>
  <c r="AQ1319" i="1"/>
  <c r="AQ1320" i="1"/>
  <c r="AQ1321" i="1"/>
  <c r="AQ1322" i="1"/>
  <c r="AQ1323" i="1"/>
  <c r="AQ1324" i="1"/>
  <c r="AQ1325" i="1"/>
  <c r="AQ1326" i="1"/>
  <c r="AQ1327" i="1"/>
  <c r="AQ1328" i="1"/>
  <c r="AQ1329" i="1"/>
  <c r="AQ1330" i="1"/>
  <c r="AQ1331" i="1"/>
  <c r="AQ1332" i="1"/>
  <c r="AQ1333" i="1"/>
  <c r="AQ1334" i="1"/>
  <c r="AQ1335" i="1"/>
  <c r="AQ1336" i="1"/>
  <c r="AQ1337" i="1"/>
  <c r="AQ1338" i="1"/>
  <c r="AQ1339" i="1"/>
  <c r="AQ1340" i="1"/>
  <c r="AQ1341" i="1"/>
  <c r="AQ1342" i="1"/>
  <c r="AQ1343" i="1"/>
  <c r="AQ1344" i="1"/>
  <c r="AQ1345" i="1"/>
  <c r="AQ1346" i="1"/>
  <c r="AQ1347" i="1"/>
  <c r="AQ1348" i="1"/>
  <c r="AQ1349" i="1"/>
  <c r="AQ1350" i="1"/>
  <c r="AQ1351" i="1"/>
  <c r="AQ1352" i="1"/>
  <c r="AQ1353" i="1"/>
  <c r="AQ1354" i="1"/>
  <c r="AQ1355" i="1"/>
  <c r="AQ1356" i="1"/>
  <c r="AQ1357" i="1"/>
  <c r="AQ1358" i="1"/>
  <c r="AQ1359" i="1"/>
  <c r="AQ1360" i="1"/>
  <c r="AQ1361" i="1"/>
  <c r="AQ1362" i="1"/>
  <c r="AQ1363" i="1"/>
  <c r="AQ6" i="1"/>
  <c r="AR7" i="1"/>
  <c r="AR8" i="1"/>
  <c r="AR9" i="1"/>
  <c r="AR10" i="1"/>
  <c r="AR11" i="1"/>
  <c r="AR12" i="1"/>
  <c r="AR13" i="1"/>
  <c r="AR14" i="1"/>
  <c r="AR15" i="1"/>
  <c r="AR16" i="1"/>
  <c r="AR17" i="1"/>
  <c r="AR18" i="1"/>
  <c r="AR19" i="1"/>
  <c r="AR20" i="1"/>
  <c r="AR21" i="1"/>
  <c r="AR22" i="1"/>
  <c r="AR23" i="1"/>
  <c r="AR24" i="1"/>
  <c r="AR25" i="1"/>
  <c r="AR26" i="1"/>
  <c r="AR27" i="1"/>
  <c r="AR28" i="1"/>
  <c r="AR29" i="1"/>
  <c r="AR30" i="1"/>
  <c r="AR31" i="1"/>
  <c r="AR32" i="1"/>
  <c r="AR33" i="1"/>
  <c r="AR34" i="1"/>
  <c r="AR35" i="1"/>
  <c r="AR36" i="1"/>
  <c r="AR37" i="1"/>
  <c r="AR38" i="1"/>
  <c r="AR39" i="1"/>
  <c r="AR40" i="1"/>
  <c r="AR41" i="1"/>
  <c r="AR42" i="1"/>
  <c r="AR43" i="1"/>
  <c r="AR44" i="1"/>
  <c r="AR45" i="1"/>
  <c r="AR46" i="1"/>
  <c r="AR47" i="1"/>
  <c r="AR48" i="1"/>
  <c r="AR49" i="1"/>
  <c r="AR50" i="1"/>
  <c r="AR51" i="1"/>
  <c r="AR52" i="1"/>
  <c r="AR53" i="1"/>
  <c r="AR54" i="1"/>
  <c r="AR55" i="1"/>
  <c r="AR56" i="1"/>
  <c r="AR57" i="1"/>
  <c r="AR58" i="1"/>
  <c r="AR59" i="1"/>
  <c r="AR60" i="1"/>
  <c r="AR61" i="1"/>
  <c r="AR62" i="1"/>
  <c r="AR63" i="1"/>
  <c r="AR64" i="1"/>
  <c r="AR65" i="1"/>
  <c r="AR66" i="1"/>
  <c r="AR67" i="1"/>
  <c r="AR68" i="1"/>
  <c r="AR69" i="1"/>
  <c r="AR70" i="1"/>
  <c r="AR71" i="1"/>
  <c r="AR72" i="1"/>
  <c r="AR73" i="1"/>
  <c r="AR74" i="1"/>
  <c r="AR75" i="1"/>
  <c r="AR76" i="1"/>
  <c r="AR77" i="1"/>
  <c r="AR78" i="1"/>
  <c r="AR79" i="1"/>
  <c r="AR80" i="1"/>
  <c r="AR81" i="1"/>
  <c r="AR82" i="1"/>
  <c r="AR83" i="1"/>
  <c r="AR84" i="1"/>
  <c r="AR85" i="1"/>
  <c r="AR86" i="1"/>
  <c r="AR87" i="1"/>
  <c r="AR88" i="1"/>
  <c r="AR89" i="1"/>
  <c r="AR90" i="1"/>
  <c r="AR91" i="1"/>
  <c r="AR92" i="1"/>
  <c r="AR93" i="1"/>
  <c r="AR94" i="1"/>
  <c r="AR95" i="1"/>
  <c r="AR96" i="1"/>
  <c r="AR97" i="1"/>
  <c r="AR98" i="1"/>
  <c r="AR99" i="1"/>
  <c r="AR100" i="1"/>
  <c r="AR101" i="1"/>
  <c r="AR102" i="1"/>
  <c r="AR103" i="1"/>
  <c r="AR104" i="1"/>
  <c r="AR105" i="1"/>
  <c r="AR106" i="1"/>
  <c r="AR107" i="1"/>
  <c r="AR108" i="1"/>
  <c r="AR109" i="1"/>
  <c r="AR110" i="1"/>
  <c r="AR111" i="1"/>
  <c r="AR112" i="1"/>
  <c r="AR113" i="1"/>
  <c r="AR114" i="1"/>
  <c r="AR115" i="1"/>
  <c r="AR116" i="1"/>
  <c r="AR117" i="1"/>
  <c r="AR118" i="1"/>
  <c r="AR119" i="1"/>
  <c r="AR120" i="1"/>
  <c r="AR121" i="1"/>
  <c r="AR122" i="1"/>
  <c r="AR123" i="1"/>
  <c r="AR124" i="1"/>
  <c r="AR125" i="1"/>
  <c r="AR126" i="1"/>
  <c r="AR127" i="1"/>
  <c r="AR128" i="1"/>
  <c r="AR129" i="1"/>
  <c r="AR130" i="1"/>
  <c r="AR131" i="1"/>
  <c r="AR132" i="1"/>
  <c r="AR133" i="1"/>
  <c r="AR134" i="1"/>
  <c r="AR135" i="1"/>
  <c r="AR136" i="1"/>
  <c r="AR137" i="1"/>
  <c r="AR138" i="1"/>
  <c r="AR139" i="1"/>
  <c r="AR140" i="1"/>
  <c r="AR141" i="1"/>
  <c r="AR142" i="1"/>
  <c r="AR143" i="1"/>
  <c r="AR144" i="1"/>
  <c r="AR145" i="1"/>
  <c r="AR146" i="1"/>
  <c r="AR147" i="1"/>
  <c r="AR148" i="1"/>
  <c r="AR149" i="1"/>
  <c r="AR150" i="1"/>
  <c r="AR151" i="1"/>
  <c r="AR152" i="1"/>
  <c r="AR153" i="1"/>
  <c r="AR154" i="1"/>
  <c r="AR155" i="1"/>
  <c r="AR156" i="1"/>
  <c r="AR157" i="1"/>
  <c r="AR158" i="1"/>
  <c r="AR159" i="1"/>
  <c r="AR160" i="1"/>
  <c r="AR161" i="1"/>
  <c r="AR162" i="1"/>
  <c r="AR163" i="1"/>
  <c r="AR164" i="1"/>
  <c r="AR165" i="1"/>
  <c r="AR166" i="1"/>
  <c r="AR167" i="1"/>
  <c r="AR168" i="1"/>
  <c r="AR169" i="1"/>
  <c r="AR170" i="1"/>
  <c r="AR171" i="1"/>
  <c r="AR172" i="1"/>
  <c r="AR173" i="1"/>
  <c r="AR174" i="1"/>
  <c r="AR175" i="1"/>
  <c r="AR176" i="1"/>
  <c r="AR177" i="1"/>
  <c r="AR178" i="1"/>
  <c r="AR179" i="1"/>
  <c r="AR180" i="1"/>
  <c r="AR181" i="1"/>
  <c r="AR182" i="1"/>
  <c r="AR183" i="1"/>
  <c r="AR184" i="1"/>
  <c r="AR185" i="1"/>
  <c r="AR186" i="1"/>
  <c r="AR187" i="1"/>
  <c r="AR188" i="1"/>
  <c r="AR189" i="1"/>
  <c r="AR190" i="1"/>
  <c r="AR191" i="1"/>
  <c r="AR192" i="1"/>
  <c r="AR193" i="1"/>
  <c r="AR194" i="1"/>
  <c r="AR195" i="1"/>
  <c r="AR196" i="1"/>
  <c r="AR197" i="1"/>
  <c r="AR198" i="1"/>
  <c r="AR199" i="1"/>
  <c r="AR200" i="1"/>
  <c r="AR201" i="1"/>
  <c r="AR202" i="1"/>
  <c r="AR203" i="1"/>
  <c r="AR204" i="1"/>
  <c r="AR205" i="1"/>
  <c r="AR206" i="1"/>
  <c r="AR207" i="1"/>
  <c r="AR208" i="1"/>
  <c r="AR209" i="1"/>
  <c r="AR210" i="1"/>
  <c r="AR211" i="1"/>
  <c r="AR212" i="1"/>
  <c r="AR213" i="1"/>
  <c r="AR214" i="1"/>
  <c r="AR215" i="1"/>
  <c r="AR216" i="1"/>
  <c r="AR217" i="1"/>
  <c r="AR218" i="1"/>
  <c r="AR219" i="1"/>
  <c r="AR220" i="1"/>
  <c r="AR221" i="1"/>
  <c r="AR222" i="1"/>
  <c r="AR223" i="1"/>
  <c r="AR224" i="1"/>
  <c r="AR225" i="1"/>
  <c r="AR226" i="1"/>
  <c r="AR227" i="1"/>
  <c r="AR228" i="1"/>
  <c r="AR229" i="1"/>
  <c r="AR230" i="1"/>
  <c r="AR231" i="1"/>
  <c r="AR232" i="1"/>
  <c r="AR233" i="1"/>
  <c r="AR234" i="1"/>
  <c r="AR235" i="1"/>
  <c r="AR236" i="1"/>
  <c r="AR237" i="1"/>
  <c r="AR238" i="1"/>
  <c r="AR239" i="1"/>
  <c r="AR240" i="1"/>
  <c r="AR241" i="1"/>
  <c r="AR242" i="1"/>
  <c r="AR243" i="1"/>
  <c r="AR244" i="1"/>
  <c r="AR245" i="1"/>
  <c r="AR246" i="1"/>
  <c r="AR247" i="1"/>
  <c r="AR248" i="1"/>
  <c r="AR249" i="1"/>
  <c r="AR250" i="1"/>
  <c r="AR251" i="1"/>
  <c r="AR252" i="1"/>
  <c r="AR253" i="1"/>
  <c r="AR254" i="1"/>
  <c r="AR255" i="1"/>
  <c r="AR256" i="1"/>
  <c r="AR257" i="1"/>
  <c r="AR258" i="1"/>
  <c r="AR259" i="1"/>
  <c r="AR260" i="1"/>
  <c r="AR261" i="1"/>
  <c r="AR262" i="1"/>
  <c r="AR263" i="1"/>
  <c r="AR264" i="1"/>
  <c r="AR265" i="1"/>
  <c r="AR266" i="1"/>
  <c r="AR267" i="1"/>
  <c r="AR268" i="1"/>
  <c r="AR269" i="1"/>
  <c r="AR270" i="1"/>
  <c r="AR271" i="1"/>
  <c r="AR272" i="1"/>
  <c r="AR273" i="1"/>
  <c r="AR274" i="1"/>
  <c r="AR275" i="1"/>
  <c r="AR276" i="1"/>
  <c r="AR277" i="1"/>
  <c r="AR278" i="1"/>
  <c r="AR279" i="1"/>
  <c r="AR280" i="1"/>
  <c r="AR281" i="1"/>
  <c r="AR282" i="1"/>
  <c r="AR283" i="1"/>
  <c r="AR284" i="1"/>
  <c r="AR285" i="1"/>
  <c r="AR286" i="1"/>
  <c r="AR287" i="1"/>
  <c r="AR288" i="1"/>
  <c r="AR289" i="1"/>
  <c r="AR290" i="1"/>
  <c r="AR291" i="1"/>
  <c r="AR292" i="1"/>
  <c r="AR293" i="1"/>
  <c r="AR294" i="1"/>
  <c r="AR295" i="1"/>
  <c r="AR296" i="1"/>
  <c r="AR297" i="1"/>
  <c r="AR298" i="1"/>
  <c r="AR299" i="1"/>
  <c r="AR300" i="1"/>
  <c r="AR301" i="1"/>
  <c r="AR302" i="1"/>
  <c r="AR303" i="1"/>
  <c r="AR304" i="1"/>
  <c r="AR305" i="1"/>
  <c r="AR306" i="1"/>
  <c r="AR307" i="1"/>
  <c r="AR308" i="1"/>
  <c r="AR309" i="1"/>
  <c r="AR310" i="1"/>
  <c r="AR311" i="1"/>
  <c r="AR312" i="1"/>
  <c r="AR313" i="1"/>
  <c r="AR314" i="1"/>
  <c r="AR315" i="1"/>
  <c r="AR316" i="1"/>
  <c r="AR317" i="1"/>
  <c r="AR318" i="1"/>
  <c r="AR319" i="1"/>
  <c r="AR320" i="1"/>
  <c r="AR321" i="1"/>
  <c r="AR322" i="1"/>
  <c r="AR323" i="1"/>
  <c r="AR324" i="1"/>
  <c r="AR325" i="1"/>
  <c r="AR326" i="1"/>
  <c r="AR327" i="1"/>
  <c r="AR328" i="1"/>
  <c r="AR329" i="1"/>
  <c r="AR330" i="1"/>
  <c r="AR331" i="1"/>
  <c r="AR332" i="1"/>
  <c r="AR333" i="1"/>
  <c r="AR334" i="1"/>
  <c r="AR335" i="1"/>
  <c r="AR336" i="1"/>
  <c r="AR337" i="1"/>
  <c r="AR338" i="1"/>
  <c r="AR339" i="1"/>
  <c r="AR340" i="1"/>
  <c r="AR341" i="1"/>
  <c r="AR342" i="1"/>
  <c r="AR343" i="1"/>
  <c r="AR344" i="1"/>
  <c r="AR345" i="1"/>
  <c r="AR346" i="1"/>
  <c r="AR347" i="1"/>
  <c r="AR348" i="1"/>
  <c r="AR349" i="1"/>
  <c r="AR350" i="1"/>
  <c r="AR351" i="1"/>
  <c r="AR352" i="1"/>
  <c r="AR353" i="1"/>
  <c r="AR354" i="1"/>
  <c r="AR355" i="1"/>
  <c r="AR356" i="1"/>
  <c r="AR357" i="1"/>
  <c r="AR358" i="1"/>
  <c r="AR359" i="1"/>
  <c r="AR360" i="1"/>
  <c r="AR361" i="1"/>
  <c r="AR362" i="1"/>
  <c r="AR363" i="1"/>
  <c r="AR364" i="1"/>
  <c r="AR365" i="1"/>
  <c r="AR366" i="1"/>
  <c r="AR367" i="1"/>
  <c r="AR368" i="1"/>
  <c r="AR369" i="1"/>
  <c r="AR370" i="1"/>
  <c r="AR371" i="1"/>
  <c r="AR372" i="1"/>
  <c r="AR373" i="1"/>
  <c r="AR374" i="1"/>
  <c r="AR375" i="1"/>
  <c r="AR376" i="1"/>
  <c r="AR377" i="1"/>
  <c r="AR378" i="1"/>
  <c r="AR379" i="1"/>
  <c r="AR380" i="1"/>
  <c r="AR381" i="1"/>
  <c r="AR382" i="1"/>
  <c r="AR383" i="1"/>
  <c r="AR384" i="1"/>
  <c r="AR385" i="1"/>
  <c r="AR386" i="1"/>
  <c r="AR387" i="1"/>
  <c r="AR388" i="1"/>
  <c r="AR389" i="1"/>
  <c r="AR390" i="1"/>
  <c r="AR391" i="1"/>
  <c r="AR392" i="1"/>
  <c r="AR393" i="1"/>
  <c r="AR394" i="1"/>
  <c r="AR395" i="1"/>
  <c r="AR396" i="1"/>
  <c r="AR397" i="1"/>
  <c r="AR398" i="1"/>
  <c r="AR399" i="1"/>
  <c r="AR400" i="1"/>
  <c r="AR401" i="1"/>
  <c r="AR402" i="1"/>
  <c r="AR403" i="1"/>
  <c r="AR404" i="1"/>
  <c r="AR405" i="1"/>
  <c r="AR406" i="1"/>
  <c r="AR407" i="1"/>
  <c r="AR408" i="1"/>
  <c r="AR409" i="1"/>
  <c r="AR410" i="1"/>
  <c r="AR411" i="1"/>
  <c r="AR412" i="1"/>
  <c r="AR413" i="1"/>
  <c r="AR414" i="1"/>
  <c r="AR415" i="1"/>
  <c r="AR416" i="1"/>
  <c r="AR417" i="1"/>
  <c r="AR418" i="1"/>
  <c r="AR419" i="1"/>
  <c r="AR420" i="1"/>
  <c r="AR421" i="1"/>
  <c r="AR422" i="1"/>
  <c r="AR423" i="1"/>
  <c r="AR424" i="1"/>
  <c r="AR425" i="1"/>
  <c r="AR426" i="1"/>
  <c r="AR427" i="1"/>
  <c r="AR428" i="1"/>
  <c r="AR429" i="1"/>
  <c r="AR430" i="1"/>
  <c r="AR431" i="1"/>
  <c r="AR432" i="1"/>
  <c r="AR433" i="1"/>
  <c r="AR434" i="1"/>
  <c r="AR435" i="1"/>
  <c r="AR436" i="1"/>
  <c r="AR437" i="1"/>
  <c r="AR438" i="1"/>
  <c r="AR439" i="1"/>
  <c r="AR440" i="1"/>
  <c r="AR441" i="1"/>
  <c r="AR442" i="1"/>
  <c r="AR443" i="1"/>
  <c r="AR444" i="1"/>
  <c r="AR445" i="1"/>
  <c r="AR446" i="1"/>
  <c r="AR447" i="1"/>
  <c r="AR448" i="1"/>
  <c r="AR449" i="1"/>
  <c r="AR450" i="1"/>
  <c r="AR451" i="1"/>
  <c r="AR452" i="1"/>
  <c r="AR453" i="1"/>
  <c r="AR454" i="1"/>
  <c r="AR455" i="1"/>
  <c r="AR456" i="1"/>
  <c r="AR457" i="1"/>
  <c r="AR458" i="1"/>
  <c r="AR459" i="1"/>
  <c r="AR460" i="1"/>
  <c r="AR461" i="1"/>
  <c r="AR462" i="1"/>
  <c r="AR463" i="1"/>
  <c r="AR464" i="1"/>
  <c r="AR465" i="1"/>
  <c r="AR466" i="1"/>
  <c r="AR467" i="1"/>
  <c r="AR468" i="1"/>
  <c r="AR469" i="1"/>
  <c r="AR470" i="1"/>
  <c r="AR471" i="1"/>
  <c r="AR472" i="1"/>
  <c r="AR473" i="1"/>
  <c r="AR474" i="1"/>
  <c r="AR475" i="1"/>
  <c r="AR476" i="1"/>
  <c r="AR477" i="1"/>
  <c r="AR478" i="1"/>
  <c r="AR479" i="1"/>
  <c r="AR480" i="1"/>
  <c r="AR481" i="1"/>
  <c r="AR482" i="1"/>
  <c r="AR483" i="1"/>
  <c r="AR484" i="1"/>
  <c r="AR485" i="1"/>
  <c r="AR486" i="1"/>
  <c r="AR487" i="1"/>
  <c r="AR488" i="1"/>
  <c r="AR489" i="1"/>
  <c r="AR490" i="1"/>
  <c r="AR491" i="1"/>
  <c r="AR492" i="1"/>
  <c r="AR493" i="1"/>
  <c r="AR494" i="1"/>
  <c r="AR495" i="1"/>
  <c r="AR496" i="1"/>
  <c r="AR497" i="1"/>
  <c r="AR498" i="1"/>
  <c r="AR499" i="1"/>
  <c r="AR500" i="1"/>
  <c r="AR501" i="1"/>
  <c r="AR502" i="1"/>
  <c r="AR503" i="1"/>
  <c r="AR504" i="1"/>
  <c r="AR505" i="1"/>
  <c r="AR506" i="1"/>
  <c r="AR507" i="1"/>
  <c r="AR508" i="1"/>
  <c r="AR509" i="1"/>
  <c r="AR510" i="1"/>
  <c r="AR511" i="1"/>
  <c r="AR512" i="1"/>
  <c r="AR513" i="1"/>
  <c r="AR514" i="1"/>
  <c r="AR515" i="1"/>
  <c r="AR516" i="1"/>
  <c r="AR517" i="1"/>
  <c r="AR518" i="1"/>
  <c r="AR519" i="1"/>
  <c r="AR520" i="1"/>
  <c r="AR521" i="1"/>
  <c r="AR522" i="1"/>
  <c r="AR523" i="1"/>
  <c r="AR524" i="1"/>
  <c r="AR525" i="1"/>
  <c r="AR526" i="1"/>
  <c r="AR527" i="1"/>
  <c r="AR528" i="1"/>
  <c r="AR529" i="1"/>
  <c r="AR530" i="1"/>
  <c r="AR531" i="1"/>
  <c r="AR532" i="1"/>
  <c r="AR533" i="1"/>
  <c r="AR534" i="1"/>
  <c r="AR535" i="1"/>
  <c r="AR536" i="1"/>
  <c r="AR537" i="1"/>
  <c r="AR538" i="1"/>
  <c r="AR539" i="1"/>
  <c r="AR540" i="1"/>
  <c r="AR541" i="1"/>
  <c r="AR542" i="1"/>
  <c r="AR543" i="1"/>
  <c r="AR544" i="1"/>
  <c r="AR545" i="1"/>
  <c r="AR546" i="1"/>
  <c r="AR547" i="1"/>
  <c r="AR548" i="1"/>
  <c r="AR549" i="1"/>
  <c r="AR550" i="1"/>
  <c r="AR551" i="1"/>
  <c r="AR552" i="1"/>
  <c r="AR553" i="1"/>
  <c r="AR554" i="1"/>
  <c r="AR555" i="1"/>
  <c r="AR556" i="1"/>
  <c r="AR557" i="1"/>
  <c r="AR558" i="1"/>
  <c r="AR559" i="1"/>
  <c r="AR560" i="1"/>
  <c r="AR561" i="1"/>
  <c r="AR562" i="1"/>
  <c r="AR563" i="1"/>
  <c r="AR564" i="1"/>
  <c r="AR565" i="1"/>
  <c r="AR566" i="1"/>
  <c r="AR567" i="1"/>
  <c r="AR568" i="1"/>
  <c r="AR569" i="1"/>
  <c r="AR570" i="1"/>
  <c r="AR571" i="1"/>
  <c r="AR572" i="1"/>
  <c r="AR573" i="1"/>
  <c r="AR574" i="1"/>
  <c r="AR575" i="1"/>
  <c r="AR576" i="1"/>
  <c r="AR577" i="1"/>
  <c r="AR578" i="1"/>
  <c r="AR579" i="1"/>
  <c r="AR580" i="1"/>
  <c r="AR581" i="1"/>
  <c r="AR582" i="1"/>
  <c r="AR583" i="1"/>
  <c r="AR584" i="1"/>
  <c r="AR585" i="1"/>
  <c r="AR586" i="1"/>
  <c r="AR587" i="1"/>
  <c r="AR588" i="1"/>
  <c r="AR589" i="1"/>
  <c r="AR590" i="1"/>
  <c r="AR591" i="1"/>
  <c r="AR592" i="1"/>
  <c r="AR593" i="1"/>
  <c r="AR594" i="1"/>
  <c r="AR595" i="1"/>
  <c r="AR596" i="1"/>
  <c r="AR597" i="1"/>
  <c r="AR598" i="1"/>
  <c r="AR599" i="1"/>
  <c r="AR600" i="1"/>
  <c r="AR601" i="1"/>
  <c r="AR602" i="1"/>
  <c r="AR603" i="1"/>
  <c r="AR604" i="1"/>
  <c r="AR605" i="1"/>
  <c r="AR606" i="1"/>
  <c r="AR607" i="1"/>
  <c r="AR608" i="1"/>
  <c r="AR609" i="1"/>
  <c r="AR610" i="1"/>
  <c r="AR611" i="1"/>
  <c r="AR612" i="1"/>
  <c r="AR613" i="1"/>
  <c r="AR614" i="1"/>
  <c r="AR615" i="1"/>
  <c r="AR616" i="1"/>
  <c r="AR617" i="1"/>
  <c r="AR618" i="1"/>
  <c r="AR619" i="1"/>
  <c r="AR620" i="1"/>
  <c r="AR621" i="1"/>
  <c r="AR622" i="1"/>
  <c r="AR623" i="1"/>
  <c r="AR624" i="1"/>
  <c r="AR625" i="1"/>
  <c r="AR626" i="1"/>
  <c r="AR627" i="1"/>
  <c r="AR628" i="1"/>
  <c r="AR629" i="1"/>
  <c r="AR630" i="1"/>
  <c r="AR631" i="1"/>
  <c r="AR632" i="1"/>
  <c r="AR633" i="1"/>
  <c r="AR634" i="1"/>
  <c r="AR635" i="1"/>
  <c r="AR636" i="1"/>
  <c r="AR637" i="1"/>
  <c r="AR638" i="1"/>
  <c r="AR639" i="1"/>
  <c r="AR640" i="1"/>
  <c r="AR641" i="1"/>
  <c r="AR642" i="1"/>
  <c r="AR643" i="1"/>
  <c r="AR644" i="1"/>
  <c r="AR645" i="1"/>
  <c r="AR646" i="1"/>
  <c r="AR647" i="1"/>
  <c r="AR648" i="1"/>
  <c r="AR649" i="1"/>
  <c r="AR650" i="1"/>
  <c r="AR651" i="1"/>
  <c r="AR652" i="1"/>
  <c r="AR653" i="1"/>
  <c r="AR654" i="1"/>
  <c r="AR655" i="1"/>
  <c r="AR656" i="1"/>
  <c r="AR657" i="1"/>
  <c r="AR658" i="1"/>
  <c r="AR659" i="1"/>
  <c r="AR660" i="1"/>
  <c r="AR661" i="1"/>
  <c r="AR662" i="1"/>
  <c r="AR663" i="1"/>
  <c r="AR664" i="1"/>
  <c r="AR665" i="1"/>
  <c r="AR666" i="1"/>
  <c r="AR667" i="1"/>
  <c r="AR668" i="1"/>
  <c r="AR669" i="1"/>
  <c r="AR670" i="1"/>
  <c r="AR671" i="1"/>
  <c r="AR672" i="1"/>
  <c r="AR673" i="1"/>
  <c r="AR674" i="1"/>
  <c r="AR675" i="1"/>
  <c r="AR676" i="1"/>
  <c r="AR677" i="1"/>
  <c r="AR678" i="1"/>
  <c r="AR679" i="1"/>
  <c r="AR680" i="1"/>
  <c r="AR681" i="1"/>
  <c r="AR682" i="1"/>
  <c r="AR683" i="1"/>
  <c r="AR684" i="1"/>
  <c r="AR685" i="1"/>
  <c r="AR686" i="1"/>
  <c r="AR687" i="1"/>
  <c r="AR688" i="1"/>
  <c r="AR689" i="1"/>
  <c r="AR690" i="1"/>
  <c r="AR691" i="1"/>
  <c r="AR692" i="1"/>
  <c r="AR693" i="1"/>
  <c r="AR694" i="1"/>
  <c r="AR695" i="1"/>
  <c r="AR696" i="1"/>
  <c r="AR697" i="1"/>
  <c r="AR698" i="1"/>
  <c r="AR699" i="1"/>
  <c r="AR700" i="1"/>
  <c r="AR701" i="1"/>
  <c r="AR702" i="1"/>
  <c r="AR703" i="1"/>
  <c r="AR704" i="1"/>
  <c r="AR705" i="1"/>
  <c r="AR706" i="1"/>
  <c r="AR707" i="1"/>
  <c r="AR708" i="1"/>
  <c r="AR709" i="1"/>
  <c r="AR710" i="1"/>
  <c r="AR711" i="1"/>
  <c r="AR712" i="1"/>
  <c r="AR713" i="1"/>
  <c r="AR714" i="1"/>
  <c r="AR715" i="1"/>
  <c r="AR716" i="1"/>
  <c r="AR717" i="1"/>
  <c r="AR718" i="1"/>
  <c r="AR719" i="1"/>
  <c r="AR720" i="1"/>
  <c r="AR721" i="1"/>
  <c r="AR722" i="1"/>
  <c r="AR723" i="1"/>
  <c r="AR724" i="1"/>
  <c r="AR725" i="1"/>
  <c r="AR726" i="1"/>
  <c r="AR727" i="1"/>
  <c r="AR728" i="1"/>
  <c r="AR729" i="1"/>
  <c r="AR730" i="1"/>
  <c r="AR731" i="1"/>
  <c r="AR732" i="1"/>
  <c r="AR733" i="1"/>
  <c r="AR734" i="1"/>
  <c r="AR735" i="1"/>
  <c r="AR736" i="1"/>
  <c r="AR737" i="1"/>
  <c r="AR738" i="1"/>
  <c r="AR739" i="1"/>
  <c r="AR740" i="1"/>
  <c r="AR741" i="1"/>
  <c r="AR742" i="1"/>
  <c r="AR743" i="1"/>
  <c r="AR744" i="1"/>
  <c r="AR745" i="1"/>
  <c r="AR746" i="1"/>
  <c r="AR747" i="1"/>
  <c r="AR748" i="1"/>
  <c r="AR749" i="1"/>
  <c r="AR750" i="1"/>
  <c r="AR751" i="1"/>
  <c r="AR752" i="1"/>
  <c r="AR753" i="1"/>
  <c r="AR754" i="1"/>
  <c r="AR755" i="1"/>
  <c r="AR756" i="1"/>
  <c r="AR757" i="1"/>
  <c r="AR758" i="1"/>
  <c r="AR759" i="1"/>
  <c r="AR760" i="1"/>
  <c r="AR761" i="1"/>
  <c r="AR762" i="1"/>
  <c r="AR763" i="1"/>
  <c r="AR764" i="1"/>
  <c r="AR765" i="1"/>
  <c r="AR766" i="1"/>
  <c r="AR767" i="1"/>
  <c r="AR768" i="1"/>
  <c r="AR769" i="1"/>
  <c r="AR770" i="1"/>
  <c r="AR771" i="1"/>
  <c r="AR772" i="1"/>
  <c r="AR773" i="1"/>
  <c r="AR774" i="1"/>
  <c r="AR775" i="1"/>
  <c r="AR776" i="1"/>
  <c r="AR777" i="1"/>
  <c r="AR778" i="1"/>
  <c r="AR779" i="1"/>
  <c r="AR780" i="1"/>
  <c r="AR781" i="1"/>
  <c r="AR782" i="1"/>
  <c r="AR783" i="1"/>
  <c r="AR784" i="1"/>
  <c r="AR785" i="1"/>
  <c r="AR786" i="1"/>
  <c r="AR787" i="1"/>
  <c r="AR788" i="1"/>
  <c r="AR789" i="1"/>
  <c r="AR790" i="1"/>
  <c r="AR791" i="1"/>
  <c r="AR792" i="1"/>
  <c r="AR793" i="1"/>
  <c r="AR794" i="1"/>
  <c r="AR795" i="1"/>
  <c r="AR796" i="1"/>
  <c r="AR797" i="1"/>
  <c r="AR798" i="1"/>
  <c r="AR799" i="1"/>
  <c r="AR800" i="1"/>
  <c r="AR801" i="1"/>
  <c r="AR802" i="1"/>
  <c r="AR803" i="1"/>
  <c r="AR804" i="1"/>
  <c r="AR805" i="1"/>
  <c r="AR806" i="1"/>
  <c r="AR807" i="1"/>
  <c r="AR808" i="1"/>
  <c r="AR809" i="1"/>
  <c r="AR810" i="1"/>
  <c r="AR811" i="1"/>
  <c r="AR812" i="1"/>
  <c r="AR813" i="1"/>
  <c r="AR814" i="1"/>
  <c r="AR815" i="1"/>
  <c r="AR816" i="1"/>
  <c r="AR817" i="1"/>
  <c r="AR818" i="1"/>
  <c r="AR819" i="1"/>
  <c r="AR820" i="1"/>
  <c r="AR821" i="1"/>
  <c r="AR822" i="1"/>
  <c r="AR823" i="1"/>
  <c r="AR824" i="1"/>
  <c r="AR825" i="1"/>
  <c r="AR826" i="1"/>
  <c r="AR827" i="1"/>
  <c r="AR828" i="1"/>
  <c r="AR829" i="1"/>
  <c r="AR830" i="1"/>
  <c r="AR831" i="1"/>
  <c r="AR832" i="1"/>
  <c r="AR833" i="1"/>
  <c r="AR834" i="1"/>
  <c r="AR835" i="1"/>
  <c r="AR836" i="1"/>
  <c r="AR837" i="1"/>
  <c r="AR838" i="1"/>
  <c r="AR839" i="1"/>
  <c r="AR840" i="1"/>
  <c r="AR841" i="1"/>
  <c r="AR842" i="1"/>
  <c r="AR843" i="1"/>
  <c r="AR844" i="1"/>
  <c r="AR845" i="1"/>
  <c r="AR846" i="1"/>
  <c r="AR847" i="1"/>
  <c r="AR848" i="1"/>
  <c r="AR849" i="1"/>
  <c r="AR850" i="1"/>
  <c r="AR851" i="1"/>
  <c r="AR852" i="1"/>
  <c r="AR853" i="1"/>
  <c r="AR854" i="1"/>
  <c r="AR855" i="1"/>
  <c r="AR856" i="1"/>
  <c r="AR857" i="1"/>
  <c r="AR858" i="1"/>
  <c r="AR859" i="1"/>
  <c r="AR860" i="1"/>
  <c r="AR861" i="1"/>
  <c r="AR862" i="1"/>
  <c r="AR863" i="1"/>
  <c r="AR864" i="1"/>
  <c r="AR865" i="1"/>
  <c r="AR866" i="1"/>
  <c r="AR867" i="1"/>
  <c r="AR868" i="1"/>
  <c r="AR869" i="1"/>
  <c r="AR870" i="1"/>
  <c r="AR871" i="1"/>
  <c r="AR872" i="1"/>
  <c r="AR873" i="1"/>
  <c r="AR874" i="1"/>
  <c r="AR875" i="1"/>
  <c r="AR876" i="1"/>
  <c r="AR877" i="1"/>
  <c r="AR878" i="1"/>
  <c r="AR879" i="1"/>
  <c r="AR880" i="1"/>
  <c r="AR881" i="1"/>
  <c r="AR882" i="1"/>
  <c r="AR883" i="1"/>
  <c r="AR884" i="1"/>
  <c r="AR885" i="1"/>
  <c r="AR886" i="1"/>
  <c r="AR887" i="1"/>
  <c r="AR888" i="1"/>
  <c r="AR889" i="1"/>
  <c r="AR890" i="1"/>
  <c r="AR891" i="1"/>
  <c r="AR892" i="1"/>
  <c r="AR893" i="1"/>
  <c r="AR894" i="1"/>
  <c r="AR895" i="1"/>
  <c r="AR896" i="1"/>
  <c r="AR897" i="1"/>
  <c r="AR898" i="1"/>
  <c r="AR899" i="1"/>
  <c r="AR900" i="1"/>
  <c r="AR901" i="1"/>
  <c r="AR902" i="1"/>
  <c r="AR903" i="1"/>
  <c r="AR904" i="1"/>
  <c r="AR905" i="1"/>
  <c r="AR906" i="1"/>
  <c r="AR907" i="1"/>
  <c r="AR908" i="1"/>
  <c r="AR909" i="1"/>
  <c r="AR910" i="1"/>
  <c r="AR911" i="1"/>
  <c r="AR912" i="1"/>
  <c r="AR913" i="1"/>
  <c r="AR914" i="1"/>
  <c r="AR915" i="1"/>
  <c r="AR916" i="1"/>
  <c r="AR917" i="1"/>
  <c r="AR918" i="1"/>
  <c r="AR919" i="1"/>
  <c r="AR920" i="1"/>
  <c r="AR921" i="1"/>
  <c r="AR922" i="1"/>
  <c r="AR923" i="1"/>
  <c r="AR924" i="1"/>
  <c r="AR925" i="1"/>
  <c r="AR926" i="1"/>
  <c r="AR927" i="1"/>
  <c r="AR928" i="1"/>
  <c r="AR929" i="1"/>
  <c r="AR930" i="1"/>
  <c r="AR931" i="1"/>
  <c r="AR932" i="1"/>
  <c r="AR933" i="1"/>
  <c r="AR934" i="1"/>
  <c r="AR935" i="1"/>
  <c r="AR936" i="1"/>
  <c r="AR937" i="1"/>
  <c r="AR938" i="1"/>
  <c r="AR939" i="1"/>
  <c r="AR940" i="1"/>
  <c r="AR941" i="1"/>
  <c r="AR942" i="1"/>
  <c r="AR943" i="1"/>
  <c r="AR944" i="1"/>
  <c r="AR945" i="1"/>
  <c r="AR946" i="1"/>
  <c r="AR947" i="1"/>
  <c r="AR948" i="1"/>
  <c r="AR949" i="1"/>
  <c r="AR950" i="1"/>
  <c r="AR951" i="1"/>
  <c r="AR952" i="1"/>
  <c r="AR953" i="1"/>
  <c r="AR954" i="1"/>
  <c r="AR955" i="1"/>
  <c r="AR956" i="1"/>
  <c r="AR957" i="1"/>
  <c r="AR958" i="1"/>
  <c r="AR959" i="1"/>
  <c r="AR960" i="1"/>
  <c r="AR961" i="1"/>
  <c r="AR962" i="1"/>
  <c r="AR963" i="1"/>
  <c r="AR964" i="1"/>
  <c r="AR965" i="1"/>
  <c r="AR966" i="1"/>
  <c r="AR967" i="1"/>
  <c r="AR968" i="1"/>
  <c r="AR969" i="1"/>
  <c r="AR970" i="1"/>
  <c r="AR971" i="1"/>
  <c r="AR972" i="1"/>
  <c r="AR973" i="1"/>
  <c r="AR974" i="1"/>
  <c r="AR975" i="1"/>
  <c r="AR976" i="1"/>
  <c r="AR977" i="1"/>
  <c r="AR978" i="1"/>
  <c r="AR979" i="1"/>
  <c r="AR980" i="1"/>
  <c r="AR981" i="1"/>
  <c r="AR982" i="1"/>
  <c r="AR983" i="1"/>
  <c r="AR984" i="1"/>
  <c r="AR985" i="1"/>
  <c r="AR986" i="1"/>
  <c r="AR987" i="1"/>
  <c r="AR988" i="1"/>
  <c r="AR989" i="1"/>
  <c r="AR990" i="1"/>
  <c r="AR991" i="1"/>
  <c r="AR992" i="1"/>
  <c r="AR993" i="1"/>
  <c r="AR994" i="1"/>
  <c r="AR995" i="1"/>
  <c r="AR996" i="1"/>
  <c r="AR997" i="1"/>
  <c r="AR998" i="1"/>
  <c r="AR999" i="1"/>
  <c r="AR1000" i="1"/>
  <c r="AR1001" i="1"/>
  <c r="AR1002" i="1"/>
  <c r="AR1003" i="1"/>
  <c r="AR1004" i="1"/>
  <c r="AR1005" i="1"/>
  <c r="AR1006" i="1"/>
  <c r="AR1007" i="1"/>
  <c r="AR1008" i="1"/>
  <c r="AR1009" i="1"/>
  <c r="AR1010" i="1"/>
  <c r="AR1011" i="1"/>
  <c r="AR1012" i="1"/>
  <c r="AR1013" i="1"/>
  <c r="AR1014" i="1"/>
  <c r="AR1015" i="1"/>
  <c r="AR1016" i="1"/>
  <c r="AR1017" i="1"/>
  <c r="AR1018" i="1"/>
  <c r="AR1019" i="1"/>
  <c r="AR1020" i="1"/>
  <c r="AR1021" i="1"/>
  <c r="AR1022" i="1"/>
  <c r="AR1023" i="1"/>
  <c r="AR1024" i="1"/>
  <c r="AR1025" i="1"/>
  <c r="AR1026" i="1"/>
  <c r="AR1027" i="1"/>
  <c r="AR1028" i="1"/>
  <c r="AR1029" i="1"/>
  <c r="AR1030" i="1"/>
  <c r="AR1031" i="1"/>
  <c r="AR1032" i="1"/>
  <c r="AR1033" i="1"/>
  <c r="AR1034" i="1"/>
  <c r="AR1035" i="1"/>
  <c r="AR1036" i="1"/>
  <c r="AR1037" i="1"/>
  <c r="AR1038" i="1"/>
  <c r="AR1039" i="1"/>
  <c r="AR1040" i="1"/>
  <c r="AR1041" i="1"/>
  <c r="AR1042" i="1"/>
  <c r="AR1043" i="1"/>
  <c r="AR1044" i="1"/>
  <c r="AR1045" i="1"/>
  <c r="AR1046" i="1"/>
  <c r="AR1047" i="1"/>
  <c r="AR1048" i="1"/>
  <c r="AR1049" i="1"/>
  <c r="AR1050" i="1"/>
  <c r="AR1051" i="1"/>
  <c r="AR1052" i="1"/>
  <c r="AR1053" i="1"/>
  <c r="AR1054" i="1"/>
  <c r="AR1055" i="1"/>
  <c r="AR1056" i="1"/>
  <c r="AR1057" i="1"/>
  <c r="AR1058" i="1"/>
  <c r="AR1059" i="1"/>
  <c r="AR1060" i="1"/>
  <c r="AR1061" i="1"/>
  <c r="AR1062" i="1"/>
  <c r="AR1063" i="1"/>
  <c r="AR1064" i="1"/>
  <c r="AR1065" i="1"/>
  <c r="AR1066" i="1"/>
  <c r="AR1067" i="1"/>
  <c r="AR1068" i="1"/>
  <c r="AR1069" i="1"/>
  <c r="AR1070" i="1"/>
  <c r="AR1071" i="1"/>
  <c r="AR1072" i="1"/>
  <c r="AR1073" i="1"/>
  <c r="AR1074" i="1"/>
  <c r="AR1075" i="1"/>
  <c r="AR1076" i="1"/>
  <c r="AR1077" i="1"/>
  <c r="AR1078" i="1"/>
  <c r="AR1079" i="1"/>
  <c r="AR1080" i="1"/>
  <c r="AR1081" i="1"/>
  <c r="AR1082" i="1"/>
  <c r="AR1083" i="1"/>
  <c r="AR1084" i="1"/>
  <c r="AR1085" i="1"/>
  <c r="AR1086" i="1"/>
  <c r="AR1087" i="1"/>
  <c r="AR1088" i="1"/>
  <c r="AR1089" i="1"/>
  <c r="AR1090" i="1"/>
  <c r="AR1091" i="1"/>
  <c r="AR1092" i="1"/>
  <c r="AR1093" i="1"/>
  <c r="AR1094" i="1"/>
  <c r="AR1095" i="1"/>
  <c r="AR1096" i="1"/>
  <c r="AR1097" i="1"/>
  <c r="AR1098" i="1"/>
  <c r="AR1099" i="1"/>
  <c r="AR1100" i="1"/>
  <c r="AR1101" i="1"/>
  <c r="AR1102" i="1"/>
  <c r="AR1103" i="1"/>
  <c r="AR1104" i="1"/>
  <c r="AR1105" i="1"/>
  <c r="AR1106" i="1"/>
  <c r="AR1107" i="1"/>
  <c r="AR1108" i="1"/>
  <c r="AR1109" i="1"/>
  <c r="AR1110" i="1"/>
  <c r="AR1111" i="1"/>
  <c r="AR1112" i="1"/>
  <c r="AR1113" i="1"/>
  <c r="AR1114" i="1"/>
  <c r="AR1115" i="1"/>
  <c r="AR1116" i="1"/>
  <c r="AR1117" i="1"/>
  <c r="AR1118" i="1"/>
  <c r="AR1119" i="1"/>
  <c r="AR1120" i="1"/>
  <c r="AR1121" i="1"/>
  <c r="AR1122" i="1"/>
  <c r="AR1123" i="1"/>
  <c r="AR1124" i="1"/>
  <c r="AR1125" i="1"/>
  <c r="AR1126" i="1"/>
  <c r="AR1127" i="1"/>
  <c r="AR1128" i="1"/>
  <c r="AR1129" i="1"/>
  <c r="AR1130" i="1"/>
  <c r="AR1131" i="1"/>
  <c r="AR1132" i="1"/>
  <c r="AR1133" i="1"/>
  <c r="AR1134" i="1"/>
  <c r="AR1135" i="1"/>
  <c r="AR1136" i="1"/>
  <c r="AR1137" i="1"/>
  <c r="AR1138" i="1"/>
  <c r="AR1139" i="1"/>
  <c r="AR1140" i="1"/>
  <c r="AR1141" i="1"/>
  <c r="AR1142" i="1"/>
  <c r="AR1143" i="1"/>
  <c r="AR1144" i="1"/>
  <c r="AR1145" i="1"/>
  <c r="AR1146" i="1"/>
  <c r="AR1147" i="1"/>
  <c r="AR1148" i="1"/>
  <c r="AR1149" i="1"/>
  <c r="AR1150" i="1"/>
  <c r="AR1151" i="1"/>
  <c r="AR1152" i="1"/>
  <c r="AR1153" i="1"/>
  <c r="AR1154" i="1"/>
  <c r="AR1155" i="1"/>
  <c r="AR1156" i="1"/>
  <c r="AR1157" i="1"/>
  <c r="AR1158" i="1"/>
  <c r="AR1159" i="1"/>
  <c r="AR1160" i="1"/>
  <c r="AR1161" i="1"/>
  <c r="AR1162" i="1"/>
  <c r="AR1163" i="1"/>
  <c r="AR1164" i="1"/>
  <c r="AR1165" i="1"/>
  <c r="AR1166" i="1"/>
  <c r="AR1167" i="1"/>
  <c r="AR1168" i="1"/>
  <c r="AR1169" i="1"/>
  <c r="AR1170" i="1"/>
  <c r="AR1171" i="1"/>
  <c r="AR1172" i="1"/>
  <c r="AR1173" i="1"/>
  <c r="AR1174" i="1"/>
  <c r="AR1175" i="1"/>
  <c r="AR1176" i="1"/>
  <c r="AR1177" i="1"/>
  <c r="AR1178" i="1"/>
  <c r="AR1179" i="1"/>
  <c r="AR1180" i="1"/>
  <c r="AR1181" i="1"/>
  <c r="AR1182" i="1"/>
  <c r="AR1183" i="1"/>
  <c r="AR1184" i="1"/>
  <c r="AR1185" i="1"/>
  <c r="AR1186" i="1"/>
  <c r="AR1187" i="1"/>
  <c r="AR1188" i="1"/>
  <c r="AR1189" i="1"/>
  <c r="AR1190" i="1"/>
  <c r="AR1191" i="1"/>
  <c r="AR1192" i="1"/>
  <c r="AR1193" i="1"/>
  <c r="AR1194" i="1"/>
  <c r="AR1195" i="1"/>
  <c r="AR1196" i="1"/>
  <c r="AR1197" i="1"/>
  <c r="AR1198" i="1"/>
  <c r="AR1199" i="1"/>
  <c r="AR1200" i="1"/>
  <c r="AR1201" i="1"/>
  <c r="AR1202" i="1"/>
  <c r="AR1203" i="1"/>
  <c r="AR1204" i="1"/>
  <c r="AR1205" i="1"/>
  <c r="AR1206" i="1"/>
  <c r="AR1207" i="1"/>
  <c r="AR1208" i="1"/>
  <c r="AR1209" i="1"/>
  <c r="AR1210" i="1"/>
  <c r="AR1211" i="1"/>
  <c r="AR1212" i="1"/>
  <c r="AR1213" i="1"/>
  <c r="AR1214" i="1"/>
  <c r="AR1215" i="1"/>
  <c r="AR1216" i="1"/>
  <c r="AR1217" i="1"/>
  <c r="AR1218" i="1"/>
  <c r="AR1219" i="1"/>
  <c r="AR1220" i="1"/>
  <c r="AR1221" i="1"/>
  <c r="AR1222" i="1"/>
  <c r="AR1223" i="1"/>
  <c r="AR1224" i="1"/>
  <c r="AR1225" i="1"/>
  <c r="AR1226" i="1"/>
  <c r="AR1227" i="1"/>
  <c r="AR1228" i="1"/>
  <c r="AR1229" i="1"/>
  <c r="AR1230" i="1"/>
  <c r="AR1231" i="1"/>
  <c r="AR1232" i="1"/>
  <c r="AR1233" i="1"/>
  <c r="AR1234" i="1"/>
  <c r="AR1235" i="1"/>
  <c r="AR1236" i="1"/>
  <c r="AR1237" i="1"/>
  <c r="AR1238" i="1"/>
  <c r="AR1239" i="1"/>
  <c r="AR1240" i="1"/>
  <c r="AR1241" i="1"/>
  <c r="AR1242" i="1"/>
  <c r="AR1243" i="1"/>
  <c r="AR1244" i="1"/>
  <c r="AR1245" i="1"/>
  <c r="AR1246" i="1"/>
  <c r="AR1247" i="1"/>
  <c r="AR1248" i="1"/>
  <c r="AR1249" i="1"/>
  <c r="AR1250" i="1"/>
  <c r="AR1251" i="1"/>
  <c r="AR1252" i="1"/>
  <c r="AR1253" i="1"/>
  <c r="AR1254" i="1"/>
  <c r="AR1255" i="1"/>
  <c r="AR1256" i="1"/>
  <c r="AR1257" i="1"/>
  <c r="AR1258" i="1"/>
  <c r="AR1259" i="1"/>
  <c r="AR1260" i="1"/>
  <c r="AR1261" i="1"/>
  <c r="AR1262" i="1"/>
  <c r="AR1263" i="1"/>
  <c r="AR1264" i="1"/>
  <c r="AR1265" i="1"/>
  <c r="AR1266" i="1"/>
  <c r="AR1267" i="1"/>
  <c r="AR1268" i="1"/>
  <c r="AR1269" i="1"/>
  <c r="AR1270" i="1"/>
  <c r="AR1271" i="1"/>
  <c r="AR1272" i="1"/>
  <c r="AR1273" i="1"/>
  <c r="AR1274" i="1"/>
  <c r="AR1275" i="1"/>
  <c r="AR1276" i="1"/>
  <c r="AR1277" i="1"/>
  <c r="AR1278" i="1"/>
  <c r="AR1279" i="1"/>
  <c r="AR1280" i="1"/>
  <c r="AR1281" i="1"/>
  <c r="AR1282" i="1"/>
  <c r="AR1283" i="1"/>
  <c r="AR1284" i="1"/>
  <c r="AR1285" i="1"/>
  <c r="AR1286" i="1"/>
  <c r="AR1287" i="1"/>
  <c r="AR1288" i="1"/>
  <c r="AR1289" i="1"/>
  <c r="AR1290" i="1"/>
  <c r="AR1291" i="1"/>
  <c r="AR1292" i="1"/>
  <c r="AR1293" i="1"/>
  <c r="AR1294" i="1"/>
  <c r="AR1295" i="1"/>
  <c r="AR1296" i="1"/>
  <c r="AR1297" i="1"/>
  <c r="AR1298" i="1"/>
  <c r="AR1299" i="1"/>
  <c r="AR1300" i="1"/>
  <c r="AR1301" i="1"/>
  <c r="AR1302" i="1"/>
  <c r="AR1303" i="1"/>
  <c r="AR1304" i="1"/>
  <c r="AR1305" i="1"/>
  <c r="AR1306" i="1"/>
  <c r="AR1307" i="1"/>
  <c r="AR1308" i="1"/>
  <c r="AR1309" i="1"/>
  <c r="AR1310" i="1"/>
  <c r="AR1311" i="1"/>
  <c r="AR1312" i="1"/>
  <c r="AR1313" i="1"/>
  <c r="AR1314" i="1"/>
  <c r="AR1315" i="1"/>
  <c r="AR1316" i="1"/>
  <c r="AR1317" i="1"/>
  <c r="AR1318" i="1"/>
  <c r="AR1319" i="1"/>
  <c r="AR1320" i="1"/>
  <c r="AR1321" i="1"/>
  <c r="AR1322" i="1"/>
  <c r="AR1323" i="1"/>
  <c r="AR1324" i="1"/>
  <c r="AR1325" i="1"/>
  <c r="AR1326" i="1"/>
  <c r="AR1327" i="1"/>
  <c r="AR1328" i="1"/>
  <c r="AR1329" i="1"/>
  <c r="AR1330" i="1"/>
  <c r="AR1331" i="1"/>
  <c r="AR1332" i="1"/>
  <c r="AR1333" i="1"/>
  <c r="AR1334" i="1"/>
  <c r="AR1335" i="1"/>
  <c r="AR1336" i="1"/>
  <c r="AR1337" i="1"/>
  <c r="AR1338" i="1"/>
  <c r="AR1339" i="1"/>
  <c r="AR1340" i="1"/>
  <c r="AR1341" i="1"/>
  <c r="AR1342" i="1"/>
  <c r="AR1343" i="1"/>
  <c r="AR1344" i="1"/>
  <c r="AR1345" i="1"/>
  <c r="AR1346" i="1"/>
  <c r="AR1347" i="1"/>
  <c r="AR1348" i="1"/>
  <c r="AR1349" i="1"/>
  <c r="AR1350" i="1"/>
  <c r="AR1351" i="1"/>
  <c r="AR1352" i="1"/>
  <c r="AR1353" i="1"/>
  <c r="AR1354" i="1"/>
  <c r="AR1355" i="1"/>
  <c r="AR1356" i="1"/>
  <c r="AR1357" i="1"/>
  <c r="AR1358" i="1"/>
  <c r="AR1359" i="1"/>
  <c r="AR1360" i="1"/>
  <c r="AR1361" i="1"/>
  <c r="AR1362" i="1"/>
  <c r="AR1363" i="1"/>
  <c r="AR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6"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787" i="1"/>
  <c r="AP788" i="1"/>
  <c r="AP789" i="1"/>
  <c r="AP790" i="1"/>
  <c r="AP791" i="1"/>
  <c r="AP792" i="1"/>
  <c r="AP793" i="1"/>
  <c r="AP794" i="1"/>
  <c r="AP795" i="1"/>
  <c r="AP796" i="1"/>
  <c r="AP797" i="1"/>
  <c r="AP798" i="1"/>
  <c r="AP799" i="1"/>
  <c r="AP800" i="1"/>
  <c r="AP801" i="1"/>
  <c r="AP802" i="1"/>
  <c r="AP803" i="1"/>
  <c r="AP804" i="1"/>
  <c r="AP805" i="1"/>
  <c r="AP806" i="1"/>
  <c r="AP807" i="1"/>
  <c r="AP808" i="1"/>
  <c r="AP809" i="1"/>
  <c r="AP810" i="1"/>
  <c r="AP811" i="1"/>
  <c r="AP812" i="1"/>
  <c r="AP813" i="1"/>
  <c r="AP814" i="1"/>
  <c r="AP815" i="1"/>
  <c r="AP816" i="1"/>
  <c r="AP817" i="1"/>
  <c r="AP818" i="1"/>
  <c r="AP819" i="1"/>
  <c r="AP820" i="1"/>
  <c r="AP821" i="1"/>
  <c r="AP822" i="1"/>
  <c r="AP823" i="1"/>
  <c r="AP824" i="1"/>
  <c r="AP825" i="1"/>
  <c r="AP826" i="1"/>
  <c r="AP827" i="1"/>
  <c r="AP828" i="1"/>
  <c r="AP829" i="1"/>
  <c r="AP830" i="1"/>
  <c r="AP831" i="1"/>
  <c r="AP832" i="1"/>
  <c r="AP833" i="1"/>
  <c r="AP834" i="1"/>
  <c r="AP835" i="1"/>
  <c r="AP836" i="1"/>
  <c r="AP837" i="1"/>
  <c r="AP838" i="1"/>
  <c r="AP839" i="1"/>
  <c r="AP840" i="1"/>
  <c r="AP841" i="1"/>
  <c r="AP842" i="1"/>
  <c r="AP843" i="1"/>
  <c r="AP844" i="1"/>
  <c r="AP845" i="1"/>
  <c r="AP846" i="1"/>
  <c r="AP847" i="1"/>
  <c r="AP848" i="1"/>
  <c r="AP849" i="1"/>
  <c r="AP850" i="1"/>
  <c r="AP851" i="1"/>
  <c r="AP852" i="1"/>
  <c r="AP853" i="1"/>
  <c r="AP854" i="1"/>
  <c r="AP855" i="1"/>
  <c r="AP856" i="1"/>
  <c r="AP857" i="1"/>
  <c r="AP858" i="1"/>
  <c r="AP859" i="1"/>
  <c r="AP860" i="1"/>
  <c r="AP861" i="1"/>
  <c r="AP862" i="1"/>
  <c r="AP863" i="1"/>
  <c r="AP864" i="1"/>
  <c r="AP865" i="1"/>
  <c r="AP866" i="1"/>
  <c r="AP867" i="1"/>
  <c r="AP868" i="1"/>
  <c r="AP869" i="1"/>
  <c r="AP870" i="1"/>
  <c r="AP871" i="1"/>
  <c r="AP872" i="1"/>
  <c r="AP873" i="1"/>
  <c r="AP874" i="1"/>
  <c r="AP875" i="1"/>
  <c r="AP876" i="1"/>
  <c r="AP877" i="1"/>
  <c r="AP878" i="1"/>
  <c r="AP879" i="1"/>
  <c r="AP880" i="1"/>
  <c r="AP881" i="1"/>
  <c r="AP882" i="1"/>
  <c r="AP883" i="1"/>
  <c r="AP884" i="1"/>
  <c r="AP885" i="1"/>
  <c r="AP886" i="1"/>
  <c r="AP887" i="1"/>
  <c r="AP888" i="1"/>
  <c r="AP889" i="1"/>
  <c r="AP890" i="1"/>
  <c r="AP891" i="1"/>
  <c r="AP892" i="1"/>
  <c r="AP893" i="1"/>
  <c r="AP894" i="1"/>
  <c r="AP895" i="1"/>
  <c r="AP896" i="1"/>
  <c r="AP897" i="1"/>
  <c r="AP898" i="1"/>
  <c r="AP899" i="1"/>
  <c r="AP900" i="1"/>
  <c r="AP901" i="1"/>
  <c r="AP902" i="1"/>
  <c r="AP903" i="1"/>
  <c r="AP904" i="1"/>
  <c r="AP905" i="1"/>
  <c r="AP906" i="1"/>
  <c r="AP907" i="1"/>
  <c r="AP908" i="1"/>
  <c r="AP909" i="1"/>
  <c r="AP910" i="1"/>
  <c r="AP911" i="1"/>
  <c r="AP912" i="1"/>
  <c r="AP913" i="1"/>
  <c r="AP914" i="1"/>
  <c r="AP915" i="1"/>
  <c r="AP916" i="1"/>
  <c r="AP917" i="1"/>
  <c r="AP918" i="1"/>
  <c r="AP919" i="1"/>
  <c r="AP920" i="1"/>
  <c r="AP921" i="1"/>
  <c r="AP922" i="1"/>
  <c r="AP923" i="1"/>
  <c r="AP924" i="1"/>
  <c r="AP925" i="1"/>
  <c r="AP926" i="1"/>
  <c r="AP927" i="1"/>
  <c r="AP928" i="1"/>
  <c r="AP929" i="1"/>
  <c r="AP930" i="1"/>
  <c r="AP931" i="1"/>
  <c r="AP932" i="1"/>
  <c r="AP933" i="1"/>
  <c r="AP934" i="1"/>
  <c r="AP935" i="1"/>
  <c r="AP936" i="1"/>
  <c r="AP937" i="1"/>
  <c r="AP938" i="1"/>
  <c r="AP939" i="1"/>
  <c r="AP940" i="1"/>
  <c r="AP941" i="1"/>
  <c r="AP942" i="1"/>
  <c r="AP943" i="1"/>
  <c r="AP944" i="1"/>
  <c r="AP945" i="1"/>
  <c r="AP946" i="1"/>
  <c r="AP947" i="1"/>
  <c r="AP948" i="1"/>
  <c r="AP949" i="1"/>
  <c r="AP950" i="1"/>
  <c r="AP951" i="1"/>
  <c r="AP952" i="1"/>
  <c r="AP953" i="1"/>
  <c r="AP954" i="1"/>
  <c r="AP955" i="1"/>
  <c r="AP956" i="1"/>
  <c r="AP957" i="1"/>
  <c r="AP958" i="1"/>
  <c r="AP959" i="1"/>
  <c r="AP960" i="1"/>
  <c r="AP961" i="1"/>
  <c r="AP962" i="1"/>
  <c r="AP963" i="1"/>
  <c r="AP964" i="1"/>
  <c r="AP965" i="1"/>
  <c r="AP966" i="1"/>
  <c r="AP967" i="1"/>
  <c r="AP968" i="1"/>
  <c r="AP969" i="1"/>
  <c r="AP970" i="1"/>
  <c r="AP971" i="1"/>
  <c r="AP972" i="1"/>
  <c r="AP973" i="1"/>
  <c r="AP974" i="1"/>
  <c r="AP975" i="1"/>
  <c r="AP976" i="1"/>
  <c r="AP977" i="1"/>
  <c r="AP978" i="1"/>
  <c r="AP979" i="1"/>
  <c r="AP980" i="1"/>
  <c r="AP981" i="1"/>
  <c r="AP982" i="1"/>
  <c r="AP983" i="1"/>
  <c r="AP984" i="1"/>
  <c r="AP985" i="1"/>
  <c r="AP986" i="1"/>
  <c r="AP987" i="1"/>
  <c r="AP988" i="1"/>
  <c r="AP989" i="1"/>
  <c r="AP990" i="1"/>
  <c r="AP991" i="1"/>
  <c r="AP992" i="1"/>
  <c r="AP993" i="1"/>
  <c r="AP994" i="1"/>
  <c r="AP995" i="1"/>
  <c r="AP996" i="1"/>
  <c r="AP997" i="1"/>
  <c r="AP998" i="1"/>
  <c r="AP999" i="1"/>
  <c r="AP1000" i="1"/>
  <c r="AP1001" i="1"/>
  <c r="AP1002" i="1"/>
  <c r="AP1003" i="1"/>
  <c r="AP1004" i="1"/>
  <c r="AP1005" i="1"/>
  <c r="AP1006" i="1"/>
  <c r="AP1007" i="1"/>
  <c r="AP1008" i="1"/>
  <c r="AP1009" i="1"/>
  <c r="AP1010" i="1"/>
  <c r="AP1011" i="1"/>
  <c r="AP1012" i="1"/>
  <c r="AP1013" i="1"/>
  <c r="AP1014" i="1"/>
  <c r="AP1015" i="1"/>
  <c r="AP1016" i="1"/>
  <c r="AP1017" i="1"/>
  <c r="AP1018" i="1"/>
  <c r="AP1019" i="1"/>
  <c r="AP1020" i="1"/>
  <c r="AP1021" i="1"/>
  <c r="AP1022" i="1"/>
  <c r="AP1023" i="1"/>
  <c r="AP1024" i="1"/>
  <c r="AP1025" i="1"/>
  <c r="AP1026" i="1"/>
  <c r="AP1027" i="1"/>
  <c r="AP1028" i="1"/>
  <c r="AP1029" i="1"/>
  <c r="AP1030" i="1"/>
  <c r="AP1031" i="1"/>
  <c r="AP1032" i="1"/>
  <c r="AP1033" i="1"/>
  <c r="AP1034" i="1"/>
  <c r="AP1035" i="1"/>
  <c r="AP1036" i="1"/>
  <c r="AP1037" i="1"/>
  <c r="AP1038" i="1"/>
  <c r="AP1039" i="1"/>
  <c r="AP1040" i="1"/>
  <c r="AP1041" i="1"/>
  <c r="AP1042" i="1"/>
  <c r="AP1043" i="1"/>
  <c r="AP1044" i="1"/>
  <c r="AP1045" i="1"/>
  <c r="AP1046" i="1"/>
  <c r="AP1047" i="1"/>
  <c r="AP1048" i="1"/>
  <c r="AP1049" i="1"/>
  <c r="AP1050" i="1"/>
  <c r="AP1051" i="1"/>
  <c r="AP1052" i="1"/>
  <c r="AP1053" i="1"/>
  <c r="AP1054" i="1"/>
  <c r="AP1055" i="1"/>
  <c r="AP1056" i="1"/>
  <c r="AP1057" i="1"/>
  <c r="AP1058" i="1"/>
  <c r="AP1059" i="1"/>
  <c r="AP1060" i="1"/>
  <c r="AP1061" i="1"/>
  <c r="AP1062" i="1"/>
  <c r="AP1063" i="1"/>
  <c r="AP1064" i="1"/>
  <c r="AP1065" i="1"/>
  <c r="AP1066" i="1"/>
  <c r="AP1067" i="1"/>
  <c r="AP1068" i="1"/>
  <c r="AP1069" i="1"/>
  <c r="AP1070" i="1"/>
  <c r="AP1071" i="1"/>
  <c r="AP1072" i="1"/>
  <c r="AP1073" i="1"/>
  <c r="AP1074" i="1"/>
  <c r="AP1075" i="1"/>
  <c r="AP1076" i="1"/>
  <c r="AP1077" i="1"/>
  <c r="AP1078" i="1"/>
  <c r="AP1079" i="1"/>
  <c r="AP1080" i="1"/>
  <c r="AP1081" i="1"/>
  <c r="AP1082" i="1"/>
  <c r="AP1083" i="1"/>
  <c r="AP1084" i="1"/>
  <c r="AP1085" i="1"/>
  <c r="AP1086" i="1"/>
  <c r="AP1087" i="1"/>
  <c r="AP1088" i="1"/>
  <c r="AP1089" i="1"/>
  <c r="AP1090" i="1"/>
  <c r="AP1091" i="1"/>
  <c r="AP1092" i="1"/>
  <c r="AP1093" i="1"/>
  <c r="AP1094" i="1"/>
  <c r="AP1095" i="1"/>
  <c r="AP1096" i="1"/>
  <c r="AP1097" i="1"/>
  <c r="AP1098" i="1"/>
  <c r="AP1099" i="1"/>
  <c r="AP1100" i="1"/>
  <c r="AP1101" i="1"/>
  <c r="AP1102" i="1"/>
  <c r="AP1103" i="1"/>
  <c r="AP1104" i="1"/>
  <c r="AP1105" i="1"/>
  <c r="AP1106" i="1"/>
  <c r="AP1107" i="1"/>
  <c r="AP1108" i="1"/>
  <c r="AP1109" i="1"/>
  <c r="AP1110" i="1"/>
  <c r="AP1111" i="1"/>
  <c r="AP1112" i="1"/>
  <c r="AP1113" i="1"/>
  <c r="AP1114" i="1"/>
  <c r="AP1115" i="1"/>
  <c r="AP1116" i="1"/>
  <c r="AP1117" i="1"/>
  <c r="AP1118" i="1"/>
  <c r="AP1119" i="1"/>
  <c r="AP1120" i="1"/>
  <c r="AP1121" i="1"/>
  <c r="AP1122" i="1"/>
  <c r="AP1123" i="1"/>
  <c r="AP1124" i="1"/>
  <c r="AP1125" i="1"/>
  <c r="AP1126" i="1"/>
  <c r="AP1127" i="1"/>
  <c r="AP1128" i="1"/>
  <c r="AP1129" i="1"/>
  <c r="AP1130" i="1"/>
  <c r="AP1131" i="1"/>
  <c r="AP1132" i="1"/>
  <c r="AP1133" i="1"/>
  <c r="AP1134" i="1"/>
  <c r="AP1135" i="1"/>
  <c r="AP1136" i="1"/>
  <c r="AP1137" i="1"/>
  <c r="AP1138" i="1"/>
  <c r="AP1139" i="1"/>
  <c r="AP1140" i="1"/>
  <c r="AP1141" i="1"/>
  <c r="AP1142" i="1"/>
  <c r="AP1143" i="1"/>
  <c r="AP1144" i="1"/>
  <c r="AP1145" i="1"/>
  <c r="AP1146" i="1"/>
  <c r="AP1147" i="1"/>
  <c r="AP1148" i="1"/>
  <c r="AP1149" i="1"/>
  <c r="AP1150" i="1"/>
  <c r="AP1151" i="1"/>
  <c r="AP1152" i="1"/>
  <c r="AP1153" i="1"/>
  <c r="AP1154" i="1"/>
  <c r="AP1155" i="1"/>
  <c r="AP1156" i="1"/>
  <c r="AP1157" i="1"/>
  <c r="AP1158" i="1"/>
  <c r="AP1159" i="1"/>
  <c r="AP1160" i="1"/>
  <c r="AP1161" i="1"/>
  <c r="AP1162" i="1"/>
  <c r="AP1163" i="1"/>
  <c r="AP1164" i="1"/>
  <c r="AP1165" i="1"/>
  <c r="AP1166" i="1"/>
  <c r="AP1167" i="1"/>
  <c r="AP1168" i="1"/>
  <c r="AP1169" i="1"/>
  <c r="AP1170" i="1"/>
  <c r="AP1171" i="1"/>
  <c r="AP1172" i="1"/>
  <c r="AP1173" i="1"/>
  <c r="AP1174" i="1"/>
  <c r="AP1175" i="1"/>
  <c r="AP1176" i="1"/>
  <c r="AP1177" i="1"/>
  <c r="AP1178" i="1"/>
  <c r="AP1179" i="1"/>
  <c r="AP1180" i="1"/>
  <c r="AP1181" i="1"/>
  <c r="AP1182" i="1"/>
  <c r="AP1183" i="1"/>
  <c r="AP1184" i="1"/>
  <c r="AP1185" i="1"/>
  <c r="AP1186" i="1"/>
  <c r="AP1187" i="1"/>
  <c r="AP1188" i="1"/>
  <c r="AP1189" i="1"/>
  <c r="AP1190" i="1"/>
  <c r="AP1191" i="1"/>
  <c r="AP1192" i="1"/>
  <c r="AP1193" i="1"/>
  <c r="AP1194" i="1"/>
  <c r="AP1195" i="1"/>
  <c r="AP1196" i="1"/>
  <c r="AP1197" i="1"/>
  <c r="AP1198" i="1"/>
  <c r="AP1199" i="1"/>
  <c r="AP1200" i="1"/>
  <c r="AP1201" i="1"/>
  <c r="AP1202" i="1"/>
  <c r="AP1203" i="1"/>
  <c r="AP1204" i="1"/>
  <c r="AP1205" i="1"/>
  <c r="AP1206" i="1"/>
  <c r="AP1207" i="1"/>
  <c r="AP1208" i="1"/>
  <c r="AP1209" i="1"/>
  <c r="AP1210" i="1"/>
  <c r="AP1211" i="1"/>
  <c r="AP1212" i="1"/>
  <c r="AP1213" i="1"/>
  <c r="AP1214" i="1"/>
  <c r="AP1215" i="1"/>
  <c r="AP1216" i="1"/>
  <c r="AP1217" i="1"/>
  <c r="AP1218" i="1"/>
  <c r="AP1219" i="1"/>
  <c r="AP1220" i="1"/>
  <c r="AP1221" i="1"/>
  <c r="AP1222" i="1"/>
  <c r="AP1223" i="1"/>
  <c r="AP1224" i="1"/>
  <c r="AP1225" i="1"/>
  <c r="AP1226" i="1"/>
  <c r="AP1227" i="1"/>
  <c r="AP1228" i="1"/>
  <c r="AP1229" i="1"/>
  <c r="AP1230" i="1"/>
  <c r="AP1231" i="1"/>
  <c r="AP1232" i="1"/>
  <c r="AP1233" i="1"/>
  <c r="AP1234" i="1"/>
  <c r="AP1235" i="1"/>
  <c r="AP1236" i="1"/>
  <c r="AP1237" i="1"/>
  <c r="AP1238" i="1"/>
  <c r="AP1239" i="1"/>
  <c r="AP1240" i="1"/>
  <c r="AP1241" i="1"/>
  <c r="AP1242" i="1"/>
  <c r="AP1243" i="1"/>
  <c r="AP1244" i="1"/>
  <c r="AP1245" i="1"/>
  <c r="AP1246" i="1"/>
  <c r="AP1247" i="1"/>
  <c r="AP1248" i="1"/>
  <c r="AP1249" i="1"/>
  <c r="AP1250" i="1"/>
  <c r="AP1251" i="1"/>
  <c r="AP1252" i="1"/>
  <c r="AP1253" i="1"/>
  <c r="AP1254" i="1"/>
  <c r="AP1255" i="1"/>
  <c r="AP1256" i="1"/>
  <c r="AP1257" i="1"/>
  <c r="AP1258" i="1"/>
  <c r="AP1259" i="1"/>
  <c r="AP1260" i="1"/>
  <c r="AP1261" i="1"/>
  <c r="AP1262" i="1"/>
  <c r="AP1263" i="1"/>
  <c r="AP1264" i="1"/>
  <c r="AP1265" i="1"/>
  <c r="AP1266" i="1"/>
  <c r="AP1267" i="1"/>
  <c r="AP1268" i="1"/>
  <c r="AP1269" i="1"/>
  <c r="AP1270" i="1"/>
  <c r="AP1271" i="1"/>
  <c r="AP1272" i="1"/>
  <c r="AP1273" i="1"/>
  <c r="AP1274" i="1"/>
  <c r="AP1275" i="1"/>
  <c r="AP1276" i="1"/>
  <c r="AP1277" i="1"/>
  <c r="AP1278" i="1"/>
  <c r="AP1279" i="1"/>
  <c r="AP1280" i="1"/>
  <c r="AP1281" i="1"/>
  <c r="AP1282" i="1"/>
  <c r="AP1283" i="1"/>
  <c r="AP1284" i="1"/>
  <c r="AP1285" i="1"/>
  <c r="AP1286" i="1"/>
  <c r="AP1287" i="1"/>
  <c r="AP1288" i="1"/>
  <c r="AP1289" i="1"/>
  <c r="AP1290" i="1"/>
  <c r="AP1291" i="1"/>
  <c r="AP1292" i="1"/>
  <c r="AP1293" i="1"/>
  <c r="AP1294" i="1"/>
  <c r="AP1295" i="1"/>
  <c r="AP1296" i="1"/>
  <c r="AP1297" i="1"/>
  <c r="AP1298" i="1"/>
  <c r="AP1299" i="1"/>
  <c r="AP1300" i="1"/>
  <c r="AP1301" i="1"/>
  <c r="AP1302" i="1"/>
  <c r="AP1303" i="1"/>
  <c r="AP1304" i="1"/>
  <c r="AP1305" i="1"/>
  <c r="AP1306" i="1"/>
  <c r="AP1307" i="1"/>
  <c r="AP1308" i="1"/>
  <c r="AP1309" i="1"/>
  <c r="AP1310" i="1"/>
  <c r="AP1311" i="1"/>
  <c r="AP1312" i="1"/>
  <c r="AP1313" i="1"/>
  <c r="AP1314" i="1"/>
  <c r="AP1315" i="1"/>
  <c r="AP1316" i="1"/>
  <c r="AP1317" i="1"/>
  <c r="AP1318" i="1"/>
  <c r="AP1319" i="1"/>
  <c r="AP1320" i="1"/>
  <c r="AP1321" i="1"/>
  <c r="AP1322" i="1"/>
  <c r="AP1323" i="1"/>
  <c r="AP1324" i="1"/>
  <c r="AP1325" i="1"/>
  <c r="AP1326" i="1"/>
  <c r="AP1327" i="1"/>
  <c r="AP1328" i="1"/>
  <c r="AP1329" i="1"/>
  <c r="AP1330" i="1"/>
  <c r="AP1331" i="1"/>
  <c r="AP1332" i="1"/>
  <c r="AP1333" i="1"/>
  <c r="AP1334" i="1"/>
  <c r="AP1335" i="1"/>
  <c r="AP1336" i="1"/>
  <c r="AP1337" i="1"/>
  <c r="AP1338" i="1"/>
  <c r="AP1339" i="1"/>
  <c r="AP1340" i="1"/>
  <c r="AP1341" i="1"/>
  <c r="AP1342" i="1"/>
  <c r="AP1343" i="1"/>
  <c r="AP1344" i="1"/>
  <c r="AP1345" i="1"/>
  <c r="AP1346" i="1"/>
  <c r="AP1347" i="1"/>
  <c r="AP1348" i="1"/>
  <c r="AP1349" i="1"/>
  <c r="AP1350" i="1"/>
  <c r="AP1351" i="1"/>
  <c r="AP1352" i="1"/>
  <c r="AP1353" i="1"/>
  <c r="AP1354" i="1"/>
  <c r="AP1355" i="1"/>
  <c r="AP1356" i="1"/>
  <c r="AP1357" i="1"/>
  <c r="AP1358" i="1"/>
  <c r="AP1359" i="1"/>
  <c r="AP1360" i="1"/>
  <c r="AP1361" i="1"/>
  <c r="AP1362" i="1"/>
  <c r="AP1363" i="1"/>
  <c r="AP6" i="1"/>
  <c r="Z1072" i="1" l="1"/>
  <c r="Z1064" i="1"/>
  <c r="Z868" i="1"/>
  <c r="Z832" i="1"/>
  <c r="Z808" i="1"/>
  <c r="Z649" i="1"/>
  <c r="Z1223" i="1"/>
  <c r="Z1107" i="1"/>
  <c r="Z1093" i="1"/>
  <c r="Z1081" i="1"/>
  <c r="Z1002" i="1"/>
  <c r="Z253" i="1"/>
  <c r="Z239" i="1"/>
  <c r="Z203" i="1"/>
  <c r="Z10" i="1"/>
  <c r="Z524" i="1"/>
  <c r="Z350" i="1"/>
  <c r="Z234" i="1"/>
  <c r="Z42" i="1"/>
  <c r="Z805" i="1"/>
  <c r="Z259" i="1"/>
  <c r="Z888" i="1"/>
  <c r="Z872" i="1"/>
  <c r="Z1147" i="1"/>
  <c r="Z1001" i="1"/>
  <c r="Z999" i="1"/>
  <c r="Z983" i="1"/>
  <c r="Z117" i="1"/>
  <c r="Z528" i="1"/>
  <c r="Z193" i="1"/>
  <c r="Z124" i="1"/>
  <c r="Z44" i="1"/>
  <c r="Z569" i="1"/>
  <c r="Z1206" i="1"/>
  <c r="Z1148" i="1"/>
  <c r="Z489" i="1"/>
  <c r="Z485" i="1"/>
  <c r="Z143" i="1"/>
  <c r="Z544" i="1"/>
  <c r="Z392" i="1"/>
  <c r="Z382" i="1"/>
  <c r="Z358" i="1"/>
  <c r="Z354" i="1"/>
  <c r="Z224" i="1"/>
  <c r="Z218" i="1"/>
  <c r="Z194" i="1"/>
  <c r="Z1255" i="1"/>
  <c r="Z1143" i="1"/>
  <c r="Z1127" i="1"/>
  <c r="Z1113" i="1"/>
  <c r="Z847" i="1"/>
  <c r="Z12" i="1"/>
  <c r="Z6" i="1"/>
  <c r="Z469" i="1"/>
  <c r="Z475" i="1"/>
  <c r="Z932" i="1"/>
  <c r="Z654" i="1"/>
  <c r="Z69" i="1"/>
  <c r="Z63" i="1"/>
  <c r="Z1233" i="1"/>
  <c r="Z13" i="1"/>
  <c r="Z9" i="1"/>
  <c r="Z518" i="1"/>
  <c r="Z514" i="1"/>
  <c r="Z881" i="1"/>
  <c r="Z342" i="1"/>
  <c r="Z262" i="1"/>
  <c r="Z258" i="1"/>
  <c r="Z395" i="1"/>
  <c r="Z1236" i="1"/>
  <c r="Z1226" i="1"/>
  <c r="Z1077" i="1"/>
  <c r="Z1049" i="1"/>
  <c r="Z1003" i="1"/>
  <c r="Z311" i="1"/>
  <c r="Z309" i="1"/>
  <c r="Z303" i="1"/>
  <c r="Z594" i="1"/>
  <c r="Z1132" i="1"/>
  <c r="Z1128" i="1"/>
  <c r="Z998" i="1"/>
  <c r="Z982" i="1"/>
  <c r="Z976" i="1"/>
  <c r="Z972" i="1"/>
  <c r="Z279" i="1"/>
  <c r="Z478" i="1"/>
  <c r="Z735" i="1"/>
  <c r="Z425" i="1"/>
  <c r="Z610" i="1"/>
  <c r="Z1264" i="1"/>
  <c r="Z709" i="1"/>
  <c r="Z663" i="1"/>
  <c r="Z1351" i="1"/>
  <c r="Z1349" i="1"/>
  <c r="Z389" i="1"/>
  <c r="Z363" i="1"/>
  <c r="Z841" i="1"/>
  <c r="Z219" i="1"/>
  <c r="Z1202" i="1"/>
  <c r="Z1138" i="1"/>
  <c r="Z1124" i="1"/>
  <c r="Z1114" i="1"/>
  <c r="Z715" i="1"/>
  <c r="Z494" i="1"/>
  <c r="Z470" i="1"/>
  <c r="Z312" i="1"/>
  <c r="Z804" i="1"/>
  <c r="Z780" i="1"/>
  <c r="Z1271" i="1"/>
  <c r="Z641" i="1"/>
  <c r="Z605" i="1"/>
  <c r="Z543" i="1"/>
  <c r="Z1201" i="1"/>
  <c r="Z1197" i="1"/>
  <c r="Z778" i="1"/>
  <c r="Z184" i="1"/>
  <c r="Z180" i="1"/>
  <c r="Z734" i="1"/>
  <c r="Z730" i="1"/>
  <c r="Z728" i="1"/>
  <c r="Z724" i="1"/>
  <c r="Z680" i="1"/>
  <c r="Z676" i="1"/>
  <c r="Z603" i="1"/>
  <c r="Z310" i="1"/>
  <c r="Z164" i="1"/>
  <c r="Z1057" i="1"/>
  <c r="Z1053" i="1"/>
  <c r="Z1023" i="1"/>
  <c r="Z400" i="1"/>
  <c r="Z1199" i="1"/>
  <c r="Z1183" i="1"/>
  <c r="Z800" i="1"/>
  <c r="Z188" i="1"/>
  <c r="Z174" i="1"/>
  <c r="Z1026" i="1"/>
  <c r="Z424" i="1"/>
  <c r="Z643" i="1"/>
  <c r="Z324" i="1"/>
  <c r="Z288" i="1"/>
  <c r="Z1290" i="1"/>
  <c r="Z1276" i="1"/>
  <c r="Z969" i="1"/>
  <c r="Z963" i="1"/>
  <c r="Z953" i="1"/>
  <c r="Z951" i="1"/>
  <c r="Z949" i="1"/>
  <c r="Z333" i="1"/>
  <c r="Z327" i="1"/>
  <c r="Z189" i="1"/>
  <c r="Z185" i="1"/>
  <c r="Z177" i="1"/>
  <c r="Z169" i="1"/>
  <c r="Z167" i="1"/>
  <c r="Z163" i="1"/>
  <c r="Z161" i="1"/>
  <c r="Z127" i="1"/>
  <c r="Z1094" i="1"/>
  <c r="Z1058" i="1"/>
  <c r="Z1056" i="1"/>
  <c r="Z919" i="1"/>
  <c r="Z911" i="1"/>
  <c r="Z893" i="1"/>
  <c r="Z1211" i="1"/>
  <c r="Z1207" i="1"/>
  <c r="Z1181" i="1"/>
  <c r="Z1161" i="1"/>
  <c r="Z640" i="1"/>
  <c r="Z604" i="1"/>
  <c r="Z103" i="1"/>
  <c r="Z95" i="1"/>
  <c r="Z93" i="1"/>
  <c r="Z23" i="1"/>
  <c r="Z264" i="1"/>
  <c r="Z1356" i="1"/>
  <c r="Z1334" i="1"/>
  <c r="Z1310" i="1"/>
  <c r="Z413" i="1"/>
  <c r="Z1254" i="1"/>
  <c r="Z914" i="1"/>
  <c r="Z154" i="1"/>
  <c r="Z134" i="1"/>
  <c r="Z423" i="1"/>
  <c r="Z415" i="1"/>
  <c r="Z409" i="1"/>
  <c r="Z1330" i="1"/>
  <c r="Z1316" i="1"/>
  <c r="Z795" i="1"/>
  <c r="Z858" i="1"/>
  <c r="Z639" i="1"/>
  <c r="Z484" i="1"/>
  <c r="Z1324" i="1"/>
  <c r="Z1198" i="1"/>
  <c r="Z1188" i="1"/>
  <c r="Z1186" i="1"/>
  <c r="Z1168" i="1"/>
  <c r="Z1164" i="1"/>
  <c r="Z1158" i="1"/>
  <c r="Z609" i="1"/>
  <c r="Z114" i="1"/>
  <c r="Z112" i="1"/>
  <c r="Z18" i="1"/>
  <c r="Z1326" i="1"/>
  <c r="Z1294" i="1"/>
  <c r="Z783" i="1"/>
  <c r="Z1360" i="1"/>
  <c r="Z1350" i="1"/>
  <c r="Z1340" i="1"/>
  <c r="Z1314" i="1"/>
  <c r="Z1302" i="1"/>
  <c r="Z785" i="1"/>
  <c r="Z467" i="1"/>
  <c r="Z455" i="1"/>
  <c r="Z274" i="1"/>
  <c r="Z268" i="1"/>
  <c r="Z1339" i="1"/>
  <c r="Z1329" i="1"/>
  <c r="Z758" i="1"/>
  <c r="Z740" i="1"/>
  <c r="Z559" i="1"/>
  <c r="Z1352" i="1"/>
  <c r="Z1318" i="1"/>
  <c r="Z1304" i="1"/>
  <c r="Z791" i="1"/>
  <c r="Z270" i="1"/>
  <c r="Z1265" i="1"/>
  <c r="Z989" i="1"/>
  <c r="Z462" i="1"/>
  <c r="Z460" i="1"/>
  <c r="Z454" i="1"/>
  <c r="Z414" i="1"/>
  <c r="Z227" i="1"/>
  <c r="Z119" i="1"/>
  <c r="Z109" i="1"/>
  <c r="Z89" i="1"/>
  <c r="Z83" i="1"/>
  <c r="Z77" i="1"/>
  <c r="Z73" i="1"/>
  <c r="Z383" i="1"/>
  <c r="Z212" i="1"/>
  <c r="Z210" i="1"/>
  <c r="Z49" i="1"/>
  <c r="Z883" i="1"/>
  <c r="Z595" i="1"/>
  <c r="Z839" i="1"/>
  <c r="Z563" i="1"/>
  <c r="Z1248" i="1"/>
  <c r="Z1246" i="1"/>
  <c r="Z1240" i="1"/>
  <c r="Z1131" i="1"/>
  <c r="Z831" i="1"/>
  <c r="Z827" i="1"/>
  <c r="Z825" i="1"/>
  <c r="Z801" i="1"/>
  <c r="Z775" i="1"/>
  <c r="Z765" i="1"/>
  <c r="Z763" i="1"/>
  <c r="Z650" i="1"/>
  <c r="Z345" i="1"/>
  <c r="Z339" i="1"/>
  <c r="Z317" i="1"/>
  <c r="Z198" i="1"/>
  <c r="Z39" i="1"/>
  <c r="Z35" i="1"/>
  <c r="Z29" i="1"/>
  <c r="Z27" i="1"/>
  <c r="Z1028" i="1"/>
  <c r="Z118" i="1"/>
  <c r="Z102" i="1"/>
  <c r="Z94" i="1"/>
  <c r="Z92" i="1"/>
  <c r="Z488" i="1"/>
  <c r="Z1024" i="1"/>
  <c r="Z242" i="1"/>
  <c r="Z571" i="1"/>
  <c r="Z480" i="1"/>
  <c r="Z68" i="1"/>
  <c r="Z64" i="1"/>
  <c r="Z62" i="1"/>
  <c r="Z52" i="1"/>
  <c r="Z50" i="1"/>
  <c r="Z1274" i="1"/>
  <c r="Z1272" i="1"/>
  <c r="Z1151" i="1"/>
  <c r="Z887" i="1"/>
  <c r="Z877" i="1"/>
  <c r="Z869" i="1"/>
  <c r="Z486" i="1"/>
  <c r="Z252" i="1"/>
  <c r="Z240" i="1"/>
  <c r="Z1048" i="1"/>
  <c r="Z853" i="1"/>
  <c r="Z696" i="1"/>
  <c r="Z684" i="1"/>
  <c r="Z585" i="1"/>
  <c r="Z393" i="1"/>
  <c r="Z230" i="1"/>
  <c r="Z1289" i="1"/>
  <c r="Z1277" i="1"/>
  <c r="Z1174" i="1"/>
  <c r="Z1071" i="1"/>
  <c r="Z1047" i="1"/>
  <c r="Z1031" i="1"/>
  <c r="Z1029" i="1"/>
  <c r="Z854" i="1"/>
  <c r="Z705" i="1"/>
  <c r="Z693" i="1"/>
  <c r="Z681" i="1"/>
  <c r="Z578" i="1"/>
  <c r="Z570" i="1"/>
  <c r="Z1144" i="1"/>
  <c r="Z1021" i="1"/>
  <c r="Z838" i="1"/>
  <c r="Z659" i="1"/>
  <c r="Z655" i="1"/>
  <c r="Z564" i="1"/>
  <c r="Z560" i="1"/>
  <c r="Z554" i="1"/>
  <c r="Z550" i="1"/>
  <c r="Z546" i="1"/>
  <c r="Z388" i="1"/>
  <c r="Z211" i="1"/>
  <c r="Z209" i="1"/>
  <c r="Z1249" i="1"/>
  <c r="Z1239" i="1"/>
  <c r="Z828" i="1"/>
  <c r="Z826" i="1"/>
  <c r="Z818" i="1"/>
  <c r="Z776" i="1"/>
  <c r="Z770" i="1"/>
  <c r="Z766" i="1"/>
  <c r="Z760" i="1"/>
  <c r="Z653" i="1"/>
  <c r="Z651" i="1"/>
  <c r="Z540" i="1"/>
  <c r="Z534" i="1"/>
  <c r="Z471" i="1"/>
  <c r="Z338" i="1"/>
  <c r="Z314" i="1"/>
  <c r="Z195" i="1"/>
  <c r="Z173" i="1"/>
  <c r="Z40" i="1"/>
  <c r="Z38" i="1"/>
  <c r="Z36" i="1"/>
  <c r="Z32" i="1"/>
  <c r="Z24" i="1"/>
  <c r="Z1022" i="1"/>
  <c r="Z837" i="1"/>
  <c r="Z1111" i="1"/>
  <c r="Z751" i="1"/>
  <c r="Z741" i="1"/>
  <c r="Z628" i="1"/>
  <c r="Z614" i="1"/>
  <c r="Z440" i="1"/>
  <c r="Z1323" i="1"/>
  <c r="Z1311" i="1"/>
  <c r="Z1218" i="1"/>
  <c r="Z968" i="1"/>
  <c r="Z946" i="1"/>
  <c r="Z142" i="1"/>
  <c r="Z138" i="1"/>
  <c r="Z128" i="1"/>
  <c r="Z1299" i="1"/>
  <c r="Z1196" i="1"/>
  <c r="Z922" i="1"/>
  <c r="Z906" i="1"/>
  <c r="Z729" i="1"/>
  <c r="Z404" i="1"/>
  <c r="Z277" i="1"/>
  <c r="Z267" i="1"/>
  <c r="Z1182" i="1"/>
  <c r="Z721" i="1"/>
  <c r="Z243" i="1"/>
  <c r="Z1037" i="1"/>
  <c r="Z580" i="1"/>
  <c r="Z479" i="1"/>
  <c r="Z1019" i="1"/>
  <c r="Z720" i="1"/>
  <c r="Z1228" i="1"/>
  <c r="Z1123" i="1"/>
  <c r="Z986" i="1"/>
  <c r="Z757" i="1"/>
  <c r="Z753" i="1"/>
  <c r="Z630" i="1"/>
  <c r="Z624" i="1"/>
  <c r="Z620" i="1"/>
  <c r="Z289" i="1"/>
  <c r="Z1325" i="1"/>
  <c r="Z1321" i="1"/>
  <c r="Z954" i="1"/>
  <c r="Z952" i="1"/>
  <c r="Z948" i="1"/>
  <c r="Z934" i="1"/>
  <c r="Z1301" i="1"/>
  <c r="Z1295" i="1"/>
  <c r="Z916" i="1"/>
  <c r="Z908" i="1"/>
  <c r="Z515" i="1"/>
  <c r="Z495" i="1"/>
  <c r="Z1291" i="1"/>
  <c r="Z1275" i="1"/>
  <c r="Z1152" i="1"/>
  <c r="Z1073" i="1"/>
  <c r="Z600" i="1"/>
  <c r="Z1263" i="1"/>
  <c r="Z1146" i="1"/>
  <c r="Z1346" i="1"/>
  <c r="Z1227" i="1"/>
  <c r="Z1219" i="1"/>
  <c r="Z1122" i="1"/>
  <c r="Z1118" i="1"/>
  <c r="Z1108" i="1"/>
  <c r="Z756" i="1"/>
  <c r="Z738" i="1"/>
  <c r="Z736" i="1"/>
  <c r="Z637" i="1"/>
  <c r="Z633" i="1"/>
  <c r="Z625" i="1"/>
  <c r="Z613" i="1"/>
  <c r="Z611" i="1"/>
  <c r="Z526" i="1"/>
  <c r="Z453" i="1"/>
  <c r="Z449" i="1"/>
  <c r="Z445" i="1"/>
  <c r="Z435" i="1"/>
  <c r="Z431" i="1"/>
  <c r="Z429" i="1"/>
  <c r="Z298" i="1"/>
  <c r="Z294" i="1"/>
  <c r="Z1149" i="1"/>
  <c r="Z1044" i="1"/>
  <c r="Z708" i="1"/>
  <c r="Z587" i="1"/>
  <c r="Z579" i="1"/>
  <c r="Z228" i="1"/>
  <c r="Z1006" i="1"/>
  <c r="Z660" i="1"/>
  <c r="Z545" i="1"/>
  <c r="Z755" i="1"/>
  <c r="Z638" i="1"/>
  <c r="Z525" i="1"/>
  <c r="Z438" i="1"/>
  <c r="Z1319" i="1"/>
  <c r="Z412" i="1"/>
  <c r="Z1194" i="1"/>
  <c r="Z926" i="1"/>
  <c r="Z918" i="1"/>
  <c r="Z902" i="1"/>
  <c r="Z892" i="1"/>
  <c r="Z1285" i="1"/>
  <c r="Z1176" i="1"/>
  <c r="Z1059" i="1"/>
  <c r="Z878" i="1"/>
  <c r="Z602" i="1"/>
  <c r="Z249" i="1"/>
  <c r="Z241" i="1"/>
  <c r="Z1041" i="1"/>
  <c r="Z1027" i="1"/>
  <c r="Z856" i="1"/>
  <c r="Z574" i="1"/>
  <c r="Z1261" i="1"/>
  <c r="Z1007" i="1"/>
  <c r="Z1300" i="1"/>
  <c r="Z1189" i="1"/>
  <c r="Z1088" i="1"/>
  <c r="Z1078" i="1"/>
  <c r="Z937" i="1"/>
  <c r="Z933" i="1"/>
  <c r="Z897" i="1"/>
  <c r="Z891" i="1"/>
  <c r="Z137" i="1"/>
  <c r="Z135" i="1"/>
  <c r="Z129" i="1"/>
  <c r="Z1348" i="1"/>
  <c r="Z1344" i="1"/>
  <c r="Z1336" i="1"/>
  <c r="Z1293" i="1"/>
  <c r="Z1279" i="1"/>
  <c r="Z1244" i="1"/>
  <c r="Z1172" i="1"/>
  <c r="Z1166" i="1"/>
  <c r="Z1156" i="1"/>
  <c r="Z1154" i="1"/>
  <c r="Z1086" i="1"/>
  <c r="Z1082" i="1"/>
  <c r="Z1076" i="1"/>
  <c r="Z1074" i="1"/>
  <c r="Z1017" i="1"/>
  <c r="Z1011" i="1"/>
  <c r="Z1009" i="1"/>
  <c r="Z978" i="1"/>
  <c r="Z974" i="1"/>
  <c r="Z956" i="1"/>
  <c r="Z833" i="1"/>
  <c r="Z745" i="1"/>
  <c r="Z718" i="1"/>
  <c r="Z716" i="1"/>
  <c r="Z710" i="1"/>
  <c r="Z618" i="1"/>
  <c r="Z558" i="1"/>
  <c r="Z556" i="1"/>
  <c r="Z519" i="1"/>
  <c r="Z410" i="1"/>
  <c r="Z377" i="1"/>
  <c r="Z375" i="1"/>
  <c r="Z367" i="1"/>
  <c r="Z359" i="1"/>
  <c r="Z304" i="1"/>
  <c r="Z245" i="1"/>
  <c r="Z204" i="1"/>
  <c r="Z202" i="1"/>
  <c r="Z153" i="1"/>
  <c r="Z45" i="1"/>
  <c r="Z43" i="1"/>
  <c r="Z829" i="1"/>
  <c r="Z788" i="1"/>
  <c r="Z706" i="1"/>
  <c r="Z581" i="1"/>
  <c r="Z443" i="1"/>
  <c r="Z292" i="1"/>
  <c r="Z290" i="1"/>
  <c r="Z116" i="1"/>
  <c r="Z1273" i="1"/>
  <c r="Z1119" i="1"/>
  <c r="Z1062" i="1"/>
  <c r="Z903" i="1"/>
  <c r="Z876" i="1"/>
  <c r="Z1328" i="1"/>
  <c r="Z1269" i="1"/>
  <c r="Z1267" i="1"/>
  <c r="Z1232" i="1"/>
  <c r="Z1052" i="1"/>
  <c r="Z1036" i="1"/>
  <c r="Z950" i="1"/>
  <c r="Z944" i="1"/>
  <c r="Z938" i="1"/>
  <c r="Z936" i="1"/>
  <c r="Z866" i="1"/>
  <c r="Z608" i="1"/>
  <c r="Z606" i="1"/>
  <c r="Z513" i="1"/>
  <c r="Z505" i="1"/>
  <c r="Z501" i="1"/>
  <c r="Z499" i="1"/>
  <c r="Z437" i="1"/>
  <c r="Z394" i="1"/>
  <c r="Z286" i="1"/>
  <c r="Z280" i="1"/>
  <c r="Z237" i="1"/>
  <c r="Z233" i="1"/>
  <c r="Z229" i="1"/>
  <c r="Z133" i="1"/>
  <c r="Z108" i="1"/>
  <c r="Z104" i="1"/>
  <c r="Z19" i="1"/>
  <c r="Z17" i="1"/>
  <c r="Z11" i="1"/>
  <c r="Z1257" i="1"/>
  <c r="Z1251" i="1"/>
  <c r="Z1222" i="1"/>
  <c r="Z1193" i="1"/>
  <c r="Z1187" i="1"/>
  <c r="Z1142" i="1"/>
  <c r="Z1136" i="1"/>
  <c r="Z1101" i="1"/>
  <c r="Z1097" i="1"/>
  <c r="Z997" i="1"/>
  <c r="Z993" i="1"/>
  <c r="Z991" i="1"/>
  <c r="Z928" i="1"/>
  <c r="Z924" i="1"/>
  <c r="Z889" i="1"/>
  <c r="Z848" i="1"/>
  <c r="Z842" i="1"/>
  <c r="Z817" i="1"/>
  <c r="Z809" i="1"/>
  <c r="Z774" i="1"/>
  <c r="Z764" i="1"/>
  <c r="Z727" i="1"/>
  <c r="Z725" i="1"/>
  <c r="Z670" i="1"/>
  <c r="Z538" i="1"/>
  <c r="Z419" i="1"/>
  <c r="Z417" i="1"/>
  <c r="Z390" i="1"/>
  <c r="Z325" i="1"/>
  <c r="Z225" i="1"/>
  <c r="Z168" i="1"/>
  <c r="Z100" i="1"/>
  <c r="Z98" i="1"/>
  <c r="Z323" i="1"/>
  <c r="Z315" i="1"/>
  <c r="Z313" i="1"/>
  <c r="Z260" i="1"/>
  <c r="Z254" i="1"/>
  <c r="Z217" i="1"/>
  <c r="Z213" i="1"/>
  <c r="Z123" i="1"/>
  <c r="Z88" i="1"/>
  <c r="Z84" i="1"/>
  <c r="Z80" i="1"/>
  <c r="Z78" i="1"/>
  <c r="Z74" i="1"/>
  <c r="Z70" i="1"/>
  <c r="Z58" i="1"/>
  <c r="Z54" i="1"/>
  <c r="Z658" i="1"/>
  <c r="Z596" i="1"/>
  <c r="Z561" i="1"/>
  <c r="Z456" i="1"/>
  <c r="Z248" i="1"/>
  <c r="Z244" i="1"/>
  <c r="Z1363" i="1"/>
  <c r="Z1361" i="1"/>
  <c r="Z1357" i="1"/>
  <c r="Z1355" i="1"/>
  <c r="Z1296" i="1"/>
  <c r="Z1247" i="1"/>
  <c r="Z1204" i="1"/>
  <c r="Z1177" i="1"/>
  <c r="Z1347" i="1"/>
  <c r="Z1341" i="1"/>
  <c r="Z1241" i="1"/>
  <c r="Z1173" i="1"/>
  <c r="Z1171" i="1"/>
  <c r="Z1169" i="1"/>
  <c r="Z1153" i="1"/>
  <c r="Z1089" i="1"/>
  <c r="Z1079" i="1"/>
  <c r="Z1014" i="1"/>
  <c r="Z1008" i="1"/>
  <c r="Z713" i="1"/>
  <c r="Z619" i="1"/>
  <c r="Z615" i="1"/>
  <c r="Z555" i="1"/>
  <c r="Z483" i="1"/>
  <c r="Z481" i="1"/>
  <c r="Z380" i="1"/>
  <c r="Z378" i="1"/>
  <c r="Z370" i="1"/>
  <c r="Z364" i="1"/>
  <c r="Z362" i="1"/>
  <c r="Z356" i="1"/>
  <c r="Z352" i="1"/>
  <c r="Z307" i="1"/>
  <c r="Z207" i="1"/>
  <c r="Z1298" i="1"/>
  <c r="Z1292" i="1"/>
  <c r="Z977" i="1"/>
  <c r="Z973" i="1"/>
  <c r="Z1335" i="1"/>
  <c r="Z1331" i="1"/>
  <c r="Z1288" i="1"/>
  <c r="Z1286" i="1"/>
  <c r="Z1284" i="1"/>
  <c r="Z1282" i="1"/>
  <c r="Z1280" i="1"/>
  <c r="Z1278" i="1"/>
  <c r="Z1200" i="1"/>
  <c r="Z1075" i="1"/>
  <c r="Z1069" i="1"/>
  <c r="Z1063" i="1"/>
  <c r="Z1061" i="1"/>
  <c r="Z967" i="1"/>
  <c r="Z961" i="1"/>
  <c r="Z957" i="1"/>
  <c r="Z799" i="1"/>
  <c r="Z592" i="1"/>
  <c r="Z516" i="1"/>
  <c r="Z446" i="1"/>
  <c r="Z405" i="1"/>
  <c r="Z344" i="1"/>
  <c r="Z152" i="1"/>
  <c r="Z150" i="1"/>
  <c r="Z148" i="1"/>
  <c r="Z144" i="1"/>
  <c r="Z48" i="1"/>
  <c r="Z183" i="1"/>
  <c r="Z179" i="1"/>
  <c r="Z34" i="1"/>
  <c r="Z28" i="1"/>
  <c r="Z1327" i="1"/>
  <c r="Z1315" i="1"/>
  <c r="Z1270" i="1"/>
  <c r="Z1268" i="1"/>
  <c r="Z1266" i="1"/>
  <c r="Z1051" i="1"/>
  <c r="Z1043" i="1"/>
  <c r="Z1039" i="1"/>
  <c r="Z1033" i="1"/>
  <c r="Z947" i="1"/>
  <c r="Z939" i="1"/>
  <c r="Z867" i="1"/>
  <c r="Z863" i="1"/>
  <c r="Z859" i="1"/>
  <c r="Z857" i="1"/>
  <c r="Z779" i="1"/>
  <c r="Z703" i="1"/>
  <c r="Z701" i="1"/>
  <c r="Z699" i="1"/>
  <c r="Z695" i="1"/>
  <c r="Z683" i="1"/>
  <c r="Z644" i="1"/>
  <c r="Z512" i="1"/>
  <c r="Z510" i="1"/>
  <c r="Z504" i="1"/>
  <c r="Z500" i="1"/>
  <c r="Z477" i="1"/>
  <c r="Z287" i="1"/>
  <c r="Z269" i="1"/>
  <c r="Z132" i="1"/>
  <c r="Z105" i="1"/>
  <c r="Z99" i="1"/>
  <c r="Z14" i="1"/>
  <c r="Z1309" i="1"/>
  <c r="Z1305" i="1"/>
  <c r="Z1260" i="1"/>
  <c r="Z1184" i="1"/>
  <c r="Z1139" i="1"/>
  <c r="Z1137" i="1"/>
  <c r="Z1133" i="1"/>
  <c r="Z931" i="1"/>
  <c r="Z851" i="1"/>
  <c r="Z814" i="1"/>
  <c r="Z771" i="1"/>
  <c r="Z761" i="1"/>
  <c r="Z759" i="1"/>
  <c r="Z679" i="1"/>
  <c r="Z677" i="1"/>
  <c r="Z675" i="1"/>
  <c r="Z535" i="1"/>
  <c r="Z533" i="1"/>
  <c r="Z529" i="1"/>
  <c r="Z490" i="1"/>
  <c r="Z334" i="1"/>
  <c r="Z328" i="1"/>
  <c r="Z265" i="1"/>
  <c r="Z220" i="1"/>
  <c r="Z1354" i="1"/>
  <c r="Z1303" i="1"/>
  <c r="Z1252" i="1"/>
  <c r="Z1250" i="1"/>
  <c r="Z1213" i="1"/>
  <c r="Z1203" i="1"/>
  <c r="Z1178" i="1"/>
  <c r="Z1106" i="1"/>
  <c r="Z1102" i="1"/>
  <c r="Z1098" i="1"/>
  <c r="Z422" i="1"/>
  <c r="Z418" i="1"/>
  <c r="Z387" i="1"/>
  <c r="Z320" i="1"/>
  <c r="Z318" i="1"/>
  <c r="Z263" i="1"/>
  <c r="Z257" i="1"/>
  <c r="Z214" i="1"/>
  <c r="Z165" i="1"/>
  <c r="Z87" i="1"/>
  <c r="Z79" i="1"/>
  <c r="X1365" i="1"/>
  <c r="Z120" i="1"/>
  <c r="Z67" i="1"/>
  <c r="Z59" i="1"/>
  <c r="Z55" i="1"/>
  <c r="Z53" i="1"/>
  <c r="Z1359" i="1"/>
  <c r="Z1353" i="1"/>
  <c r="Z1343" i="1"/>
  <c r="Z1320" i="1"/>
  <c r="Z1317" i="1"/>
  <c r="Z1313" i="1"/>
  <c r="Z1307" i="1"/>
  <c r="Z1297" i="1"/>
  <c r="Z1281" i="1"/>
  <c r="Z1231" i="1"/>
  <c r="Z1225" i="1"/>
  <c r="Z1214" i="1"/>
  <c r="Z1157" i="1"/>
  <c r="Z1134" i="1"/>
  <c r="Z1116" i="1"/>
  <c r="Z1099" i="1"/>
  <c r="Z1083" i="1"/>
  <c r="Z1068" i="1"/>
  <c r="Z1032" i="1"/>
  <c r="Z1012" i="1"/>
  <c r="Z994" i="1"/>
  <c r="Z964" i="1"/>
  <c r="Z927" i="1"/>
  <c r="Z907" i="1"/>
  <c r="Z873" i="1"/>
  <c r="Z823" i="1"/>
  <c r="Z704" i="1"/>
  <c r="AW2" i="1"/>
  <c r="Z1245" i="1"/>
  <c r="Z1242" i="1"/>
  <c r="Z1238" i="1"/>
  <c r="Z1229" i="1"/>
  <c r="Z1217" i="1"/>
  <c r="Z1256" i="1"/>
  <c r="Z293" i="1"/>
  <c r="AW3" i="1"/>
  <c r="Z1345" i="1"/>
  <c r="Z1342" i="1"/>
  <c r="Z1338" i="1"/>
  <c r="Z1332" i="1"/>
  <c r="Z1322" i="1"/>
  <c r="Z1306" i="1"/>
  <c r="Z1259" i="1"/>
  <c r="Z1253" i="1"/>
  <c r="Z1243" i="1"/>
  <c r="Z1224" i="1"/>
  <c r="Z1208" i="1"/>
  <c r="Z1150" i="1"/>
  <c r="Z1126" i="1"/>
  <c r="Z1103" i="1"/>
  <c r="Z1092" i="1"/>
  <c r="Z1025" i="1"/>
  <c r="Z988" i="1"/>
  <c r="Z981" i="1"/>
  <c r="Z958" i="1"/>
  <c r="Z943" i="1"/>
  <c r="Z923" i="1"/>
  <c r="Z904" i="1"/>
  <c r="Z898" i="1"/>
  <c r="Z886" i="1"/>
  <c r="Z864" i="1"/>
  <c r="Z843" i="1"/>
  <c r="Z836" i="1"/>
  <c r="Z803" i="1"/>
  <c r="Z789" i="1"/>
  <c r="Z786" i="1"/>
  <c r="Z733" i="1"/>
  <c r="Z711" i="1"/>
  <c r="Z685" i="1"/>
  <c r="Z668" i="1"/>
  <c r="Z645" i="1"/>
  <c r="Z636" i="1"/>
  <c r="Z590" i="1"/>
  <c r="Z576" i="1"/>
  <c r="Z565" i="1"/>
  <c r="Z562" i="1"/>
  <c r="Z536" i="1"/>
  <c r="Z531" i="1"/>
  <c r="Z508" i="1"/>
  <c r="Z465" i="1"/>
  <c r="Z451" i="1"/>
  <c r="Z384" i="1"/>
  <c r="Z381" i="1"/>
  <c r="Z329" i="1"/>
  <c r="Z299" i="1"/>
  <c r="Z236" i="1"/>
  <c r="Z192" i="1"/>
  <c r="Z159" i="1"/>
  <c r="Z1221" i="1"/>
  <c r="Z1212" i="1"/>
  <c r="Z1209" i="1"/>
  <c r="Z1191" i="1"/>
  <c r="Z1167" i="1"/>
  <c r="Z1104" i="1"/>
  <c r="Z1100" i="1"/>
  <c r="Z1096" i="1"/>
  <c r="Z1087" i="1"/>
  <c r="Z1084" i="1"/>
  <c r="Z1066" i="1"/>
  <c r="Z1042" i="1"/>
  <c r="Z1013" i="1"/>
  <c r="Z979" i="1"/>
  <c r="Z975" i="1"/>
  <c r="Z971" i="1"/>
  <c r="Z962" i="1"/>
  <c r="Z959" i="1"/>
  <c r="Z941" i="1"/>
  <c r="Z917" i="1"/>
  <c r="Z901" i="1"/>
  <c r="Z896" i="1"/>
  <c r="Z884" i="1"/>
  <c r="Z852" i="1"/>
  <c r="Z849" i="1"/>
  <c r="Z846" i="1"/>
  <c r="Z834" i="1"/>
  <c r="Z824" i="1"/>
  <c r="Z821" i="1"/>
  <c r="Z810" i="1"/>
  <c r="Z746" i="1"/>
  <c r="Z743" i="1"/>
  <c r="Z737" i="1"/>
  <c r="Z731" i="1"/>
  <c r="Z719" i="1"/>
  <c r="Z714" i="1"/>
  <c r="Z688" i="1"/>
  <c r="Z671" i="1"/>
  <c r="Z666" i="1"/>
  <c r="Z648" i="1"/>
  <c r="Z626" i="1"/>
  <c r="Z593" i="1"/>
  <c r="Z588" i="1"/>
  <c r="Z568" i="1"/>
  <c r="Z539" i="1"/>
  <c r="Z520" i="1"/>
  <c r="Z511" i="1"/>
  <c r="Z468" i="1"/>
  <c r="Z463" i="1"/>
  <c r="Z441" i="1"/>
  <c r="Z430" i="1"/>
  <c r="Z399" i="1"/>
  <c r="Z337" i="1"/>
  <c r="Z332" i="1"/>
  <c r="Z302" i="1"/>
  <c r="Z275" i="1"/>
  <c r="Z251" i="1"/>
  <c r="Z157" i="1"/>
  <c r="Z126" i="1"/>
  <c r="Z111" i="1"/>
  <c r="Z1179" i="1"/>
  <c r="Z1175" i="1"/>
  <c r="Z1162" i="1"/>
  <c r="Z1159" i="1"/>
  <c r="Z1141" i="1"/>
  <c r="Z1117" i="1"/>
  <c r="Z1054" i="1"/>
  <c r="Z1050" i="1"/>
  <c r="Z1046" i="1"/>
  <c r="Z1034" i="1"/>
  <c r="Z1016" i="1"/>
  <c r="Z992" i="1"/>
  <c r="Z929" i="1"/>
  <c r="Z925" i="1"/>
  <c r="Z921" i="1"/>
  <c r="Z912" i="1"/>
  <c r="Z909" i="1"/>
  <c r="Z899" i="1"/>
  <c r="Z894" i="1"/>
  <c r="Z862" i="1"/>
  <c r="Z844" i="1"/>
  <c r="Z813" i="1"/>
  <c r="Z784" i="1"/>
  <c r="Z781" i="1"/>
  <c r="Z777" i="1"/>
  <c r="Z773" i="1"/>
  <c r="Z752" i="1"/>
  <c r="Z749" i="1"/>
  <c r="Z726" i="1"/>
  <c r="Z691" i="1"/>
  <c r="Z686" i="1"/>
  <c r="Z674" i="1"/>
  <c r="Z652" i="1"/>
  <c r="Z646" i="1"/>
  <c r="Z629" i="1"/>
  <c r="Z612" i="1"/>
  <c r="Z591" i="1"/>
  <c r="Z566" i="1"/>
  <c r="Z549" i="1"/>
  <c r="Z523" i="1"/>
  <c r="Z493" i="1"/>
  <c r="Z487" i="1"/>
  <c r="Z466" i="1"/>
  <c r="Z444" i="1"/>
  <c r="Z408" i="1"/>
  <c r="Y1365" i="1"/>
  <c r="Z397" i="1"/>
  <c r="Z385" i="1"/>
  <c r="Z355" i="1"/>
  <c r="Z347" i="1"/>
  <c r="Z335" i="1"/>
  <c r="Z330" i="1"/>
  <c r="Z278" i="1"/>
  <c r="Z199" i="1"/>
  <c r="Z175" i="1"/>
  <c r="Z172" i="1"/>
  <c r="Z160" i="1"/>
  <c r="Z130" i="1"/>
  <c r="Z1362" i="1"/>
  <c r="Z1358" i="1"/>
  <c r="Z1337" i="1"/>
  <c r="Z1333" i="1"/>
  <c r="Z1312" i="1"/>
  <c r="Z1308" i="1"/>
  <c r="Z1287" i="1"/>
  <c r="Z1283" i="1"/>
  <c r="Z1262" i="1"/>
  <c r="Z1258" i="1"/>
  <c r="Z1237" i="1"/>
  <c r="Z1234" i="1"/>
  <c r="Z1216" i="1"/>
  <c r="Z1192" i="1"/>
  <c r="Z1163" i="1"/>
  <c r="Z1129" i="1"/>
  <c r="Z1125" i="1"/>
  <c r="Z1121" i="1"/>
  <c r="Z1112" i="1"/>
  <c r="Z1109" i="1"/>
  <c r="Z1091" i="1"/>
  <c r="Z1067" i="1"/>
  <c r="Z1038" i="1"/>
  <c r="Z1004" i="1"/>
  <c r="Z1000" i="1"/>
  <c r="Z996" i="1"/>
  <c r="Z987" i="1"/>
  <c r="Z984" i="1"/>
  <c r="Z966" i="1"/>
  <c r="Z942" i="1"/>
  <c r="Z913" i="1"/>
  <c r="Z882" i="1"/>
  <c r="Z879" i="1"/>
  <c r="Z875" i="1"/>
  <c r="Z850" i="1"/>
  <c r="Z816" i="1"/>
  <c r="Z811" i="1"/>
  <c r="Z796" i="1"/>
  <c r="Z793" i="1"/>
  <c r="Z768" i="1"/>
  <c r="Z750" i="1"/>
  <c r="Z700" i="1"/>
  <c r="Z689" i="1"/>
  <c r="Z678" i="1"/>
  <c r="Z656" i="1"/>
  <c r="Z635" i="1"/>
  <c r="Z616" i="1"/>
  <c r="Z575" i="1"/>
  <c r="Z553" i="1"/>
  <c r="Z530" i="1"/>
  <c r="Z521" i="1"/>
  <c r="Z491" i="1"/>
  <c r="Z450" i="1"/>
  <c r="Z406" i="1"/>
  <c r="Z284" i="1"/>
  <c r="Z255" i="1"/>
  <c r="Z223" i="1"/>
  <c r="Z208" i="1"/>
  <c r="Z205" i="1"/>
  <c r="Z178" i="1"/>
  <c r="Z139" i="1"/>
  <c r="Z136" i="1"/>
  <c r="Z702" i="1"/>
  <c r="Z690" i="1"/>
  <c r="Z664" i="1"/>
  <c r="Z661" i="1"/>
  <c r="Z634" i="1"/>
  <c r="Z631" i="1"/>
  <c r="Z621" i="1"/>
  <c r="Z601" i="1"/>
  <c r="Z589" i="1"/>
  <c r="Z586" i="1"/>
  <c r="Z583" i="1"/>
  <c r="Z551" i="1"/>
  <c r="Z541" i="1"/>
  <c r="Z537" i="1"/>
  <c r="Z503" i="1"/>
  <c r="Z439" i="1"/>
  <c r="Z436" i="1"/>
  <c r="Z433" i="1"/>
  <c r="Z428" i="1"/>
  <c r="Z379" i="1"/>
  <c r="Z373" i="1"/>
  <c r="Z368" i="1"/>
  <c r="Z365" i="1"/>
  <c r="Z361" i="1"/>
  <c r="Z353" i="1"/>
  <c r="Z319" i="1"/>
  <c r="Z300" i="1"/>
  <c r="Z297" i="1"/>
  <c r="Z283" i="1"/>
  <c r="Z273" i="1"/>
  <c r="Z261" i="1"/>
  <c r="Z215" i="1"/>
  <c r="Z187" i="1"/>
  <c r="Z182" i="1"/>
  <c r="Z170" i="1"/>
  <c r="Z149" i="1"/>
  <c r="Z140" i="1"/>
  <c r="Z115" i="1"/>
  <c r="Z900" i="1"/>
  <c r="Z874" i="1"/>
  <c r="Z871" i="1"/>
  <c r="Z861" i="1"/>
  <c r="Z822" i="1"/>
  <c r="Z819" i="1"/>
  <c r="Z806" i="1"/>
  <c r="Z802" i="1"/>
  <c r="Z790" i="1"/>
  <c r="Z754" i="1"/>
  <c r="Z739" i="1"/>
  <c r="Z665" i="1"/>
  <c r="Z599" i="1"/>
  <c r="Z584" i="1"/>
  <c r="Z474" i="1"/>
  <c r="Z459" i="1"/>
  <c r="Z434" i="1"/>
  <c r="Z374" i="1"/>
  <c r="Z369" i="1"/>
  <c r="Z85" i="1"/>
  <c r="Z82" i="1"/>
  <c r="Z60" i="1"/>
  <c r="Z57" i="1"/>
  <c r="Z47" i="1"/>
  <c r="Z25" i="1"/>
  <c r="Z15" i="1"/>
  <c r="Z90" i="1"/>
  <c r="Z86" i="1"/>
  <c r="Z509" i="1"/>
  <c r="Z506" i="1"/>
  <c r="Z496" i="1"/>
  <c r="Z476" i="1"/>
  <c r="Z464" i="1"/>
  <c r="Z461" i="1"/>
  <c r="Z458" i="1"/>
  <c r="Z420" i="1"/>
  <c r="Z372" i="1"/>
  <c r="Z360" i="1"/>
  <c r="Z357" i="1"/>
  <c r="Z349" i="1"/>
  <c r="Z343" i="1"/>
  <c r="Z340" i="1"/>
  <c r="Z336" i="1"/>
  <c r="Z308" i="1"/>
  <c r="Z305" i="1"/>
  <c r="Z295" i="1"/>
  <c r="Z285" i="1"/>
  <c r="Z282" i="1"/>
  <c r="Z250" i="1"/>
  <c r="Z238" i="1"/>
  <c r="Z235" i="1"/>
  <c r="Z232" i="1"/>
  <c r="Z200" i="1"/>
  <c r="Z190" i="1"/>
  <c r="Z186" i="1"/>
  <c r="Z158" i="1"/>
  <c r="Z155" i="1"/>
  <c r="Z145" i="1"/>
  <c r="Z125" i="1"/>
  <c r="Z113" i="1"/>
  <c r="Z110" i="1"/>
  <c r="Z107" i="1"/>
  <c r="Z75" i="1"/>
  <c r="Z65" i="1"/>
  <c r="Z61" i="1"/>
  <c r="Z33" i="1"/>
  <c r="Z30" i="1"/>
  <c r="Z20" i="1"/>
  <c r="Z1230" i="1"/>
  <c r="Z1205" i="1"/>
  <c r="Z1180" i="1"/>
  <c r="Z812" i="1"/>
  <c r="Z707" i="1"/>
  <c r="Z687" i="1"/>
  <c r="Z573" i="1"/>
  <c r="Z527" i="1"/>
  <c r="Z517" i="1"/>
  <c r="Z448" i="1"/>
  <c r="Z403" i="1"/>
  <c r="Z391" i="1"/>
  <c r="Z162" i="1"/>
  <c r="Z37" i="1"/>
  <c r="Z8" i="1"/>
  <c r="Z1105" i="1"/>
  <c r="Z980" i="1"/>
  <c r="Z1235" i="1"/>
  <c r="Z1185" i="1"/>
  <c r="Z1160" i="1"/>
  <c r="Z1135" i="1"/>
  <c r="Z1110" i="1"/>
  <c r="Z1085" i="1"/>
  <c r="Z1060" i="1"/>
  <c r="Z1035" i="1"/>
  <c r="Z1010" i="1"/>
  <c r="Z985" i="1"/>
  <c r="Z855" i="1"/>
  <c r="Z830" i="1"/>
  <c r="Z782" i="1"/>
  <c r="Z762" i="1"/>
  <c r="Z673" i="1"/>
  <c r="Z657" i="1"/>
  <c r="Z623" i="1"/>
  <c r="Z577" i="1"/>
  <c r="Z567" i="1"/>
  <c r="Z498" i="1"/>
  <c r="Z452" i="1"/>
  <c r="Z442" i="1"/>
  <c r="Z407" i="1"/>
  <c r="Z301" i="1"/>
  <c r="Z291" i="1"/>
  <c r="Z272" i="1"/>
  <c r="Z176" i="1"/>
  <c r="Z166" i="1"/>
  <c r="Z147" i="1"/>
  <c r="Z51" i="1"/>
  <c r="Z41" i="1"/>
  <c r="Z22" i="1"/>
  <c r="Z1130" i="1"/>
  <c r="Z955" i="1"/>
  <c r="Z865" i="1"/>
  <c r="Z840" i="1"/>
  <c r="Z794" i="1"/>
  <c r="Z1210" i="1"/>
  <c r="Z960" i="1"/>
  <c r="Z935" i="1"/>
  <c r="Z880" i="1"/>
  <c r="Z1215" i="1"/>
  <c r="Z1190" i="1"/>
  <c r="Z1165" i="1"/>
  <c r="Z1140" i="1"/>
  <c r="Z1115" i="1"/>
  <c r="Z1090" i="1"/>
  <c r="Z1065" i="1"/>
  <c r="Z1040" i="1"/>
  <c r="Z1015" i="1"/>
  <c r="Z990" i="1"/>
  <c r="Z965" i="1"/>
  <c r="Z940" i="1"/>
  <c r="Z915" i="1"/>
  <c r="Z895" i="1"/>
  <c r="Z870" i="1"/>
  <c r="Z845" i="1"/>
  <c r="Z820" i="1"/>
  <c r="Z748" i="1"/>
  <c r="Z732" i="1"/>
  <c r="Z712" i="1"/>
  <c r="Z694" i="1"/>
  <c r="Z627" i="1"/>
  <c r="Z617" i="1"/>
  <c r="Z548" i="1"/>
  <c r="Z502" i="1"/>
  <c r="Z492" i="1"/>
  <c r="Z411" i="1"/>
  <c r="Z222" i="1"/>
  <c r="Z97" i="1"/>
  <c r="Z1155" i="1"/>
  <c r="Z1080" i="1"/>
  <c r="Z1055" i="1"/>
  <c r="Z1030" i="1"/>
  <c r="Z1005" i="1"/>
  <c r="Z930" i="1"/>
  <c r="Z905" i="1"/>
  <c r="Z890" i="1"/>
  <c r="Z815" i="1"/>
  <c r="Z723" i="1"/>
  <c r="Z669" i="1"/>
  <c r="Z642" i="1"/>
  <c r="Z910" i="1"/>
  <c r="Z798" i="1"/>
  <c r="Z744" i="1"/>
  <c r="AM3" i="1"/>
  <c r="AM2" i="1" s="1"/>
  <c r="Z1220" i="1"/>
  <c r="Z1195" i="1"/>
  <c r="Z1170" i="1"/>
  <c r="Z1145" i="1"/>
  <c r="Z1120" i="1"/>
  <c r="Z1095" i="1"/>
  <c r="Z1070" i="1"/>
  <c r="Z1045" i="1"/>
  <c r="Z1020" i="1"/>
  <c r="Z995" i="1"/>
  <c r="Z970" i="1"/>
  <c r="Z945" i="1"/>
  <c r="Z920" i="1"/>
  <c r="Z885" i="1"/>
  <c r="Z860" i="1"/>
  <c r="Z835" i="1"/>
  <c r="Z807" i="1"/>
  <c r="Z787" i="1"/>
  <c r="Z769" i="1"/>
  <c r="Z698" i="1"/>
  <c r="Z682" i="1"/>
  <c r="Z662" i="1"/>
  <c r="Z598" i="1"/>
  <c r="Z552" i="1"/>
  <c r="Z542" i="1"/>
  <c r="Z473" i="1"/>
  <c r="Z427" i="1"/>
  <c r="Z341" i="1"/>
  <c r="Z226" i="1"/>
  <c r="Z216" i="1"/>
  <c r="Z101" i="1"/>
  <c r="Z91" i="1"/>
  <c r="Z792" i="1"/>
  <c r="Z767" i="1"/>
  <c r="Z742" i="1"/>
  <c r="Z717" i="1"/>
  <c r="Z692" i="1"/>
  <c r="Z667" i="1"/>
  <c r="Z632" i="1"/>
  <c r="Z607" i="1"/>
  <c r="Z582" i="1"/>
  <c r="Z557" i="1"/>
  <c r="Z532" i="1"/>
  <c r="Z507" i="1"/>
  <c r="Z482" i="1"/>
  <c r="Z457" i="1"/>
  <c r="Z432" i="1"/>
  <c r="Z416" i="1"/>
  <c r="Z398" i="1"/>
  <c r="Z322" i="1"/>
  <c r="Z276" i="1"/>
  <c r="Z266" i="1"/>
  <c r="Z197" i="1"/>
  <c r="Z151" i="1"/>
  <c r="Z141" i="1"/>
  <c r="Z72" i="1"/>
  <c r="Z26" i="1"/>
  <c r="Z16" i="1"/>
  <c r="Z797" i="1"/>
  <c r="Z772" i="1"/>
  <c r="Z747" i="1"/>
  <c r="Z722" i="1"/>
  <c r="Z697" i="1"/>
  <c r="Z672" i="1"/>
  <c r="Z647" i="1"/>
  <c r="Z622" i="1"/>
  <c r="Z597" i="1"/>
  <c r="Z572" i="1"/>
  <c r="Z547" i="1"/>
  <c r="Z522" i="1"/>
  <c r="Z497" i="1"/>
  <c r="Z472" i="1"/>
  <c r="Z447" i="1"/>
  <c r="Z402" i="1"/>
  <c r="Z386" i="1"/>
  <c r="Z366" i="1"/>
  <c r="Z348" i="1"/>
  <c r="Z326" i="1"/>
  <c r="Z316" i="1"/>
  <c r="Z247" i="1"/>
  <c r="Z201" i="1"/>
  <c r="Z191" i="1"/>
  <c r="Z122" i="1"/>
  <c r="Z76" i="1"/>
  <c r="Z66" i="1"/>
  <c r="Z421" i="1"/>
  <c r="Z396" i="1"/>
  <c r="Z371" i="1"/>
  <c r="Z346" i="1"/>
  <c r="Z331" i="1"/>
  <c r="Z306" i="1"/>
  <c r="Z281" i="1"/>
  <c r="Z256" i="1"/>
  <c r="Z231" i="1"/>
  <c r="Z206" i="1"/>
  <c r="Z181" i="1"/>
  <c r="Z156" i="1"/>
  <c r="Z131" i="1"/>
  <c r="Z106" i="1"/>
  <c r="Z81" i="1"/>
  <c r="Z56" i="1"/>
  <c r="Z31" i="1"/>
  <c r="Z426" i="1"/>
  <c r="Z401" i="1"/>
  <c r="Z376" i="1"/>
  <c r="Z351" i="1"/>
  <c r="Z321" i="1"/>
  <c r="Z296" i="1"/>
  <c r="Z271" i="1"/>
  <c r="Z246" i="1"/>
  <c r="Z221" i="1"/>
  <c r="Z196" i="1"/>
  <c r="Z171" i="1"/>
  <c r="Z146" i="1"/>
  <c r="Z121" i="1"/>
  <c r="Z96" i="1"/>
  <c r="Z71" i="1"/>
  <c r="Z46" i="1"/>
  <c r="Z21" i="1"/>
  <c r="Z7" i="1"/>
  <c r="AS1214" i="1"/>
  <c r="AS1190" i="1"/>
  <c r="AS1154" i="1"/>
  <c r="AS1106" i="1"/>
  <c r="AS1034" i="1"/>
  <c r="AS638" i="1"/>
  <c r="AS614" i="1"/>
  <c r="AS590" i="1"/>
  <c r="AS566" i="1"/>
  <c r="AS518" i="1"/>
  <c r="AS206" i="1"/>
  <c r="AS182" i="1"/>
  <c r="AS158" i="1"/>
  <c r="AS134" i="1"/>
  <c r="AS110" i="1"/>
  <c r="AS1358" i="1"/>
  <c r="AS1346" i="1"/>
  <c r="AS1310" i="1"/>
  <c r="AS1274" i="1"/>
  <c r="AS1262" i="1"/>
  <c r="AS974" i="1"/>
  <c r="AS818" i="1"/>
  <c r="AS794" i="1"/>
  <c r="AS758" i="1"/>
  <c r="AS746" i="1"/>
  <c r="AS734" i="1"/>
  <c r="AS686" i="1"/>
  <c r="AS470" i="1"/>
  <c r="AS422" i="1"/>
  <c r="AS374" i="1"/>
  <c r="AS326" i="1"/>
  <c r="AS302" i="1"/>
  <c r="AS278" i="1"/>
  <c r="AS230" i="1"/>
  <c r="AS86" i="1"/>
  <c r="AS62" i="1"/>
  <c r="AS38" i="1"/>
  <c r="AS789" i="1"/>
  <c r="AS729" i="1"/>
  <c r="AS705" i="1"/>
  <c r="AS693" i="1"/>
  <c r="AS990" i="1"/>
  <c r="AS594" i="1"/>
  <c r="AS354" i="1"/>
  <c r="AS1359" i="1"/>
  <c r="AS1311" i="1"/>
  <c r="AS1275" i="1"/>
  <c r="AS1215" i="1"/>
  <c r="AS1191" i="1"/>
  <c r="AS1155" i="1"/>
  <c r="AS1143" i="1"/>
  <c r="AS975" i="1"/>
  <c r="AS903" i="1"/>
  <c r="AS843" i="1"/>
  <c r="AS735" i="1"/>
  <c r="AS687" i="1"/>
  <c r="AS639" i="1"/>
  <c r="AS591" i="1"/>
  <c r="AS543" i="1"/>
  <c r="AS495" i="1"/>
  <c r="AS255" i="1"/>
  <c r="AS207" i="1"/>
  <c r="AS159" i="1"/>
  <c r="AS111" i="1"/>
  <c r="AS63" i="1"/>
  <c r="AS817" i="1"/>
  <c r="AS181" i="1"/>
  <c r="AS1308" i="1"/>
  <c r="AS1260" i="1"/>
  <c r="AS1032" i="1"/>
  <c r="AS564" i="1"/>
  <c r="AS516" i="1"/>
  <c r="AS1247" i="1"/>
  <c r="AS1139" i="1"/>
  <c r="AS1103" i="1"/>
  <c r="AS1055" i="1"/>
  <c r="AS1031" i="1"/>
  <c r="AS923" i="1"/>
  <c r="AS863" i="1"/>
  <c r="AS779" i="1"/>
  <c r="AS1282" i="1"/>
  <c r="AS1066" i="1"/>
  <c r="AS1270" i="1"/>
  <c r="AS1102" i="1"/>
  <c r="AS1054" i="1"/>
  <c r="AS1030" i="1"/>
  <c r="AS1006" i="1"/>
  <c r="AS922" i="1"/>
  <c r="AS862" i="1"/>
  <c r="AS838" i="1"/>
  <c r="AS778" i="1"/>
  <c r="AS658" i="1"/>
  <c r="AS610" i="1"/>
  <c r="AS550" i="1"/>
  <c r="AS502" i="1"/>
  <c r="AS454" i="1"/>
  <c r="AS418" i="1"/>
  <c r="AS1318" i="1"/>
  <c r="AS1246" i="1"/>
  <c r="AS1138" i="1"/>
  <c r="AS1090" i="1"/>
  <c r="AS790" i="1"/>
  <c r="AS598" i="1"/>
  <c r="AS562" i="1"/>
  <c r="AS514" i="1"/>
  <c r="AS478" i="1"/>
  <c r="AS430" i="1"/>
  <c r="AS358" i="1"/>
  <c r="AS382" i="1"/>
  <c r="AS178" i="1"/>
  <c r="AS70" i="1"/>
  <c r="AS370" i="1"/>
  <c r="AS274" i="1"/>
  <c r="AS190" i="1"/>
  <c r="AS118" i="1"/>
  <c r="AS1360" i="1"/>
  <c r="AS1348" i="1"/>
  <c r="AS1336" i="1"/>
  <c r="AS1324" i="1"/>
  <c r="AS1312" i="1"/>
  <c r="AS1300" i="1"/>
  <c r="AS1288" i="1"/>
  <c r="AS1276" i="1"/>
  <c r="AS1264" i="1"/>
  <c r="AS1252" i="1"/>
  <c r="AS1240" i="1"/>
  <c r="AS1228" i="1"/>
  <c r="AS1216" i="1"/>
  <c r="AS1204" i="1"/>
  <c r="AS1192" i="1"/>
  <c r="AS1180" i="1"/>
  <c r="AS1168" i="1"/>
  <c r="AS1156" i="1"/>
  <c r="AS1144" i="1"/>
  <c r="AS1132" i="1"/>
  <c r="AS1120" i="1"/>
  <c r="AS1108" i="1"/>
  <c r="AS1096" i="1"/>
  <c r="AS1084" i="1"/>
  <c r="AS1072" i="1"/>
  <c r="AS1060" i="1"/>
  <c r="AS1048" i="1"/>
  <c r="AS1036" i="1"/>
  <c r="AS1024" i="1"/>
  <c r="AS1012" i="1"/>
  <c r="AS988" i="1"/>
  <c r="AS976" i="1"/>
  <c r="AS964" i="1"/>
  <c r="AS952" i="1"/>
  <c r="AS940" i="1"/>
  <c r="AS916" i="1"/>
  <c r="AS904" i="1"/>
  <c r="AS892" i="1"/>
  <c r="AS880" i="1"/>
  <c r="AS868" i="1"/>
  <c r="AS844" i="1"/>
  <c r="AS832" i="1"/>
  <c r="AS820" i="1"/>
  <c r="AS808" i="1"/>
  <c r="AS796" i="1"/>
  <c r="AS772" i="1"/>
  <c r="AS760" i="1"/>
  <c r="AS748" i="1"/>
  <c r="AS736" i="1"/>
  <c r="AS724" i="1"/>
  <c r="AS700" i="1"/>
  <c r="AS688" i="1"/>
  <c r="AS676" i="1"/>
  <c r="AS664" i="1"/>
  <c r="AS652" i="1"/>
  <c r="AS640" i="1"/>
  <c r="AS628" i="1"/>
  <c r="AS616" i="1"/>
  <c r="AS604" i="1"/>
  <c r="AS592" i="1"/>
  <c r="AS580" i="1"/>
  <c r="AS568" i="1"/>
  <c r="AS556" i="1"/>
  <c r="AS544" i="1"/>
  <c r="AS532" i="1"/>
  <c r="AS520" i="1"/>
  <c r="AS508" i="1"/>
  <c r="AS496" i="1"/>
  <c r="AS448" i="1"/>
  <c r="AS412" i="1"/>
  <c r="AS364" i="1"/>
  <c r="AS316" i="1"/>
  <c r="AS292" i="1"/>
  <c r="AS244" i="1"/>
  <c r="AS196" i="1"/>
  <c r="AS148" i="1"/>
  <c r="AS112" i="1"/>
  <c r="AS64" i="1"/>
  <c r="AS52" i="1"/>
  <c r="AS322" i="1"/>
  <c r="AS94" i="1"/>
  <c r="AS757" i="1"/>
  <c r="AS373" i="1"/>
  <c r="AS325" i="1"/>
  <c r="AS277" i="1"/>
  <c r="AS133" i="1"/>
  <c r="AS334" i="1"/>
  <c r="AS238" i="1"/>
  <c r="AS1344" i="1"/>
  <c r="AS1188" i="1"/>
  <c r="AS1152" i="1"/>
  <c r="AS876" i="1"/>
  <c r="AS816" i="1"/>
  <c r="AS792" i="1"/>
  <c r="AS732" i="1"/>
  <c r="AS660" i="1"/>
  <c r="AS384" i="1"/>
  <c r="AS324" i="1"/>
  <c r="AS240" i="1"/>
  <c r="AS192" i="1"/>
  <c r="AS144" i="1"/>
  <c r="AS254" i="1"/>
  <c r="AS268" i="1"/>
  <c r="AS1355" i="1"/>
  <c r="AS1343" i="1"/>
  <c r="AS1307" i="1"/>
  <c r="AS1295" i="1"/>
  <c r="AS1259" i="1"/>
  <c r="AS1235" i="1"/>
  <c r="AS1223" i="1"/>
  <c r="AS1211" i="1"/>
  <c r="AS1187" i="1"/>
  <c r="AS1151" i="1"/>
  <c r="AS1115" i="1"/>
  <c r="AS1091" i="1"/>
  <c r="AS1079" i="1"/>
  <c r="AS1067" i="1"/>
  <c r="AS1043" i="1"/>
  <c r="AS1019" i="1"/>
  <c r="AS947" i="1"/>
  <c r="AS887" i="1"/>
  <c r="AS875" i="1"/>
  <c r="AS851" i="1"/>
  <c r="AS803" i="1"/>
  <c r="AS731" i="1"/>
  <c r="AS707" i="1"/>
  <c r="AS671" i="1"/>
  <c r="AS659" i="1"/>
  <c r="AS623" i="1"/>
  <c r="AS611" i="1"/>
  <c r="AS575" i="1"/>
  <c r="AS563" i="1"/>
  <c r="AS515" i="1"/>
  <c r="AS479" i="1"/>
  <c r="AS467" i="1"/>
  <c r="AS431" i="1"/>
  <c r="AS419" i="1"/>
  <c r="AS383" i="1"/>
  <c r="AS371" i="1"/>
  <c r="AS323" i="1"/>
  <c r="AS287" i="1"/>
  <c r="AS275" i="1"/>
  <c r="AS239" i="1"/>
  <c r="AS227" i="1"/>
  <c r="AS191" i="1"/>
  <c r="AS179" i="1"/>
  <c r="AS143" i="1"/>
  <c r="AS131" i="1"/>
  <c r="AS95" i="1"/>
  <c r="AS83" i="1"/>
  <c r="AS47" i="1"/>
  <c r="AS35" i="1"/>
  <c r="AS1333" i="1"/>
  <c r="AS1069" i="1"/>
  <c r="AS1009" i="1"/>
  <c r="AS661" i="1"/>
  <c r="AS565" i="1"/>
  <c r="AS469" i="1"/>
  <c r="AS85" i="1"/>
  <c r="AS1104" i="1"/>
  <c r="AS432" i="1"/>
  <c r="AS420" i="1"/>
  <c r="AS276" i="1"/>
  <c r="AS180" i="1"/>
  <c r="AS1197" i="1"/>
  <c r="AS909" i="1"/>
  <c r="AS1002" i="1"/>
  <c r="AS978" i="1"/>
  <c r="AS918" i="1"/>
  <c r="AS906" i="1"/>
  <c r="AS858" i="1"/>
  <c r="AS846" i="1"/>
  <c r="AS834" i="1"/>
  <c r="AS822" i="1"/>
  <c r="AS786" i="1"/>
  <c r="AS774" i="1"/>
  <c r="AS762" i="1"/>
  <c r="AS702" i="1"/>
  <c r="AS690" i="1"/>
  <c r="AS678" i="1"/>
  <c r="AS654" i="1"/>
  <c r="AS630" i="1"/>
  <c r="AS606" i="1"/>
  <c r="AS582" i="1"/>
  <c r="AS558" i="1"/>
  <c r="AS534" i="1"/>
  <c r="AS510" i="1"/>
  <c r="AS142" i="1"/>
  <c r="AS1332" i="1"/>
  <c r="AS1224" i="1"/>
  <c r="AS1176" i="1"/>
  <c r="AS1068" i="1"/>
  <c r="AS1008" i="1"/>
  <c r="AS924" i="1"/>
  <c r="AS864" i="1"/>
  <c r="AS612" i="1"/>
  <c r="AS372" i="1"/>
  <c r="AS288" i="1"/>
  <c r="AS48" i="1"/>
  <c r="AS1353" i="1"/>
  <c r="AS1341" i="1"/>
  <c r="AS1329" i="1"/>
  <c r="AS1317" i="1"/>
  <c r="AS1305" i="1"/>
  <c r="AS1293" i="1"/>
  <c r="AS1281" i="1"/>
  <c r="AS1269" i="1"/>
  <c r="AS1257" i="1"/>
  <c r="AS1233" i="1"/>
  <c r="AS1221" i="1"/>
  <c r="AS1185" i="1"/>
  <c r="AS1161" i="1"/>
  <c r="AS1149" i="1"/>
  <c r="AS1125" i="1"/>
  <c r="AS1113" i="1"/>
  <c r="AS1089" i="1"/>
  <c r="AS1077" i="1"/>
  <c r="AS1053" i="1"/>
  <c r="AS1041" i="1"/>
  <c r="AS1017" i="1"/>
  <c r="AS1005" i="1"/>
  <c r="AS993" i="1"/>
  <c r="AS981" i="1"/>
  <c r="AS933" i="1"/>
  <c r="AS873" i="1"/>
  <c r="AS861" i="1"/>
  <c r="AS849" i="1"/>
  <c r="AS837" i="1"/>
  <c r="AS777" i="1"/>
  <c r="AS498" i="1"/>
  <c r="AS486" i="1"/>
  <c r="AS462" i="1"/>
  <c r="AS438" i="1"/>
  <c r="AS414" i="1"/>
  <c r="AS390" i="1"/>
  <c r="AS366" i="1"/>
  <c r="AS342" i="1"/>
  <c r="AS318" i="1"/>
  <c r="AS306" i="1"/>
  <c r="AS294" i="1"/>
  <c r="AS270" i="1"/>
  <c r="AS246" i="1"/>
  <c r="AS222" i="1"/>
  <c r="AS198" i="1"/>
  <c r="AS174" i="1"/>
  <c r="AS150" i="1"/>
  <c r="AS126" i="1"/>
  <c r="AS114" i="1"/>
  <c r="AS102" i="1"/>
  <c r="AS78" i="1"/>
  <c r="AS66" i="1"/>
  <c r="AS54" i="1"/>
  <c r="AS30" i="1"/>
  <c r="AS18" i="1"/>
  <c r="AS6" i="1"/>
  <c r="AS1352" i="1"/>
  <c r="AS1340" i="1"/>
  <c r="AS1328" i="1"/>
  <c r="AS1316" i="1"/>
  <c r="AS1304" i="1"/>
  <c r="AS1292" i="1"/>
  <c r="AS1280" i="1"/>
  <c r="AS1268" i="1"/>
  <c r="AS1256" i="1"/>
  <c r="AS1244" i="1"/>
  <c r="AS1232" i="1"/>
  <c r="AS1220" i="1"/>
  <c r="AS1208" i="1"/>
  <c r="AS1196" i="1"/>
  <c r="AS1184" i="1"/>
  <c r="AS1172" i="1"/>
  <c r="AS1160" i="1"/>
  <c r="AS1148" i="1"/>
  <c r="AS1136" i="1"/>
  <c r="AS1124" i="1"/>
  <c r="AS1112" i="1"/>
  <c r="AS1100" i="1"/>
  <c r="AS1088" i="1"/>
  <c r="AS1076" i="1"/>
  <c r="AS1064" i="1"/>
  <c r="AS1052" i="1"/>
  <c r="AS1040" i="1"/>
  <c r="AS1028" i="1"/>
  <c r="AS1016" i="1"/>
  <c r="AS1004" i="1"/>
  <c r="AS992" i="1"/>
  <c r="AS980" i="1"/>
  <c r="AS968" i="1"/>
  <c r="AS956" i="1"/>
  <c r="AS944" i="1"/>
  <c r="AS932" i="1"/>
  <c r="AS920" i="1"/>
  <c r="AS908" i="1"/>
  <c r="AS896" i="1"/>
  <c r="AS884" i="1"/>
  <c r="AS872" i="1"/>
  <c r="AS860" i="1"/>
  <c r="AS848" i="1"/>
  <c r="AS836" i="1"/>
  <c r="AS824" i="1"/>
  <c r="AS812" i="1"/>
  <c r="AS800" i="1"/>
  <c r="AS788" i="1"/>
  <c r="AS776" i="1"/>
  <c r="AS764" i="1"/>
  <c r="AS752" i="1"/>
  <c r="AS740" i="1"/>
  <c r="AS728" i="1"/>
  <c r="AS1361" i="1"/>
  <c r="AS1349" i="1"/>
  <c r="AS1337" i="1"/>
  <c r="AS1325" i="1"/>
  <c r="AS1313" i="1"/>
  <c r="AS1301" i="1"/>
  <c r="AS1289" i="1"/>
  <c r="AS1277" i="1"/>
  <c r="AS1265" i="1"/>
  <c r="AS1253" i="1"/>
  <c r="AS1241" i="1"/>
  <c r="AS1229" i="1"/>
  <c r="AS1217" i="1"/>
  <c r="AS1205" i="1"/>
  <c r="AS1193" i="1"/>
  <c r="AS1181" i="1"/>
  <c r="AS1169" i="1"/>
  <c r="AS1157" i="1"/>
  <c r="AS1145" i="1"/>
  <c r="AS1133" i="1"/>
  <c r="AS1121" i="1"/>
  <c r="AS1109" i="1"/>
  <c r="AS1097" i="1"/>
  <c r="AS1085" i="1"/>
  <c r="AS1073" i="1"/>
  <c r="AS1061" i="1"/>
  <c r="AS1049" i="1"/>
  <c r="AS1037" i="1"/>
  <c r="AS1025" i="1"/>
  <c r="AS1001" i="1"/>
  <c r="AS989" i="1"/>
  <c r="AS977" i="1"/>
  <c r="AS965" i="1"/>
  <c r="AS953" i="1"/>
  <c r="AS929" i="1"/>
  <c r="AS917" i="1"/>
  <c r="AS905" i="1"/>
  <c r="AS893" i="1"/>
  <c r="AS881" i="1"/>
  <c r="AS857" i="1"/>
  <c r="AS845" i="1"/>
  <c r="AS833" i="1"/>
  <c r="AS821" i="1"/>
  <c r="AS809" i="1"/>
  <c r="AS785" i="1"/>
  <c r="AS773" i="1"/>
  <c r="AS761" i="1"/>
  <c r="AS749" i="1"/>
  <c r="AS737" i="1"/>
  <c r="AS713" i="1"/>
  <c r="AS701" i="1"/>
  <c r="AS689" i="1"/>
  <c r="AS677" i="1"/>
  <c r="AS653" i="1"/>
  <c r="AS641" i="1"/>
  <c r="AS629" i="1"/>
  <c r="AS605" i="1"/>
  <c r="AS593" i="1"/>
  <c r="AS581" i="1"/>
  <c r="AS557" i="1"/>
  <c r="AS545" i="1"/>
  <c r="AS533" i="1"/>
  <c r="AS509" i="1"/>
  <c r="AS497" i="1"/>
  <c r="AS485" i="1"/>
  <c r="AS461" i="1"/>
  <c r="AS449" i="1"/>
  <c r="AS437" i="1"/>
  <c r="AS1000" i="1"/>
  <c r="AS928" i="1"/>
  <c r="AS856" i="1"/>
  <c r="AS784" i="1"/>
  <c r="AS712" i="1"/>
  <c r="AS1362" i="1"/>
  <c r="AS1350" i="1"/>
  <c r="AS1338" i="1"/>
  <c r="AS1326" i="1"/>
  <c r="AS1314" i="1"/>
  <c r="AS1302" i="1"/>
  <c r="AS1290" i="1"/>
  <c r="AS1278" i="1"/>
  <c r="AS1266" i="1"/>
  <c r="AS1254" i="1"/>
  <c r="AS1242" i="1"/>
  <c r="AS1230" i="1"/>
  <c r="AS1218" i="1"/>
  <c r="AS1206" i="1"/>
  <c r="AS1194" i="1"/>
  <c r="AS1182" i="1"/>
  <c r="AS1170" i="1"/>
  <c r="AS1158" i="1"/>
  <c r="AS1146" i="1"/>
  <c r="AS1134" i="1"/>
  <c r="AS1122" i="1"/>
  <c r="AS1110" i="1"/>
  <c r="AS1098" i="1"/>
  <c r="AS1086" i="1"/>
  <c r="AS1074" i="1"/>
  <c r="AS1062" i="1"/>
  <c r="AS1050" i="1"/>
  <c r="AS1038" i="1"/>
  <c r="AS1026" i="1"/>
  <c r="AS1014" i="1"/>
  <c r="AS966" i="1"/>
  <c r="AS954" i="1"/>
  <c r="AS942" i="1"/>
  <c r="AS930" i="1"/>
  <c r="AS894" i="1"/>
  <c r="AS882" i="1"/>
  <c r="AS870" i="1"/>
  <c r="AS810" i="1"/>
  <c r="AS798" i="1"/>
  <c r="AS750" i="1"/>
  <c r="AS738" i="1"/>
  <c r="AS726" i="1"/>
  <c r="AS714" i="1"/>
  <c r="AS666" i="1"/>
  <c r="AS642" i="1"/>
  <c r="AS618" i="1"/>
  <c r="AS570" i="1"/>
  <c r="AS546" i="1"/>
  <c r="AS522" i="1"/>
  <c r="AS474" i="1"/>
  <c r="AS450" i="1"/>
  <c r="AS426" i="1"/>
  <c r="AS402" i="1"/>
  <c r="AS378" i="1"/>
  <c r="AS330" i="1"/>
  <c r="AS282" i="1"/>
  <c r="AS258" i="1"/>
  <c r="AS234" i="1"/>
  <c r="AS210" i="1"/>
  <c r="AS186" i="1"/>
  <c r="AS162" i="1"/>
  <c r="AS138" i="1"/>
  <c r="AS90" i="1"/>
  <c r="AS42" i="1"/>
  <c r="AS413" i="1"/>
  <c r="AS401" i="1"/>
  <c r="AS389" i="1"/>
  <c r="AS365" i="1"/>
  <c r="AS353" i="1"/>
  <c r="AS341" i="1"/>
  <c r="AS317" i="1"/>
  <c r="AS305" i="1"/>
  <c r="AS293" i="1"/>
  <c r="AS269" i="1"/>
  <c r="AS257" i="1"/>
  <c r="AS245" i="1"/>
  <c r="AS221" i="1"/>
  <c r="AS209" i="1"/>
  <c r="AS197" i="1"/>
  <c r="AS173" i="1"/>
  <c r="AS161" i="1"/>
  <c r="AS149" i="1"/>
  <c r="AS125" i="1"/>
  <c r="AS113" i="1"/>
  <c r="AS101" i="1"/>
  <c r="AS77" i="1"/>
  <c r="AS65" i="1"/>
  <c r="AS53" i="1"/>
  <c r="AS29" i="1"/>
  <c r="AS17" i="1"/>
  <c r="AS1363" i="1"/>
  <c r="AS1351" i="1"/>
  <c r="AS1339" i="1"/>
  <c r="AS1327" i="1"/>
  <c r="AS1315" i="1"/>
  <c r="AS1303" i="1"/>
  <c r="AS1291" i="1"/>
  <c r="AS1279" i="1"/>
  <c r="AS1267" i="1"/>
  <c r="AS1255" i="1"/>
  <c r="AS1243" i="1"/>
  <c r="AS1231" i="1"/>
  <c r="AS1219" i="1"/>
  <c r="AS1207" i="1"/>
  <c r="AS1195" i="1"/>
  <c r="AS1183" i="1"/>
  <c r="AS1171" i="1"/>
  <c r="AS1159" i="1"/>
  <c r="AS1147" i="1"/>
  <c r="AS1135" i="1"/>
  <c r="AS1123" i="1"/>
  <c r="AS1111" i="1"/>
  <c r="AS1099" i="1"/>
  <c r="AS1087" i="1"/>
  <c r="AS1075" i="1"/>
  <c r="AS1063" i="1"/>
  <c r="AS1051" i="1"/>
  <c r="AS1039" i="1"/>
  <c r="AS1027" i="1"/>
  <c r="AS1015" i="1"/>
  <c r="AS1003" i="1"/>
  <c r="AS991" i="1"/>
  <c r="AS979" i="1"/>
  <c r="AS967" i="1"/>
  <c r="AS955" i="1"/>
  <c r="AS943" i="1"/>
  <c r="AS931" i="1"/>
  <c r="AS919" i="1"/>
  <c r="AS907" i="1"/>
  <c r="AS895" i="1"/>
  <c r="AS883" i="1"/>
  <c r="AS871" i="1"/>
  <c r="AS859" i="1"/>
  <c r="AS847" i="1"/>
  <c r="AS835" i="1"/>
  <c r="AS823" i="1"/>
  <c r="AS811" i="1"/>
  <c r="AS799" i="1"/>
  <c r="AS787" i="1"/>
  <c r="AS775" i="1"/>
  <c r="AS763" i="1"/>
  <c r="AS751" i="1"/>
  <c r="AS739" i="1"/>
  <c r="AS727" i="1"/>
  <c r="AS1299" i="1"/>
  <c r="AS1227" i="1"/>
  <c r="AS1179" i="1"/>
  <c r="AS1119" i="1"/>
  <c r="AS1071" i="1"/>
  <c r="AS879" i="1"/>
  <c r="AS1298" i="1"/>
  <c r="AS1226" i="1"/>
  <c r="AS1178" i="1"/>
  <c r="AS1118" i="1"/>
  <c r="AS1070" i="1"/>
  <c r="AS962" i="1"/>
  <c r="AS878" i="1"/>
  <c r="AS484" i="1"/>
  <c r="AS400" i="1"/>
  <c r="AS328" i="1"/>
  <c r="AS304" i="1"/>
  <c r="AS220" i="1"/>
  <c r="AS172" i="1"/>
  <c r="AS124" i="1"/>
  <c r="AS76" i="1"/>
  <c r="AS28" i="1"/>
  <c r="AS1323" i="1"/>
  <c r="AS1263" i="1"/>
  <c r="AS1167" i="1"/>
  <c r="AS1131" i="1"/>
  <c r="AS1095" i="1"/>
  <c r="AS1059" i="1"/>
  <c r="AS1023" i="1"/>
  <c r="AS987" i="1"/>
  <c r="AS939" i="1"/>
  <c r="AS891" i="1"/>
  <c r="AS855" i="1"/>
  <c r="AS759" i="1"/>
  <c r="AS399" i="1"/>
  <c r="AS1322" i="1"/>
  <c r="AS1166" i="1"/>
  <c r="AS1094" i="1"/>
  <c r="AS1058" i="1"/>
  <c r="AS1010" i="1"/>
  <c r="AS986" i="1"/>
  <c r="AS938" i="1"/>
  <c r="AS902" i="1"/>
  <c r="AS842" i="1"/>
  <c r="AS662" i="1"/>
  <c r="AS446" i="1"/>
  <c r="AS1357" i="1"/>
  <c r="AS1321" i="1"/>
  <c r="AS1273" i="1"/>
  <c r="AS1237" i="1"/>
  <c r="AS1201" i="1"/>
  <c r="AS1165" i="1"/>
  <c r="AS1141" i="1"/>
  <c r="AS1105" i="1"/>
  <c r="AS1057" i="1"/>
  <c r="AS1021" i="1"/>
  <c r="AS985" i="1"/>
  <c r="AS949" i="1"/>
  <c r="AS913" i="1"/>
  <c r="AS889" i="1"/>
  <c r="AS853" i="1"/>
  <c r="AS805" i="1"/>
  <c r="AS769" i="1"/>
  <c r="AS721" i="1"/>
  <c r="AS685" i="1"/>
  <c r="AS649" i="1"/>
  <c r="AS613" i="1"/>
  <c r="AS577" i="1"/>
  <c r="AS529" i="1"/>
  <c r="AS493" i="1"/>
  <c r="AS421" i="1"/>
  <c r="AS1356" i="1"/>
  <c r="AS1320" i="1"/>
  <c r="AS1296" i="1"/>
  <c r="AS1284" i="1"/>
  <c r="AS1272" i="1"/>
  <c r="AS1248" i="1"/>
  <c r="AS1236" i="1"/>
  <c r="AS1212" i="1"/>
  <c r="AS1200" i="1"/>
  <c r="AS1164" i="1"/>
  <c r="AS1140" i="1"/>
  <c r="AS1128" i="1"/>
  <c r="AS1116" i="1"/>
  <c r="AS1092" i="1"/>
  <c r="AS1080" i="1"/>
  <c r="AS1056" i="1"/>
  <c r="AS1044" i="1"/>
  <c r="AS1020" i="1"/>
  <c r="AS996" i="1"/>
  <c r="AS984" i="1"/>
  <c r="AS972" i="1"/>
  <c r="AS960" i="1"/>
  <c r="AS948" i="1"/>
  <c r="AS936" i="1"/>
  <c r="AS912" i="1"/>
  <c r="AS900" i="1"/>
  <c r="AS888" i="1"/>
  <c r="AS852" i="1"/>
  <c r="AS840" i="1"/>
  <c r="AS828" i="1"/>
  <c r="AS804" i="1"/>
  <c r="AS780" i="1"/>
  <c r="AS768" i="1"/>
  <c r="AS756" i="1"/>
  <c r="AS744" i="1"/>
  <c r="AS720" i="1"/>
  <c r="AS708" i="1"/>
  <c r="AS696" i="1"/>
  <c r="AS684" i="1"/>
  <c r="AS672" i="1"/>
  <c r="AS648" i="1"/>
  <c r="AS636" i="1"/>
  <c r="AS624" i="1"/>
  <c r="AS600" i="1"/>
  <c r="AS588" i="1"/>
  <c r="AS576" i="1"/>
  <c r="AS552" i="1"/>
  <c r="AS540" i="1"/>
  <c r="AS528" i="1"/>
  <c r="AS504" i="1"/>
  <c r="AS492" i="1"/>
  <c r="AS480" i="1"/>
  <c r="AS468" i="1"/>
  <c r="AS456" i="1"/>
  <c r="AS444" i="1"/>
  <c r="AS408" i="1"/>
  <c r="AS396" i="1"/>
  <c r="AS360" i="1"/>
  <c r="AS348" i="1"/>
  <c r="AS336" i="1"/>
  <c r="AS312" i="1"/>
  <c r="AS300" i="1"/>
  <c r="AS264" i="1"/>
  <c r="AS252" i="1"/>
  <c r="AS228" i="1"/>
  <c r="AS216" i="1"/>
  <c r="AS204" i="1"/>
  <c r="AS168" i="1"/>
  <c r="AS156" i="1"/>
  <c r="AS132" i="1"/>
  <c r="AS120" i="1"/>
  <c r="AS108" i="1"/>
  <c r="AS96" i="1"/>
  <c r="AS84" i="1"/>
  <c r="AS72" i="1"/>
  <c r="AS60" i="1"/>
  <c r="AS36" i="1"/>
  <c r="AS24" i="1"/>
  <c r="AS12" i="1"/>
  <c r="AS472" i="1"/>
  <c r="AS436" i="1"/>
  <c r="AS376" i="1"/>
  <c r="AS352" i="1"/>
  <c r="AS280" i="1"/>
  <c r="AS208" i="1"/>
  <c r="AS184" i="1"/>
  <c r="AS136" i="1"/>
  <c r="AS100" i="1"/>
  <c r="AS16" i="1"/>
  <c r="AS1335" i="1"/>
  <c r="AS1287" i="1"/>
  <c r="AS1251" i="1"/>
  <c r="AS1203" i="1"/>
  <c r="AS1107" i="1"/>
  <c r="AS1035" i="1"/>
  <c r="AS999" i="1"/>
  <c r="AS951" i="1"/>
  <c r="AS915" i="1"/>
  <c r="AS819" i="1"/>
  <c r="AS303" i="1"/>
  <c r="AS1250" i="1"/>
  <c r="AS1142" i="1"/>
  <c r="AS1022" i="1"/>
  <c r="AS926" i="1"/>
  <c r="AS890" i="1"/>
  <c r="AS854" i="1"/>
  <c r="AS542" i="1"/>
  <c r="AS398" i="1"/>
  <c r="AS1297" i="1"/>
  <c r="AS1261" i="1"/>
  <c r="AS1225" i="1"/>
  <c r="AS1189" i="1"/>
  <c r="AS1153" i="1"/>
  <c r="AS1117" i="1"/>
  <c r="AS1081" i="1"/>
  <c r="AS1045" i="1"/>
  <c r="AS997" i="1"/>
  <c r="AS961" i="1"/>
  <c r="AS925" i="1"/>
  <c r="AS865" i="1"/>
  <c r="AS829" i="1"/>
  <c r="AS793" i="1"/>
  <c r="AS733" i="1"/>
  <c r="AS697" i="1"/>
  <c r="AS625" i="1"/>
  <c r="AS589" i="1"/>
  <c r="AS553" i="1"/>
  <c r="AS517" i="1"/>
  <c r="AS481" i="1"/>
  <c r="AS433" i="1"/>
  <c r="AS1245" i="1"/>
  <c r="AS1209" i="1"/>
  <c r="AS1173" i="1"/>
  <c r="AS1137" i="1"/>
  <c r="AS1101" i="1"/>
  <c r="AS1065" i="1"/>
  <c r="AS1029" i="1"/>
  <c r="AS945" i="1"/>
  <c r="AS921" i="1"/>
  <c r="AS1331" i="1"/>
  <c r="AS1283" i="1"/>
  <c r="AS1199" i="1"/>
  <c r="AS1175" i="1"/>
  <c r="AS1163" i="1"/>
  <c r="AS1127" i="1"/>
  <c r="AS995" i="1"/>
  <c r="AS527" i="1"/>
  <c r="AS335" i="1"/>
  <c r="AS167" i="1"/>
  <c r="AS119" i="1"/>
  <c r="AS71" i="1"/>
  <c r="AS460" i="1"/>
  <c r="AS424" i="1"/>
  <c r="AS388" i="1"/>
  <c r="AS340" i="1"/>
  <c r="AS256" i="1"/>
  <c r="AS232" i="1"/>
  <c r="AS160" i="1"/>
  <c r="AS88" i="1"/>
  <c r="AS40" i="1"/>
  <c r="AS1347" i="1"/>
  <c r="AS1239" i="1"/>
  <c r="AS1083" i="1"/>
  <c r="AS1047" i="1"/>
  <c r="AS1011" i="1"/>
  <c r="AS963" i="1"/>
  <c r="AS927" i="1"/>
  <c r="AS867" i="1"/>
  <c r="AS831" i="1"/>
  <c r="AS447" i="1"/>
  <c r="AS351" i="1"/>
  <c r="AS1334" i="1"/>
  <c r="AS1286" i="1"/>
  <c r="AS1238" i="1"/>
  <c r="AS1202" i="1"/>
  <c r="AS1130" i="1"/>
  <c r="AS1082" i="1"/>
  <c r="AS1046" i="1"/>
  <c r="AS998" i="1"/>
  <c r="AS950" i="1"/>
  <c r="AS914" i="1"/>
  <c r="AS866" i="1"/>
  <c r="AS830" i="1"/>
  <c r="AS722" i="1"/>
  <c r="AS494" i="1"/>
  <c r="AS350" i="1"/>
  <c r="AS1345" i="1"/>
  <c r="AS1309" i="1"/>
  <c r="AS1285" i="1"/>
  <c r="AS1249" i="1"/>
  <c r="AS1213" i="1"/>
  <c r="AS1177" i="1"/>
  <c r="AS1129" i="1"/>
  <c r="AS1093" i="1"/>
  <c r="AS1033" i="1"/>
  <c r="AS973" i="1"/>
  <c r="AS937" i="1"/>
  <c r="AS901" i="1"/>
  <c r="AS877" i="1"/>
  <c r="AS841" i="1"/>
  <c r="AS781" i="1"/>
  <c r="AS745" i="1"/>
  <c r="AS709" i="1"/>
  <c r="AS673" i="1"/>
  <c r="AS637" i="1"/>
  <c r="AS601" i="1"/>
  <c r="AS541" i="1"/>
  <c r="AS505" i="1"/>
  <c r="AS457" i="1"/>
  <c r="AS445" i="1"/>
  <c r="AS409" i="1"/>
  <c r="AS1354" i="1"/>
  <c r="AS1342" i="1"/>
  <c r="AS1330" i="1"/>
  <c r="AS1306" i="1"/>
  <c r="AS1294" i="1"/>
  <c r="AS1258" i="1"/>
  <c r="AS1234" i="1"/>
  <c r="AS1222" i="1"/>
  <c r="AS1210" i="1"/>
  <c r="AS1198" i="1"/>
  <c r="AS1186" i="1"/>
  <c r="AS1174" i="1"/>
  <c r="AS1162" i="1"/>
  <c r="AS1150" i="1"/>
  <c r="AS1126" i="1"/>
  <c r="AS1114" i="1"/>
  <c r="AS1078" i="1"/>
  <c r="AS1042" i="1"/>
  <c r="AS1018" i="1"/>
  <c r="AS994" i="1"/>
  <c r="AS982" i="1"/>
  <c r="AS946" i="1"/>
  <c r="AS934" i="1"/>
  <c r="AS910" i="1"/>
  <c r="AS874" i="1"/>
  <c r="AS850" i="1"/>
  <c r="AS802" i="1"/>
  <c r="AS766" i="1"/>
  <c r="AS730" i="1"/>
  <c r="AS718" i="1"/>
  <c r="AS706" i="1"/>
  <c r="AS694" i="1"/>
  <c r="AS670" i="1"/>
  <c r="AS646" i="1"/>
  <c r="AS622" i="1"/>
  <c r="AS574" i="1"/>
  <c r="AS526" i="1"/>
  <c r="AS466" i="1"/>
  <c r="AS406" i="1"/>
  <c r="AS310" i="1"/>
  <c r="AS286" i="1"/>
  <c r="AS262" i="1"/>
  <c r="AS226" i="1"/>
  <c r="AS214" i="1"/>
  <c r="AS166" i="1"/>
  <c r="AS130" i="1"/>
  <c r="AS82" i="1"/>
  <c r="AS46" i="1"/>
  <c r="AS34" i="1"/>
  <c r="AS801" i="1"/>
  <c r="AS765" i="1"/>
  <c r="AS717" i="1"/>
  <c r="AS716" i="1"/>
  <c r="AS704" i="1"/>
  <c r="AS692" i="1"/>
  <c r="AS680" i="1"/>
  <c r="AS668" i="1"/>
  <c r="AS656" i="1"/>
  <c r="AS644" i="1"/>
  <c r="AS632" i="1"/>
  <c r="AS620" i="1"/>
  <c r="AS608" i="1"/>
  <c r="AS596" i="1"/>
  <c r="AS584" i="1"/>
  <c r="AS572" i="1"/>
  <c r="AS560" i="1"/>
  <c r="AS548" i="1"/>
  <c r="AS536" i="1"/>
  <c r="AS524" i="1"/>
  <c r="AS512" i="1"/>
  <c r="AS500" i="1"/>
  <c r="AS488" i="1"/>
  <c r="AS476" i="1"/>
  <c r="AS464" i="1"/>
  <c r="AS452" i="1"/>
  <c r="AS440" i="1"/>
  <c r="AS428" i="1"/>
  <c r="AS416" i="1"/>
  <c r="AS404" i="1"/>
  <c r="AS392" i="1"/>
  <c r="AS380" i="1"/>
  <c r="AS368" i="1"/>
  <c r="AS356" i="1"/>
  <c r="AS344" i="1"/>
  <c r="AS332" i="1"/>
  <c r="AS320" i="1"/>
  <c r="AS308" i="1"/>
  <c r="AS296" i="1"/>
  <c r="AS284" i="1"/>
  <c r="AS272" i="1"/>
  <c r="AS260" i="1"/>
  <c r="AS248" i="1"/>
  <c r="AS236" i="1"/>
  <c r="AS224" i="1"/>
  <c r="AS212" i="1"/>
  <c r="AS200" i="1"/>
  <c r="AS188" i="1"/>
  <c r="AS176" i="1"/>
  <c r="AS164" i="1"/>
  <c r="AS152" i="1"/>
  <c r="AS140" i="1"/>
  <c r="AS128" i="1"/>
  <c r="AS116" i="1"/>
  <c r="AS104" i="1"/>
  <c r="AS92" i="1"/>
  <c r="AS80" i="1"/>
  <c r="AS68" i="1"/>
  <c r="AS56" i="1"/>
  <c r="AS44" i="1"/>
  <c r="AS32" i="1"/>
  <c r="AS20" i="1"/>
  <c r="AS8" i="1"/>
  <c r="AS715" i="1"/>
  <c r="AS703" i="1"/>
  <c r="AS691" i="1"/>
  <c r="AS679" i="1"/>
  <c r="AS667" i="1"/>
  <c r="AS655" i="1"/>
  <c r="AS643" i="1"/>
  <c r="AS631" i="1"/>
  <c r="AS619" i="1"/>
  <c r="AS607" i="1"/>
  <c r="AS595" i="1"/>
  <c r="AS583" i="1"/>
  <c r="AS571" i="1"/>
  <c r="AS559" i="1"/>
  <c r="AS547" i="1"/>
  <c r="AS535" i="1"/>
  <c r="AS523" i="1"/>
  <c r="AS511" i="1"/>
  <c r="AS499" i="1"/>
  <c r="AS487" i="1"/>
  <c r="AS475" i="1"/>
  <c r="AS463" i="1"/>
  <c r="AS451" i="1"/>
  <c r="AS439" i="1"/>
  <c r="AS427" i="1"/>
  <c r="AS415" i="1"/>
  <c r="AS403" i="1"/>
  <c r="AS391" i="1"/>
  <c r="AS379" i="1"/>
  <c r="AS367" i="1"/>
  <c r="AS355" i="1"/>
  <c r="AS343" i="1"/>
  <c r="AS331" i="1"/>
  <c r="AS319" i="1"/>
  <c r="AS307" i="1"/>
  <c r="AS295" i="1"/>
  <c r="AS283" i="1"/>
  <c r="AS271" i="1"/>
  <c r="AS259" i="1"/>
  <c r="AS247" i="1"/>
  <c r="AS235" i="1"/>
  <c r="AS223" i="1"/>
  <c r="AS211" i="1"/>
  <c r="AS199" i="1"/>
  <c r="AS187" i="1"/>
  <c r="AS175" i="1"/>
  <c r="AS163" i="1"/>
  <c r="AS151" i="1"/>
  <c r="AS139" i="1"/>
  <c r="AS127" i="1"/>
  <c r="AS115" i="1"/>
  <c r="AS103" i="1"/>
  <c r="AS91" i="1"/>
  <c r="AS79" i="1"/>
  <c r="AS67" i="1"/>
  <c r="AS55" i="1"/>
  <c r="AS43" i="1"/>
  <c r="AS31" i="1"/>
  <c r="AS19" i="1"/>
  <c r="AS7" i="1"/>
  <c r="AS807" i="1"/>
  <c r="AS795" i="1"/>
  <c r="AS783" i="1"/>
  <c r="AS771" i="1"/>
  <c r="AS747" i="1"/>
  <c r="AS723" i="1"/>
  <c r="AS711" i="1"/>
  <c r="AS699" i="1"/>
  <c r="AS675" i="1"/>
  <c r="AS663" i="1"/>
  <c r="AS651" i="1"/>
  <c r="AS627" i="1"/>
  <c r="AS615" i="1"/>
  <c r="AS603" i="1"/>
  <c r="AS579" i="1"/>
  <c r="AS567" i="1"/>
  <c r="AS555" i="1"/>
  <c r="AS531" i="1"/>
  <c r="AS519" i="1"/>
  <c r="AS507" i="1"/>
  <c r="AS483" i="1"/>
  <c r="AS471" i="1"/>
  <c r="AS459" i="1"/>
  <c r="AS435" i="1"/>
  <c r="AS423" i="1"/>
  <c r="AS411" i="1"/>
  <c r="AS387" i="1"/>
  <c r="AS375" i="1"/>
  <c r="AS363" i="1"/>
  <c r="AS339" i="1"/>
  <c r="AS327" i="1"/>
  <c r="AS315" i="1"/>
  <c r="AS291" i="1"/>
  <c r="AS279" i="1"/>
  <c r="AS267" i="1"/>
  <c r="AS243" i="1"/>
  <c r="AS231" i="1"/>
  <c r="AS219" i="1"/>
  <c r="AS195" i="1"/>
  <c r="AS183" i="1"/>
  <c r="AS171" i="1"/>
  <c r="AS147" i="1"/>
  <c r="AS135" i="1"/>
  <c r="AS123" i="1"/>
  <c r="AS99" i="1"/>
  <c r="AS87" i="1"/>
  <c r="AS75" i="1"/>
  <c r="AS51" i="1"/>
  <c r="AS39" i="1"/>
  <c r="AS27" i="1"/>
  <c r="AS15" i="1"/>
  <c r="AS806" i="1"/>
  <c r="AS782" i="1"/>
  <c r="AS770" i="1"/>
  <c r="AS710" i="1"/>
  <c r="AS698" i="1"/>
  <c r="AS674" i="1"/>
  <c r="AS650" i="1"/>
  <c r="AS626" i="1"/>
  <c r="AS602" i="1"/>
  <c r="AS578" i="1"/>
  <c r="AS554" i="1"/>
  <c r="AS530" i="1"/>
  <c r="AS506" i="1"/>
  <c r="AS482" i="1"/>
  <c r="AS458" i="1"/>
  <c r="AS434" i="1"/>
  <c r="AS410" i="1"/>
  <c r="AS386" i="1"/>
  <c r="AS362" i="1"/>
  <c r="AS338" i="1"/>
  <c r="AS314" i="1"/>
  <c r="AS290" i="1"/>
  <c r="AS266" i="1"/>
  <c r="AS242" i="1"/>
  <c r="AS218" i="1"/>
  <c r="AS194" i="1"/>
  <c r="AS170" i="1"/>
  <c r="AS146" i="1"/>
  <c r="AS122" i="1"/>
  <c r="AS98" i="1"/>
  <c r="AS74" i="1"/>
  <c r="AS50" i="1"/>
  <c r="AS26" i="1"/>
  <c r="AS14" i="1"/>
  <c r="AS397" i="1"/>
  <c r="AS385" i="1"/>
  <c r="AS361" i="1"/>
  <c r="AS349" i="1"/>
  <c r="AS337" i="1"/>
  <c r="AS313" i="1"/>
  <c r="AS301" i="1"/>
  <c r="AS289" i="1"/>
  <c r="AS265" i="1"/>
  <c r="AS253" i="1"/>
  <c r="AS241" i="1"/>
  <c r="AS229" i="1"/>
  <c r="AS217" i="1"/>
  <c r="AS205" i="1"/>
  <c r="AS193" i="1"/>
  <c r="AS169" i="1"/>
  <c r="AS157" i="1"/>
  <c r="AS145" i="1"/>
  <c r="AS121" i="1"/>
  <c r="AS109" i="1"/>
  <c r="AS97" i="1"/>
  <c r="AS73" i="1"/>
  <c r="AS61" i="1"/>
  <c r="AS49" i="1"/>
  <c r="AS37" i="1"/>
  <c r="AS25" i="1"/>
  <c r="AS13" i="1"/>
  <c r="AS1013" i="1"/>
  <c r="AS725" i="1"/>
  <c r="AS617" i="1"/>
  <c r="AS425" i="1"/>
  <c r="AS329" i="1"/>
  <c r="AS137" i="1"/>
  <c r="AS41" i="1"/>
  <c r="AS1319" i="1"/>
  <c r="AS1007" i="1"/>
  <c r="AS935" i="1"/>
  <c r="AS815" i="1"/>
  <c r="AS719" i="1"/>
  <c r="AS647" i="1"/>
  <c r="AS503" i="1"/>
  <c r="AS455" i="1"/>
  <c r="AS359" i="1"/>
  <c r="AS263" i="1"/>
  <c r="AS941" i="1"/>
  <c r="AS869" i="1"/>
  <c r="AS569" i="1"/>
  <c r="AS473" i="1"/>
  <c r="AS281" i="1"/>
  <c r="AS185" i="1"/>
  <c r="AS1271" i="1"/>
  <c r="AS959" i="1"/>
  <c r="AS791" i="1"/>
  <c r="AS743" i="1"/>
  <c r="AS599" i="1"/>
  <c r="AS551" i="1"/>
  <c r="AS407" i="1"/>
  <c r="AS311" i="1"/>
  <c r="AS215" i="1"/>
  <c r="AS797" i="1"/>
  <c r="AS665" i="1"/>
  <c r="AS521" i="1"/>
  <c r="AS377" i="1"/>
  <c r="AS233" i="1"/>
  <c r="AS89" i="1"/>
  <c r="AS983" i="1"/>
  <c r="AS971" i="1"/>
  <c r="AS911" i="1"/>
  <c r="AS899" i="1"/>
  <c r="AS839" i="1"/>
  <c r="AS827" i="1"/>
  <c r="AS767" i="1"/>
  <c r="AS755" i="1"/>
  <c r="AS695" i="1"/>
  <c r="AS683" i="1"/>
  <c r="AS635" i="1"/>
  <c r="AS587" i="1"/>
  <c r="AS539" i="1"/>
  <c r="AS491" i="1"/>
  <c r="AS443" i="1"/>
  <c r="AS395" i="1"/>
  <c r="AS347" i="1"/>
  <c r="AS299" i="1"/>
  <c r="AS251" i="1"/>
  <c r="AS203" i="1"/>
  <c r="AS155" i="1"/>
  <c r="AS107" i="1"/>
  <c r="AS59" i="1"/>
  <c r="AS23" i="1"/>
  <c r="AS11" i="1"/>
  <c r="AS970" i="1"/>
  <c r="AS958" i="1"/>
  <c r="AS898" i="1"/>
  <c r="AS886" i="1"/>
  <c r="AS826" i="1"/>
  <c r="AS814" i="1"/>
  <c r="AS754" i="1"/>
  <c r="AS742" i="1"/>
  <c r="AS682" i="1"/>
  <c r="AS634" i="1"/>
  <c r="AS586" i="1"/>
  <c r="AS538" i="1"/>
  <c r="AS490" i="1"/>
  <c r="AS442" i="1"/>
  <c r="AS394" i="1"/>
  <c r="AS346" i="1"/>
  <c r="AS298" i="1"/>
  <c r="AS250" i="1"/>
  <c r="AS202" i="1"/>
  <c r="AS154" i="1"/>
  <c r="AS106" i="1"/>
  <c r="AS58" i="1"/>
  <c r="AS22" i="1"/>
  <c r="AS10" i="1"/>
  <c r="AS969" i="1"/>
  <c r="AS957" i="1"/>
  <c r="AS897" i="1"/>
  <c r="AS885" i="1"/>
  <c r="AS825" i="1"/>
  <c r="AS813" i="1"/>
  <c r="AS753" i="1"/>
  <c r="AS741" i="1"/>
  <c r="AS681" i="1"/>
  <c r="AS669" i="1"/>
  <c r="AS657" i="1"/>
  <c r="AS645" i="1"/>
  <c r="AS633" i="1"/>
  <c r="AS621" i="1"/>
  <c r="AS609" i="1"/>
  <c r="AS597" i="1"/>
  <c r="AS585" i="1"/>
  <c r="AS573" i="1"/>
  <c r="AS561" i="1"/>
  <c r="AS549" i="1"/>
  <c r="AS537" i="1"/>
  <c r="AS525" i="1"/>
  <c r="AS513" i="1"/>
  <c r="AS501" i="1"/>
  <c r="AS489" i="1"/>
  <c r="AS477" i="1"/>
  <c r="AS465" i="1"/>
  <c r="AS453" i="1"/>
  <c r="AS441" i="1"/>
  <c r="AS429" i="1"/>
  <c r="AS417" i="1"/>
  <c r="AS405" i="1"/>
  <c r="AS393" i="1"/>
  <c r="AS381" i="1"/>
  <c r="AS369" i="1"/>
  <c r="AS357" i="1"/>
  <c r="AS345" i="1"/>
  <c r="AS333" i="1"/>
  <c r="AS321" i="1"/>
  <c r="AS309" i="1"/>
  <c r="AS297" i="1"/>
  <c r="AS285" i="1"/>
  <c r="AS273" i="1"/>
  <c r="AS261" i="1"/>
  <c r="AS249" i="1"/>
  <c r="AS237" i="1"/>
  <c r="AS225" i="1"/>
  <c r="AS213" i="1"/>
  <c r="AS201" i="1"/>
  <c r="AS189" i="1"/>
  <c r="AS177" i="1"/>
  <c r="AS165" i="1"/>
  <c r="AS153" i="1"/>
  <c r="AS141" i="1"/>
  <c r="AS129" i="1"/>
  <c r="AS117" i="1"/>
  <c r="AS105" i="1"/>
  <c r="AS93" i="1"/>
  <c r="AS81" i="1"/>
  <c r="AS69" i="1"/>
  <c r="AS57" i="1"/>
  <c r="AS45" i="1"/>
  <c r="AS33" i="1"/>
  <c r="AS21" i="1"/>
  <c r="AS9" i="1"/>
  <c r="AX3" i="1"/>
  <c r="AX2" i="1"/>
  <c r="AQ3" i="1"/>
  <c r="AT3" i="1"/>
  <c r="AR3" i="1"/>
  <c r="AS3" i="1"/>
  <c r="AT2" i="1"/>
  <c r="AR2" i="1"/>
  <c r="AS2" i="1"/>
  <c r="AQ2" i="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2" i="11"/>
  <c r="Z1365" i="1" l="1"/>
  <c r="AU2" i="1"/>
  <c r="AU3" i="1"/>
  <c r="AY3" i="1"/>
  <c r="AZ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AIRDRIE\EQ2SVC</author>
  </authors>
  <commentList>
    <comment ref="A2" authorId="0" shapeId="0" xr:uid="{00000000-0006-0000-0000-000001000000}">
      <text>
        <r>
          <rPr>
            <b/>
            <sz val="9"/>
            <color indexed="81"/>
            <rFont val="Tahoma"/>
            <family val="2"/>
          </rPr>
          <t>Code20</t>
        </r>
      </text>
    </comment>
    <comment ref="C2" authorId="0" shapeId="0" xr:uid="{00000000-0006-0000-0000-000003000000}">
      <text>
        <r>
          <rPr>
            <b/>
            <sz val="9"/>
            <color indexed="81"/>
            <rFont val="Tahoma"/>
            <family val="2"/>
          </rPr>
          <t>Code2</t>
        </r>
      </text>
    </comment>
    <comment ref="F2" authorId="0" shapeId="0" xr:uid="{00000000-0006-0000-0000-000004000000}">
      <text>
        <r>
          <rPr>
            <b/>
            <sz val="9"/>
            <color indexed="81"/>
            <rFont val="Tahoma"/>
            <family val="2"/>
          </rPr>
          <t>Text50</t>
        </r>
      </text>
    </comment>
    <comment ref="I2" authorId="0" shapeId="0" xr:uid="{00000000-0006-0000-0000-000007000000}">
      <text>
        <r>
          <rPr>
            <b/>
            <sz val="9"/>
            <color indexed="81"/>
            <rFont val="Tahoma"/>
            <family val="2"/>
          </rPr>
          <t>Code20</t>
        </r>
      </text>
    </comment>
    <comment ref="J2" authorId="0" shapeId="0" xr:uid="{00000000-0006-0000-0000-000008000000}">
      <text>
        <r>
          <rPr>
            <b/>
            <sz val="9"/>
            <color indexed="81"/>
            <rFont val="Tahoma"/>
            <family val="2"/>
          </rPr>
          <t>Code20</t>
        </r>
      </text>
    </comment>
    <comment ref="K2" authorId="0" shapeId="0" xr:uid="{00000000-0006-0000-0000-000009000000}">
      <text>
        <r>
          <rPr>
            <b/>
            <sz val="9"/>
            <color indexed="81"/>
            <rFont val="Tahoma"/>
            <family val="2"/>
          </rPr>
          <t>Code20</t>
        </r>
      </text>
    </comment>
    <comment ref="L2" authorId="0" shapeId="0" xr:uid="{00000000-0006-0000-0000-00000A000000}">
      <text>
        <r>
          <rPr>
            <b/>
            <sz val="9"/>
            <color indexed="81"/>
            <rFont val="Tahoma"/>
            <family val="2"/>
          </rPr>
          <t>Decimal</t>
        </r>
      </text>
    </comment>
    <comment ref="M2" authorId="0" shapeId="0" xr:uid="{00000000-0006-0000-0000-00000B000000}">
      <text>
        <r>
          <rPr>
            <b/>
            <sz val="9"/>
            <color indexed="81"/>
            <rFont val="Tahoma"/>
            <family val="2"/>
          </rPr>
          <t>Code20</t>
        </r>
      </text>
    </comment>
    <comment ref="N2" authorId="0" shapeId="0" xr:uid="{00000000-0006-0000-0000-00000C000000}">
      <text>
        <r>
          <rPr>
            <b/>
            <sz val="9"/>
            <color indexed="81"/>
            <rFont val="Tahoma"/>
            <family val="2"/>
          </rPr>
          <t>Code20</t>
        </r>
      </text>
    </comment>
    <comment ref="W2" authorId="0" shapeId="0" xr:uid="{D7BAAE97-D694-4600-AEB2-CB162D57F7B8}">
      <text>
        <r>
          <rPr>
            <b/>
            <sz val="9"/>
            <color indexed="81"/>
            <rFont val="Tahoma"/>
            <family val="2"/>
          </rPr>
          <t>Decimal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A191C6-B0C3-49CA-9177-41A83EA29E28}" keepAlive="1" name="Query - vBICustomers" description="Connection to the 'vBICustomers' query in the workbook." type="5" refreshedVersion="8" background="1" saveData="1">
    <dbPr connection="Provider=Microsoft.Mashup.OleDb.1;Data Source=$Workbook$;Location=vBICustomers;Extended Properties=&quot;&quot;" command="SELECT * FROM [vBICustomers]"/>
  </connection>
</connections>
</file>

<file path=xl/sharedStrings.xml><?xml version="1.0" encoding="utf-8"?>
<sst xmlns="http://schemas.openxmlformats.org/spreadsheetml/2006/main" count="26117" uniqueCount="7215">
  <si>
    <t>Enter Vendor Number from Vendor List (new ERP number)</t>
  </si>
  <si>
    <t>Enter the suppliers name (doesn't need to be full legal one, this is just for description</t>
  </si>
  <si>
    <t xml:space="preserve">Paste in the suppliers description of the item </t>
  </si>
  <si>
    <t xml:space="preserve">Drag formula down after completing D &amp; E  Formula will combine the prior to cells  We are though restricted to 50 characters so if the cell highlights in yellow it's too long, need to cut down, or move excess to description 2 column  </t>
  </si>
  <si>
    <t>Enter if need more space to describe the Item</t>
  </si>
  <si>
    <t>Enter unit of measure</t>
  </si>
  <si>
    <t>Enter either "ITEM" or "PLANT"</t>
  </si>
  <si>
    <t>Enter "EXT-PLANT" or "ITEM"</t>
  </si>
  <si>
    <t>Enter category code to help group the items together, see "Category Code" for ones we've used so far  Can add to this list though</t>
  </si>
  <si>
    <t xml:space="preserve">Enter "STD20" unless you know it's not Vatable  Alternatively, "REDUCED" or "ZERO"  </t>
  </si>
  <si>
    <t>Enter a cost code for materials or plant (unless it's an overhead like stationery in which case can leave blank)</t>
  </si>
  <si>
    <t>No</t>
  </si>
  <si>
    <t>Vendor Item No</t>
  </si>
  <si>
    <t>No 2</t>
  </si>
  <si>
    <t>Suppliers Name</t>
  </si>
  <si>
    <t>Item Description</t>
  </si>
  <si>
    <t>Description for System</t>
  </si>
  <si>
    <t>Description 2</t>
  </si>
  <si>
    <t>Base Unit of Measure</t>
  </si>
  <si>
    <t>Inventory Posting Group</t>
  </si>
  <si>
    <t>Gen Prod Posting Group</t>
  </si>
  <si>
    <t>Item Category Code</t>
  </si>
  <si>
    <t>Unit Cost</t>
  </si>
  <si>
    <t>VAT Prod Posting Group</t>
  </si>
  <si>
    <t>Global Dimension 2 Code</t>
  </si>
  <si>
    <t>Enter your  Item No  We can't have duplicates in the system so if the cell highlights blue, you need to add ; at the end enough times to make unique  Limited to 20 characters, yellow if more than this, need to cut down</t>
  </si>
  <si>
    <t>Enter your number (without any ; if you needed to add any in the 'No' field for duplicates)  Again limited to 20 characters, need to cut down if yellow
(Might be same as column A)</t>
  </si>
  <si>
    <t>EA</t>
  </si>
  <si>
    <t>ITEM</t>
  </si>
  <si>
    <t>STD20</t>
  </si>
  <si>
    <t>DDEC01</t>
  </si>
  <si>
    <t>Akzo DDC</t>
  </si>
  <si>
    <t>Paint</t>
  </si>
  <si>
    <t>Armstead TR Dur Acr E/Shell White 2.5L</t>
  </si>
  <si>
    <t>Armstead TR Dur Acrylic E/shell Mag 5L</t>
  </si>
  <si>
    <t>Armstead TR Dur Acrylic E/Shell Tint Colours 5L</t>
  </si>
  <si>
    <t>Armstead TR Dur Acrylic E/shell White 5L</t>
  </si>
  <si>
    <t>Armstead TR Dur Matt Tinted Colours 2.5L</t>
  </si>
  <si>
    <t>Armstead TR Dur Matt Tinted Colours 5L</t>
  </si>
  <si>
    <t>Armstead TR Dur Matt White 5L</t>
  </si>
  <si>
    <t>Armstead TR Durable Matt Magnolia 10L</t>
  </si>
  <si>
    <t>Armstead TR Durable Matt Magnolia 5L</t>
  </si>
  <si>
    <t>Armstead TR Durable Matt Tint Col 10L</t>
  </si>
  <si>
    <t>Armstead TR Durable Matt White 10L</t>
  </si>
  <si>
    <t>Dulux TR Airsure Diamond Matt PBW 10L</t>
  </si>
  <si>
    <t>Dulux TR Airsure Diamond Matt RAL9010 10L</t>
  </si>
  <si>
    <t>Dulux TR Airsure Diamond Matt Tint Col 5L</t>
  </si>
  <si>
    <t>Dulux TR Diamond E L&amp;S Abs White 5L</t>
  </si>
  <si>
    <t>Dulux TR Diamond E L&amp;S Tinted Colours 5L</t>
  </si>
  <si>
    <t>Dulux TR Diamond Eggshell Mag 5L</t>
  </si>
  <si>
    <t>Dulux TR Diamond Eggshell PBW 2.5L</t>
  </si>
  <si>
    <t>Dulux TR Diamond Eggshell PBW 5L</t>
  </si>
  <si>
    <t>Dulux TR Diamond Eggshell Tint Colours 1L</t>
  </si>
  <si>
    <t>Dulux TR Diamond Eggshell Tint Colours 2.5L</t>
  </si>
  <si>
    <t>Dulux TR Diamond Eggshell Tint Colours 5L</t>
  </si>
  <si>
    <t>Dulux TR Diamond HP Eggshell PBW 5L</t>
  </si>
  <si>
    <t>Dulux TR Diamond Matt L&amp;S Abs White 5L</t>
  </si>
  <si>
    <t>Dulux TR Diamond Matt L&amp;S Tint Colours 5L</t>
  </si>
  <si>
    <t>Dulux TR Diamond Matt Magnolia 5L</t>
  </si>
  <si>
    <t>Dulux TR Diamond Matt PBW 10L</t>
  </si>
  <si>
    <t>Dulux TR Diamond Matt PBW 2.5L</t>
  </si>
  <si>
    <t>Dulux TR Diamond Matt PBW 5L</t>
  </si>
  <si>
    <t>Dulux TR Diamond Matt Tinted Colours 10L</t>
  </si>
  <si>
    <t>Dulux TR Diamond Matt Tinted Colours 2.5L</t>
  </si>
  <si>
    <t>Dulux TR Diamond Matt Tinted Colours 5L</t>
  </si>
  <si>
    <t>Dulux TR Scuffshield Matt Tinted Colour 5L</t>
  </si>
  <si>
    <t>Dulux TR Scuffshield Matt White 5L</t>
  </si>
  <si>
    <t>DT Airsure Supermatt White 10L</t>
  </si>
  <si>
    <t>Dulux TR Drywall Primer Sealer 10L</t>
  </si>
  <si>
    <t>Dulux TR Fast Matt Magnolia 10L</t>
  </si>
  <si>
    <t>Dulux TR Fast Matt Tinted Colours 10L</t>
  </si>
  <si>
    <t>Dulux TR Fast Matt White 10L</t>
  </si>
  <si>
    <t>Dulux TR Supermatt Gardenia 10L</t>
  </si>
  <si>
    <t>Dulux TR Supermatt Magnolia 10L</t>
  </si>
  <si>
    <t>Dulux TR Supermatt Magnolia 5L</t>
  </si>
  <si>
    <t>Dulux TR Supermatt Tint Colours 10L</t>
  </si>
  <si>
    <t>Dulux TR Supermatt Tint Colours 5L</t>
  </si>
  <si>
    <t>Dulux TR Supermatt White 10L (Airsure Trial Only)</t>
  </si>
  <si>
    <t>Dulux TR Supermatt White 5L</t>
  </si>
  <si>
    <t>Armstead TR Contract Matt Gardenia 10L</t>
  </si>
  <si>
    <t>Armstead TR Contract Matt Magnolia 10L</t>
  </si>
  <si>
    <t>Armstead TR Contract Matt Magnolia 15L</t>
  </si>
  <si>
    <t>Armstead TR Contract Matt Tinted Colours 10L</t>
  </si>
  <si>
    <t>Armstead TR Contract Matt White 10L</t>
  </si>
  <si>
    <t>Armstead TR Contract Matt White 15L</t>
  </si>
  <si>
    <t>Armstead TR V/Matt Black 5L</t>
  </si>
  <si>
    <t>Armstead TR V/Matt BW 10L</t>
  </si>
  <si>
    <t>Armstead TR V/Matt BW 5L</t>
  </si>
  <si>
    <t>Armstead TR V/Matt Gardenia 10L</t>
  </si>
  <si>
    <t>Armstead TR V/Matt Gardenia 5L</t>
  </si>
  <si>
    <t>Armstead TR V/Matt Magnolia 10L</t>
  </si>
  <si>
    <t>Armstead TR V/Matt Magnolia 5L</t>
  </si>
  <si>
    <t>Armstead TR V/Matt Tinted Colours 2.5L</t>
  </si>
  <si>
    <t>Armstead TR V/Matt Tinted Colours 5L</t>
  </si>
  <si>
    <t>Armstead TR V/Matt White 10L</t>
  </si>
  <si>
    <t>Armstead TR V/Matt White 5L</t>
  </si>
  <si>
    <t>Armstead TR Vinyl Matt Magnolia 2.5L</t>
  </si>
  <si>
    <t>Armstead TR Vinyl Matt Tint Col 10L</t>
  </si>
  <si>
    <t>Armstead TR Vinyl Matt White 2.5L</t>
  </si>
  <si>
    <t>Dulux TR Airsure Vinyl Matt RAL9010 10L</t>
  </si>
  <si>
    <t>Dulux TR Airsure Vinyl Matt White 10L</t>
  </si>
  <si>
    <t>Dulux TR Diamond Satinwood PBW 1L</t>
  </si>
  <si>
    <t>Dulux TR Diamond Satinwood PBW 2.5L</t>
  </si>
  <si>
    <t>Dulux TR Diamond Satinwood PBW 5L</t>
  </si>
  <si>
    <t>Dulux TR Diamond Satinwood Tint Cols 1L</t>
  </si>
  <si>
    <t>Dulux TR Diamond Satinwood Tint Cols 2.5L</t>
  </si>
  <si>
    <t>Dulux TR Diamond Satinwood Tint Cols 5L</t>
  </si>
  <si>
    <t>Dulux TR Gloss Black 1L</t>
  </si>
  <si>
    <t>Dulux TR Gloss Black 2.5L</t>
  </si>
  <si>
    <t>Dulux TR Gloss Black 5L</t>
  </si>
  <si>
    <t>Dulux TR Gloss PBW 1L</t>
  </si>
  <si>
    <t>Dulux TR Gloss PBW 2.5L</t>
  </si>
  <si>
    <t>Dulux TR Gloss PBW 5L</t>
  </si>
  <si>
    <t>Dulux TR Gloss Tinted Colours 1L</t>
  </si>
  <si>
    <t>Dulux TR Gloss Tinted Colours 2.5L</t>
  </si>
  <si>
    <t>Dulux TR Gloss Tinted Colours 5L</t>
  </si>
  <si>
    <t>Dulux TR High Gloss White 1L</t>
  </si>
  <si>
    <t>Dulux TR High Gloss White 2.5L</t>
  </si>
  <si>
    <t>Dulux TR High Gloss White 5L</t>
  </si>
  <si>
    <t>Dulux TR New Work Gloss White 5L</t>
  </si>
  <si>
    <t>Dulux TR QD Gloss Pure Brilliant White 1L</t>
  </si>
  <si>
    <t>Dulux TR QD Gloss Pure Brilliant White 2.5L</t>
  </si>
  <si>
    <t>Dulux TR QD Gloss Pure Brilliant White 5L</t>
  </si>
  <si>
    <t>Dulux TR QD Gloss Tinted Colours 1L</t>
  </si>
  <si>
    <t>Dulux TR QD Gloss Tinted Colours 2.5L</t>
  </si>
  <si>
    <t>Dulux TR QD Gloss Tinted Colours 5L</t>
  </si>
  <si>
    <t>Dulux TR QD Satinwd Tinted Colours 1L</t>
  </si>
  <si>
    <t>Dulux TR QD Satinwd Tinted Colours 2.5L</t>
  </si>
  <si>
    <t>Dulux TR QD Satinwd Tinted Colours 5L</t>
  </si>
  <si>
    <t>Dulux TR QD Satinwood PBW 2.5L</t>
  </si>
  <si>
    <t>Dulux TR QD Satinwood Pure Brilliant White 1L</t>
  </si>
  <si>
    <t>Dulux TR QD Satinwood Pure Brilliant White 5L</t>
  </si>
  <si>
    <t>Dulux TR QD Undercoat White 1L</t>
  </si>
  <si>
    <t>Dulux TR QD Undercoat White 2.5L</t>
  </si>
  <si>
    <t>Dulux TR QD Undercoat White 5L</t>
  </si>
  <si>
    <t>Dulux TR Quick Dry U/Coat Tinted Colours 1L</t>
  </si>
  <si>
    <t>Dulux TR Quick Dry U/Coat Tinted Colours 2.5L</t>
  </si>
  <si>
    <t>Dulux TR Quick Dry U/Coat Tinted Colours 5L</t>
  </si>
  <si>
    <t>Dulux TR Satinwood PBW 1L</t>
  </si>
  <si>
    <t>Dulux TR Satinwood PBW 2.5L</t>
  </si>
  <si>
    <t>Dulux TR Satinwood PBW 5L</t>
  </si>
  <si>
    <t>Dulux TR Satinwood Tinted Colours 1L</t>
  </si>
  <si>
    <t>Dulux TR Satinwood Tinted Colours 2.5L</t>
  </si>
  <si>
    <t>Dulux TR Satinwood Tinted Colours 5L</t>
  </si>
  <si>
    <t>Dulux TR U/Coat Bw 1L</t>
  </si>
  <si>
    <t>Dulux TR U/Coat Bw 2.5L</t>
  </si>
  <si>
    <t>Dulux TR U/Coat Bw 5L</t>
  </si>
  <si>
    <t>Dulux TR U/Coat Dark Grey 1L</t>
  </si>
  <si>
    <t>Dulux TR U/Coat Dark Grey 2.5L</t>
  </si>
  <si>
    <t>Dulux TR U/Coat Dark Grey 5L</t>
  </si>
  <si>
    <t>Dulux TR Ultra Matt White 10L</t>
  </si>
  <si>
    <t>Dulux TR Undercoat Tinted Colours 1L</t>
  </si>
  <si>
    <t>Dulux TR Undercoat Tinted Colours 2.5L</t>
  </si>
  <si>
    <t>Dulux TR Undercoat Tinted Colours 5L</t>
  </si>
  <si>
    <t>Dulux TR Undercoat White 1L</t>
  </si>
  <si>
    <t>Dulux TR Undercoat White 2.5L</t>
  </si>
  <si>
    <t>Dulux TR Undercoat White 5L</t>
  </si>
  <si>
    <t>Dulux TR V/Matt Black 2.5L</t>
  </si>
  <si>
    <t>Dulux TR V/Matt Black 5L</t>
  </si>
  <si>
    <t>Dulux TR V/Matt Chic Shadow 5L</t>
  </si>
  <si>
    <t>Dulux TR V/Matt Gardenia 5L</t>
  </si>
  <si>
    <t>Dulux TR V/Matt Jasmine White 5L</t>
  </si>
  <si>
    <t>Dulux TR V/Matt L&amp;S Abs White 5L</t>
  </si>
  <si>
    <t>Dulux TR V/Matt L&amp;S Tinted Colours 5L</t>
  </si>
  <si>
    <t>Dulux TR V/Matt Magnolia 10L</t>
  </si>
  <si>
    <t>Dulux TR V/Matt Magnolia 2.5L</t>
  </si>
  <si>
    <t>Dulux TR V/Matt Magnolia 5L</t>
  </si>
  <si>
    <t>Dulux TR V/Matt Natural Calico 5L</t>
  </si>
  <si>
    <t>Dulux TR V/Matt Natural Hessian 5L</t>
  </si>
  <si>
    <t>Dulux TR V/Matt Nutmeg White 5L</t>
  </si>
  <si>
    <t>Dulux TR V/Matt PBW 10L</t>
  </si>
  <si>
    <t>Dulux TR V/Matt PBW 2.5L</t>
  </si>
  <si>
    <t>Dulux TR V/Matt PBW 5L</t>
  </si>
  <si>
    <t>Dulux TR V/Matt Polished Pebble 5L</t>
  </si>
  <si>
    <t>Dulux TR V/Matt Tinted Colours 10L</t>
  </si>
  <si>
    <t>Dulux TR V/Matt Tinted Colours 1L</t>
  </si>
  <si>
    <t>Dulux TR V/Matt Tinted Colours 2.5L</t>
  </si>
  <si>
    <t>Dulux TR V/Matt Tinted Colours 5L</t>
  </si>
  <si>
    <t>Dulux TR V/Matt White 10L</t>
  </si>
  <si>
    <t>Dulux TR V/Matt White 2.5L</t>
  </si>
  <si>
    <t>Dulux TR V/Matt White 5L</t>
  </si>
  <si>
    <t>Dulux TR V/Matt White Cotton 5L</t>
  </si>
  <si>
    <t>Dulux TR W/S A/S Msnry Black 5L</t>
  </si>
  <si>
    <t>Dulux TR W/S A/S Msnry PBW 5L</t>
  </si>
  <si>
    <t>Dulux TR W/S Ext Gloss Black 1L</t>
  </si>
  <si>
    <t>Dulux TR W/S Ext Gloss Black 2.5L</t>
  </si>
  <si>
    <t>Dulux TR W/S Ext Gloss Black 5L</t>
  </si>
  <si>
    <t>Dulux TR W/S Ext Gloss PBW 1L</t>
  </si>
  <si>
    <t>Dulux TR W/S Ext Gloss PBW 2.5L</t>
  </si>
  <si>
    <t>Dulux TR W/S Ext Gloss PBW 5L</t>
  </si>
  <si>
    <t>Dulux TR W/S Ext Gloss Tinted Colours 1L</t>
  </si>
  <si>
    <t>Dulux TR W/S Ext Gloss Tinted Colours 2.5L</t>
  </si>
  <si>
    <t>Dulux TR W/S Ext Gloss Tinted Colours 5L</t>
  </si>
  <si>
    <t>Dulux TR W/S Ext U/Coat B/white 1L</t>
  </si>
  <si>
    <t>Dulux TR W/S Ext U/Coat B/white 2.5L</t>
  </si>
  <si>
    <t>Dulux TR W/S Ext U/Coat B/white 5L</t>
  </si>
  <si>
    <t>Dulux TR W/S Ext U/Coat D Grey 1L</t>
  </si>
  <si>
    <t>Dulux TR W/S Ext U/Coat D Grey 2.5L</t>
  </si>
  <si>
    <t>Dulux TR W/S Ext U/Coat D Grey 5L</t>
  </si>
  <si>
    <t>Dulux TR W/S Ext U/Coat Tint Colours 1L</t>
  </si>
  <si>
    <t>Dulux TR W/S Ext U/Coat Tint Colours 2.5L</t>
  </si>
  <si>
    <t>Dulux TR W/S Ext U/Coat Tint Colours 5L</t>
  </si>
  <si>
    <t>Dulux TR W/S F/text Tinted Colours 5L</t>
  </si>
  <si>
    <t>Dulux TR W/S Max Exp PBW 5L</t>
  </si>
  <si>
    <t>Dulux TR W/S Max Exp Tinted Colours 5L</t>
  </si>
  <si>
    <t>Dulux TR W/S Msnry Black 5L</t>
  </si>
  <si>
    <t>Dulux TR W/S Msnry Buttermilk 5L</t>
  </si>
  <si>
    <t>Dulux TR W/S Msnry Cnty Cream 5L</t>
  </si>
  <si>
    <t>Dulux TR W/S Msnry Frost Grey 5L</t>
  </si>
  <si>
    <t>Dulux TR W/S Msnry Gardenia 5L</t>
  </si>
  <si>
    <t>Dulux TR W/S Msnry Goosewing 5L</t>
  </si>
  <si>
    <t>Dulux TR W/S Msnry Jasmine 5L</t>
  </si>
  <si>
    <t>Dulux TR W/S Msnry Magnolia 5L</t>
  </si>
  <si>
    <t>Dulux TR W/S Msnry Sandstone 5L</t>
  </si>
  <si>
    <t>Dulux TR W/S Msnry Smooth Magnolia 10L</t>
  </si>
  <si>
    <t>Dulux TR W/S Msnry Smooth PBW 10L</t>
  </si>
  <si>
    <t>Dulux TR W/S Msnry Smooth PBW 5L</t>
  </si>
  <si>
    <t>Dulux TR W/S Msnry Smooth Tint Colours 10L</t>
  </si>
  <si>
    <t>Dulux TR W/S Msnry Text PBW 5L</t>
  </si>
  <si>
    <t>Dulux TR W/S Msnry Tinted Colours 2.5L</t>
  </si>
  <si>
    <t>Dulux TR W/S Msnry Tinted Colours 5L</t>
  </si>
  <si>
    <t>Dulux TR W/S QD Ext Flexible U/Coat Tinted Colour 1L</t>
  </si>
  <si>
    <t>Dulux TR W/S QD Ext Flexible U/Coat Tinted Colour 2.5L</t>
  </si>
  <si>
    <t>Dulux TR W/S QD Ext Flexible U/Coat Tinted Colour 5L</t>
  </si>
  <si>
    <t>Dulux TR W/S QD Ext Flexible U/Coat White 1L</t>
  </si>
  <si>
    <t>Dulux TR W/S QD Ext Flexible U/Coat White 2.5L</t>
  </si>
  <si>
    <t>Dulux TR W/S QD Ext Flexible U/Coat White 5L</t>
  </si>
  <si>
    <t>Dulux TR W/S QD Ext High Gloss PBW 1L</t>
  </si>
  <si>
    <t>Dulux TR W/S QD Ext High Gloss PBW 2.5L</t>
  </si>
  <si>
    <t>Dulux TR W/S QD Ext High Gloss PBW 5L</t>
  </si>
  <si>
    <t>Dulux TR W/S QD Ext High Gloss Tinted Colour 1L</t>
  </si>
  <si>
    <t>Dulux TR W/S QD Ext High Gloss Tinted Colour 2.5L</t>
  </si>
  <si>
    <t>Dulux TR W/S QD Ext High Gloss Tinted Colour 5L</t>
  </si>
  <si>
    <t>Dulux TR W/S QD Sat Tinted Colours 1L</t>
  </si>
  <si>
    <t>Dulux TR W/S QD Sat Tinted Colours 2.5L</t>
  </si>
  <si>
    <t>Dulux TR W/S QD Satin PBW 2.5L</t>
  </si>
  <si>
    <t>Dulux TR W/S QD Satin PBW 5L</t>
  </si>
  <si>
    <t>SI Alphatex SF Mat Tint N00/Ex Deep BS 5L (Airsure V/matt Ti</t>
  </si>
  <si>
    <t>Armstead TR A/Mould V/Matt Tint Colours 5L</t>
  </si>
  <si>
    <t>Armstead TR Anti-Mould V/Matt White 5L</t>
  </si>
  <si>
    <t>Armstead TR Anti-Slip Floor Paint Black 5L</t>
  </si>
  <si>
    <t>Armstead TR Anti-Slip Floor Paint Green 5L</t>
  </si>
  <si>
    <t>Armstead TR Anti-Slip Floor Paint Grey 5L</t>
  </si>
  <si>
    <t>Armstead TR Anti-slip Floor Paint Red 5L</t>
  </si>
  <si>
    <t>Armstead TR Anti-Slip Floor Paint Yellow 5L</t>
  </si>
  <si>
    <t>Armstead TR Contract Silk Magnolia 10L</t>
  </si>
  <si>
    <t>Armstead TR Eggshell Tinted Colours 5L</t>
  </si>
  <si>
    <t>Armstead TR Eggshell White 5L</t>
  </si>
  <si>
    <t>Armstead TR Floor Paint Green 5L</t>
  </si>
  <si>
    <t>Armstead TR Floor Paint Grey 5L</t>
  </si>
  <si>
    <t>Armstead TR Floor Paint Red 5L</t>
  </si>
  <si>
    <t>Armstead TR Floor Paint Tinted Colours 5L</t>
  </si>
  <si>
    <t>Armstead TR High Gloss B/White 1L</t>
  </si>
  <si>
    <t>Armstead TR High Gloss B/White 2.5L</t>
  </si>
  <si>
    <t>Armstead TR High Gloss B/White 5L</t>
  </si>
  <si>
    <t>Armstead TR High Gloss Black 1L</t>
  </si>
  <si>
    <t>Armstead TR High Gloss Black 2.5L</t>
  </si>
  <si>
    <t>Armstead TR High Gloss Black 5L</t>
  </si>
  <si>
    <t>Armstead TR High Gloss Tinted Colours 1L</t>
  </si>
  <si>
    <t>Armstead TR High Gloss Tinted Colours 2.5L</t>
  </si>
  <si>
    <t>Armstead TR High Gloss Tinted Colours 5L</t>
  </si>
  <si>
    <t>Armstead TR High Gloss White 2.5L</t>
  </si>
  <si>
    <t>Armstead TR High Gloss White 5L</t>
  </si>
  <si>
    <t>Armstead TR Metal Primer Zinc Phosphate 5L</t>
  </si>
  <si>
    <t>Armstead TR Plio Masonry B/White 5L</t>
  </si>
  <si>
    <t>Armstead TR Plio Masonry Mag 5L</t>
  </si>
  <si>
    <t>Armstead TR Plio Masonry Tinted Colours 5L</t>
  </si>
  <si>
    <t>Armstead TR QD Gloss B/White 1L</t>
  </si>
  <si>
    <t>Armstead TR QD Gloss B/White 2.5L</t>
  </si>
  <si>
    <t>Armstead TR QD Gloss B/White 5L</t>
  </si>
  <si>
    <t>Armstead TR QD Satin B/White 1L</t>
  </si>
  <si>
    <t>Armstead TR QD Satin B/White 2.5L</t>
  </si>
  <si>
    <t>Armstead TR QD Satin B/White 5L</t>
  </si>
  <si>
    <t>Armstead TR QD Satin Tinted Colours 2.5L</t>
  </si>
  <si>
    <t>Armstead TR QD Tinted Gloss Colours 2.5L</t>
  </si>
  <si>
    <t>Armstead TR QD Wood Primer U/coat 1L</t>
  </si>
  <si>
    <t>Armstead TR QD Wood Primer U/coat 2.5L</t>
  </si>
  <si>
    <t>Armstead TR QD Wood Primer U/coat 5L</t>
  </si>
  <si>
    <t>Armstead TR Red Oxide Metal Primer 2.5L</t>
  </si>
  <si>
    <t>Armstead TR Satin B/White 2.5L</t>
  </si>
  <si>
    <t>Armstead TR Satin B/White 5L</t>
  </si>
  <si>
    <t>Armstead TR Satin Tinted Colours 2.5L</t>
  </si>
  <si>
    <t>Armstead TR Smooth Masonry B/White 10L</t>
  </si>
  <si>
    <t>Armstead TR Smooth Masonry B/White 5L</t>
  </si>
  <si>
    <t>Armstead TR Smooth Masonry Mag 5L</t>
  </si>
  <si>
    <t>Armstead TR Smooth Msnry Tinted Colours 5L</t>
  </si>
  <si>
    <t>Armstead TR Undercoat Dark Grey 1L</t>
  </si>
  <si>
    <t>Armstead TR Undercoat Dark Grey 2.5L</t>
  </si>
  <si>
    <t>Armstead TR Undercoat Dark Grey 5L</t>
  </si>
  <si>
    <t>Armstead TR Undercoat Tinted Colours 2.5L</t>
  </si>
  <si>
    <t>Armstead TR Undercoat Tinted Colours 5L</t>
  </si>
  <si>
    <t>Armstead TR Undercoat White 2.5L</t>
  </si>
  <si>
    <t>Armstead TR Undercoat White 5L</t>
  </si>
  <si>
    <t>Armstead TR V/Silk Magnolia 10L</t>
  </si>
  <si>
    <t>Armstead TR V/Silk Magnolia 5L</t>
  </si>
  <si>
    <t>Armstead TR V/Silk Tinted Colours 2.5L</t>
  </si>
  <si>
    <t>Armstead TR V/Silk Tinted Colours 5L</t>
  </si>
  <si>
    <t>Armstead TR V/Silk White 10L</t>
  </si>
  <si>
    <t>Armstead TR V/Silk White 5L</t>
  </si>
  <si>
    <t>Armstead TR V/Soft Sheen B/White 5L</t>
  </si>
  <si>
    <t>Armstead TR V/Soft Sheen Magnolia 5L</t>
  </si>
  <si>
    <t>Armstead TR V/Soft Sheen Tinted Colours 2.5L</t>
  </si>
  <si>
    <t>Armstead TR V/Soft Sheen Tinted Colours 5L</t>
  </si>
  <si>
    <t>Armstead TR Wood Primer 2.5L</t>
  </si>
  <si>
    <t>Armstead TR Wood Primer 5L</t>
  </si>
  <si>
    <t>Armstead Trd Stabilising Primer 5L</t>
  </si>
  <si>
    <t>Cuprinol All Purpose Wood Filler Med 310ML</t>
  </si>
  <si>
    <t>Cuprinol All Purpose Wood Filler Natural 310ML</t>
  </si>
  <si>
    <t>Cuprinol All Purpose Woodfiller Dark 310ML</t>
  </si>
  <si>
    <t>Cuprinol All Purpose Woodfiller Nat 250ML</t>
  </si>
  <si>
    <t>Cuprinol All Purpose Woodfiller Natural 500ML</t>
  </si>
  <si>
    <t>Cuprinol All Purpose Woodfiller White 250ML</t>
  </si>
  <si>
    <t>Cuprinol Anti Slip Decking Stain Country Cedar 5L</t>
  </si>
  <si>
    <t>Cuprinol Anti Slip Decking Stain Natural 5L</t>
  </si>
  <si>
    <t>Cuprinol Anti Slip Decking Stain Natural Oak 5L</t>
  </si>
  <si>
    <t>Cuprinol Anti-Slip Decking Stain Am/mahog 2.5L</t>
  </si>
  <si>
    <t>Cuprinol Anti-Slip Decking Stain B/Teak 2.5L</t>
  </si>
  <si>
    <t>Cuprinol Anti-Slip Decking Stain Bla/Ash 2.5L</t>
  </si>
  <si>
    <t>Cuprinol Anti-Slip Decking Stain C/stone 2.5L</t>
  </si>
  <si>
    <t>Cuprinol Anti-Slip Decking Stain Ced/fall 2.5L</t>
  </si>
  <si>
    <t>Cuprinol Anti-Slip Decking Stain G/Maple 2.5L</t>
  </si>
  <si>
    <t>Cuprinol Anti-Slip Decking Stain Ham/oak 2.5L</t>
  </si>
  <si>
    <t>Cuprinol Anti-Slip Decking Stain Sv/birch 2.5L</t>
  </si>
  <si>
    <t>Cuprinol Anti-Slip Decking Stain Ur/slate 2.5L</t>
  </si>
  <si>
    <t>Cuprinol Anti-Slip Decking Stain V/green 2.5L</t>
  </si>
  <si>
    <t>Cuprinol Cladding &amp; Fence Opq Autumn Cedar 10L</t>
  </si>
  <si>
    <t>Cuprinol Cladding &amp; Fence Opq Black 10L</t>
  </si>
  <si>
    <t>Cuprinol Cladding &amp; Fence Opq Dk Oak 10L</t>
  </si>
  <si>
    <t>Cuprinol Cladding &amp; Fence Opq Moor Green 10L</t>
  </si>
  <si>
    <t>Cuprinol Cladding &amp; Fence Opq Rich Brown 10L</t>
  </si>
  <si>
    <t>Cuprinol Cladding &amp; Fence Opq Rustic Walnut 10L</t>
  </si>
  <si>
    <t>Cuprinol Decking Cleaner 2.5L</t>
  </si>
  <si>
    <t>Cuprinol Decking Grey-Away Restorer 2.5L</t>
  </si>
  <si>
    <t>Cuprinol Decking Stain Stripper 2.5L</t>
  </si>
  <si>
    <t>Cuprinol Ext Wood Preserver A/brown (bp) 5L</t>
  </si>
  <si>
    <t>Cuprinol Ext Wood Preserver Black (bp) 5L</t>
  </si>
  <si>
    <t>Cuprinol Ext Wood Preserver Chestnut (bp) 5L</t>
  </si>
  <si>
    <t>Cuprinol Ext Wood Preserver Gold Brown (bp) 5L</t>
  </si>
  <si>
    <t>Cuprinol Ext Wood Preserver Rust Green (bp) 5L</t>
  </si>
  <si>
    <t>Cuprinol Garden Shades Barleywood 1L</t>
  </si>
  <si>
    <t>Cuprinol Garden Shades Barleywood 2.5L</t>
  </si>
  <si>
    <t>Cuprinol Garden Shades Barleywood 5L</t>
  </si>
  <si>
    <t>Cuprinol Garden Shades Beach Blue 1L</t>
  </si>
  <si>
    <t>Cuprinol Garden Shades Beaumont Blue 1L</t>
  </si>
  <si>
    <t>Cuprinol Garden Shades Black Ash 2.5L</t>
  </si>
  <si>
    <t>Cuprinol Garden Shades Black Ash 5L</t>
  </si>
  <si>
    <t>Cuprinol Garden Shades Coastal Mist 1L</t>
  </si>
  <si>
    <t>Cuprinol Garden Shades Coastal Mist 2.5L</t>
  </si>
  <si>
    <t>Cuprinol Garden Shades Coastal Mist 5L</t>
  </si>
  <si>
    <t>Cuprinol Garden Shades Country Cream 1L</t>
  </si>
  <si>
    <t>Cuprinol Garden Shades Country Cream 2.5L</t>
  </si>
  <si>
    <t>Cuprinol Garden Shades Country Cream 5L</t>
  </si>
  <si>
    <t>Cuprinol Garden Shades Dazzling Yellow 1L</t>
  </si>
  <si>
    <t>Cuprinol Garden Shades Deep Russet 2.5L</t>
  </si>
  <si>
    <t>Cuprinol Garden Shades Dusky Gem 1L</t>
  </si>
  <si>
    <t>Cuprinol Garden Shades Dusky Gem 2.5L</t>
  </si>
  <si>
    <t>Cuprinol Garden Shades Forest Mushroom 2.5L</t>
  </si>
  <si>
    <t>Cuprinol Garden Shades Forget Me Not 1L</t>
  </si>
  <si>
    <t>Cuprinol Garden Shades Forget Me Not 2.5L</t>
  </si>
  <si>
    <t>Cuprinol Garden Shades Forget Me Nt 5L</t>
  </si>
  <si>
    <t>Cuprinol Garden Shades Fresh Rosemary 2.5L</t>
  </si>
  <si>
    <t>Cuprinol Garden Shades Heartwood 2.5L</t>
  </si>
  <si>
    <t>Cuprinol Garden Shades Iris 1L</t>
  </si>
  <si>
    <t>Cuprinol Garden Shades Lavender 2.5L</t>
  </si>
  <si>
    <t>Cuprinol Garden Shades Muted Clay 1L</t>
  </si>
  <si>
    <t>Cuprinol Garden Shades Muted Clay 2.5L</t>
  </si>
  <si>
    <t>Cuprinol Garden Shades Natural Stone 1L</t>
  </si>
  <si>
    <t>Cuprinol Garden Shades Natural Stone 2.5L</t>
  </si>
  <si>
    <t>Cuprinol Garden Shades Natural Stone 5L</t>
  </si>
  <si>
    <t>Cuprinol Garden Shades Old Eng Green 2.5L</t>
  </si>
  <si>
    <t>Cuprinol Garden Shades Olive Green 2.5L</t>
  </si>
  <si>
    <t>Cuprinol Garden Shades Pale Jasmine 1L</t>
  </si>
  <si>
    <t>Cuprinol Garden Shades Pale Jasmine 2.5L</t>
  </si>
  <si>
    <t>Cuprinol Garden Shades Pale Jasmine 5L</t>
  </si>
  <si>
    <t>Cuprinol Garden Shades Purple Pansy 1L</t>
  </si>
  <si>
    <t>Cuprinol Garden Shades Sage 1L</t>
  </si>
  <si>
    <t>Cuprinol Garden Shades Sage 2.5L</t>
  </si>
  <si>
    <t>Cuprinol Garden Shades Seagrass 1L</t>
  </si>
  <si>
    <t>Cuprinol Garden Shades Seagrass 2.5L</t>
  </si>
  <si>
    <t>Cuprinol Garden Shades Seagrass 5L</t>
  </si>
  <si>
    <t>Cuprinol Garden Shades Seasoned Oak 1L</t>
  </si>
  <si>
    <t>Cuprinol Garden Shades Seasoned Oak 2.5L</t>
  </si>
  <si>
    <t>Cuprinol Garden Shades Silver Birch 1L</t>
  </si>
  <si>
    <t>Cuprinol Garden Shades Silver Birch 2.5L</t>
  </si>
  <si>
    <t>Cuprinol Garden Shades Summer Damson 1L</t>
  </si>
  <si>
    <t>Cuprinol Garden Shades Summer Damson 2L</t>
  </si>
  <si>
    <t>Cuprinol Garden Shades Sunny Lime 1L</t>
  </si>
  <si>
    <t>Cuprinol Garden Shades Sweet Pea 1L</t>
  </si>
  <si>
    <t>Cuprinol Garden Shades Sweet Sundae 1L</t>
  </si>
  <si>
    <t>Cuprinol Garden Shades Terracotta 1L</t>
  </si>
  <si>
    <t>Cuprinol Garden Shades Tinted Colours 1L</t>
  </si>
  <si>
    <t>Cuprinol Garden Shades Tinted Colours 2.5L</t>
  </si>
  <si>
    <t>Cuprinol Garden Shades Urban Slate 2.5L</t>
  </si>
  <si>
    <t>Cuprinol Garden Shades White Daisy 2.5L</t>
  </si>
  <si>
    <t>Cuprinol Garden Shades Wild Thyme 1L</t>
  </si>
  <si>
    <t>Cuprinol Garden Shades Wild Thyme 2.5L</t>
  </si>
  <si>
    <t>Cuprinol Garden Shades Wild Thyme 5L</t>
  </si>
  <si>
    <t>Cuprinol Garden Shades Willow 1L</t>
  </si>
  <si>
    <t>Cuprinol Garden Shades Willow 2.5L</t>
  </si>
  <si>
    <t>Cuprinol Garden Shades Willow 5L</t>
  </si>
  <si>
    <t>Cuprinol QD Cladding &amp; Fence Opq Autumn Cedar 10L</t>
  </si>
  <si>
    <t>Cuprinol QD Cladding &amp; Fence Opq Black 10L</t>
  </si>
  <si>
    <t>Cuprinol QD Cladding &amp; Fence Opq Dk Oak 10L</t>
  </si>
  <si>
    <t>Cuprinol QD Cladding &amp; Fence Opq Moor Green 10L</t>
  </si>
  <si>
    <t>Cuprinol QD Cladding &amp; Fence Opq Rich Brown 10L</t>
  </si>
  <si>
    <t>Cuprinol QD Cladding &amp; Fence Opq Rustic Walnut 10L</t>
  </si>
  <si>
    <t>Cuprinol Total Deck 2.5L</t>
  </si>
  <si>
    <t>Cuprinol Total Deck 5L</t>
  </si>
  <si>
    <t>Cuprinol Ultimate Garden Wood Preserver Autumn Brown 4L</t>
  </si>
  <si>
    <t>Cuprinol Ultimate Garden Wood Preserver Country Oak 4L</t>
  </si>
  <si>
    <t>Cuprinol Ultimate Garden Wood Preserver Golden Cedar 4L</t>
  </si>
  <si>
    <t>Cuprinol Ultimate Garden Wood Preserver Golden Oak 4L</t>
  </si>
  <si>
    <t>Cuprinol Ultimate Garden Wood Preserver Red Cedar 4L</t>
  </si>
  <si>
    <t>Cuprinol Ultimate Garden Wood Preserver Spruce Green 4L</t>
  </si>
  <si>
    <t>Cuprinol Ultimate Repair Hardener 500ML</t>
  </si>
  <si>
    <t>Cuprinol Ultra Tough Woodfiller Nat 250G</t>
  </si>
  <si>
    <t>Cuprinol Ultra Tough Woodfiller Nat 500G</t>
  </si>
  <si>
    <t>Cuprinol Ultra Tough Woodfiller Nat 750G</t>
  </si>
  <si>
    <t>Cuprinol Ultra Tough Woodfiller White 250G</t>
  </si>
  <si>
    <t>Cuprinol Ultra Tough Woodfiller White 500G</t>
  </si>
  <si>
    <t>Cuprinol Ultra Tough Woodfiller White 750G</t>
  </si>
  <si>
    <t>Cuprinol UV Guard Decking Oil N/oak 5L</t>
  </si>
  <si>
    <t>Cuprinol UV Guard Decking Oil Nat 5L</t>
  </si>
  <si>
    <t>Cuprinol UV Guard Decking Oil Natural 2.5L</t>
  </si>
  <si>
    <t>Cuprinol UV Guard Decking Oil Natural Oak 2.5L</t>
  </si>
  <si>
    <t>Cuprinol Wood Preserver Clear (BP) 5L</t>
  </si>
  <si>
    <t>Cuprinol Wood Preserver Clear (WB) 5L</t>
  </si>
  <si>
    <t>DT W/SDT W/Shield Preservative Primer 2.5L</t>
  </si>
  <si>
    <t>DT W/Shield Preservative Primer 1L</t>
  </si>
  <si>
    <t>Dulux TR A/Graf C/coat Activ 1.09L</t>
  </si>
  <si>
    <t>Dulux TR A/Graf Clearcoat Fin 3.9L</t>
  </si>
  <si>
    <t>Dulux TR A/Graf Prmr Actvr 1L</t>
  </si>
  <si>
    <t>Dulux TR A/Graf Prmr Base White 4L</t>
  </si>
  <si>
    <t>Dulux TR Acrylic Gloss PBW 5L</t>
  </si>
  <si>
    <t>Dulux TR Acrylic Gloss Tinted Colours 2.5L</t>
  </si>
  <si>
    <t>Dulux TR Alkali Res Primer 1L</t>
  </si>
  <si>
    <t>Dulux TR Alkali Resistant Primer 5L</t>
  </si>
  <si>
    <t>Dulux TR All Purpose Primer 1L</t>
  </si>
  <si>
    <t>Dulux TR All Purpose Primer 2.5L</t>
  </si>
  <si>
    <t>Dulux TR Aluminium Paint 2.5L</t>
  </si>
  <si>
    <t>Dulux TR Aluminium Paint 5L</t>
  </si>
  <si>
    <t>Dulux TR Aluminium Wood Primer 1L</t>
  </si>
  <si>
    <t>Dulux TR Aluminium Wood Primer 2.5L</t>
  </si>
  <si>
    <t>Dulux TR Aluminium Wood Primer 5L</t>
  </si>
  <si>
    <t>Dulux TR Blockfiller Plus 10L</t>
  </si>
  <si>
    <t>Dulux TR Cladshield Tinted Colours 5L</t>
  </si>
  <si>
    <t>Dulux TR Class W/Stain Tinted Colours 1L</t>
  </si>
  <si>
    <t>Dulux TR Class W/Stain Tinted Colours 2.5L</t>
  </si>
  <si>
    <t>Dulux TR Class W/Stain Tinted Colours 5L</t>
  </si>
  <si>
    <t>Dulux TR Classic Select Woodstain Light Oak 1L</t>
  </si>
  <si>
    <t>Dulux TR Classic Select Woodstain Light Oak 2.5L</t>
  </si>
  <si>
    <t>Dulux TR Classic Select Woodstain Light Oak 5L</t>
  </si>
  <si>
    <t>Dulux TR Classic Select Woodstain Rich Mahogany 1L</t>
  </si>
  <si>
    <t>Dulux TR Classic Select Woodstain Rich Mahogany 2.5L</t>
  </si>
  <si>
    <t>Dulux TR Classic Select Woodstain Rich Mahogany 5L</t>
  </si>
  <si>
    <t>Dulux TR Classic Select Woodstain Rosewood 2.5L</t>
  </si>
  <si>
    <t>Dulux TR Classic Select Woodstain Rosewood 5L</t>
  </si>
  <si>
    <t>Dulux TR Classic Select Woodstain Teak 1L</t>
  </si>
  <si>
    <t>Dulux TR Classic Select Woodstain Teak 2.5L</t>
  </si>
  <si>
    <t>Dulux TR Classic Select Woodstain Teak 5L</t>
  </si>
  <si>
    <t>Dulux TR Colour Sampler Tinted Colours 250ML</t>
  </si>
  <si>
    <t>Dulux TR Danish Oil Clear 1L</t>
  </si>
  <si>
    <t>Dulux TR Danish Oil Clear 2.5L</t>
  </si>
  <si>
    <t>Dulux TR Diamond Glaze Gloss 1L</t>
  </si>
  <si>
    <t>Dulux TR Diamond Glaze Gloss 2.5L</t>
  </si>
  <si>
    <t>Dulux TR Diamond Glaze Gloss 5L</t>
  </si>
  <si>
    <t>Dulux TR Diamond Glaze Satin 1L</t>
  </si>
  <si>
    <t>Dulux TR Diamond Glaze Satin 2.5L</t>
  </si>
  <si>
    <t>Dulux TR Diamond Glaze Satin 5L</t>
  </si>
  <si>
    <t>Dulux TR Diamond Glaze Tinted Colours 1L</t>
  </si>
  <si>
    <t>Dulux TR Diamond Glaze Yellow Tinted Colours 2.5L</t>
  </si>
  <si>
    <t>Dulux TR Dry Fall Eggshell 10L</t>
  </si>
  <si>
    <t>Dulux TR Eggshell PBW 2.5L</t>
  </si>
  <si>
    <t>Dulux TR Eggshell PBW 5L</t>
  </si>
  <si>
    <t>Dulux TR Eggshell Tinted Colours 1L</t>
  </si>
  <si>
    <t>Dulux TR Eggshell Tinted Colours 2.5L</t>
  </si>
  <si>
    <t>Dulux TR Eggshell Tinted Colours 5L</t>
  </si>
  <si>
    <t>Dulux TR Eggshell White 2.5L</t>
  </si>
  <si>
    <t>Dulux TR Eggshell White 5L</t>
  </si>
  <si>
    <t>Dulux TR Evolve Matt White 5L</t>
  </si>
  <si>
    <t>Dulux TR F/shield Ash Grey 5L</t>
  </si>
  <si>
    <t>Dulux TR F/shield Tinted Colours 5L</t>
  </si>
  <si>
    <t>Dulux TR Flat Matt Tinted Colours 2.5L</t>
  </si>
  <si>
    <t>Dulux TR Flat Matt Tinted Colours 5L</t>
  </si>
  <si>
    <t>Dulux TR Flat Matt White 5L</t>
  </si>
  <si>
    <t>Dulux TR Heritage Eggshell Tint Col 2.5L</t>
  </si>
  <si>
    <t>Dulux TR Heritage Eggshell Tint Col 750ml</t>
  </si>
  <si>
    <t>Dulux TR Heritage Matt Tint Col 1L</t>
  </si>
  <si>
    <t>Dulux TR Heritage Matt Tint Col 2.5L</t>
  </si>
  <si>
    <t>Dulux TR Heritage Matt Tint Col 5L</t>
  </si>
  <si>
    <t>Dulux TR HP Floor Paint Activor 3.22L</t>
  </si>
  <si>
    <t>Dulux TR HP Floor Paint G/wing 1.78L</t>
  </si>
  <si>
    <t>Dulux TR HP Floor Paint Tidewy 1.78L</t>
  </si>
  <si>
    <t>Dulux TR L/marking Paint White 5L</t>
  </si>
  <si>
    <t>Dulux TR L/marking Paint Yellow 5L</t>
  </si>
  <si>
    <t>Dulux TR M/Shield Gloss Gold 1L</t>
  </si>
  <si>
    <t>Dulux TR M/Shield Gloss Silver 1L</t>
  </si>
  <si>
    <t>Dulux TR M/Shield Gloss Tinted Colours 1L</t>
  </si>
  <si>
    <t>Dulux TR M/Shield Gloss Tinted Colours 2.5L</t>
  </si>
  <si>
    <t>Dulux TR M/Shield Gloss Tinted Colours 5L</t>
  </si>
  <si>
    <t>Dulux TR M/Shield Gloss White 1L</t>
  </si>
  <si>
    <t>Dulux TR M/Shield Gloss White 2.5L</t>
  </si>
  <si>
    <t>Dulux TR M/Shield Gloss White 5L</t>
  </si>
  <si>
    <t>Dulux TR M/Shield Satin Black 2.5L</t>
  </si>
  <si>
    <t>Dulux TR M/Shield Satin Black 5L</t>
  </si>
  <si>
    <t>Dulux TR M/Shield Satin Tinted Colours 2.5L</t>
  </si>
  <si>
    <t>Dulux TR M/Shield Satin Tinted Colours 5L</t>
  </si>
  <si>
    <t>Dulux TR M/Shield Satin White 5L</t>
  </si>
  <si>
    <t>Dulux TR M/Shield Zinc Phosphate Primer 1L</t>
  </si>
  <si>
    <t>Dulux TR M/Shield Zinc Phosphate Primer 5L</t>
  </si>
  <si>
    <t>Dulux TR Mdf Primer/undercoat 2.5L</t>
  </si>
  <si>
    <t>Dulux TR Metalshield Gloss Black 1L</t>
  </si>
  <si>
    <t>Dulux TR Metalshield Gloss Black 2.5L</t>
  </si>
  <si>
    <t>Dulux TR Metalshield Gloss Black 5L</t>
  </si>
  <si>
    <t>Dulux TR Mordant Solution 2.5L</t>
  </si>
  <si>
    <t>Dulux TR Mouldshield Fungicidal Eggshell PBW 5L</t>
  </si>
  <si>
    <t>Dulux TR Mouldshield Fungicidal Matt PBW 5L</t>
  </si>
  <si>
    <t>Dulux TR Mouldshield Fungicidal Matt Tint Colours 5L</t>
  </si>
  <si>
    <t>Dulux TR Poly Varnish Gloss 1L</t>
  </si>
  <si>
    <t>Dulux TR Poly Varnish Gloss 2.5L</t>
  </si>
  <si>
    <t>Dulux TR Poly Varnish Gloss 5L</t>
  </si>
  <si>
    <t>Dulux TR Poly Varnish Matt 2.5L</t>
  </si>
  <si>
    <t>Dulux TR Poly Varnish Satin 1L</t>
  </si>
  <si>
    <t>Dulux TR Poly Varnish Satin 2.5L</t>
  </si>
  <si>
    <t>Dulux TR Poly Varnish Satin 5L</t>
  </si>
  <si>
    <t>Dulux TR Prot W/Sheen Lt Oak 1L</t>
  </si>
  <si>
    <t>Dulux TR Prot W/Sheen Lt Oak 2.5L</t>
  </si>
  <si>
    <t>Dulux TR Prot W/Sheen Lt Oak 5L</t>
  </si>
  <si>
    <t>Dulux TR Prot W/Sheen R/mahog 1L</t>
  </si>
  <si>
    <t>Dulux TR Prot W/Sheen R/mahog 2.5L</t>
  </si>
  <si>
    <t>Dulux TR Prot W/Sheen R/mahog 5L</t>
  </si>
  <si>
    <t>Dulux TR Prot W/Sheen R/wood 1L</t>
  </si>
  <si>
    <t>Dulux TR Prot W/Sheen R/wood 2.5L</t>
  </si>
  <si>
    <t>Dulux TR Prot W/Sheen Teak 1L</t>
  </si>
  <si>
    <t>Dulux TR Prot W/Sheen Teak 2.5L</t>
  </si>
  <si>
    <t>Dulux TR Prot W/Sheen Teak 5L</t>
  </si>
  <si>
    <t>Dulux TR Prot W/Sheen Tint Colours 1L</t>
  </si>
  <si>
    <t>Dulux TR Prot W/Sheen Tint Colours 2.5L</t>
  </si>
  <si>
    <t>Dulux TR Prot W/Sheen Tint Colours 5L</t>
  </si>
  <si>
    <t>Dulux TR Prot W/Sheen Walnut 1L</t>
  </si>
  <si>
    <t>Dulux TR Prot W/Sheen Walnut 2.5L</t>
  </si>
  <si>
    <t>Dulux TR QD Opaque Black 1L</t>
  </si>
  <si>
    <t>Dulux TR QD Opaque Black 2.5L</t>
  </si>
  <si>
    <t>Dulux TR QD Opaque Black 5L</t>
  </si>
  <si>
    <t>Dulux TR QD Opaque Tinted Colours 1L</t>
  </si>
  <si>
    <t>Dulux TR QD Opaque Tinted Colours 2.5L</t>
  </si>
  <si>
    <t>Dulux TR QD Opaque Tinted Colours 5L</t>
  </si>
  <si>
    <t>Dulux TR QD Opaque White 1L</t>
  </si>
  <si>
    <t>Dulux TR QD Opaque White 2.5L</t>
  </si>
  <si>
    <t>Dulux TR QD Opaque White 5L</t>
  </si>
  <si>
    <t>Dulux TR QD Varn Tinted Colours 2.5L</t>
  </si>
  <si>
    <t>Dulux TR QD Varnish Gloss 1L</t>
  </si>
  <si>
    <t>Dulux TR QD Varnish Gloss 2.5L</t>
  </si>
  <si>
    <t>Dulux TR QD Varnish Satin 1L</t>
  </si>
  <si>
    <t>Dulux TR QD Varnish Satin 2.5L</t>
  </si>
  <si>
    <t>Dulux TR QD Varnish Tinted Colours 1L</t>
  </si>
  <si>
    <t>Dulux TR QD WD Primer U/Coat 1L</t>
  </si>
  <si>
    <t>Dulux TR QD WD Primer U/Coat 2.5L</t>
  </si>
  <si>
    <t>Dulux TR QD WD Primer U/Coat 5L</t>
  </si>
  <si>
    <t>Dulux TR QD Woodstain Tinted Colours 1L</t>
  </si>
  <si>
    <t>Dulux TR QD Woodstain Tinted Colours 2.5L</t>
  </si>
  <si>
    <t>Dulux TR QD Woodstain Tinted Colours 5L</t>
  </si>
  <si>
    <t>Dulux TR S/sheen Magnolia 5L</t>
  </si>
  <si>
    <t>Dulux TR S/sheen PBW 5L</t>
  </si>
  <si>
    <t>Dulux TR S/sheen Tinted Colours 1L</t>
  </si>
  <si>
    <t>Dulux TR S/sheen Tinted Colours 2.5L</t>
  </si>
  <si>
    <t>Dulux TR S/sheen Tinted Colours 5L</t>
  </si>
  <si>
    <t>Dulux TR S/shield D/Matt Tint Colours 5L</t>
  </si>
  <si>
    <t>Dulux TR S/shield Diamond Matt PBW 5L</t>
  </si>
  <si>
    <t>Dulux TR S/shield QD E/s Tint Colours 5L</t>
  </si>
  <si>
    <t>Dulux TR S/shield QD E/shell PBW 5L</t>
  </si>
  <si>
    <t>Dulux TR Stain Block Plus 1L</t>
  </si>
  <si>
    <t>Dulux TR Stain Block Plus 2.5L</t>
  </si>
  <si>
    <t>Dulux TR Stain Block Plus 5L</t>
  </si>
  <si>
    <t>Dulux TR Super Grip Primer 1L</t>
  </si>
  <si>
    <t>Dulux TR Super Grip Primer 2.5L</t>
  </si>
  <si>
    <t>Dulux TR Super Grip Primer 5L</t>
  </si>
  <si>
    <t>Dulux TR Ultra Grip Prmr Actvr 0.2L</t>
  </si>
  <si>
    <t>Dulux TR Ultra Grip Prmr Base 0.8L</t>
  </si>
  <si>
    <t>Dulux TR V/Silk Magnolia 10L</t>
  </si>
  <si>
    <t>Dulux TR V/Silk Magnolia 5L</t>
  </si>
  <si>
    <t>Dulux TR V/Silk PBW 10L</t>
  </si>
  <si>
    <t>Dulux TR V/Silk PBW 2.5L</t>
  </si>
  <si>
    <t>Dulux TR V/Silk PBW 5L</t>
  </si>
  <si>
    <t>Dulux TR V/Silk Tinted Colours 10L</t>
  </si>
  <si>
    <t>Dulux TR V/Silk Tinted Colours 1L</t>
  </si>
  <si>
    <t>Dulux TR V/Silk Tinted Colours 2.5L</t>
  </si>
  <si>
    <t>Dulux TR V/Silk Tinted Colours 5L</t>
  </si>
  <si>
    <t>Dulux TR V/Silk White 10L</t>
  </si>
  <si>
    <t>Dulux TR V/Silk White 5L</t>
  </si>
  <si>
    <t>Dulux TR W/S Aqua Pres B/coat+ 1L</t>
  </si>
  <si>
    <t>Dulux TR W/S Ext Flex Filler 450G</t>
  </si>
  <si>
    <t>Dulux TR W/S M/surf Fung Wash 5L</t>
  </si>
  <si>
    <t>Dulux TR W/S Msnry Gloss Rpcrm 5L</t>
  </si>
  <si>
    <t>Dulux TR W/S Preserve Primer 1L</t>
  </si>
  <si>
    <t>Dulux TR W/S Preserve Primer 2.5L</t>
  </si>
  <si>
    <t>Dulux TR W/S Ult Opq Black 1L</t>
  </si>
  <si>
    <t>Dulux TR W/S Ult Opq Black 2.5L</t>
  </si>
  <si>
    <t>Dulux TR W/S Ult Opq Black 5L</t>
  </si>
  <si>
    <t>Dulux TR W/S Ult Opq Tint Colours 1L</t>
  </si>
  <si>
    <t>Dulux TR W/S Ult Opq Tint Colours 2.5L</t>
  </si>
  <si>
    <t>Dulux TR W/S Ult Opq Tint Colours 5L</t>
  </si>
  <si>
    <t>Dulux TR W/S Ult Opq White 1L</t>
  </si>
  <si>
    <t>Dulux TR W/S Ult Opq White 2.5L</t>
  </si>
  <si>
    <t>Dulux TR W/S Ult Opq White 5L</t>
  </si>
  <si>
    <t>Dulux TR W/S Ult W/Stn Ebony 1L</t>
  </si>
  <si>
    <t>Dulux TR W/S Ult W/Stn Ebony 2.5L</t>
  </si>
  <si>
    <t>Dulux TR W/S Ult W/Stn Ebony 5L</t>
  </si>
  <si>
    <t>Dulux TR W/S Ult W/Stn R/mahg 1L</t>
  </si>
  <si>
    <t>Dulux TR W/S Ult W/Stn R/mahg 2.5L</t>
  </si>
  <si>
    <t>Dulux TR W/S Ult W/Stn R/mahg 5L</t>
  </si>
  <si>
    <t>Dulux TR W/S Ult W/Stn R/wood 1L</t>
  </si>
  <si>
    <t>Dulux TR W/S Ult W/Stn R/wood 2.5L</t>
  </si>
  <si>
    <t>Dulux TR W/S Ult W/Stn R/wood 5L</t>
  </si>
  <si>
    <t>Dulux TR W/S Ult W/Stn Teak 1L</t>
  </si>
  <si>
    <t>Dulux TR W/S Ult W/Stn Teak 2.5L</t>
  </si>
  <si>
    <t>Dulux TR W/S Ult W/Stn Teak 5L</t>
  </si>
  <si>
    <t>Dulux TR W/S Ult W/Stn Tnt Colours 1L</t>
  </si>
  <si>
    <t>Dulux TR W/S Ult W/Stn Tnt Colours 2.5L</t>
  </si>
  <si>
    <t>Dulux TR W/S Ult W/Stn Tnt Colours 5L</t>
  </si>
  <si>
    <t>Dulux TR W/S Ult W/Stn W/nut 1L</t>
  </si>
  <si>
    <t>Dulux TR W/S Ult W/Stn W/nut 2.5L</t>
  </si>
  <si>
    <t>Dulux TR W/S Ult W/Stn W/nut 5L</t>
  </si>
  <si>
    <t>Dulux TR W/S Yacht Varnish 1L</t>
  </si>
  <si>
    <t>Dulux TR W/S Yacht Varnish 2.5L</t>
  </si>
  <si>
    <t>Dulux TR W/Shield Stabilising Primer 5L</t>
  </si>
  <si>
    <t>Dulux TR Wood Primer White 1L</t>
  </si>
  <si>
    <t>Dulux TR Wood Primer White 2.5L</t>
  </si>
  <si>
    <t>Dulux TR Wood Primer White 5L</t>
  </si>
  <si>
    <t>Sikkens Rubbol AZ Plus White 5L</t>
  </si>
  <si>
    <t>Sikkens Rubbol Primer Plus White 5L</t>
  </si>
  <si>
    <t>Repair Care Brushes 12 Pack</t>
  </si>
  <si>
    <t>Repair Care Dry Fix UNI</t>
  </si>
  <si>
    <t>Repair Care Dry Flex 1 2-IN-1</t>
  </si>
  <si>
    <t>Repair Care Dry Flex 16</t>
  </si>
  <si>
    <t>Repair Care Dry Flex 4 2-IN-1 A</t>
  </si>
  <si>
    <t>Repair Care Dry Flex 4 A&amp;B</t>
  </si>
  <si>
    <t>Repair Care Dry Flex Bio allround A+B</t>
  </si>
  <si>
    <t>Repair Care Dry Flex SF 2-in-1</t>
  </si>
  <si>
    <t>Repair Care Dry Seal MP</t>
  </si>
  <si>
    <t>Repair Care Easy Q Lightweight Pistol</t>
  </si>
  <si>
    <t>Repair Care Gloves Xl Each</t>
  </si>
  <si>
    <t>Repair Care Plastic Knife Set Each</t>
  </si>
  <si>
    <t>Repair Care Scraper Blades 5 Pack</t>
  </si>
  <si>
    <t>Zinsser B-i-n 1L</t>
  </si>
  <si>
    <t>Zinsser B-i-n 2.5L</t>
  </si>
  <si>
    <t>Zinsser B-i-n 400ML</t>
  </si>
  <si>
    <t>Zinsser B-i-n 500ML</t>
  </si>
  <si>
    <t>Zinsser B-i-n 5L</t>
  </si>
  <si>
    <t>Zinsser Bulls Eye 1-2-3 1L</t>
  </si>
  <si>
    <t>Zinsser Bulls Eye 1-2-3 2.5L</t>
  </si>
  <si>
    <t>Zinsser Bulls Eye 1-2-3 500ML</t>
  </si>
  <si>
    <t>Zinsser Bulls Eye 1-2-3 5L</t>
  </si>
  <si>
    <t>Zinsser Cover Stain 1L</t>
  </si>
  <si>
    <t>Zinsser Cover Stain 2.5L</t>
  </si>
  <si>
    <t>Zinsser Cover Stain 500ML</t>
  </si>
  <si>
    <t>Zinsser Cover Stain 5L</t>
  </si>
  <si>
    <t>Zinsser Cover Stain Aerosol 400ML</t>
  </si>
  <si>
    <t>16134 Super Fresco Hessian</t>
  </si>
  <si>
    <t>205 Super Fresco Stipple</t>
  </si>
  <si>
    <t>284 Super Fresco String</t>
  </si>
  <si>
    <t>321 Super Fresco Swirl</t>
  </si>
  <si>
    <t>390 Super Fresco Waterfall</t>
  </si>
  <si>
    <t>3M 2071 Sensitive Paint Tape 36MMx50M</t>
  </si>
  <si>
    <t>3M 2071 Sensitive Paint Tape 48MMx50M</t>
  </si>
  <si>
    <t>3M 244 Gold Precision Tape 24MM</t>
  </si>
  <si>
    <t>3M 244 Gold Precision Tape 36MM</t>
  </si>
  <si>
    <t>3M Prof Masking Tape 2070 1 Roll 24mm x 50m</t>
  </si>
  <si>
    <t>3M Scotch 2060 Pro Mask Tape 24MMx50M</t>
  </si>
  <si>
    <t>3M Scotch 2060 Pro Mask Tape 36MMx50M</t>
  </si>
  <si>
    <t>3M Scotch 2060 Pro Mask Tape 48MMx50M</t>
  </si>
  <si>
    <t>3M Scotch 2090 Pro Mask Tape 24MMx50M</t>
  </si>
  <si>
    <t>3M Scotch 2090 Pro Mask Tape 36MMx50M</t>
  </si>
  <si>
    <t>3M Scotch 2090 Pro Mask Tape 48MMx50M</t>
  </si>
  <si>
    <t>4617-Italian Glamour-Blue</t>
  </si>
  <si>
    <t>6765-10-Imagine-Beige</t>
  </si>
  <si>
    <t>6766-50-Imagine-Beige</t>
  </si>
  <si>
    <t>6769-10-Imagine-Silver/Grey</t>
  </si>
  <si>
    <t>6769-80-Imagine-Pink</t>
  </si>
  <si>
    <t>726 Super Fresco Bark</t>
  </si>
  <si>
    <t>Advanced Aluminium Oxide Roll 120G 10M</t>
  </si>
  <si>
    <t>Advanced Aluminium Oxide Roll 60G 10M</t>
  </si>
  <si>
    <t>Advanced Aluminium Oxide Roll 80G 10M</t>
  </si>
  <si>
    <t>Advanced Bamboo Handle Cage Frame 9IN</t>
  </si>
  <si>
    <t>Advanced Between Coats Roll 180G 10M</t>
  </si>
  <si>
    <t>Advanced Between Coats Roll 240G 10M</t>
  </si>
  <si>
    <t>Advanced Between Coats Roll 320G 10M</t>
  </si>
  <si>
    <t>Advanced Duo Dust Sheet 12x9FT</t>
  </si>
  <si>
    <t>Advanced Duo Dust Sheet 25x3FT</t>
  </si>
  <si>
    <t>Advanced Duo Mini Dust Sheet 6X3FT</t>
  </si>
  <si>
    <t>Advanced Glosser Flock Fibre Sleeve 2PK 4IN</t>
  </si>
  <si>
    <t>Advanced High Density Concave Foam Sleeve 10PK 4IN</t>
  </si>
  <si>
    <t>Advanced Long Pile Padded Sleeve 9IN</t>
  </si>
  <si>
    <t>Advanced Scale Tang Filling Knife 1IN F/CERT</t>
  </si>
  <si>
    <t>Advanced Scale Tang Filling Knife 2IN F/CERT</t>
  </si>
  <si>
    <t>Advanced Scale Tang Filling Knife 3IN F/CERT</t>
  </si>
  <si>
    <t>Advanced Scale Tang Filling Knife 4IN F/CERT</t>
  </si>
  <si>
    <t>Advanced Scale Tang Stripping Knife 2IN F/CERT</t>
  </si>
  <si>
    <t>Advanced Scale Tang Stripping Knife 3IN F/CERT</t>
  </si>
  <si>
    <t>Advanced Sheepskin Sleeve 12IN</t>
  </si>
  <si>
    <t>Advanced Sheepskin Sleeve 9IN</t>
  </si>
  <si>
    <t>Advanced Simulated Mohair Sleeve 10PK 4IN</t>
  </si>
  <si>
    <t>Advanced Simulated Mohair Sleeve 9IN</t>
  </si>
  <si>
    <t>B/line A/purp Adhesive 30roll EACH</t>
  </si>
  <si>
    <t>B/line One Time Filler 1L</t>
  </si>
  <si>
    <t>B/line One Time Filler 25%ext 5L</t>
  </si>
  <si>
    <t>B/line One Time Filler 4L</t>
  </si>
  <si>
    <t>B/line R/mix Vinyl Adhesive 9KG</t>
  </si>
  <si>
    <t>B/mate Drip Mat Service Pack EACH</t>
  </si>
  <si>
    <t>Barrettine Black Bitumen 5L</t>
  </si>
  <si>
    <t>Barrettine Paint&amp;varn Remover 4L</t>
  </si>
  <si>
    <t>Barrettine Patent Knotting 500ML</t>
  </si>
  <si>
    <t>Barrettine Peelaway 1 15KG</t>
  </si>
  <si>
    <t>Barrettine Peelaway 7 10KG</t>
  </si>
  <si>
    <t>Barrettine White Knotting 250ML</t>
  </si>
  <si>
    <t>Bartoline Brush Cleaner 2L</t>
  </si>
  <si>
    <t>Bartoline Brush Cleaner 500ML</t>
  </si>
  <si>
    <t>Bartoline Clean Spirit 750ML</t>
  </si>
  <si>
    <t>Bartoline Methylated Spirits 500ML</t>
  </si>
  <si>
    <t>Bartoline Premium Low Odour White Spirit 2L</t>
  </si>
  <si>
    <t>Bartoline Sugar Soap Liquid Concentrate 500ML</t>
  </si>
  <si>
    <t>Bartoline Sugar Soap Spray 500ml</t>
  </si>
  <si>
    <t>Bartoline Turpentine Substitute 2L</t>
  </si>
  <si>
    <t>Bartoline Turpentine Substitute 4L</t>
  </si>
  <si>
    <t>Bartoline White Spirit BS 245 2L</t>
  </si>
  <si>
    <t>Bartoline White Spirit BS 245 4L</t>
  </si>
  <si>
    <t>Basics C/lock Extsn Pole 4-9ft EACH</t>
  </si>
  <si>
    <t>Bedec Barn Paint Matt Black 5L</t>
  </si>
  <si>
    <t>Bedec Barn Paint Satin Black 5L</t>
  </si>
  <si>
    <t>Bedec Barn Paint Semi-Gloss Black 5L</t>
  </si>
  <si>
    <t>Bedec Barn Paint Semi-Gloss White 5L</t>
  </si>
  <si>
    <t>Bedec Msp Gloss Black 2.5L</t>
  </si>
  <si>
    <t>Bedec Msp Gloss White 2.5L</t>
  </si>
  <si>
    <t>Bedec MSP Matt Black 250ml</t>
  </si>
  <si>
    <t>Bedec MSP Matt White 250ml</t>
  </si>
  <si>
    <t>Bedec Msp Satin Black 2.5L</t>
  </si>
  <si>
    <t>Bedec MSP Satin Black 250ml</t>
  </si>
  <si>
    <t>Bedec Msp Satin White 2.5L</t>
  </si>
  <si>
    <t>Bedec MSP Satin White 250ml</t>
  </si>
  <si>
    <t>Beeline Ready To Use Wallpaper Adhesive - 10kg</t>
  </si>
  <si>
    <t>Big Wipes Heavy Duty 4x4 Red cap 80 Wipes</t>
  </si>
  <si>
    <t>Big Wipes Multi-Purpose 120 Pro Pack</t>
  </si>
  <si>
    <t>Big Wipes Power Spray 4x4 1L</t>
  </si>
  <si>
    <t>Blackfriar Danish Oil 500ML</t>
  </si>
  <si>
    <t>Blackfriar Ext Varnish Clear Satin 1L</t>
  </si>
  <si>
    <t>Blackfriar Ext Varnish Clear Satin 2.5L</t>
  </si>
  <si>
    <t>Blackfriar Line Mark Yellow 1L</t>
  </si>
  <si>
    <t>Blackfriar Pro Anti-slip Floor Paint Light Grey 5L</t>
  </si>
  <si>
    <t>blackfriar Pro Anti-slip Floor Paint Mid Grey 5L</t>
  </si>
  <si>
    <t>Blackfriar PU Floor Paint - Mid Grey 5LT</t>
  </si>
  <si>
    <t>Blackfriar QD Int Varnish Clear Matt 1L</t>
  </si>
  <si>
    <t>Blackfriar QD Int Varnish Clear Matt 2.5L</t>
  </si>
  <si>
    <t>Blockade White Shellac Sealer Primer 1Ltrs</t>
  </si>
  <si>
    <t>Blockade White Shellac Sealer Primer 2.5Ltrs</t>
  </si>
  <si>
    <t>Blockade White Shellac Sealer Primer 5Ltrs</t>
  </si>
  <si>
    <t>Blue Centre Feed Rolls 2 Ply 375 Sheets Blue</t>
  </si>
  <si>
    <t>Bonda Decofill 1.5KG</t>
  </si>
  <si>
    <t>Bostik A750 Exterior Caulk</t>
  </si>
  <si>
    <t>Bostik A980 Instantly Paintable Caulk</t>
  </si>
  <si>
    <t>Bostik GP PVA 5L</t>
  </si>
  <si>
    <t>Bostik S765 Silicone Premium N white</t>
  </si>
  <si>
    <t>Brush Mate 4 Plus</t>
  </si>
  <si>
    <t>Brush Mate Fluid 250ml</t>
  </si>
  <si>
    <t>Brush Mate Trade 20</t>
  </si>
  <si>
    <t>Coo-Var Acrylic Floor Paint Flint Grey 5L</t>
  </si>
  <si>
    <t>Coo-Var Anti Condens Paint 2.5L</t>
  </si>
  <si>
    <t>Coo-Var Anti Damp Paint 1L</t>
  </si>
  <si>
    <t>Coo-Var Anti-Slip Acrylic Floor Paint Grey 5L</t>
  </si>
  <si>
    <t>Coo-Var Dampshield Grey 00 A 05 5kg</t>
  </si>
  <si>
    <t>Coo-Var Line Mark Aero Yellow 750ML</t>
  </si>
  <si>
    <t>Coo-Var Matt Black 1L</t>
  </si>
  <si>
    <t>Coo-Var Matt Black 2.5L</t>
  </si>
  <si>
    <t>Coo-Var Profloor Grey 5L</t>
  </si>
  <si>
    <t>Coo-Var Profloor Light Grey 00 A 05 5L</t>
  </si>
  <si>
    <t>Coo-Var Vandalene Black 4KG</t>
  </si>
  <si>
    <t>Coreflex Scuttle Liners 10pk EACH</t>
  </si>
  <si>
    <t>Cuprinol 5 Year Ducksback Forest Green 5L</t>
  </si>
  <si>
    <t>Cuprinol 5 Year Ducksback Forest Oak 5L</t>
  </si>
  <si>
    <t>Cuprinol 5 Year Ducksback H/brown 5L</t>
  </si>
  <si>
    <t>Cuprinol 5 Year Ducksback S/Copse 5L</t>
  </si>
  <si>
    <t>DDC 1000 Double Lining paper</t>
  </si>
  <si>
    <t>DDC 1000 Quadruple Lining Paper - 4 Rolls</t>
  </si>
  <si>
    <t>DDC 1200 Double Lining Paper</t>
  </si>
  <si>
    <t>DDC 1400 Double Lining Paper</t>
  </si>
  <si>
    <t>DDC 800 Double Lining Paper</t>
  </si>
  <si>
    <t>DDC All Purpose Cage Frame 9IN</t>
  </si>
  <si>
    <t>DDC All Purpose Paint Kettle 1L</t>
  </si>
  <si>
    <t>DDC All Purpose Paint Kettle 2.5L</t>
  </si>
  <si>
    <t>DDC All Purpose Paint Kettle 5L</t>
  </si>
  <si>
    <t>DDC All Purpose Paint Kettle Lid 1L</t>
  </si>
  <si>
    <t>DDC All Purpose Paint Kettle Lid 2.5L</t>
  </si>
  <si>
    <t>DDC All Purpose Paint Kettle Lid 5L</t>
  </si>
  <si>
    <t>DDC All Purpose Roller Tray 4IN</t>
  </si>
  <si>
    <t>DDC All Purpose Roller Tray 9IN</t>
  </si>
  <si>
    <t>DDC All Purpose Scuttle 15L</t>
  </si>
  <si>
    <t>DDC All Purpose Scuttle 25L</t>
  </si>
  <si>
    <t>DDC All Purpose Scuttle 7L</t>
  </si>
  <si>
    <t>DDC Aluminium Oxide Roll 120G 10M</t>
  </si>
  <si>
    <t>DDC Aluminium Oxide Roll 120G 50M</t>
  </si>
  <si>
    <t>DDC Aluminium Oxide Roll 40G 10M</t>
  </si>
  <si>
    <t>DDC Aluminium Oxide Roll 60G 10M</t>
  </si>
  <si>
    <t>DDC Aluminium Oxide Roll 80G 10M</t>
  </si>
  <si>
    <t>DDC Aluminium Oxide Roll 80G 50M</t>
  </si>
  <si>
    <t>DDC Anti-Crack Acrylic Caulk white 300ml</t>
  </si>
  <si>
    <t>DDC Bib &amp; Brace Extra Large Regular</t>
  </si>
  <si>
    <t>DDC Bib &amp; Brace Extra Large Short</t>
  </si>
  <si>
    <t>DDC Bib &amp; Brace Extra Large Tall</t>
  </si>
  <si>
    <t>DDC Bib &amp; Brace Large Regular</t>
  </si>
  <si>
    <t>DDC Bib &amp; Brace Large Short</t>
  </si>
  <si>
    <t>DDC Bib &amp; Brace Large Tall</t>
  </si>
  <si>
    <t>DDC Bib &amp; Brace Medium Regular</t>
  </si>
  <si>
    <t>DDC Bib &amp; Brace Medium Short</t>
  </si>
  <si>
    <t>DDC Bib &amp; Brace Medium Tall</t>
  </si>
  <si>
    <t>DDC Bib &amp; Brace Small Regular</t>
  </si>
  <si>
    <t>DDC Bib &amp; Brace Small Short</t>
  </si>
  <si>
    <t>DDC Bib &amp; Brace Small Tall</t>
  </si>
  <si>
    <t>DDC Block Brush</t>
  </si>
  <si>
    <t>DDC Caulker 250MM</t>
  </si>
  <si>
    <t>DDC Cleaning Cloths 50PK</t>
  </si>
  <si>
    <t>DDC Click-Lock Extension Pole 2-4FT</t>
  </si>
  <si>
    <t>DDC Click-Lock Extension Pole 4-8FT</t>
  </si>
  <si>
    <t>DDC Click-Lock Extension Pole 6-12FT</t>
  </si>
  <si>
    <t>DDC Cutting In Brush 15MM</t>
  </si>
  <si>
    <t>DDC Cutting In Brush 18MM</t>
  </si>
  <si>
    <t>DDC Cutting In Brush 21MM</t>
  </si>
  <si>
    <t>DDC Decorators Caulk Brown 380ML</t>
  </si>
  <si>
    <t>DDC Decorators Caulk Foil 400ml</t>
  </si>
  <si>
    <t>DDC Decorators Caulk White 380ML</t>
  </si>
  <si>
    <t>DDC Double Arm Frame 12IN</t>
  </si>
  <si>
    <t>DDC Double Arm Frame 15IN</t>
  </si>
  <si>
    <t>DDC Duster Brush</t>
  </si>
  <si>
    <t>DDC Emulsion Kit 2 Sleeves 4IN</t>
  </si>
  <si>
    <t>DDC Extra Long Pile Knitted Sleeve 9IN</t>
  </si>
  <si>
    <t>DDC Filling Knife Soft Grip 50MM</t>
  </si>
  <si>
    <t>DDC Filling Knife Soft Grip 76MM</t>
  </si>
  <si>
    <t>DDC Flexible Finishing Pad Extra Fine/Fine</t>
  </si>
  <si>
    <t>DDC Flexible Finishing Pad Medium/Coarse</t>
  </si>
  <si>
    <t>DDC Glosser Kit 2 Sleeves 4IN</t>
  </si>
  <si>
    <t>DDC Glosser Microfibre Sleeve 10PK 4IN</t>
  </si>
  <si>
    <t>DDC Glosser Microfibre Sleeve 2PK 4IN</t>
  </si>
  <si>
    <t>DDC Heavy Duty Polythene Roll 4Mx25M</t>
  </si>
  <si>
    <t>DDC Heavy Duty Roller Tray 15IN</t>
  </si>
  <si>
    <t>DDC Heavy Duty Roller Tray 9IN</t>
  </si>
  <si>
    <t>DDC Heavy Duty Scuttle Set 12IN</t>
  </si>
  <si>
    <t>DDC Heavy Duty Scuttle Set 9IN</t>
  </si>
  <si>
    <t>DDC Heavy Duty Stripper 4IN</t>
  </si>
  <si>
    <t>DDC Heavy Duty Woven Sleeve 12IN</t>
  </si>
  <si>
    <t>DDC Heavy Duty Woven Sleeve 15IN</t>
  </si>
  <si>
    <t>DDC Heavy Duty Woven Sleeve 2PK 4IN</t>
  </si>
  <si>
    <t>DDC Heavy Duty Woven Sleeve 9IN</t>
  </si>
  <si>
    <t>DDC Heavyweight Twill Dust Sheet 12x9FT</t>
  </si>
  <si>
    <t>DDC High Density Foam Sleeve 10PK 4IN</t>
  </si>
  <si>
    <t>DDC High Density Foam Sleeve 2PK 4IN</t>
  </si>
  <si>
    <t>DDC High Density Foam Sleeve 9IN</t>
  </si>
  <si>
    <t>DDC Long Handle Stick Frame 4IN</t>
  </si>
  <si>
    <t>DDC Long Pile Woven Sleeve 10PK 4IN</t>
  </si>
  <si>
    <t>DDC Long Pile Woven Sleeve 2PK 4IN</t>
  </si>
  <si>
    <t>DDC Long Pile Woven Sleeve 9IN</t>
  </si>
  <si>
    <t>DDC Low Tack Masking Tape 25MM x 50M</t>
  </si>
  <si>
    <t>DDC Low Tack Masking Tape 38MM x 50M</t>
  </si>
  <si>
    <t>DDC Low Tack Masking Tape 50MM x 50M</t>
  </si>
  <si>
    <t>DDC Masking Tape 24MM x 50M</t>
  </si>
  <si>
    <t>DDC Masking Tape 36MM x 50M</t>
  </si>
  <si>
    <t>DDC Masking Tape 48MM x 50M</t>
  </si>
  <si>
    <t>DDC Masking Tape 72MM x 50M</t>
  </si>
  <si>
    <t>DDC Masonry Brush 4IN</t>
  </si>
  <si>
    <t>DDC Medium Pile Knitted Sleeve 12IN</t>
  </si>
  <si>
    <t>DDC Medium Pile Knitted Sleeve 3PK 9IN</t>
  </si>
  <si>
    <t>DDC Medium Pile Microfibre Sleeve 12IN</t>
  </si>
  <si>
    <t>DDC Medium Pile Microfibre Sleeve 9IN</t>
  </si>
  <si>
    <t>DDC Medium Pile Woven Sleeve 10PK 4IN</t>
  </si>
  <si>
    <t>DDC Medium Pile Woven Sleeve 12IN</t>
  </si>
  <si>
    <t>DDC Medium Pile Woven Sleeve 2PK 4IN</t>
  </si>
  <si>
    <t>DDC Medium Pile Woven Sleeve 9IN</t>
  </si>
  <si>
    <t>DDC Metal Paint Kettle 2L</t>
  </si>
  <si>
    <t>DDC Paintable Textured Vinyl 10-187</t>
  </si>
  <si>
    <t>DDC Paintable Textured Vinyl 10-188</t>
  </si>
  <si>
    <t>DDC Pole Sander</t>
  </si>
  <si>
    <t>DDC Polythene Dust Sheet 12x12FT</t>
  </si>
  <si>
    <t>DDC Polythene Dust Sheet 12x9FT</t>
  </si>
  <si>
    <t>DDC Polythene Roll 2Mx50M</t>
  </si>
  <si>
    <t>DDC Refuse Sack 50PK</t>
  </si>
  <si>
    <t>DDC Roller Kit 2 Sleeves 9IN</t>
  </si>
  <si>
    <t>DDC Sanitary Silicone white 300ml</t>
  </si>
  <si>
    <t>DDC Scissors 11IN</t>
  </si>
  <si>
    <t>DDC Short Handle Stick Frame 4IN</t>
  </si>
  <si>
    <t>DDC Short Pile Knitted Sleeve 12IN</t>
  </si>
  <si>
    <t>DDC Short Pile Microfibre Sleeve 9IN</t>
  </si>
  <si>
    <t>DDC Short Pile Woven Sleeve 9IN</t>
  </si>
  <si>
    <t>DDC Skeleton Gun</t>
  </si>
  <si>
    <t>DDC Skeleton Gun 400ml</t>
  </si>
  <si>
    <t>DDC Soft Grip Cage Frame 9IN</t>
  </si>
  <si>
    <t>DDC Soft Grip Stick Frame 4IN</t>
  </si>
  <si>
    <t>DDC Stockinette 400G</t>
  </si>
  <si>
    <t>DDC Straight Edge</t>
  </si>
  <si>
    <t>DDC Striker Brush Long Handle 2IN</t>
  </si>
  <si>
    <t>DDC Striker Brush Short Handle 2IN</t>
  </si>
  <si>
    <t>DDC Synthetic Brush 5 Pack</t>
  </si>
  <si>
    <t>DDC Trouser 32R</t>
  </si>
  <si>
    <t>DDC Trouser 34R</t>
  </si>
  <si>
    <t>DDC Trouser 36R</t>
  </si>
  <si>
    <t>DDC Twill Dust Sheet 12x12FT</t>
  </si>
  <si>
    <t>DDC Twill Dust Sheet 12x9FT</t>
  </si>
  <si>
    <t>DDC Twill Dust Sheet 25x3FT</t>
  </si>
  <si>
    <t>DDC Ultra Grip 300ml</t>
  </si>
  <si>
    <t>DDC Wet Paint Label EACH</t>
  </si>
  <si>
    <t>DDC Wipe Clean Paste Table</t>
  </si>
  <si>
    <t>DDC Woodchip Effect 10-191</t>
  </si>
  <si>
    <t>Dulux TR Colour Sensor</t>
  </si>
  <si>
    <t>Dulux TR W/S Msnry Smooth Magnolia 7.5L</t>
  </si>
  <si>
    <t>Dulux TR W/S Msnry Smooth PBW 7.5L</t>
  </si>
  <si>
    <t>E/build 125 1hr Caulk Trd Wht 380ML</t>
  </si>
  <si>
    <t>EX31003-Exposed-Dark grey</t>
  </si>
  <si>
    <t>EX31014-Exposed-Beige</t>
  </si>
  <si>
    <t>Filltite Cont Fllng Knves 4pk EACH</t>
  </si>
  <si>
    <t>Filltite Spare Hardener 30G</t>
  </si>
  <si>
    <t>Frog Tape Delicate 36mm x 41.1m</t>
  </si>
  <si>
    <t>Frog Tape Multi-Surface 48mm x 41.1m</t>
  </si>
  <si>
    <t>Geocel Contractor Caulk White 380ML</t>
  </si>
  <si>
    <t>Graco Classic S 395 PC Stand 17C359</t>
  </si>
  <si>
    <t>Graco EasyOut GunFilter Black pc gun 60 mesh 287032</t>
  </si>
  <si>
    <t>Graco EasyOut GunFilter Blue pc gun 100 Mesh 287033</t>
  </si>
  <si>
    <t>Graco Fine Finish Green Tip FFLP210</t>
  </si>
  <si>
    <t>Graco Fine Finish Green Tip FFLP312</t>
  </si>
  <si>
    <t>Graco Fine Finish Green Tip FFLP314</t>
  </si>
  <si>
    <t>Graco Fine Finish Green Tip FFLP515</t>
  </si>
  <si>
    <t>Graco Fine Finish Low Pressure Tip FFLP212</t>
  </si>
  <si>
    <t>Graco Fine Finish Low Pressure Tip FFLP410</t>
  </si>
  <si>
    <t>Graco Fine Finish Low Pressure Tip FFLP412</t>
  </si>
  <si>
    <t>Graco FinishPro GX FF Sprayer 17H222</t>
  </si>
  <si>
    <t>Graco FinishPro II airless/air assited 395 PC Pro 17C320</t>
  </si>
  <si>
    <t>Graco HVLP TurboForce II 9.5 ProContractor 110V</t>
  </si>
  <si>
    <t>Graco HVLP TurboForce II 9.5 ProContractor 240V</t>
  </si>
  <si>
    <t>Graco Low Pressure Tip LP619</t>
  </si>
  <si>
    <t>Graco Low Pressure Tip LP621</t>
  </si>
  <si>
    <t>Graco Manifold Filter Black 60 Mesh classic/stmax 246384</t>
  </si>
  <si>
    <t>Graco Manifold Filter Blue 100 Mesh classic/stmax 246382</t>
  </si>
  <si>
    <t>Graco Mark Max V ProContractor BlueLink 110V</t>
  </si>
  <si>
    <t>Graco ProConnect Pump (ST Max &amp; Classic)</t>
  </si>
  <si>
    <t>Graco ProXchange GX 21 Sprayer</t>
  </si>
  <si>
    <t>Graco ProXchange Pump (GX)</t>
  </si>
  <si>
    <t>Graco Pump Armour Liquid 1litre 253574</t>
  </si>
  <si>
    <t>Graco RAC X Blue Tip Guard 7/8in 246215</t>
  </si>
  <si>
    <t>Graco ST Max II 495 PC BlueLink 110V 17E873</t>
  </si>
  <si>
    <t>Graco TSL 250ML 206994</t>
  </si>
  <si>
    <t>Graco Ultra Cordless Airless Handheld Sprayer 25M615</t>
  </si>
  <si>
    <t>Graco Ultra Max Cordless Airless Sprayer 25M614</t>
  </si>
  <si>
    <t>Graco UltraMax II 695 ProContractor BlueLink 110V 17E637</t>
  </si>
  <si>
    <t>Gtec Flex Tape 33M</t>
  </si>
  <si>
    <t>Gyproc Corner Tape 30M</t>
  </si>
  <si>
    <t>Gyproc Cornice (Scuptured) 3Mx135MM S Profile</t>
  </si>
  <si>
    <t>Gyproc Cove 3Mx100MM C Profile</t>
  </si>
  <si>
    <t>Gyproc Cove 3Mx127MM C Profile</t>
  </si>
  <si>
    <t>Gyproc Easi-fill 10KG</t>
  </si>
  <si>
    <t>Gyproc Easi-Fill 20 10KG</t>
  </si>
  <si>
    <t>Gyproc Easi-Fill 20 5KG</t>
  </si>
  <si>
    <t>Gyproc Easi-fill 45 10KG</t>
  </si>
  <si>
    <t>Gyproc Easi-fill 5KG</t>
  </si>
  <si>
    <t>Gyproc Easifiller 1L</t>
  </si>
  <si>
    <t>Gyproc Easi-Filler 5KG</t>
  </si>
  <si>
    <t>Gyproc Easifiller Light 1L</t>
  </si>
  <si>
    <t>Gyproc EasyFlex Pro Tape - 30M</t>
  </si>
  <si>
    <t>Gyproc Joint Filler 12.5KG</t>
  </si>
  <si>
    <t>Gyproc Joint Tape 153m x 52mm</t>
  </si>
  <si>
    <t>Gyproc Promix Lite 17L</t>
  </si>
  <si>
    <t>Gyproc Protape FT50 90M</t>
  </si>
  <si>
    <t>Gyproc QuickSand Joint Cement 25KG</t>
  </si>
  <si>
    <t>Gyproc Ready Mix Joint Cement 12L</t>
  </si>
  <si>
    <t>Gyproc Repair Patch Asstment EACH</t>
  </si>
  <si>
    <t>Gyproc Sand Paper 100g 25pk EACH</t>
  </si>
  <si>
    <t>Gyproc Sand Paper 120g 25pk EACH</t>
  </si>
  <si>
    <t>Hamilton Lining Tool 4pk</t>
  </si>
  <si>
    <t>Hamilton Perfection 6 Piece Roller Set</t>
  </si>
  <si>
    <t>Hamilton Perfection Bristle Brush 4 Pack</t>
  </si>
  <si>
    <t>Hamilton Perfection Synthetic Brush Box 4pk</t>
  </si>
  <si>
    <t>Hammerite Rad Enamel Gls White 500ML</t>
  </si>
  <si>
    <t>Hammerite Rad Enamel Stn White 500ML</t>
  </si>
  <si>
    <t>Hammerite Smooth Mf Black 2.5L</t>
  </si>
  <si>
    <t>Hammerite Smooth Mf Black 250ML</t>
  </si>
  <si>
    <t>Hammerite Smooth Mf Black 5L</t>
  </si>
  <si>
    <t>Hammerite Smooth Mf Black 750ML</t>
  </si>
  <si>
    <t>Hammerite Smooth Mf Black Aero 400ML</t>
  </si>
  <si>
    <t>Hammerite Smooth Mf Gold 750ML</t>
  </si>
  <si>
    <t>Hammerite Smooth Mf Silver 2.5L</t>
  </si>
  <si>
    <t>Hammerite Smooth Mf Silver 5L</t>
  </si>
  <si>
    <t>Hammerite Smooth Mf Silver 750ML</t>
  </si>
  <si>
    <t>Hammerite Smooth Mf White 2.5L</t>
  </si>
  <si>
    <t>Hammerite Smooth Mf White 5L</t>
  </si>
  <si>
    <t>Hammerite Smooth Mf White 750ML</t>
  </si>
  <si>
    <t>Hammerite Smooth Mf White Aero 400ML</t>
  </si>
  <si>
    <t>Hammerite Smooth Mf Yellow 5L</t>
  </si>
  <si>
    <t>Hammerite Smooth Tinted MED 750ML</t>
  </si>
  <si>
    <t>Hammerite Thin/brush Cleaner 1L</t>
  </si>
  <si>
    <t>Hammerite Ultima Matt Black 750Ml</t>
  </si>
  <si>
    <t>Hammerite Ultima Matt White 750Ml</t>
  </si>
  <si>
    <t>Hammerite Ultima Smooth Black 750Ml</t>
  </si>
  <si>
    <t>Hammerite Ultima Smooth Dark Grey 750Ml</t>
  </si>
  <si>
    <t>Hammerite Ultima Smooth Light Grey 750Ml</t>
  </si>
  <si>
    <t>Hammerite Ultima Smooth White 750Ml</t>
  </si>
  <si>
    <t>Hermes Double Sided Sanding Sponge P60</t>
  </si>
  <si>
    <t>Hermes Double Sided Sanding Sponge P80</t>
  </si>
  <si>
    <t>HG Mould Spray 500ML</t>
  </si>
  <si>
    <t>HG UPVC Powerful Cleaner 500ML</t>
  </si>
  <si>
    <t>Homekey Kleenedge L/tack 2in 50M</t>
  </si>
  <si>
    <t>Ideapaint Create Clear 200 Sq.Ft</t>
  </si>
  <si>
    <t>Indasa Rhynosoft Box of 20 Pads 115 x 140 mm P180</t>
  </si>
  <si>
    <t>Indasa Rhynosoft Box of 20 Pads 115 x 140 mm P240</t>
  </si>
  <si>
    <t>Indasa Rhynosoft Box of 20 Pads 115 x 140 mm P320</t>
  </si>
  <si>
    <t>Indasa Rhynosoft Rolls Dispenser P180 115x25mts</t>
  </si>
  <si>
    <t>Interseal 670 Base (A) &amp; Curing Agent (B) Tinted 5L</t>
  </si>
  <si>
    <t>Interthane 990 Base (A) &amp; Curing Agent (B) Tinted 5L</t>
  </si>
  <si>
    <t>Irwin Crbn Stl Snp Blade 10pk 18MM</t>
  </si>
  <si>
    <t>Johnstones Stormshield Smooth Tint L 5L</t>
  </si>
  <si>
    <t>Knauf Fill &amp; Finish Light 20kg</t>
  </si>
  <si>
    <t>Male Dexters Trouser 30R</t>
  </si>
  <si>
    <t>Male Dexters Trouser 30S</t>
  </si>
  <si>
    <t>Male Dexters Trouser 32R</t>
  </si>
  <si>
    <t>Male Dexters Trouser 32S</t>
  </si>
  <si>
    <t>Male Dexters Trouser 34R</t>
  </si>
  <si>
    <t>Male Dexters Trouser 34S</t>
  </si>
  <si>
    <t>Male Dexters Trouser 36R</t>
  </si>
  <si>
    <t>Male Dexters Trouser 36S</t>
  </si>
  <si>
    <t>Male Dexters Trouser 38R</t>
  </si>
  <si>
    <t>Male Dexters Trouser 38S</t>
  </si>
  <si>
    <t>Male Dexters Trouser 40R</t>
  </si>
  <si>
    <t>Male Dexters Trouser 40S</t>
  </si>
  <si>
    <t>Microfibre All Purpose Cloth 40cm x 40cm 10PK</t>
  </si>
  <si>
    <t>Mirka 1025L L Class Dust Extraction Unit 230V</t>
  </si>
  <si>
    <t>Mirka ABRANET 80x230mm Grip P120 10Pk</t>
  </si>
  <si>
    <t>Mirka ABRANET 80x230mm Grip P180 10Pk</t>
  </si>
  <si>
    <t>Mirka ABRANET 80x230mm Grip P80 10Pk</t>
  </si>
  <si>
    <t>Mirka Abranet Deros 150mm Grip P120 10Pk</t>
  </si>
  <si>
    <t>Mirka Abranet Deros 150mm Grip P120 50Pk</t>
  </si>
  <si>
    <t>Mirka Abranet Deros 150mm Grip P180 10Pk</t>
  </si>
  <si>
    <t>Mirka Abranet Deros 150mm Grip P180 50Pk</t>
  </si>
  <si>
    <t>Mirka Abranet Deros 150mm Grip P80 10Pk</t>
  </si>
  <si>
    <t>Mirka Abranet Deros 150mm Grip P80 50Pk</t>
  </si>
  <si>
    <t>Mirka DEOS 353CV 81x133mm 230V Deco Solution Kit</t>
  </si>
  <si>
    <t>Mirka DEOS Delta 230v UK Deco Kit</t>
  </si>
  <si>
    <t>Mirka DEROS 150mm + DEOS 81x133mm in Case 230v</t>
  </si>
  <si>
    <t>Mirka DEROS 5650CV 240V With Case</t>
  </si>
  <si>
    <t>Mirka DEROS 5650X CV 110V With Case</t>
  </si>
  <si>
    <t>Mirka DEROS Deco 5650X CV Kit1 110V</t>
  </si>
  <si>
    <t>Mirka DEROS Deco 650CV Kit1 240V</t>
  </si>
  <si>
    <t>Mirka Dust Extractor 1230 L PC GB 240V</t>
  </si>
  <si>
    <t>Mirka Dust Extractor 1230 M AFC GB 240V</t>
  </si>
  <si>
    <t>Mirka Dust Extractor 1230 M PC GB 110V</t>
  </si>
  <si>
    <t>Mirka Gold Proflex 115mm x 10m RLL P180 UK</t>
  </si>
  <si>
    <t>Mirka Gold Proflex 115mm x 10m RLL P240 UK</t>
  </si>
  <si>
    <t>Mirka Goldflex Soft 115x140mm P150 10Pk</t>
  </si>
  <si>
    <t>Mirka Goldflex Soft 115x140mm P240 10Pk</t>
  </si>
  <si>
    <t>Mirka Hand Sanding Kit HANDY 80x230mm</t>
  </si>
  <si>
    <t>Mirka Hiflex Red Roll P120 115mm x 10mtr</t>
  </si>
  <si>
    <t>Mirka Hiflex Red Roll P80 115mm x 10mtr</t>
  </si>
  <si>
    <t>Mirka Hiomant 115mm x 50m RLL P120</t>
  </si>
  <si>
    <t>Mirka Hiomant 115mm x 50m RLL P80</t>
  </si>
  <si>
    <t>Mirka LEROS 950CV Wall Sander 225mm DECO KIT</t>
  </si>
  <si>
    <t>Mirka LEROS 950CV Wall Sander 225mm Orb 50 Bag UK</t>
  </si>
  <si>
    <t>Mirka Pad Saver Deros 150mm 67H 5Pk</t>
  </si>
  <si>
    <t>Mirka Roundy Kit</t>
  </si>
  <si>
    <t>Mylands Marble Matt Emulsion Extra White Tint 5L</t>
  </si>
  <si>
    <t>Nitromors A/purp Pnt&amp;varn Rmvr 4L</t>
  </si>
  <si>
    <t>Oakey G/purp Asstd Paper 5pk EACH</t>
  </si>
  <si>
    <t>Oakey H/D Decorators Sponge</t>
  </si>
  <si>
    <t>OB1 Hand Sanitiser Gel</t>
  </si>
  <si>
    <t>OB1 MultiSurface Seal&amp;Adh Clear 290ml</t>
  </si>
  <si>
    <t>OB1 MultiSurface Seal&amp;Adh Grey 290ml</t>
  </si>
  <si>
    <t>OB1 MultiSurface Seal&amp;Adh White 290ml</t>
  </si>
  <si>
    <t>Olfa Excel Black Blade 10pk 18MM</t>
  </si>
  <si>
    <t>Olfa Excel Black Blade 10pk 9MM</t>
  </si>
  <si>
    <t>Olfa Excel Black Blade 50pk 18MM</t>
  </si>
  <si>
    <t>Olfa Hd Scraper Blade 10pk 100MM</t>
  </si>
  <si>
    <t>Olfa Professional Razor Edge Glass Scraper Blades</t>
  </si>
  <si>
    <t>Olfa X-Design HD Scraper 300mm</t>
  </si>
  <si>
    <t>Olfa X-Design Snap Knife 18MM</t>
  </si>
  <si>
    <t>Osmo 8000 Brush Cleaner And Thinner 1L</t>
  </si>
  <si>
    <t>Osmo Anti-Slip Decking Oil 2.5</t>
  </si>
  <si>
    <t>Osmo Decking Oil Bangkirai 2.5L</t>
  </si>
  <si>
    <t>Osmo Decking Oil Grey 2.5L</t>
  </si>
  <si>
    <t>Osmo Decking-Oil Bog Oak 2.5L</t>
  </si>
  <si>
    <t>Osmo Decking-Oil Garapa 2.5L</t>
  </si>
  <si>
    <t>Osmo Door Oil 3060 1L</t>
  </si>
  <si>
    <t>Osmo Polyx H/wax Oil Cl Matt 2.5LT</t>
  </si>
  <si>
    <t>Osmo Polyx H/wax Oil Cl Matt 750ML</t>
  </si>
  <si>
    <t>Osmo Polyx H/wax Oil Cl Satin 2.5LT</t>
  </si>
  <si>
    <t>Osmo Polyx H/wax Oil Cl Satin 750ML</t>
  </si>
  <si>
    <t>Osmo Polyx H/wax Rapid Clr Satin 2.5L </t>
  </si>
  <si>
    <t>Osmo Polyx Oil Rapid Clr Satin 750ml</t>
  </si>
  <si>
    <t>Osmo Telescopic System Handle</t>
  </si>
  <si>
    <t>Osmo Top Oil Clear Matt 500ml</t>
  </si>
  <si>
    <t>Osmo Top Oil Clear Satin 0.5L     </t>
  </si>
  <si>
    <t>Osmo UV Protection Oil Ex Clear 0.75L</t>
  </si>
  <si>
    <t>Osmo UV Protection Oil Ex Clear 2.5L</t>
  </si>
  <si>
    <t>Osmo Wash And Care 1LT</t>
  </si>
  <si>
    <t>OX FFP2 Moulded Cup Respirator 3 Pack</t>
  </si>
  <si>
    <t>OX Type IIR Face Mask 10 Pack</t>
  </si>
  <si>
    <t>Packexe Carpet 625mm x 100m</t>
  </si>
  <si>
    <t>Packexe Carpet 625mm x 25m</t>
  </si>
  <si>
    <t>Packexe Hardfloor 625mm x 100m</t>
  </si>
  <si>
    <t>Packexe Hardfloor 625mm x 25m</t>
  </si>
  <si>
    <t>Painters Pack Brush Set Twin Pack</t>
  </si>
  <si>
    <t>Pioneer Summit 3 Brush Set</t>
  </si>
  <si>
    <t>Poly Polyfilla Dec Caulk White 380ML</t>
  </si>
  <si>
    <t>Poly Tr A/purp Polyfilla 10KG</t>
  </si>
  <si>
    <t>Poly Tr A/purp Polyfilla 2KG</t>
  </si>
  <si>
    <t>Poly Tr A/purp Polyfilla 5KG</t>
  </si>
  <si>
    <t>Poly Tr A/purp R/mix Polfilla 1KG</t>
  </si>
  <si>
    <t>Poly Tr Alabastine 1.8KG</t>
  </si>
  <si>
    <t>Poly Tr E/sand Int Polyfilla 2KG</t>
  </si>
  <si>
    <t>Poly Tr Ex/strong Paste 10roll EACH</t>
  </si>
  <si>
    <t>Poly Tr Ex/strong Paste 30roll EACH</t>
  </si>
  <si>
    <t>Poly Tr Ext Polyfilla 2KG</t>
  </si>
  <si>
    <t>Poly Tr Fine Surface Polyfilla 1.75KG</t>
  </si>
  <si>
    <t>Poly Tr One Fill Light Fill 1L</t>
  </si>
  <si>
    <t>Poly Tr One Fill Light Fill 4L</t>
  </si>
  <si>
    <t>Poly Tr Polyfilla WD/flex 600ML</t>
  </si>
  <si>
    <t>Poly Tr Q/Dry Polfilla 330G</t>
  </si>
  <si>
    <t>Poly Tr Stain Block 1L</t>
  </si>
  <si>
    <t>Poly Tr Stain Block 2.5L</t>
  </si>
  <si>
    <t>Poly Tr Stain Block Aero 500ML</t>
  </si>
  <si>
    <t>Provinci Roller Keeper</t>
  </si>
  <si>
    <t>Purdy 10 in 1 Premium Folding Tool</t>
  </si>
  <si>
    <t>Purdy Angled Adjustable Frame 12-18IN</t>
  </si>
  <si>
    <t>Purdy Carbon Steel Joint Knife 6in</t>
  </si>
  <si>
    <t>Purdy Colossus 1/2IN Nap 2 Pack 6.5IN</t>
  </si>
  <si>
    <t>Purdy Colossus 1in Nap 12IN</t>
  </si>
  <si>
    <t>Purdy Colossus 1in Nap 9IN</t>
  </si>
  <si>
    <t>Purdy Dusting Brush 4 Inch</t>
  </si>
  <si>
    <t>Purdy Jumbo Mini Roller Frame</t>
  </si>
  <si>
    <t>Purdy Mini Roller System 4IN</t>
  </si>
  <si>
    <t>Purdy Mon1 Box Set EACH</t>
  </si>
  <si>
    <t>Purdy Monarch Elite Brush 1.5IN</t>
  </si>
  <si>
    <t>Purdy Monarch Elite Brush 1IN</t>
  </si>
  <si>
    <t>Purdy Monarch Elite Brush 2IN</t>
  </si>
  <si>
    <t>Purdy Monarch Elite Brush 3IN</t>
  </si>
  <si>
    <t>Purdy Monspec3 1x1.5 1x2 &amp; 1x3 Inch Brush Pack</t>
  </si>
  <si>
    <t>Purdy Paperhanger Brush 9 Inch</t>
  </si>
  <si>
    <t>Purdy Power Lock Extension Pole 1-2 FT</t>
  </si>
  <si>
    <t>Purdy Power Lock Extension Pole 2-4 FT</t>
  </si>
  <si>
    <t>Purdy Power Lock Extension Pole 4-8FT</t>
  </si>
  <si>
    <t>Purdy Pro Extra Monarch 1.5 Inch</t>
  </si>
  <si>
    <t>Purdy Pro Extra Monarch 2 Inch</t>
  </si>
  <si>
    <t>Purdy Pro Extra Monarch 3 Inch</t>
  </si>
  <si>
    <t>Purdy Revolution Frame 9IN</t>
  </si>
  <si>
    <t>Purdy Short Handle Wire Brush</t>
  </si>
  <si>
    <t>Purdy White Dove 3/8IN Nap 2 Pack 6.5IN</t>
  </si>
  <si>
    <t>Purdy White Dove 3/8in Nap 9IN</t>
  </si>
  <si>
    <t>Purdy Xl Elite Dale 1.5IN</t>
  </si>
  <si>
    <t>Purdy Xl Elite Dale 1IN</t>
  </si>
  <si>
    <t>Purdy Xl Elite Dale 2IN</t>
  </si>
  <si>
    <t>Purdy XL Elite Sprig Brush 2IN</t>
  </si>
  <si>
    <t>QTech Pump Wrench QP00093 / 12-071</t>
  </si>
  <si>
    <t>QTech QT190 Airless Sprayer 110v QT190-110</t>
  </si>
  <si>
    <t>QTech QT190 Airless Sprayer 240v QT190-220</t>
  </si>
  <si>
    <t>QTech QT290 Airless Sprayer 110v QT290-110</t>
  </si>
  <si>
    <t>QTech QT290 Airless Sprayer 240v QT290-220</t>
  </si>
  <si>
    <t>QTech5 HVLP Turbine 5-stage 110v Suction 10-1008</t>
  </si>
  <si>
    <t>QTech5 HVLP Turbine 5-stage 240v Suction 10-1009</t>
  </si>
  <si>
    <t>Refresh Housing Pack EACH</t>
  </si>
  <si>
    <t>Ronseal H/P Wood Filler White 1KG</t>
  </si>
  <si>
    <t>Ronseal H/P Wood Filler White 550G</t>
  </si>
  <si>
    <t>Rubbol satura wit 1l</t>
  </si>
  <si>
    <t>Rubbol satura wit 2.5l</t>
  </si>
  <si>
    <t>SB37901-Simply Silks 4-Gold</t>
  </si>
  <si>
    <t>Sikkens Cetol BL Primer White 2.5L</t>
  </si>
  <si>
    <t>Sikkens Cetol Filter 7 Plus 006 Light Oak 1L</t>
  </si>
  <si>
    <t>Sikkens Cetol Filter 7 Plus 006 Light Oak 2.5L</t>
  </si>
  <si>
    <t>Sikkens Cetol Filter 7 Plus 006 Light Oak 5L</t>
  </si>
  <si>
    <t>Sikkens Cetol Filter 7 Plus 009 Dark Oak 1L</t>
  </si>
  <si>
    <t>Sikkens Cetol Filter 7 Plus 009 Dark Oak 2.5L</t>
  </si>
  <si>
    <t>Sikkens Cetol Filter 7 Plus 010 Walnut 2.5L</t>
  </si>
  <si>
    <t>Sikkens Cetol Filter 7 Plus 020 Ebony 2.5L</t>
  </si>
  <si>
    <t>Sikkens Cetol Filter 7 Plus 045 Mahogany 1L</t>
  </si>
  <si>
    <t>Sikkens Cetol Filter 7 Plus 045 Mahogany 2.5L</t>
  </si>
  <si>
    <t>Sikkens Cetol Filter 7 Plus 085 Teak 2.5L</t>
  </si>
  <si>
    <t>Sikkens Cetol HLS Plus 006 Light Oak 1L</t>
  </si>
  <si>
    <t>Sikkens Cetol HLS Plus 006 Light Oak 2.5L</t>
  </si>
  <si>
    <t>Sikkens Cetol HLS Plus 006 Light Oak 5L</t>
  </si>
  <si>
    <t>Sikkens Cetol HLS Plus 009 Dark Oak 2.5L</t>
  </si>
  <si>
    <t>Sikkens Cetol HLS Plus 010 Walnut 2.5L</t>
  </si>
  <si>
    <t>Sikkens Cetol HLS Plus 045 Mahogany 1L</t>
  </si>
  <si>
    <t>Sikkens Cetol HLS Plus 045 Mahogany 2.5L</t>
  </si>
  <si>
    <t>Sikkens Cetol HLS Plus TU Tint 5L</t>
  </si>
  <si>
    <t>Sikkens Cetol TSI Satin Plus Colourless 2.5L</t>
  </si>
  <si>
    <t>Sikkens Rubbol Primer Plus White 2.5L</t>
  </si>
  <si>
    <t>Sikkens Rubbol Satura Plus Tint W05 5L</t>
  </si>
  <si>
    <t>Sikkens Rubbol Satura Plus White 5L</t>
  </si>
  <si>
    <t>Sikkens Rubbol XD Gloss White 2.5L</t>
  </si>
  <si>
    <t>SK34721-Simply Silks 4-Cream</t>
  </si>
  <si>
    <t>SK34763-Simply Silks 4-Cream</t>
  </si>
  <si>
    <t>Solvite A/purp Adhesive EACH</t>
  </si>
  <si>
    <t>Solvite O/lap Border Adh Tube EACH</t>
  </si>
  <si>
    <t>Solvite Wallpaper Paste 10 Roll Sachet</t>
  </si>
  <si>
    <t>Stanley Decorators Tack Cloths EACH</t>
  </si>
  <si>
    <t>Stanley Window Scraper EACH</t>
  </si>
  <si>
    <t>Tetrion A/Purp Powder Filler 1.5KG</t>
  </si>
  <si>
    <t>Tetrion A/Purp Powder Filler 10KG</t>
  </si>
  <si>
    <t>Tetrion A/Purp Powder Filler 5KG</t>
  </si>
  <si>
    <t>Tetrion Powerfil 2k Filler 1L</t>
  </si>
  <si>
    <t>Tetrion Powerfil 2k Filler 3.5L</t>
  </si>
  <si>
    <t>Thermoguard Fire Varnish 2K Basecoat 20SQM</t>
  </si>
  <si>
    <t>Thermoguard Thermocoat WI Steel/Iron 20KG</t>
  </si>
  <si>
    <t>Thermoguard Timbercoat Insulating Basecoat 20SQM</t>
  </si>
  <si>
    <t>Thermoguard Timbercoat Insulating Basecoat 80SQM</t>
  </si>
  <si>
    <t>Thermoguard Wallcoat Smoke &amp; Flame Retardant Matt 100SQM</t>
  </si>
  <si>
    <t>Toughflow Textile Airless Hose 3/8 x 15M 63815FFTD</t>
  </si>
  <si>
    <t>Toupret Fibacryl Ext Filler 1KG</t>
  </si>
  <si>
    <t>Toupret Fibacryl Ext Filler 310ML</t>
  </si>
  <si>
    <t>Toupret Fine Surface Filler 1.5KG</t>
  </si>
  <si>
    <t>Toupret Fine Surface Filler 330g</t>
  </si>
  <si>
    <t>Toupret Glazing Putty White 1KG</t>
  </si>
  <si>
    <t>Toupret Joint &amp; Skim Ready Mix 20Kg</t>
  </si>
  <si>
    <t>Toupret Joint Skim &amp; Fill Powder 10Kg</t>
  </si>
  <si>
    <t>Toupret Joint Skim &amp; Fill Powder 5Kg</t>
  </si>
  <si>
    <t>Toupret Joint Skim &amp; Fill QD Powder 5Kg</t>
  </si>
  <si>
    <t>Toupret Joint Skim &amp; Fill QD Pwder 10Kg</t>
  </si>
  <si>
    <t>Toupret Le Rebchr Int Filler 2KG</t>
  </si>
  <si>
    <t>Toupret Le Rebchr Int Filler 5KG</t>
  </si>
  <si>
    <t>Toupret Le Reboucheur Int Fllr 1KG</t>
  </si>
  <si>
    <t>Toupret Murex 2KG</t>
  </si>
  <si>
    <t>Toupret Murex Repair Filler 5kg</t>
  </si>
  <si>
    <t>Toupret Patch &amp; Repair Quick Dry 2Kg</t>
  </si>
  <si>
    <t>Toupret Patch &amp; Repair Quick Dry 5 Kg</t>
  </si>
  <si>
    <t>Toupret Patch &amp; Repair Ready Mix 1.5Kg</t>
  </si>
  <si>
    <t>Toupret R/mix Filler 1.5KG</t>
  </si>
  <si>
    <t>Toupret Ready Mix Tube 330g</t>
  </si>
  <si>
    <t>Toupret Redlite Lightweight Filler 1L</t>
  </si>
  <si>
    <t>Toupret Touprelith 1.5KG</t>
  </si>
  <si>
    <t>Toupret Touprelith 15KG</t>
  </si>
  <si>
    <t>Toupret Touprelith Ext Filler 5kg</t>
  </si>
  <si>
    <t>Toupret Tx110 Rapid Dry Filler 2KG</t>
  </si>
  <si>
    <t>Toupret Tx110 Rapid Dry Filler 5KG</t>
  </si>
  <si>
    <t>Toupret TX140 Fill &amp; Skim Ready Mix 5kg</t>
  </si>
  <si>
    <t>Toupret Wood Filler Ready Mix 1.25kg</t>
  </si>
  <si>
    <t>Toupret Wood Filler Ready Mix 330g</t>
  </si>
  <si>
    <t>Toupret Wood Hardener 1L</t>
  </si>
  <si>
    <t>Toupret Wood Repair Powder 1kg</t>
  </si>
  <si>
    <t>Trade Bib &amp; Brace Extra Large Regular</t>
  </si>
  <si>
    <t>Trade Bib &amp; Brace Large Regular</t>
  </si>
  <si>
    <t>Trade Bib &amp; Brace Large Short</t>
  </si>
  <si>
    <t>Trade Bib &amp; Brace Medium Regular</t>
  </si>
  <si>
    <t>Trade Bib &amp; Brace Medium Short</t>
  </si>
  <si>
    <t>Trade Bib &amp; Brace Medium Tall</t>
  </si>
  <si>
    <t>Trade Bib &amp; Brace Small Regular</t>
  </si>
  <si>
    <t>Trade Bib &amp; Brace Small Tall</t>
  </si>
  <si>
    <t>Trade Brushes 3 Pack</t>
  </si>
  <si>
    <t>Trade Trouser 32R</t>
  </si>
  <si>
    <t>Trade Trouser 34R</t>
  </si>
  <si>
    <t>Trade Trouser 36R</t>
  </si>
  <si>
    <t>Trade Trouser 38R</t>
  </si>
  <si>
    <t>Trade Twill Dust Sheets 5 Pack</t>
  </si>
  <si>
    <t>Trimaco Easy Mask Paper 12in 180FT</t>
  </si>
  <si>
    <t>Trimaco Masking Film 48in 180FT</t>
  </si>
  <si>
    <t>Trimaco Masking Film 72in 90FT</t>
  </si>
  <si>
    <t>Trimaco Masking Film 99in 90FT</t>
  </si>
  <si>
    <t>Trimaco Pro Starter Kit EACH</t>
  </si>
  <si>
    <t>Trimaco Tape &amp; Drape 45in 72FT</t>
  </si>
  <si>
    <t>Ultragrime Biodegradable XXLWipes 100PK</t>
  </si>
  <si>
    <t>Ultragrime Huge Wipes Pack of 100</t>
  </si>
  <si>
    <t>UltraGrime Pro Anti Bac XXL+ Clothwipes</t>
  </si>
  <si>
    <t>Unic Clearwash Unit UDC500 EACH</t>
  </si>
  <si>
    <t>U-POL Easyfill 2 Part Filler 1.1L</t>
  </si>
  <si>
    <t>U-POL Fastfill 2 Part Filler 1.1L</t>
  </si>
  <si>
    <t>Vapour Mate for Brush Mate 4</t>
  </si>
  <si>
    <t>W78215-Metallic FX-Rose Gold</t>
  </si>
  <si>
    <t>W78222-Metallic FX-Silver</t>
  </si>
  <si>
    <t>W78223-Metallic FX-Black</t>
  </si>
  <si>
    <t>Wallrock Fibreliner 100 Double</t>
  </si>
  <si>
    <t>Wallrock Fibreliner 55 Double</t>
  </si>
  <si>
    <t>Wallrock Fibreliner 75 Double (CQO)</t>
  </si>
  <si>
    <t>Wallrock Thermal Liner (CQO)</t>
  </si>
  <si>
    <t>Werner 7101318 3-Way Combination Ladder</t>
  </si>
  <si>
    <t>Werner 7140618 6-Tread MasterTrade Stepladder</t>
  </si>
  <si>
    <t>Werner 7160618 6-Tread GRP Swingback Stepladder</t>
  </si>
  <si>
    <t>Werner 723 Trade 1.85M Triple Extension Ladders</t>
  </si>
  <si>
    <t>Werner 7400518 5-Tread High Handrail Stepladder</t>
  </si>
  <si>
    <t>Werner 78069 Handy Hop Up Work Platform</t>
  </si>
  <si>
    <t>Werner 79025 Professional Work Platform</t>
  </si>
  <si>
    <t>Wondertex Metal Angle Tape 30M</t>
  </si>
  <si>
    <t>Youngman 31089818 Odd Job platform 600x600</t>
  </si>
  <si>
    <t>Zinsser All Weather Masonry Paint White 5L</t>
  </si>
  <si>
    <t>Zinsser Allcoat Ext WB Gloss Black 2.5L</t>
  </si>
  <si>
    <t>Zinsser Allcoat Ext WB Gloss Black 5L</t>
  </si>
  <si>
    <t>Zinsser Allcoat Ext WB Gloss White 2.5L</t>
  </si>
  <si>
    <t>Zinsser Allcoat Ext WB Gloss White 5L</t>
  </si>
  <si>
    <t>Zinsser Allcoat Ext WB Matt White 5L</t>
  </si>
  <si>
    <t>Zinsser Allcoat Ext WB Satin Black 2.5L</t>
  </si>
  <si>
    <t>Zinsser Allcoat Ext WB Satin Black 5L</t>
  </si>
  <si>
    <t>Zinsser Allcoat Ext WB Satin White 2.5L</t>
  </si>
  <si>
    <t>Zinsser Allcoat Ext WB Satin White 5L</t>
  </si>
  <si>
    <t>Zinsser AllCoat Exterior Satin WB Grey 1L</t>
  </si>
  <si>
    <t>Zinsser AllCoat Exterior Satin WB Grey 2.5L</t>
  </si>
  <si>
    <t>Zinsser AllCoat Exterior Satin WB Grey 5L</t>
  </si>
  <si>
    <t>Zinsser Allcoat Exterior WB Gloss White 1L</t>
  </si>
  <si>
    <t>Zinsser Allcoat Exterior WB Satin Black 1L</t>
  </si>
  <si>
    <t>Zinsser Allcoat Exterior WB Satin White 1L</t>
  </si>
  <si>
    <t>Zinsser Allcoat Multi-Surface Primer 2.5L</t>
  </si>
  <si>
    <t>Zinsser Allcoat Multi-Surface Primer 5L</t>
  </si>
  <si>
    <t>Zinsser Bulls Eye 1-2-3 Grey 1L</t>
  </si>
  <si>
    <t>Zinsser Bulls Eye 1-2-3 Grey 2.5L</t>
  </si>
  <si>
    <t>Zinsser Bulls Eye 1-2-3 Grey 500ML</t>
  </si>
  <si>
    <t>Zinsser Bulls Eye 1-2-3 Plus 2.5L</t>
  </si>
  <si>
    <t>Zinsser Bulls Eye 1-2-3 Plus 5L</t>
  </si>
  <si>
    <t>Zinsser Gardz 5L</t>
  </si>
  <si>
    <t>Zinsser Gardz Sealer 2.5L</t>
  </si>
  <si>
    <t>Zinsser Mould Killer &amp; Remover 500ML</t>
  </si>
  <si>
    <t>Zinsser Peel Stop Primer 2.5L</t>
  </si>
  <si>
    <t>Zinsser Perma-White Interior Matt White 2.5L</t>
  </si>
  <si>
    <t>Zinsser Perma-White Interior Matt White 5L</t>
  </si>
  <si>
    <t>Zinsser Perma-White Interior Satin White 2.5L</t>
  </si>
  <si>
    <t>Zinsser Perma-White Interior Satin White 5L</t>
  </si>
  <si>
    <t>Zinsser Universal Cleaner Degreaser 2.5L</t>
  </si>
  <si>
    <t>Zinsser Universal Cleaner Degreaser 750ML</t>
  </si>
  <si>
    <t>Zinsser Wallpaper Cover Up 2.5L</t>
  </si>
  <si>
    <t>Zinsser Watertite 5L</t>
  </si>
  <si>
    <t>Zinsser Write-on Paint</t>
  </si>
  <si>
    <t>3M 2071 SENSITIVE PAINT TAPE 36MMX50M</t>
  </si>
  <si>
    <t>3M 2071 SENSITIVE PAINT TAPE 48MMX50M</t>
  </si>
  <si>
    <t>3M 2072 EXTRA SENSITIVE TAPE 36MMX50M</t>
  </si>
  <si>
    <t>3M 2090 UNIVERSAL 48MMX50M 3PK</t>
  </si>
  <si>
    <t>3M SCOTCH 2060 PRO MASK TAPE 36MMX50M</t>
  </si>
  <si>
    <t>3M SCOTCH 2060 PRO MASK TAPE 48MMX50M</t>
  </si>
  <si>
    <t>3M2090/24L SCOTCH AFPLAKTAPE BLAUW 24MM</t>
  </si>
  <si>
    <t>ADVANCED ALUMINIUM OXIDE ROLL 120G 10M</t>
  </si>
  <si>
    <t>ADVANCED ALUMINIUM OXIDE ROLL 40G 10M</t>
  </si>
  <si>
    <t>ADVANCED ALUMINIUM OXIDE ROLL 60G 10M</t>
  </si>
  <si>
    <t>ADVANCED ALUMINIUM OXIDE ROLL 80G 10M</t>
  </si>
  <si>
    <t>ADVANCED BETWEEN COATS ROLL 180G 10M</t>
  </si>
  <si>
    <t>ADVANCED BETWEEN COATS ROLL 240G 10M</t>
  </si>
  <si>
    <t>ADVANCED DUO DUST SHEET 12X9FT</t>
  </si>
  <si>
    <t>ADVANCED DUO DUST SHEET 25X3FT</t>
  </si>
  <si>
    <t>ADVANCED DUO MINI DUST SHEET 6X3FT</t>
  </si>
  <si>
    <t>ADVANCED GLOSSER FLOCK FIBRE SLEEVE 2PK 4IN</t>
  </si>
  <si>
    <t>ADVANCED HIGH DENSITY CONCAVE FOAM SLEEVE 10PK 4IN</t>
  </si>
  <si>
    <t>ADVANCED LONG PILE PADDED SLEEVE 9IN</t>
  </si>
  <si>
    <t>ADVANCED PUTTY KNIFE 4.5IN F/CERT</t>
  </si>
  <si>
    <t>ADVANCED SCALE TANG CHISEL KNIFE 1IN F/CERT</t>
  </si>
  <si>
    <t>ADVANCED SCALE TANG FILLING KNIFE 1IN F/CERT</t>
  </si>
  <si>
    <t>ADVANCED SCALE TANG FILLING KNIFE 2IN F/CERT</t>
  </si>
  <si>
    <t>ADVANCED SCALE TANG FILLING KNIFE 3IN F/CERT</t>
  </si>
  <si>
    <t>ADVANCED SCALE TANG FILLING KNIFE 4IN F/CERT</t>
  </si>
  <si>
    <t>ADVANCED SCALE TANG STRIPPING KNIFE 2IN F/CERT</t>
  </si>
  <si>
    <t>ADVANCED SCALE TANG STRIPPING KNIFE 3IN F/CERT</t>
  </si>
  <si>
    <t>ADVANCED SCALE TANG STRIPPING KNIFE 4IN F/CERT</t>
  </si>
  <si>
    <t>ADVANCED SHEEPSKIN SLEEVE 12IN</t>
  </si>
  <si>
    <t>ADVANCED SHEEPSKIN SLEEVE 9IN</t>
  </si>
  <si>
    <t>ADVANCED SIMULATED MOHAIR SLEEVE 10PK 4IN</t>
  </si>
  <si>
    <t>ADVANCED SIMULATED MOHAIR SLEEVE 9IN</t>
  </si>
  <si>
    <t>ARMSTEAD TR ANTI-SLIP FLOOR PAINT BLACK 5L</t>
  </si>
  <si>
    <t>ARMSTEAD TR ANTI-SLIP FLOOR PAINT GREY 5L</t>
  </si>
  <si>
    <t>ARMSTEAD TR ANTI-SLIP FLOOR PAINT RED 5L</t>
  </si>
  <si>
    <t>ARMSTEAD TR ANTI-SLIP FLOOR PAINT YELLOW 5L</t>
  </si>
  <si>
    <t>ARMSTEAD TR CONTRACT MATT GARDENIA 10L</t>
  </si>
  <si>
    <t>ARMSTEAD TR CONTRACT MATT MAGNOLIA 10L</t>
  </si>
  <si>
    <t>ARMSTEAD TR CONTRACT MATT WHITE 10L</t>
  </si>
  <si>
    <t>ARMSTEAD TR CONTRACT MATT WHITE 15L</t>
  </si>
  <si>
    <t>ARMSTEAD TR DUR ACRYLIC E/SHELL MAG 5L</t>
  </si>
  <si>
    <t>ARMSTEAD TR DUR ACRYLIC E/SHELL WHITE 5L</t>
  </si>
  <si>
    <t>ARMSTEAD TR FLOOR PAINT GREY 5L</t>
  </si>
  <si>
    <t>ARMSTEAD TR METAL PRIMER ZINC PHOSPHATE 5L</t>
  </si>
  <si>
    <t>ARMSTEAD TR QD GLOSS B/WHITE 1L</t>
  </si>
  <si>
    <t>ARMSTEAD TR QD GLOSS B/WHITE 2.5L</t>
  </si>
  <si>
    <t>ARMSTEAD TR QD GLOSS B/WHITE 5L</t>
  </si>
  <si>
    <t>ARMSTEAD TR QD SATIN B/WHITE 1L</t>
  </si>
  <si>
    <t>ARMSTEAD TR QD WOOD PRIMER U/COAT 5L</t>
  </si>
  <si>
    <t>ARMSTEAD TR SMOOTH MASONRY B/WHITE 10L</t>
  </si>
  <si>
    <t>ARMSTEAD TR SMOOTH MASONRY B/WHITE 5L</t>
  </si>
  <si>
    <t>ARMSTEAD TR SMOOTH MASONRY MAG 5L</t>
  </si>
  <si>
    <t>ARMSTEAD TR UNDERCOAT DARK GREY 5L</t>
  </si>
  <si>
    <t>ARMSTEAD TR UNDERCOAT WHITE 5L</t>
  </si>
  <si>
    <t>ARMSTEAD TRD STABILISING PRIMER 5L</t>
  </si>
  <si>
    <t>ARROWORTHY CLASSIC BRUSH 3PK</t>
  </si>
  <si>
    <t>AXUS DECOR GREY POINTED PRECISION 4PC BRUSH SET</t>
  </si>
  <si>
    <t>AXUS DECOR PRO-BRUSH 5 BRUSH PACK</t>
  </si>
  <si>
    <t>AXUS GREY IMMACULATE FINISH BRUSH SET 4PK</t>
  </si>
  <si>
    <t>AXUS PAPER PAL</t>
  </si>
  <si>
    <t>AXUS STAINLESS STEEL FILLING KNIFE SET</t>
  </si>
  <si>
    <t>AXUS STAINLESS STEEL WALLPAPER SCISSORS 12"</t>
  </si>
  <si>
    <t>AXUS WALLPAPER PRESS</t>
  </si>
  <si>
    <t>B/LINE A/PURP ADHESIVE 30ROLL EACH</t>
  </si>
  <si>
    <t>B/LINE H/DUTY MDF PAST TABLE EACH</t>
  </si>
  <si>
    <t>B/LINE ONE TIME FILLER 1L</t>
  </si>
  <si>
    <t>B/LINE ONE TIME FILLER 4L</t>
  </si>
  <si>
    <t>B/LINE PASTE &amp; CUTTING TABLE EACH</t>
  </si>
  <si>
    <t>B/LINE R/MIX VINYL ADHESIVE 9KG</t>
  </si>
  <si>
    <t>B/MATE DRIP MAT SERVICE PACK EACH</t>
  </si>
  <si>
    <t>B/MATE FLUID 250ML</t>
  </si>
  <si>
    <t>BARRETTINE BLACK BITUMEN 5L</t>
  </si>
  <si>
    <t>BARRETTINE PAINT&amp;VARN REMOVER 4L</t>
  </si>
  <si>
    <t>BARRETTINE PATENT KNOTTING 500ML</t>
  </si>
  <si>
    <t>BARRETTINE PEELAWAY 7 10KG</t>
  </si>
  <si>
    <t>BARRETTINE TEREBINE DRIERS 250ML</t>
  </si>
  <si>
    <t>BARRETTINE WHITE KNOTTING 250ML</t>
  </si>
  <si>
    <t>BARTOLINE BRUSH CLEANER 2L</t>
  </si>
  <si>
    <t>BARTOLINE FUNGICIDAL WASH 4L</t>
  </si>
  <si>
    <t>BARTOLINE METHYLATED SPIRITS 2L</t>
  </si>
  <si>
    <t>BARTOLINE METHYLATED SPIRITS 500ML</t>
  </si>
  <si>
    <t>BARTOLINE MULTI PURPOSE PUTTY NATURAL 0.5KG</t>
  </si>
  <si>
    <t>BARTOLINE MULTI PURPOSE PUTTY NATURAL 1KG</t>
  </si>
  <si>
    <t>BARTOLINE PREMIUM LOW ODOUR WHITE SPIRIT 2L</t>
  </si>
  <si>
    <t>BARTOLINE SUGAR SOAP LIQUID CONCENTRATE 500ML</t>
  </si>
  <si>
    <t>BARTOLINE SUGAR SOAP SPRAY 500ML</t>
  </si>
  <si>
    <t>BARTOLINE SUGAR SOAP TRADITIONAL POWDER 500G BOX</t>
  </si>
  <si>
    <t>BARTOLINE SUGAR SOAP WIPES 80</t>
  </si>
  <si>
    <t>BARTOLINE TURPENTINE SUBSTITUTE 2L</t>
  </si>
  <si>
    <t>BARTOLINE TURPENTINE SUBSTITUTE 4L</t>
  </si>
  <si>
    <t>BARTOLINE TX10 PAINT/VARNISH REMOVER 5L</t>
  </si>
  <si>
    <t>BARTOLINE WHITE SPIRIT BS 245 2L</t>
  </si>
  <si>
    <t>BARTOLINE WHITE SPIRIT BS 245 4L</t>
  </si>
  <si>
    <t>BASICS C/LOCK EXTSN POLE 4-9FT EACH</t>
  </si>
  <si>
    <t>BEDEC MSP GLOSS BLACK 2.5L</t>
  </si>
  <si>
    <t>BEDEC MSP GLOSS HOLLY 2.5L</t>
  </si>
  <si>
    <t>BEDEC MSP GLOSS WHITE 2.5L</t>
  </si>
  <si>
    <t>BEDEC MSP SATIN ANTHRACITE 2.5L</t>
  </si>
  <si>
    <t>BEDEC MSP SATIN BLACK 2.5L</t>
  </si>
  <si>
    <t>BEDEC MSP SATIN BLACK 750ML</t>
  </si>
  <si>
    <t>BEDEC MSP SATIN SOFT WHITE 3L 20% EXTRA FREE</t>
  </si>
  <si>
    <t>BEDEC MSP SATIN WHITE 2.5L</t>
  </si>
  <si>
    <t>BEELINE READY TO USE WALLPAPER ADHESIVE - 10KG</t>
  </si>
  <si>
    <t>BIG WIPES HEAVY DUTY 4X4 RED CAP 80 WIPES</t>
  </si>
  <si>
    <t>BIG WIPES MULTI-PURPOSE 120 PRO PACK</t>
  </si>
  <si>
    <t>BIG WIPES MULT-PUR &amp; HEAV-DUT 50% EXTRA TWIN PK</t>
  </si>
  <si>
    <t>BIG WIPES POWER SPRAY 4X4 1L</t>
  </si>
  <si>
    <t>BLACKFRIAR BOILED LINSEED OIL 250ML</t>
  </si>
  <si>
    <t>BLACKFRIAR DANISH OIL 500ML</t>
  </si>
  <si>
    <t>BLACKFRIAR EXT VARNISH CLEAR SATIN 2.5L</t>
  </si>
  <si>
    <t>BLACKFRIAR LINE MARK YELLOW 1L</t>
  </si>
  <si>
    <t>BLACKFRIAR POLYURETHANE INT VARNISH CLEAR MATT 500ML</t>
  </si>
  <si>
    <t>BLACKFRIAR QD INT VARNISH CLEAR MATT 2.5L</t>
  </si>
  <si>
    <t>BLACKFRIAR WOOD DYE MED OAK 250ML</t>
  </si>
  <si>
    <t>BLOCKADE WHITE SHELLAC SEALER PRIMER 2.5LTRS</t>
  </si>
  <si>
    <t>BLOCKADE WHITE SHELLAC SEALER PRIMER 400ML AEROSOL</t>
  </si>
  <si>
    <t>BOSTIK A750 EXTERIOR CAULK</t>
  </si>
  <si>
    <t>BOSTIK A980 INSTANTLY PAINTABLE CAULK</t>
  </si>
  <si>
    <t>BOSTIK GP PVA 1L</t>
  </si>
  <si>
    <t>BOSTIK GP PVA 5L</t>
  </si>
  <si>
    <t>BOSTIK S765 SILICONE PREMIUM N CLEAR</t>
  </si>
  <si>
    <t>BOSTIK S765 SILICONE PREMIUM N WHITE</t>
  </si>
  <si>
    <t>BRIWAX TOLUENE FREE CLEAR 370G</t>
  </si>
  <si>
    <t>BRUSH MATE 4 PLUS</t>
  </si>
  <si>
    <t>BRUSH MATE FLUID 250ML</t>
  </si>
  <si>
    <t>BRUSH MATE TRADE 20</t>
  </si>
  <si>
    <t>BUCKET 3 GALLON</t>
  </si>
  <si>
    <t>CHARITY OPENER EACH</t>
  </si>
  <si>
    <t>CHARITY STIRRER EACH</t>
  </si>
  <si>
    <t>CIRET 15L RECYCLED SCUTTLE LINER 20PK</t>
  </si>
  <si>
    <t>CIRET BOX OF 10 TACK CLOTHS 450X200M</t>
  </si>
  <si>
    <t>CIRET DOUBLE SIDED ABRASIVE SPONGE PAD 220G</t>
  </si>
  <si>
    <t>CORONA KINGSTON BOX SET 3 PACK</t>
  </si>
  <si>
    <t>CUPRINOL ALL PURPOSE WOOD FILLER MED 310ML</t>
  </si>
  <si>
    <t>CUPRINOL ALL PURPOSE WOOD FILLER NATURAL 310ML</t>
  </si>
  <si>
    <t>CUPRINOL ALL PURPOSE WOODFILLER DARK 310ML</t>
  </si>
  <si>
    <t>CUPRINOL ALL PURPOSE WOODFILLER NATURAL 500ML</t>
  </si>
  <si>
    <t>CUPRINOL ANTI-SLIP DECKING STAIN BLA/ASH 2.5L</t>
  </si>
  <si>
    <t>CUPRINOL ANTI-SLIP DECKING STAIN SV/BIRCH 2.5L</t>
  </si>
  <si>
    <t>CUPRINOL ANTI-SLIP DECKING STAIN UR/SLATE 2.5L</t>
  </si>
  <si>
    <t>CUPRINOL CLADDING &amp; FENCE OPQ AUTUMN CEDAR 10L</t>
  </si>
  <si>
    <t>CUPRINOL CLADDING &amp; FENCE OPQ BLACK 10L</t>
  </si>
  <si>
    <t>CUPRINOL CLADDING &amp; FENCE OPQ DK OAK 10L</t>
  </si>
  <si>
    <t>CUPRINOL CLADDING &amp; FENCE OPQ MOOR GREEN 10L</t>
  </si>
  <si>
    <t>CUPRINOL CLADDING &amp; FENCE OPQ RICH BROWN 10L</t>
  </si>
  <si>
    <t>CUPRINOL CLADDING &amp; FENCE OPQ RUSTIC WALNUT 10L</t>
  </si>
  <si>
    <t>CUPRINOL GARDEN SHADES SILVER BIRCH 2.5L</t>
  </si>
  <si>
    <t>CUPRINOL GARDEN SHADES URBAN SLATE 2.5L</t>
  </si>
  <si>
    <t>CUPRINOL ULTRA TOUGH WOODFILLER NAT 500G</t>
  </si>
  <si>
    <t>CUPRINOL ULTRA TOUGH WOODFILLER NAT 750G</t>
  </si>
  <si>
    <t>CUPRINOL ULTRA TOUGH WOODFILLER WHITE 250G</t>
  </si>
  <si>
    <t>CUPRINOL ULTRA TOUGH WOODFILLER WHITE 500G</t>
  </si>
  <si>
    <t>CUPRINOL ULTRA TOUGH WOODFILLER WHITE 750G</t>
  </si>
  <si>
    <t>CUPRINOL UV GUARD DECKING OIL NATURAL 2.5L</t>
  </si>
  <si>
    <t>DDC 13 PIECE SKUTTLE KIT</t>
  </si>
  <si>
    <t>DDC 22 PIECE MINI SCUTTLE KIT - 4"</t>
  </si>
  <si>
    <t>DDC ADVANCED SIM MOHAIR SLEEVE 2PK 4"</t>
  </si>
  <si>
    <t>DDC ALL PURPOSE CAGE FRAME 9IN</t>
  </si>
  <si>
    <t>DDC ALL PURPOSE PAINT KETTLE 1L</t>
  </si>
  <si>
    <t>DDC ALL PURPOSE PAINT KETTLE 2.5L</t>
  </si>
  <si>
    <t>DDC ALL PURPOSE PAINT KETTLE 5L</t>
  </si>
  <si>
    <t>DDC ALL PURPOSE PAINT KETTLE LID 1L</t>
  </si>
  <si>
    <t>DDC ALL PURPOSE PAINT KETTLE LID 2.5L</t>
  </si>
  <si>
    <t>DDC ALL PURPOSE PAINT KETTLE LID 5L</t>
  </si>
  <si>
    <t>DDC ALL PURPOSE ROLLER TRAY 4IN</t>
  </si>
  <si>
    <t>DDC ALL PURPOSE ROLLER TRAY 9IN</t>
  </si>
  <si>
    <t>DDC ALL PURPOSE SCUTTLE 15L</t>
  </si>
  <si>
    <t>DDC ALL PURPOSE SCUTTLE 25L</t>
  </si>
  <si>
    <t>DDC ALL PURPOSE SCUTTLE 7L</t>
  </si>
  <si>
    <t>DDC ALUMINIUM OXIDE ROLL 120G 10M</t>
  </si>
  <si>
    <t>DDC ALUMINIUM OXIDE ROLL 120G 50M</t>
  </si>
  <si>
    <t>DDC ALUMINIUM OXIDE ROLL 40G 10M</t>
  </si>
  <si>
    <t>DDC ALUMINIUM OXIDE ROLL 60G 10M</t>
  </si>
  <si>
    <t>DDC ALUMINIUM OXIDE ROLL 80G 10M</t>
  </si>
  <si>
    <t>DDC ALUMINIUM OXIDE ROLL 80G 50M</t>
  </si>
  <si>
    <t>DDC ANTI-CRACK ACRYLIC CAULK WHITE 300ML</t>
  </si>
  <si>
    <t>DDC BIB &amp; BRACE LARGE REGULAR</t>
  </si>
  <si>
    <t>DDC BIB &amp; BRACE MEDIUM REGULAR</t>
  </si>
  <si>
    <t>DDC BIB &amp; BRACE MEDIUM TALL</t>
  </si>
  <si>
    <t>DDC BLOCK BRUSH</t>
  </si>
  <si>
    <t>DDC CAULKER 250MM</t>
  </si>
  <si>
    <t>DDC CLICK-LOCK EXTENSION POLE 2-4FT</t>
  </si>
  <si>
    <t>DDC CLICK-LOCK EXTENSION POLE 4-8FT</t>
  </si>
  <si>
    <t>DDC CLICK-LOCK EXTENSION POLE 6-12FT</t>
  </si>
  <si>
    <t>DDC CUTTING IN BRUSH 15MM</t>
  </si>
  <si>
    <t>DDC CUTTING IN BRUSH 18MM</t>
  </si>
  <si>
    <t>DDC CUTTING IN BRUSH 21MM</t>
  </si>
  <si>
    <t>DDC DECORATORS CAULK BROWN 380ML</t>
  </si>
  <si>
    <t>DDC DECORATORS CAULK FOIL 400ML</t>
  </si>
  <si>
    <t>DDC DECORATORS CAULK WHITE 380ML</t>
  </si>
  <si>
    <t>DDC DECORATORS FOIL GUN</t>
  </si>
  <si>
    <t>DDC DOUBLE ARM FRAME 12IN</t>
  </si>
  <si>
    <t>DDC DOUBLE ARM FRAME 15IN</t>
  </si>
  <si>
    <t>DDC DUSTER BRUSH</t>
  </si>
  <si>
    <t>DDC EMULSION KIT 2 SLEEVES 4IN</t>
  </si>
  <si>
    <t>DDC EXTRA LONG PILE KNITTED SLEEVE 9IN</t>
  </si>
  <si>
    <t>DDC FILLING KNIFE SOFT GRIP 50MM</t>
  </si>
  <si>
    <t>DDC FILLING KNIFE SOFT GRIP 76MM</t>
  </si>
  <si>
    <t>DDC FLEXIBLE FINISHING PAD EXTRA FINE/FINE</t>
  </si>
  <si>
    <t>DDC FLEXIBLE FINISHING PAD MEDIUM/COARSE</t>
  </si>
  <si>
    <t>DDC GLOSSER KIT 2 SLEEVES 4IN</t>
  </si>
  <si>
    <t>DDC GLOSSER MICROFIBRE SLEEVE 10PK 4IN</t>
  </si>
  <si>
    <t>DDC GLOSSER MICROFIBRE SLEEVE 2PK 4IN</t>
  </si>
  <si>
    <t>DDC HAND GRIP WIRE BRUSH</t>
  </si>
  <si>
    <t>DDC HEAVY DUTY POLYTHENE ROLL 4MX25M</t>
  </si>
  <si>
    <t>DDC HEAVY DUTY ROLLER TRAY 15IN</t>
  </si>
  <si>
    <t>DDC HEAVY DUTY ROLLER TRAY 9IN</t>
  </si>
  <si>
    <t>DDC HEAVY DUTY RUBBLE SACK 5PK</t>
  </si>
  <si>
    <t>DDC HEAVY DUTY SCUTTLE SET 12IN</t>
  </si>
  <si>
    <t>DDC HEAVY DUTY SCUTTLE SET 9IN</t>
  </si>
  <si>
    <t>DDC HEAVY DUTY STRIPPER 4IN</t>
  </si>
  <si>
    <t>DDC HEAVY DUTY STRIPPER BLADE 5PK 4IN</t>
  </si>
  <si>
    <t>DDC HEAVY DUTY WOVEN SLEEVE 12IN</t>
  </si>
  <si>
    <t>DDC HEAVY DUTY WOVEN SLEEVE 15IN</t>
  </si>
  <si>
    <t>DDC HEAVY DUTY WOVEN SLEEVE 2PK 4IN</t>
  </si>
  <si>
    <t>DDC HEAVY DUTY WOVEN SLEEVE 9IN</t>
  </si>
  <si>
    <t>DDC HEAVYWEIGHT TWILL DUST SHEET 12X9FT</t>
  </si>
  <si>
    <t>DDC HIGH DENSITY FOAM SLEEVE 10PK 4IN</t>
  </si>
  <si>
    <t>DDC HIGH DENSITY FOAM SLEEVE 2PK 4IN</t>
  </si>
  <si>
    <t>DDC HIGH DENSITY FOAM SLEEVE 9IN</t>
  </si>
  <si>
    <t>DDC INTERIOR BRUSH 4"</t>
  </si>
  <si>
    <t>DDC INTERIOR BRUSH 6"</t>
  </si>
  <si>
    <t>DDC LONG HANDLE STICK FRAME 4IN</t>
  </si>
  <si>
    <t>DDC LONG HANDLE WIRE BRUSH</t>
  </si>
  <si>
    <t>DDC LONG PILE WOVEN SLEEVE 10PK 4IN</t>
  </si>
  <si>
    <t>DDC LONG PILE WOVEN SLEEVE 2PK 4IN</t>
  </si>
  <si>
    <t>DDC LONG PILE WOVEN SLEEVE 9IN</t>
  </si>
  <si>
    <t>DDC LOW TACK MASKING TAPE 25MM X 50M</t>
  </si>
  <si>
    <t>DDC LOW TACK MASKING TAPE 38MM X 50M</t>
  </si>
  <si>
    <t>DDC LOW TACK MASKING TAPE 50MM X 50M</t>
  </si>
  <si>
    <t>DDC MASKING TAPE 24MM X 50M</t>
  </si>
  <si>
    <t>DDC MASKING TAPE 36MM X 50M</t>
  </si>
  <si>
    <t>DDC MASKING TAPE 48MM X 50M</t>
  </si>
  <si>
    <t>DDC MASKING TAPE 72MM X 50M</t>
  </si>
  <si>
    <t>DDC MASONRY BRUSH 4IN</t>
  </si>
  <si>
    <t>DDC MASONRY ROLLER KIT</t>
  </si>
  <si>
    <t>DDC MEDIUM PILE KNITTED SLEEVE 12IN</t>
  </si>
  <si>
    <t>DDC MEDIUM PILE KNITTED SLEEVE 3PK 9IN</t>
  </si>
  <si>
    <t>DDC MEDIUM PILE MICROFIBRE SLEEVE 12IN</t>
  </si>
  <si>
    <t>DDC MEDIUM PILE MICROFIBRE SLEEVE 9IN</t>
  </si>
  <si>
    <t>DDC MEDIUM PILE WOVEN SLEEVE 10PK 4IN</t>
  </si>
  <si>
    <t>DDC MEDIUM PILE WOVEN SLEEVE 12IN</t>
  </si>
  <si>
    <t>DDC MEDIUM PILE WOVEN SLEEVE 2PK 4IN</t>
  </si>
  <si>
    <t>DDC MEDIUM PILE WOVEN SLEEVE 9IN</t>
  </si>
  <si>
    <t>DDC MICROFIBRE SCUTTLE SET 9IN</t>
  </si>
  <si>
    <t>DDC PAINT MIXER 80MM</t>
  </si>
  <si>
    <t>DDC PLUMB LINE</t>
  </si>
  <si>
    <t>DDC POLE SANDER</t>
  </si>
  <si>
    <t>DDC POLYAMIDE ROLLER KIT</t>
  </si>
  <si>
    <t>DDC POLYTHENE DUST SHEET 12X12FT</t>
  </si>
  <si>
    <t>DDC POLYTHENE DUST SHEET 12X9FT</t>
  </si>
  <si>
    <t>DDC POLYTHENE ROLL 2MX50M</t>
  </si>
  <si>
    <t>DDC REFUSE SACK 50PK</t>
  </si>
  <si>
    <t>DDC ROLLER KIT 2 SLEEVES 9IN</t>
  </si>
  <si>
    <t>DDC SANITARY SILICONE CLEAR 300ML</t>
  </si>
  <si>
    <t>DDC SANITARY SILICONE WHITE 300ML</t>
  </si>
  <si>
    <t>DDC SCISSORS 11IN</t>
  </si>
  <si>
    <t>DDC SHORT HANDLE STICK FRAME 4IN</t>
  </si>
  <si>
    <t>DDC SHORT PILE KNITTED SLEEVE 12IN</t>
  </si>
  <si>
    <t>DDC SHORT PILE MICROFIBRE SLEEVE 9IN</t>
  </si>
  <si>
    <t>DDC SHORT PILE WOVEN SLEEVE 9IN</t>
  </si>
  <si>
    <t>DDC SKELETON GUN 400ML</t>
  </si>
  <si>
    <t>DDC SOFT GRIP CAGE FRAME 9IN</t>
  </si>
  <si>
    <t>DDC SOFT GRIP STICK FRAME 4IN</t>
  </si>
  <si>
    <t>DDC SOLVENT RESISTANT SLEEVE 2PK 4IN</t>
  </si>
  <si>
    <t>DDC STOCKINETTE 400G</t>
  </si>
  <si>
    <t>DDC STRAIGHT EDGE</t>
  </si>
  <si>
    <t>DDC STRIKER BRUSH LONG HANDLE 2IN</t>
  </si>
  <si>
    <t>DDC STRIKER BRUSH SHORT HANDLE 2IN</t>
  </si>
  <si>
    <t>DDC STRIPPING KNIFE SOFT GRIP 50MM</t>
  </si>
  <si>
    <t>DDC STRIPPING KNIFE SOFT GRIP 76MM</t>
  </si>
  <si>
    <t>DDC SYNTHETIC BRUSH 1"</t>
  </si>
  <si>
    <t>DDC SYNTHETIC BRUSH 1.5"</t>
  </si>
  <si>
    <t>DDC SYNTHETIC BRUSH 2"</t>
  </si>
  <si>
    <t>DDC SYNTHETIC BRUSH 3"</t>
  </si>
  <si>
    <t>DDC SYNTHETIC BRUSH 5 PACK</t>
  </si>
  <si>
    <t>DDC TROUSER 32R</t>
  </si>
  <si>
    <t>DDC TROUSER 34R</t>
  </si>
  <si>
    <t>DDC TROUSER 36R</t>
  </si>
  <si>
    <t>DDC TROUSER 38R</t>
  </si>
  <si>
    <t>DDC TWILL DUST SHEET 12X12FT</t>
  </si>
  <si>
    <t>DDC TWILL DUST SHEET 12X9FT</t>
  </si>
  <si>
    <t>DDC TWILL DUST SHEET 25X3FT</t>
  </si>
  <si>
    <t>DDC ULTRA GRIP 300ML</t>
  </si>
  <si>
    <t>DDC WET PAINT LABEL EACH</t>
  </si>
  <si>
    <t>DDC WOVEN POLY ROLLER KIT 2 SLEEVES 9"</t>
  </si>
  <si>
    <t>DDC WOVEN POLYAMIDE ROLLER SCUTTLE KIT - 9"</t>
  </si>
  <si>
    <t>DT PLUS SMARTSHIELD CLEARCOAT 10L</t>
  </si>
  <si>
    <t>DT PYROSHIELD EGGSHELL LIGHT BS TINTED 5L</t>
  </si>
  <si>
    <t>DT W/SDT W/SHIELD PRESERVATIVE PRIMER 2.5L</t>
  </si>
  <si>
    <t>DT W/SHIELD PRESERVATIVE PRIMER 1L</t>
  </si>
  <si>
    <t>DULUX TR A/GRAF C/COAT ACTIV 1.09L</t>
  </si>
  <si>
    <t>DULUX TR A/GRAF CLEARCOAT FIN 3.9L</t>
  </si>
  <si>
    <t>DULUX TR A/GRAF PRMR BASE WHITE 4L</t>
  </si>
  <si>
    <t>DULUX TR AIRSURE VINYL MATT WHITE 10L</t>
  </si>
  <si>
    <t>DULUX TR ALKALI RESISTANT PRIMER 5L</t>
  </si>
  <si>
    <t>DULUX TR ALL PURPOSE PRIMER 2.5L</t>
  </si>
  <si>
    <t>DULUX TR ALUMINIUM PAINT 5L</t>
  </si>
  <si>
    <t>DULUX TR ALUMINIUM WOOD PRIMER 1L</t>
  </si>
  <si>
    <t>DULUX TR ALUMINIUM WOOD PRIMER 2.5L</t>
  </si>
  <si>
    <t>DULUX TR ALUMINIUM WOOD PRIMER 5L</t>
  </si>
  <si>
    <t>DULUX TR DIAMOND EGGSHELL MAG 5L</t>
  </si>
  <si>
    <t>DULUX TR DIAMOND GLAZE GLOSS 1L</t>
  </si>
  <si>
    <t>DULUX TR DIAMOND GLAZE GLOSS 2.5L</t>
  </si>
  <si>
    <t>DULUX TR DIAMOND GLAZE GLOSS 5L</t>
  </si>
  <si>
    <t>DULUX TR DIAMOND GLAZE SATIN 2.5L</t>
  </si>
  <si>
    <t>DULUX TR DIAMOND GLAZE SATIN 5L</t>
  </si>
  <si>
    <t>DULUX TR DIAMOND MATT PBW 5L</t>
  </si>
  <si>
    <t>DULUX TR FLAT MATT WHITE 5L</t>
  </si>
  <si>
    <t>DULUX TR HP FLOOR PAINT ACTIVOR 3.22L</t>
  </si>
  <si>
    <t>DULUX TR HP FLOOR PAINT G/WING 1.78L</t>
  </si>
  <si>
    <t>DULUX TR L/MARKING PAINT WHITE 5L</t>
  </si>
  <si>
    <t>DULUX TR L/MARKING PAINT YELLOW 5L</t>
  </si>
  <si>
    <t>DULUX TR M/SHIELD GLOSS SILVER 1L</t>
  </si>
  <si>
    <t>DULUX TR M/SHIELD GLOSS WHITE 1L</t>
  </si>
  <si>
    <t>DULUX TR M/SHIELD GLOSS WHITE 2.5L</t>
  </si>
  <si>
    <t>DULUX TR M/SHIELD ZINC PHOSPHATE PRIMER 1L</t>
  </si>
  <si>
    <t>DULUX TR M/SHIELD ZINC PHOSPHATE PRIMER 5L</t>
  </si>
  <si>
    <t>DULUX TR MDF PRIMER/UNDERCOAT 2.5L</t>
  </si>
  <si>
    <t>DULUX TR METALSHIELD GLOSS BLACK 1L</t>
  </si>
  <si>
    <t>DULUX TR METALSHIELD GLOSS BLACK 2.5L</t>
  </si>
  <si>
    <t>DULUX TR POLY VARNISH GLOSS 1L</t>
  </si>
  <si>
    <t>DULUX TR POLY VARNISH GLOSS 2.5L</t>
  </si>
  <si>
    <t>DULUX TR POLY VARNISH GLOSS 5L</t>
  </si>
  <si>
    <t>DULUX TR POLY VARNISH MATT 2.5L</t>
  </si>
  <si>
    <t>DULUX TR POLY VARNISH SATIN 1L</t>
  </si>
  <si>
    <t>DULUX TR POLY VARNISH SATIN 2.5L</t>
  </si>
  <si>
    <t>DULUX TR POLY VARNISH SATIN 5L</t>
  </si>
  <si>
    <t>DULUX TR QD OPAQUE BLACK 1L</t>
  </si>
  <si>
    <t>DULUX TR QD OPAQUE BLACK 2.5L</t>
  </si>
  <si>
    <t>DULUX TR QD OPAQUE BLACK 5L</t>
  </si>
  <si>
    <t>DULUX TR QD OPAQUE WHITE 2.5L</t>
  </si>
  <si>
    <t>DULUX TR QD OPAQUE WHITE 5L</t>
  </si>
  <si>
    <t>DULUX TR QD UNDERCOAT WHITE 2.5L</t>
  </si>
  <si>
    <t>DULUX TR QD VARNISH GLOSS 1L</t>
  </si>
  <si>
    <t>DULUX TR QD VARNISH GLOSS 2.5L</t>
  </si>
  <si>
    <t>DULUX TR QD VARNISH SATIN 1L</t>
  </si>
  <si>
    <t>DULUX TR QD VARNISH SATIN 2.5L</t>
  </si>
  <si>
    <t>DULUX TR QD WD PRIMER U/COAT 1L</t>
  </si>
  <si>
    <t>DULUX TR QD WD PRIMER U/COAT 2.5L</t>
  </si>
  <si>
    <t>DULUX TR S/SHEEN MAGNOLIA 5L</t>
  </si>
  <si>
    <t>DULUX TR S/SHEEN PBW 5L</t>
  </si>
  <si>
    <t>DULUX TR S/SHIELD DIAMOND MATT PBW 5L</t>
  </si>
  <si>
    <t>DULUX TR SCUFFSHIELD MATT WHITE 5L</t>
  </si>
  <si>
    <t>DULUX TR STAIN BLOCK PLUS 1L</t>
  </si>
  <si>
    <t>DULUX TR STAIN BLOCK PLUS 2.5L</t>
  </si>
  <si>
    <t>DULUX TR STAIN BLOCK PLUS 5L</t>
  </si>
  <si>
    <t>DULUX TR SUPER GRIP PRIMER 1L</t>
  </si>
  <si>
    <t>DULUX TR SUPER GRIP PRIMER 2.5L</t>
  </si>
  <si>
    <t>DULUX TR SUPER GRIP PRIMER 5L</t>
  </si>
  <si>
    <t>DULUX TR ULTRA GRIP PRMR ACTVR 0.2L</t>
  </si>
  <si>
    <t>DULUX TR ULTRA GRIP PRMR BASE 0.8L</t>
  </si>
  <si>
    <t>DULUX TR V/MATT MAGNOLIA 10L</t>
  </si>
  <si>
    <t>DULUX TR V/MATT MAGNOLIA 5L</t>
  </si>
  <si>
    <t>DULUX TR V/MATT PBW 10L</t>
  </si>
  <si>
    <t>DULUX TR V/MATT PBW 5L</t>
  </si>
  <si>
    <t>DULUX TR V/MATT WHITE 10L</t>
  </si>
  <si>
    <t>DULUX TR V/SILK MAGNOLIA 10L</t>
  </si>
  <si>
    <t>DULUX TR V/SILK MAGNOLIA 5L</t>
  </si>
  <si>
    <t>DULUX TR V/SILK PBW 5L</t>
  </si>
  <si>
    <t>DULUX TR V/SILK WHITE 10L</t>
  </si>
  <si>
    <t>DULUX TR V/SILK WHITE 5L</t>
  </si>
  <si>
    <t>DULUX TR W/S EXT GLOSS BLACK 5L</t>
  </si>
  <si>
    <t>DULUX TR W/S EXT U/COAT B/WHITE 2.5L</t>
  </si>
  <si>
    <t>DULUX TR W/S M/SURF FUNG WASH 5L</t>
  </si>
  <si>
    <t>DULUX TR W/S MSNRY BLACK 5L</t>
  </si>
  <si>
    <t>DULUX TR W/S MSNRY MAGNOLIA 7.5L</t>
  </si>
  <si>
    <t>DULUX TR W/S MSNRY SMOOTH MAGNOLIA 10L</t>
  </si>
  <si>
    <t>DULUX TR W/S MSNRY SMOOTH PBW 10L</t>
  </si>
  <si>
    <t>DULUX TR W/S QD EXT HIGH GLOSS PBW 5L</t>
  </si>
  <si>
    <t>DULUX TR W/S QD SATIN PBW 5L</t>
  </si>
  <si>
    <t>DULUX TR W/S ULT OPQ BLACK 2.5L</t>
  </si>
  <si>
    <t>DULUX TR W/S ULT OPQ BLACK 5L</t>
  </si>
  <si>
    <t>DULUX TR W/S ULT OPQ WHITE 2.5L</t>
  </si>
  <si>
    <t>DULUX TR W/S ULT OPQ WHITE 5L</t>
  </si>
  <si>
    <t>DULUX TR W/S ULT W/STN EBONY 5L</t>
  </si>
  <si>
    <t>DULUX TR W/S ULT W/STN R/MAHG 1L</t>
  </si>
  <si>
    <t>DULUX TR W/S ULT W/STN R/MAHG 2.5L</t>
  </si>
  <si>
    <t>DULUX TR W/S ULT W/STN R/MAHG 5L</t>
  </si>
  <si>
    <t>DULUX TR W/S ULT W/STN R/WOOD 1L</t>
  </si>
  <si>
    <t>DULUX TR W/S ULT W/STN R/WOOD 2.5L</t>
  </si>
  <si>
    <t>DULUX TR W/S ULT W/STN R/WOOD 5L</t>
  </si>
  <si>
    <t>DULUX TR W/S ULT W/STN TEAK 1L</t>
  </si>
  <si>
    <t>DULUX TR W/S ULT W/STN TEAK 2.5L</t>
  </si>
  <si>
    <t>DULUX TR W/S ULT W/STN TEAK 5L</t>
  </si>
  <si>
    <t>DULUX TR W/S ULT W/STN W/NUT 2.5L</t>
  </si>
  <si>
    <t>DULUX TR W/S ULT W/STN W/NUT 5L</t>
  </si>
  <si>
    <t>DULUX TR W/S YACHT VARNISH 1L</t>
  </si>
  <si>
    <t>DULUX TR W/S YACHT VARNISH 2.5L</t>
  </si>
  <si>
    <t>DULUX TR W/SHIELD STABILISING PRIMER 5L</t>
  </si>
  <si>
    <t>DULUX TR WOOD PRIMER WHITE 1L</t>
  </si>
  <si>
    <t>DULUX TR WOOD PRIMER WHITE 2.5L</t>
  </si>
  <si>
    <t>DULUX TR WOOD PRIMER WHITE 5L</t>
  </si>
  <si>
    <t>FILLTITE CONT FLLNG KNVES 4PK EACH</t>
  </si>
  <si>
    <t>FILLTITE SPARE HARDENER 30G</t>
  </si>
  <si>
    <t>FLEXITUB 15L</t>
  </si>
  <si>
    <t>FROG TAPE DELICATE 36MM X 41.1M</t>
  </si>
  <si>
    <t>FROG TAPE MULTI-SURFACE 24MM X 41.1M</t>
  </si>
  <si>
    <t>FROG TAPE MULTI-SURFACE 36MM X 41.1M</t>
  </si>
  <si>
    <t>FROG TAPE MULTI-SURFACE 48MM X 41.1M</t>
  </si>
  <si>
    <t>GRACO LOW PRESSURE TIP 517</t>
  </si>
  <si>
    <t>GYPROC CORNER TAPE 30M</t>
  </si>
  <si>
    <t>GYPROC EASI-FILL 10KG</t>
  </si>
  <si>
    <t>GYPROC EASI-FILL 20 10KG</t>
  </si>
  <si>
    <t>GYPROC EASI-FILL 20 5KG</t>
  </si>
  <si>
    <t>GYPROC EASI-FILL 45 10KG</t>
  </si>
  <si>
    <t>GYPROC EASI-FILL 5KG</t>
  </si>
  <si>
    <t>GYPROC EASIFILLER 1L</t>
  </si>
  <si>
    <t>GYPROC EASI-FILLER 5KG</t>
  </si>
  <si>
    <t>GYPROC EASIFILLER FINISH 3L</t>
  </si>
  <si>
    <t>GYPROC EASIFILLER LIGHT 1L</t>
  </si>
  <si>
    <t>GYPROC EASIFILLER LIGHT 2.5L</t>
  </si>
  <si>
    <t>GYPROC EASIPATCH PLASTERBOARD PATCHES</t>
  </si>
  <si>
    <t>GYPROC JOINT FILLER 12.5KG</t>
  </si>
  <si>
    <t>GYPROC JOINT TAPE 153M X 52MM</t>
  </si>
  <si>
    <t>GYPROC PROMIX LITE 17L</t>
  </si>
  <si>
    <t>GYPROC PROTAPE FT50 90M</t>
  </si>
  <si>
    <t>GYPROC READY MIX JOINT CEMENT 12L</t>
  </si>
  <si>
    <t>GYPROC REPAIR PATCH ASSTMENT EACH</t>
  </si>
  <si>
    <t>GYPROC SAND PAPER 100G 25PK EACH</t>
  </si>
  <si>
    <t>GYPROC SAND PAPER 120G 25PK EACH</t>
  </si>
  <si>
    <t>HAMILTON LINING TOOL 4PK</t>
  </si>
  <si>
    <t>HAMILTON PERFECTION 6 PIECE ROLLER SET</t>
  </si>
  <si>
    <t>HAMILTON PERFECTION 9IN 5 PIECE ROLLER KIT</t>
  </si>
  <si>
    <t>HAMILTON PERFECTION BRISTLE BRUSH 1.5"</t>
  </si>
  <si>
    <t>HAMILTON PERFECTION BRISTLE BRUSH 2"</t>
  </si>
  <si>
    <t>HAMILTON PERFECTION BRISTLE BRUSH 4 PACK</t>
  </si>
  <si>
    <t>HAMILTON PERFECTION BRISTLE WINDOW BRUSH 0.75"</t>
  </si>
  <si>
    <t>HAMILTON PERFECTION ROLLER 6 PACK W FREE ANGLEBRUSH</t>
  </si>
  <si>
    <t>HAMILTON PERFECTION ROLLER SLV - X-LONG 12"</t>
  </si>
  <si>
    <t>HAMILTON PERFECTION SYNTHETIC BRUSH 1"</t>
  </si>
  <si>
    <t>HAMILTON PERFECTION SYNTHETIC BRUSH 1.5"</t>
  </si>
  <si>
    <t>HAMILTON PERFECTION SYNTHETIC BRUSH 2"</t>
  </si>
  <si>
    <t>HAMILTON PERFECTION SYNTHETIC BRUSH 3"</t>
  </si>
  <si>
    <t>HAMILTON PERFECTION SYNTHETIC BRUSH BOX 4PK</t>
  </si>
  <si>
    <t>HAMILTON PERFORMANCE CUTTING IN BRUSH 2"</t>
  </si>
  <si>
    <t>HAMILTON PRESTIGE BRISTLE SASH 15/18/21MM 3PK</t>
  </si>
  <si>
    <t>HAMILTON PRESTIGE HEAVY DUTY SCRAPER BLADE 50MM</t>
  </si>
  <si>
    <t>HAMILTON PRESTIGE SASH BRUSH 15/18/21MM 3PK</t>
  </si>
  <si>
    <t>HAMILTON PRESTIGE SASH BRUSH SYNTHETIC 15MM</t>
  </si>
  <si>
    <t>HAMILTON PRESTIGE SYNTHETIC BRUSH 5 PACK - FREE SASH BRUSH</t>
  </si>
  <si>
    <t>HG GLASS &amp; MIRROR SPRAY 500ML</t>
  </si>
  <si>
    <t>HG GRAFITI REMOVER 600ML</t>
  </si>
  <si>
    <t>HG MOULD REMOVER FOAM SPRAY 500ML</t>
  </si>
  <si>
    <t>HG MOULD SPRAY 500ML</t>
  </si>
  <si>
    <t>HG UPVC POWERFUL CLEANER 500ML</t>
  </si>
  <si>
    <t>INDASA RHYNOSOFT BOX OF 20 PADS 115 X 140 MM P120</t>
  </si>
  <si>
    <t>INDASA RHYNOSOFT BOX OF 20 PADS 115 X 140 MM P80</t>
  </si>
  <si>
    <t>INDASA SCRAPER 50MM</t>
  </si>
  <si>
    <t>KANA SYNTHETIC SASH BRUSH 3PK</t>
  </si>
  <si>
    <t>LITTLE GREENE ABS MATT EMULSION TRANSP TINT 5L</t>
  </si>
  <si>
    <t>LITTLE GREENE INTEL A/SURF PRMR EX DEEP TINT 1L</t>
  </si>
  <si>
    <t>LITTLE GREENE INTEL EGGSHELL MED TINT 2.5L</t>
  </si>
  <si>
    <t>LITTLE GREENE INTEL MATT EMULSION MED TINT 5L</t>
  </si>
  <si>
    <t>LITTLE GREENE TRAD OIL GLOSS TRANSP TINT 1L</t>
  </si>
  <si>
    <t>MIRKA ABRANET 125MM GRIP P80 10PK</t>
  </si>
  <si>
    <t>MIRKA ABRANET DEROS 150MM GRIP P180 10PK</t>
  </si>
  <si>
    <t>MIRKA ABRANET DEROS 150MM GRIP P80 50PK</t>
  </si>
  <si>
    <t>MIRKA GOLD PROFLEX 115MM X 10M RLL P180 UK</t>
  </si>
  <si>
    <t>MIRKA GOLD PROFLEX 115MMX10M ROLL P180</t>
  </si>
  <si>
    <t>MIRKA GOLDFLEX SOFT 115X140MM P150 10PK</t>
  </si>
  <si>
    <t>MIRKA HIOMANT 115MM X 10M RLL P80 GB</t>
  </si>
  <si>
    <t>MIRKA HIOMANT ROLL 120G 50M</t>
  </si>
  <si>
    <t>NORTON SAND SPONGE FINE/MED 100X68X26</t>
  </si>
  <si>
    <t>OAKEY DUAL GRIT SANDING SPONGE FINE/COARSE 4PK</t>
  </si>
  <si>
    <t>OAKEY G/PURP ASSTD PAPER 5PK EACH</t>
  </si>
  <si>
    <t>OAKEY H/D DECORATORS SPONGE</t>
  </si>
  <si>
    <t>OAKEY STEEL WOOL MED 200G EACH</t>
  </si>
  <si>
    <t>OB1 MULTISURFACE SEAL&amp;ADH GREY 290ML</t>
  </si>
  <si>
    <t>OB1 MULTISURFACE SEAL&amp;ADH WHITE 290ML</t>
  </si>
  <si>
    <t>OLFA EXCEL BLACK BLADE 10PK 12.5MM</t>
  </si>
  <si>
    <t>OLFA EXCEL BLACK BLADE 10PK 18MM</t>
  </si>
  <si>
    <t>OLFA EXCEL BLACK BLADE 50PK 18MM</t>
  </si>
  <si>
    <t>OLFA HD SCRAPER BLADE 10PK 100MM</t>
  </si>
  <si>
    <t>OLFA KNIFE &amp; BLADE 5 PACK</t>
  </si>
  <si>
    <t>OLFA PROFESSIONAL RAZOR EDGE GLASS SCRAPER</t>
  </si>
  <si>
    <t>OLFA PROFESSIONAL RAZOR EDGE GLASS SCRAPER BLADES</t>
  </si>
  <si>
    <t>OLFA SPARE BLADES FOR BTC-1 SCRAPER 43MM 3 PACK</t>
  </si>
  <si>
    <t>OLFA WALLPAPER SNAP KNIFE 12.5MM</t>
  </si>
  <si>
    <t>OLFA X-DESIGN HD SCRAPER 300MM</t>
  </si>
  <si>
    <t>OLFA X-DESIGN SNAP KNIFE 18MM</t>
  </si>
  <si>
    <t>OLFA X-DESIGN SNAP KNIFE 9MM</t>
  </si>
  <si>
    <t>OSMO ANTI-SLIP DECKING OIL 2.5</t>
  </si>
  <si>
    <t>OSMO DOOR OIL 3060 1L</t>
  </si>
  <si>
    <t>OSMO POLYX H/WAX OIL CL SATIN 2.5LT</t>
  </si>
  <si>
    <t>OSMO UV PROTECTION OIL EX CLEAR 2.5L</t>
  </si>
  <si>
    <t>OX FFP2 MOULDED CUP RESPIRATOR 3 PACK</t>
  </si>
  <si>
    <t>OX NITRILE DISPOSABLE GLOVES 100PK - LARGE</t>
  </si>
  <si>
    <t>OX NITRILE DISPOSABLE GLOVES 100PK - X LARGE</t>
  </si>
  <si>
    <t>OX TOOLS COTTON KNITWRIST GLOVE - SIZE 10 (XL)</t>
  </si>
  <si>
    <t>OX TOOLS INDIRECT VENT ANTI-MIST SAFETY GOGGLES</t>
  </si>
  <si>
    <t>OX TOOLS LATEX GRIP GLOVES - SIZE 10 (XL)</t>
  </si>
  <si>
    <t>OX TOOLS PP DISPOSABLE COVERALL - XL</t>
  </si>
  <si>
    <t>OX TOOLS PU FLEX GLOVES - SIZE 10 (XL)</t>
  </si>
  <si>
    <t>OX TOOLS S450 HALF MASK RESPIRATOR</t>
  </si>
  <si>
    <t>OX TOOLS SAFETY GLASSES - CLEAR LENSES</t>
  </si>
  <si>
    <t>OX TOOLS TRADE POCKET KNEEPAD</t>
  </si>
  <si>
    <t>OX TYPE IIR FACE MASK 10 PACK</t>
  </si>
  <si>
    <t>PACKEXE CARPET 625MM X 100M</t>
  </si>
  <si>
    <t>PACKEXE CARPET 625MM X 25M</t>
  </si>
  <si>
    <t>PACKEXE HARDFLOOR 625MM X 100M</t>
  </si>
  <si>
    <t>PACKEXE HARDFLOOR 625MM X 25M</t>
  </si>
  <si>
    <t>PAINTERS PACK BRUSH SET 6PK</t>
  </si>
  <si>
    <t>PAINTERS PACK BRUSH SET TWIN PACK</t>
  </si>
  <si>
    <t>PREMIER MASK FFP2 2PK EACH</t>
  </si>
  <si>
    <t>PRODEC HAND MASKING PAPER 12IN X 55M</t>
  </si>
  <si>
    <t>PRODEC ICE FUSION 1" OVAL SYNTHETIC BRUSH</t>
  </si>
  <si>
    <t>PRODEC ICE FUSION 1" SYNTHETIC BRUSH</t>
  </si>
  <si>
    <t>PRODEC ICE FUSION 1.5" OVAL SYNTHETIC BRUSH</t>
  </si>
  <si>
    <t>PRODEC ICE FUSION 1.5" SYNTHETIC BRUSH</t>
  </si>
  <si>
    <t>PRODEC ICE FUSION 12" ROLLER REFILL</t>
  </si>
  <si>
    <t>PRODEC ICE FUSION 2" ANGLED BRUSH</t>
  </si>
  <si>
    <t>PRODEC ICE FUSION 2" CUTTING IN ANGLED BRUSH</t>
  </si>
  <si>
    <t>PRODEC ICE FUSION 2" OVAL SYNTHETIC BRUSH</t>
  </si>
  <si>
    <t>PRODEC ICE FUSION 2" SYNTHETIC PAINT BRUSH</t>
  </si>
  <si>
    <t>PRODEC ICE FUSION 3" SYNTHETIC BRUSH</t>
  </si>
  <si>
    <t>PRODEC ICE FUSION 4" ROLLER REFILL 2 PACK</t>
  </si>
  <si>
    <t>PRODEC ICE FUSION 9" ROLLER REFILL</t>
  </si>
  <si>
    <t>PRODEC ICE FUSION BRUSH SET 4 PACK</t>
  </si>
  <si>
    <t>PRODEC L/WEIGHT GRIPPER GLOVES EACH</t>
  </si>
  <si>
    <t>PRODEC TROJAN BRUSH 6 PACK FREE WOOD WORKER</t>
  </si>
  <si>
    <t>PURDY BENT POLE SCRAPER</t>
  </si>
  <si>
    <t>PURDY CARBON STEEL JOINT KNIFE 6IN</t>
  </si>
  <si>
    <t>PURDY COLOSSUS 1/2IN NAP 2 PACK 6.5IN</t>
  </si>
  <si>
    <t>PURDY COLOSSUS 1IN NAP 9IN</t>
  </si>
  <si>
    <t>PURDY COLOSSUS 3/4 NAP 18IN</t>
  </si>
  <si>
    <t>PURDY CONTRACTOR BRUSH &amp; ROLLER CLEANER</t>
  </si>
  <si>
    <t>PURDY DUSTING BRUSH 4 INCH</t>
  </si>
  <si>
    <t>PURDY JUMBO MINI ROLLER FRAME</t>
  </si>
  <si>
    <t>PURDY MARATHON 9" R/SLEEVE 1.75" CORE - 3/4" NAP</t>
  </si>
  <si>
    <t>PURDY MINI ROLLER SYSTEM 4IN</t>
  </si>
  <si>
    <t>PURDY MON1 BOX SET EACH</t>
  </si>
  <si>
    <t>PURDY MONARCH ELITE BRUSH 1.5IN</t>
  </si>
  <si>
    <t>PURDY MONARCH ELITE BRUSH 2IN</t>
  </si>
  <si>
    <t>PURDY MONARCH ELITE BRUSH 3IN</t>
  </si>
  <si>
    <t>PURDY MONSPEC3 1X1.5 1X2 &amp; 1X3 INCH BRUSH PACK</t>
  </si>
  <si>
    <t>PURDY PAPERHANGER BRUSH 9 INCH</t>
  </si>
  <si>
    <t>PURDY PARROT JUMBO MINI 4.5" 2PK</t>
  </si>
  <si>
    <t>PURDY POWER LOCK EXTENSION POLE 1-2 FT</t>
  </si>
  <si>
    <t>PURDY POWER LOCK EXTENSION POLE 2-4 FT</t>
  </si>
  <si>
    <t>PURDY POWER LOCK EXTENSION POLE 4-8FT</t>
  </si>
  <si>
    <t>PURDY PREMIUM 6-IN-1 CARBON STEEL PAINTERS TOOL</t>
  </si>
  <si>
    <t>PURDY PREMIUM FLEX JOINT KNIFE 3IN</t>
  </si>
  <si>
    <t>PURDY PREMIUM STIFF SCRAPER 1.5IN</t>
  </si>
  <si>
    <t>PURDY PRO EXTRA MONARCH 2 INCH</t>
  </si>
  <si>
    <t>PURDY PRO EXTRA MONARCH 3 INCH</t>
  </si>
  <si>
    <t>PURDY REVOLUTION FRAME 9IN</t>
  </si>
  <si>
    <t>PURDY WHITE DOVE 3/8IN NAP 2PK 4IN</t>
  </si>
  <si>
    <t>PURDY WHITE DOVE 3/8IN NAP 9IN</t>
  </si>
  <si>
    <t>REPAIR CARE BRUSHES 12 PACK</t>
  </si>
  <si>
    <t>REPAIR CARE EASY Q LIGHTWEIGHT PISTOL</t>
  </si>
  <si>
    <t>REPAIR CARE EASY Q STEEL MODELLING KNIVES SET OF 4</t>
  </si>
  <si>
    <t>REPAIR CARE GLOVES XL EACH</t>
  </si>
  <si>
    <t>REPAIR CARE H/DUTY GUN EACH</t>
  </si>
  <si>
    <t>REPAIR CARE MIXING PLATE EACH</t>
  </si>
  <si>
    <t>REPAIR CARE PLASTIC KNIFE 130MM</t>
  </si>
  <si>
    <t>REPAIR CARE ROUND CUTTER 9.5MM</t>
  </si>
  <si>
    <t>REPAIR CARE SCRAPER BLADES 5 PACK</t>
  </si>
  <si>
    <t>SIKKENS RUBBOL PRIMER PLUS WHITE 5L</t>
  </si>
  <si>
    <t>SOLVITE A/PURP ADHESIVE EACH</t>
  </si>
  <si>
    <t>SOLVITE O/LAP BORDER ADH TUBE EACH</t>
  </si>
  <si>
    <t>SOLVITE WALLPAPER PASTE 10 ROLL SACHET</t>
  </si>
  <si>
    <t>STANLEY FLEX FILLING KNIFE EACH</t>
  </si>
  <si>
    <t>STANLEY WINDOW SCRAPER EACH</t>
  </si>
  <si>
    <t>TESA DUCT TAPE SILVER 48MM X 50M</t>
  </si>
  <si>
    <t>TFB MICROFIBRE MINI 4" 10MM NAP/10PACK</t>
  </si>
  <si>
    <t>TFB MICROFIBRE MINI 4" 10MM NAP/3PACK</t>
  </si>
  <si>
    <t>TFB MICROFIBRE MINI 4" 5MM NAP/10PACK</t>
  </si>
  <si>
    <t>TFB MICROFIBRE MINI 4" 5MM NAP/3PACK</t>
  </si>
  <si>
    <t>THERMOGUARD DUALCOAT SMOKE &amp; FLAME RETARDANT EGGSHELL 20SQM</t>
  </si>
  <si>
    <t>TOUPRET FIBACRYL EXT FILLER 1KG</t>
  </si>
  <si>
    <t>TOUPRET FIBACRYL EXT FILLER 310ML</t>
  </si>
  <si>
    <t>TOUPRET FINE SURFACE FILLER 1.5KG</t>
  </si>
  <si>
    <t>TOUPRET JOINT SKIM &amp; FILL QD POWDER 5KG</t>
  </si>
  <si>
    <t>TOUPRET WOOD HARDENER 1L</t>
  </si>
  <si>
    <t>TRADE BIB &amp; BRACE LARGE REGULAR</t>
  </si>
  <si>
    <t>TRADE BRUSH - 1"</t>
  </si>
  <si>
    <t>TRADE BRUSH - 2"</t>
  </si>
  <si>
    <t>TRADE BRUSH - 3"</t>
  </si>
  <si>
    <t>TRADE BRUSHES 3 PACK</t>
  </si>
  <si>
    <t>TRADE TROUSER 32R</t>
  </si>
  <si>
    <t>TRADE TROUSER 34R</t>
  </si>
  <si>
    <t>TRADE TROUSER 36R</t>
  </si>
  <si>
    <t>TRADE TROUSER 38R</t>
  </si>
  <si>
    <t>TRADE TWILL DUST SHEETS 5 PACK</t>
  </si>
  <si>
    <t>TRIMACO EASY MASK PAPER 12IN 180FT</t>
  </si>
  <si>
    <t>TRIMACO MASKING FILM 48IN 180FT</t>
  </si>
  <si>
    <t>TRIMACO MASKING FILM 72IN 90FT</t>
  </si>
  <si>
    <t>TRIMACO PRO STARTER KIT EACH</t>
  </si>
  <si>
    <t>TRIMACO TAPE &amp; DRAPE 45IN 72FT</t>
  </si>
  <si>
    <t>U-POL BPO SPARE HARDENER WHITE 40G</t>
  </si>
  <si>
    <t>VAPOUR MATE FOR BRUSH MATE 4</t>
  </si>
  <si>
    <t>WERNER 3.2M TELESCOPIC EXTENSION LADDER</t>
  </si>
  <si>
    <t>WERNER 7101318 3-WAY COMBINATION LADDER</t>
  </si>
  <si>
    <t>WERNER 7140618 6-TREAD MASTERTRADE STEPLADDER</t>
  </si>
  <si>
    <t>WERNER 7140818 8-TREAD MASTERTRADE STEPLADDER</t>
  </si>
  <si>
    <t>WERNER 7160618 6-TREAD GRP SWINGBACK STEPLADDER</t>
  </si>
  <si>
    <t>WERNER 7170418 4-TREAD GRP PLATFORM STEPLADDER</t>
  </si>
  <si>
    <t>WERNER 7400518 5-TREAD HIGH HANDRAIL STEPLADDER</t>
  </si>
  <si>
    <t>WERNER 78069 HANDY HOP UP WORK PLATFORM</t>
  </si>
  <si>
    <t>WERNER 78099 MAXI HOP UP WORK PLATFORM</t>
  </si>
  <si>
    <t>WERNER LADDER ROOF RACK CLAMPS</t>
  </si>
  <si>
    <t>WONDERTEX METAL ANGLE TAPE 30M</t>
  </si>
  <si>
    <t>ZINSSER ALL WEATHER MASONRY PAINT BLACK 5L</t>
  </si>
  <si>
    <t>ZINSSER ALLCOAT EXT WB SATIN BLACK 2.5L</t>
  </si>
  <si>
    <t>ZINSSER ALLCOAT EXT WB SATIN BLACK 5L</t>
  </si>
  <si>
    <t>ZINSSER ALLCOAT EXT WB SATIN WHITE 5L</t>
  </si>
  <si>
    <t>ZINSSER ALLCOAT EXTERIOR SATIN WB GREY 1L</t>
  </si>
  <si>
    <t>ZINSSER ALLCOAT EXTERIOR SATIN WB GREY 2.5L</t>
  </si>
  <si>
    <t>ZINSSER B-I-N 1L</t>
  </si>
  <si>
    <t>ZINSSER B-I-N 2.5L</t>
  </si>
  <si>
    <t>ZINSSER B-I-N 400ML</t>
  </si>
  <si>
    <t>ZINSSER B-I-N 500ML</t>
  </si>
  <si>
    <t>ZINSSER B-I-N 5L</t>
  </si>
  <si>
    <t>ZINSSER BULLS EYE 1-2-3 1L</t>
  </si>
  <si>
    <t>ZINSSER BULLS EYE 1-2-3 2.5L</t>
  </si>
  <si>
    <t>ZINSSER BULLS EYE 1-2-3 5L</t>
  </si>
  <si>
    <t>ZINSSER BULLS EYE 1-2-3 PLUS 2.5L</t>
  </si>
  <si>
    <t>ZINSSER BULLS EYE 1-2-3 PLUS 5L</t>
  </si>
  <si>
    <t>ZINSSER CEILING PRO 2.5L</t>
  </si>
  <si>
    <t>ZINSSER COVER STAIN 1L</t>
  </si>
  <si>
    <t>ZINSSER COVER STAIN 2.5L</t>
  </si>
  <si>
    <t>ZINSSER COVER STAIN 500ML</t>
  </si>
  <si>
    <t>ZINSSER COVER STAIN 5L</t>
  </si>
  <si>
    <t>ZINSSER COVER STAIN AEROSOL 400ML</t>
  </si>
  <si>
    <t>ZINSSER DIF CONCENTRATE 1LT</t>
  </si>
  <si>
    <t>ZINSSER GARDZ 5L</t>
  </si>
  <si>
    <t>ZINSSER MOULD KILLER &amp; REMOVER 500ML</t>
  </si>
  <si>
    <t>ZINSSER PAPER TIGER TRIPLE HEAD</t>
  </si>
  <si>
    <t>ZINSSER PEEL STOP PRIMER 1L</t>
  </si>
  <si>
    <t>ZINSSER PEEL STOP PRIMER 2.5L</t>
  </si>
  <si>
    <t>ZINSSER PERMA-WHITE INTERIOR MATT WHITE 2.5L</t>
  </si>
  <si>
    <t>ZINSSER PERMA-WHITE INTERIOR MATT WHITE 5L</t>
  </si>
  <si>
    <t>ZINSSER PERMA-WHITE INTERIOR SATIN WHITE 2.5L</t>
  </si>
  <si>
    <t>ZINSSER PERMA-WHITE INTERIOR SATIN WHITE 5L</t>
  </si>
  <si>
    <t>ZINSSER UNIVERSAL CLEANER DEGREASER 2.5L</t>
  </si>
  <si>
    <t>ZINSSER UNIVERSAL CLEANER DEGREASER 750ML</t>
  </si>
  <si>
    <t>ZINSSER WRITE-ON PAINT</t>
  </si>
  <si>
    <t>DULUX TR F/SHIELD ASH GREY 5L</t>
  </si>
  <si>
    <t>DULUX TR DIAMOND MATT TINTED LIG 5L</t>
  </si>
  <si>
    <t>DULUX TR DIAMOND EGGSHELL TINT LIG 5L</t>
  </si>
  <si>
    <t>DULUX TR DIAMOND MATT TINTED LIG 10L</t>
  </si>
  <si>
    <t>DULUX TR W/S MSNRY TINTED LIG 5L</t>
  </si>
  <si>
    <t>DULUX TR W/S MSNRY TINTED LIG 10L</t>
  </si>
  <si>
    <t>DULUX TR QD OPAQUE TINTED EXT 5L</t>
  </si>
  <si>
    <t>DULUX TR W/S MSNRY TINTED EXT 5L</t>
  </si>
  <si>
    <t>DULUX TR SCUFFSHIELD MATT TINTED LIGHT 5L</t>
  </si>
  <si>
    <t>DULUX TR V/SILK TINTED LIG 5L</t>
  </si>
  <si>
    <t>DULUX TR SCUFFSHIELD MATT TINTED E/DEEP 5L</t>
  </si>
  <si>
    <t>DULUX TR W/S MAX EXP TINTED LIG 5L</t>
  </si>
  <si>
    <t>DULUX TR W/S MSNRY TINTED MED 5L</t>
  </si>
  <si>
    <t>DULUX TR SCUFFSHIELD MATT TINTED MEDIUM 5L</t>
  </si>
  <si>
    <t>DULUX TR W/S ULT W/STN TNT RED RED 5L</t>
  </si>
  <si>
    <t>DULUX TR S/SHEEN TINTED LIG 5L</t>
  </si>
  <si>
    <t>ARMSTEAD TR SMOOTH MASONRY TINTED STR 5L</t>
  </si>
  <si>
    <t>DULUX TR W/S ULT W/STN TNT YEL YEL 5L</t>
  </si>
  <si>
    <t>ARMSTEAD TR SMOOTH MASONRY TINTED PAS 5L</t>
  </si>
  <si>
    <t>DULUX TR QD OPAQUE TINTED MED 5L</t>
  </si>
  <si>
    <t>DULUX TR QUICK DRY U/COAT TINTED LIG 5L</t>
  </si>
  <si>
    <t>DULUX TR DIAMOND EGGSHELL TINT LIG 2.5L</t>
  </si>
  <si>
    <t>DULUX TR HERITAGE MATT TINT LIGHT 5L</t>
  </si>
  <si>
    <t>DULUX TR W/S ULT OPQ TINT EXT 2.5L</t>
  </si>
  <si>
    <t>DULUX TR HERITAGE MATT TINT MEDIUM 5L</t>
  </si>
  <si>
    <t>DULUX TR QD OPAQUE TINTED EXT 2.5L</t>
  </si>
  <si>
    <t>DULUX TR M/SHIELD GLOSS TINTED EXT 2.5L</t>
  </si>
  <si>
    <t>DULUX TR DIAMOND SATINWOOD LIGHT TINT 5L</t>
  </si>
  <si>
    <t>DULUX TR QUICK DRY U/COAT TINTED EXT 5L</t>
  </si>
  <si>
    <t>DULUX TR V/SILK TINTED LIG 10L</t>
  </si>
  <si>
    <t>DULUX TR W/S ALL SEASONS PLIOLITE SMOOTH LIGHT TINTED 5L</t>
  </si>
  <si>
    <t>DULUX TR QUICK DRY U/COAT TINTED MED 5L</t>
  </si>
  <si>
    <t>ARMSTEAD TR SMOOTH MASONRY TINTED MID 5L</t>
  </si>
  <si>
    <t>DULUX TR M/SHIELD GLOSS TINTED MED 2.5L</t>
  </si>
  <si>
    <t>DULUX TR QD WOODSTAIN TINTED YEL 2.5L</t>
  </si>
  <si>
    <t>ARMSTEAD TR FLOOR PAINT TINTED STR 5L</t>
  </si>
  <si>
    <t>DULUX TR QD WOODSTAIN TINTED RED 5L</t>
  </si>
  <si>
    <t>DULUX TR W/S ULT W/STN TINT RED RED 2.5L</t>
  </si>
  <si>
    <t>DULUX TR DIAMOND EGGSHELL TINT MED 2.5L</t>
  </si>
  <si>
    <t>DULUX TR S/SHEEN TINTED MED 5L</t>
  </si>
  <si>
    <t>DULUX TR S/SHIELD D/MATT TINT LIG 5L</t>
  </si>
  <si>
    <t>DULUX TR V/SILK TINTED MED 5L</t>
  </si>
  <si>
    <t>DULUX TR CLADSHIELD TINTED LIG 5L</t>
  </si>
  <si>
    <t>ARMSTEAD TR FLOOR PAINT TINTED MID 5L</t>
  </si>
  <si>
    <t>DULUX TR W/S ULT W/STN TNT YEL YEL 2.5L</t>
  </si>
  <si>
    <t>ARMSTEAD TR V/SILK TINTED PAS 5L</t>
  </si>
  <si>
    <t>DULUX TR F/SHIELD TINTED MED 5L</t>
  </si>
  <si>
    <t>DULUX TR V/SILK TINTED EXT 5L</t>
  </si>
  <si>
    <t>DULUX TR DIAMOND SATINWOOD E/DEEP TINT 5L</t>
  </si>
  <si>
    <t>DULUX TR W/S ULT OPQ TINT MED 2.5L</t>
  </si>
  <si>
    <t>DULUX TR HERITAGE MATT TINT EXTRA DEEP 5L</t>
  </si>
  <si>
    <t>DULUX TR HERITAGE EGGSHELL TINT LIGHT 2.5L</t>
  </si>
  <si>
    <t>DULUX TR QD WOODSTAIN TINTED RED 2.5L</t>
  </si>
  <si>
    <t>DULUX TR COLOUR SAMPLER TINTED LIG 250ML</t>
  </si>
  <si>
    <t>DULUX TR W/S ALL SEASONS PLIOLITE SMOOTH E/DEEP TINTED 5L</t>
  </si>
  <si>
    <t>DULUX TR CLADSHIELD TINTED EXT 5L</t>
  </si>
  <si>
    <t>DULUX TR DIAMOND EGGSHELL TINT EXT 2.5L</t>
  </si>
  <si>
    <t>DULUX TR QD OPAQUE TINTED MED 2.5L</t>
  </si>
  <si>
    <t>DULUX TR EGGSHELL TINTED EXT 2.5L</t>
  </si>
  <si>
    <t>DULUX TR HERITAGE MATT TINT LIGHT 2.5L</t>
  </si>
  <si>
    <t>ARMSTEAD TR HIGH GLOSS TINTED STR 2.5L</t>
  </si>
  <si>
    <t>DULUX TR S/SHEEN TINTED EXT 5L</t>
  </si>
  <si>
    <t>DULUX TR M/SHIELD GLOSS TINTED EXT 1L</t>
  </si>
  <si>
    <t>DULUX TR DIAMOND GLAZE YELLOW TINTED YEL 2.5L</t>
  </si>
  <si>
    <t>DULUX TR EGGSHELL TINTED LIG 2.5L</t>
  </si>
  <si>
    <t>DULUX TR V/SILK TINTED LIG 2.5L</t>
  </si>
  <si>
    <t>DULUX TR QD VARN TINTED YEL 2.5L</t>
  </si>
  <si>
    <t>DULUX TR QD OPAQUE TINTED EXT 1L</t>
  </si>
  <si>
    <t>ARMSTEAD TR HIGH GLOSS TINTED PAS 2.5L</t>
  </si>
  <si>
    <t>DULUX TR COLOUR SAMPLER TINTED MED 250ML</t>
  </si>
  <si>
    <t>ARMSTEAD TR V/SILK TINTED MID 5L</t>
  </si>
  <si>
    <t>ARMSTEAD TR HIGH GLOSS TINTED MID 2.5L</t>
  </si>
  <si>
    <t>DULUX TR S/SHEEN TINTED MED 2.5L</t>
  </si>
  <si>
    <t>DULUX TR S/SHEEN TINTED LIG 2.5L</t>
  </si>
  <si>
    <t>DULUX TR V/SILK TINTED MED 2.5L</t>
  </si>
  <si>
    <t>DULUX TR HERITAGE MATT TINT EXTRA DEEP 2.5L</t>
  </si>
  <si>
    <t>DULUX TR COLOUR SAMPLER TINTED EXT 250ML</t>
  </si>
  <si>
    <t>DULUX TR HERITAGE MATT TINT MEDIUM 2.5L</t>
  </si>
  <si>
    <t>DULUX TR QD VARN TINTED RED 2.5L</t>
  </si>
  <si>
    <t>DULUX TR EGGSHELL TINTED MED 2.5L</t>
  </si>
  <si>
    <t>DULUX TR QD WOODSTAIN TINTED RED 1L</t>
  </si>
  <si>
    <t>DULUX TR EGGSHELL TINTED EXT 1L</t>
  </si>
  <si>
    <t>DULUX TR EGGSHELL TINTED LIG 1L</t>
  </si>
  <si>
    <t>DULUX TR QD WOODSTAIN TINTED YEL 5L</t>
  </si>
  <si>
    <t>ARMSTEAD TR V/SILK TINTED STR 5L</t>
  </si>
  <si>
    <t>DULUX TR QD OPAQUE TINTED MED 1L</t>
  </si>
  <si>
    <t>DULUX TR W/S ULT W/STN TNT YEL YEL 1L</t>
  </si>
  <si>
    <t>DULUX TR W/S MSNRY SMOOTH TINT LIG 10L</t>
  </si>
  <si>
    <t>DULUX TR QD WOODSTAIN TINTED YEL 1L</t>
  </si>
  <si>
    <t>DULUX TR M/SHIELD GLOSS TINTED MED 1L</t>
  </si>
  <si>
    <t>DULUX TR W/S QD EXT U/COAT TNT MED 2.5L</t>
  </si>
  <si>
    <t>DULUX TR HERITAGE EGGSHELL TINT EXTRA DEEP 2.5L</t>
  </si>
  <si>
    <t>DULUX TR EGGSHELL TINTED MED 1L</t>
  </si>
  <si>
    <t>DULUX TR W/S ULT W/STN TNT RED RED 1L</t>
  </si>
  <si>
    <t>DULUX TR S/SHEEN TINTED EXT 2.5L</t>
  </si>
  <si>
    <t>DULUX TR V/SILK TINTED EXT 2.5L</t>
  </si>
  <si>
    <t>DULUX TR V/SILK TINTED LIG 1L</t>
  </si>
  <si>
    <t>DULUX TR W/S QD EXT U/COAT TNT DEE 1L</t>
  </si>
  <si>
    <t>CUPRINOL GARDEN SHADES TINTED MED 2.5L</t>
  </si>
  <si>
    <t>CUPRINOL GARDEN SHADES TINTED E/DEEP 2.5L</t>
  </si>
  <si>
    <t>DULUX TR QD VARN TINTED YEL 1L</t>
  </si>
  <si>
    <t>WERNER 45005 LADDER ROOF HOOK</t>
  </si>
  <si>
    <t>RUBBOL SATURA WIT 1L</t>
  </si>
  <si>
    <t>RUBBOL SATURA WIT 2.5L</t>
  </si>
  <si>
    <t>POLY TR STAIN BLOCK 1L</t>
  </si>
  <si>
    <t>POLY TR STAIN BLOCK 2.5L</t>
  </si>
  <si>
    <t>DULUX TR QD WD PRIMER U/COAT 5L</t>
  </si>
  <si>
    <t>DULUX TR S/SHIELD QD E/SHELL PBW 5L</t>
  </si>
  <si>
    <t>DULUX TR DIAMOND EGGSHELL PBW 2.5L</t>
  </si>
  <si>
    <t>DULUX TR DIAMOND EGGSHELL PBW 5L</t>
  </si>
  <si>
    <t>DULUX TR W/S MSNRY SMOOTH PBW 5L</t>
  </si>
  <si>
    <t>DULUX TR W/S QD SATIN PBW 2.5L</t>
  </si>
  <si>
    <t>DULUX TR GLOSS PBW 1L</t>
  </si>
  <si>
    <t>DULUX TR GLOSS PBW 2.5L</t>
  </si>
  <si>
    <t>DULUX RT ONCE GLOSS PBW 2.5L</t>
  </si>
  <si>
    <t>HAMMERITE SMOOTH MF WHITE 2.5L</t>
  </si>
  <si>
    <t>HAMMERITE SMOOTH MF WHITE 5L</t>
  </si>
  <si>
    <t>HAMMERITE SMOOTH MF BLACK 2.5L</t>
  </si>
  <si>
    <t>HAMMERITE SMOOTH MF BLACK 5L</t>
  </si>
  <si>
    <t>HAMMERITE SMOOTH MF SILVER 250ML</t>
  </si>
  <si>
    <t>HAMMERITE SMOOTH MF SILVER 2.5L</t>
  </si>
  <si>
    <t>HAMMERITE SMOOTH MF SILVER 5L</t>
  </si>
  <si>
    <t>HAMMERITE THIN/BRUSH CLEANER 1L</t>
  </si>
  <si>
    <t>HAMMERITE THIN/BRUSH CLEANER 2.5L</t>
  </si>
  <si>
    <t>POLY TR A/PURP POLYFILLA 2KG</t>
  </si>
  <si>
    <t>POLY TR A/PURP R/MIX POLFILLA 1KG</t>
  </si>
  <si>
    <t>POLY TR A/PURP POLYFILLA 5KG</t>
  </si>
  <si>
    <t>POLY TR A/PURP POLYFILLA 10KG</t>
  </si>
  <si>
    <t>POLY TR EXT POLYFILLA 2KG</t>
  </si>
  <si>
    <t>POLY TR FINE SURFACE POLYFILLA 1.75KG</t>
  </si>
  <si>
    <t>POLY TR Q/DRY POLFILLA 330G</t>
  </si>
  <si>
    <t>POLY TR ONE FILL LIGHT FILL 4L</t>
  </si>
  <si>
    <t>POLY POLYFILLA DEC CAULK WHITE 380ML</t>
  </si>
  <si>
    <t>POLY POLYFILLA DEC CAULK MAG 380ML</t>
  </si>
  <si>
    <t>POLY POLYFILLA DEC CAULK BROWN 380ML</t>
  </si>
  <si>
    <t>POLY TR POLYFILLA WD/FLEX 600ML</t>
  </si>
  <si>
    <t>SI CETOL HLS PLUS (FP) 006 CHENE CLAIR 2.5L</t>
  </si>
  <si>
    <t>SIKKENS CETOL FILTER 7 PLUS 006 LIGHT OAK 2.5L</t>
  </si>
  <si>
    <t>SI CETOL FILTER 7 PLUS 010 NOYER 2.5L</t>
  </si>
  <si>
    <t>SI RUBBOL SATURA BLANC 5L</t>
  </si>
  <si>
    <t>SIKKENS CETOL HLS PLUS TU TINT 5L</t>
  </si>
  <si>
    <t>SIKKENS RUBBOL SATURA PLUS TINT N00 2.5L</t>
  </si>
  <si>
    <t>SIKKENS RUBBOL SATURA PLUS TINT N00 5L</t>
  </si>
  <si>
    <t>SIKKENS RUBBOL SATURA PLUS TINT W05 2.5L</t>
  </si>
  <si>
    <t>SIKKENS RUBBOL SATURA PLUS TINT W05 5L</t>
  </si>
  <si>
    <t>DULUX TR HIGH GLOSS WHITE 1L</t>
  </si>
  <si>
    <t>DULUX TR HIGH GLOSS WHITE 2.5L</t>
  </si>
  <si>
    <t>DULUX CD W/S AQUA OPQ E/DEEP BASE 5L</t>
  </si>
  <si>
    <t>DULUX TR A/GRAF PRMR ACTVR 1L</t>
  </si>
  <si>
    <t>DULUX TR HIGH GLOSS WHITE 5L</t>
  </si>
  <si>
    <t>DULUX TR GLOSS PBW 5L</t>
  </si>
  <si>
    <t>DULUX RT ONCE S/WOOD PBW 2.5L</t>
  </si>
  <si>
    <t>DULUX TR FAST MATT WHITE 10L</t>
  </si>
  <si>
    <t>DULUX TR MOULDSHIELD FUNGICIDAL MATT PBW 5L</t>
  </si>
  <si>
    <t>DULUX TR MOULDSHIELD FUNGICIDAL EGGSHELL PBW 5L</t>
  </si>
  <si>
    <t>DULUX TR V/MATT WHITE 2.5L</t>
  </si>
  <si>
    <t>DULUX TR V/MATT WHITE 5L</t>
  </si>
  <si>
    <t>DULUX TR V/MATT BLACK 2.5L</t>
  </si>
  <si>
    <t>DULUX TR V/MATT BLACK 5L</t>
  </si>
  <si>
    <t>DULUX TR SUPERMATT WHITE 5L</t>
  </si>
  <si>
    <t>DT AIRSURE SUPERMATT WHITE 10L</t>
  </si>
  <si>
    <t>DULUX TR SUPERMATT MAGNOLIA 10L</t>
  </si>
  <si>
    <t>DULUX TR SUPERMATT ALMOND WHITE 10L</t>
  </si>
  <si>
    <t>DULUX TR W/S MSNRY MAGNOLIA 10L</t>
  </si>
  <si>
    <t>DULUX TR W/S MSNRY SANDSTONE 5L</t>
  </si>
  <si>
    <t>DULUX TR W/S MSNRY GARDENIA 5L</t>
  </si>
  <si>
    <t>DULUX TR W/S MAX EXP PBW 5L</t>
  </si>
  <si>
    <t>DULUX RT BATH+S/SHEEN PBW 2.5L</t>
  </si>
  <si>
    <t>CUPRINOL 5 YEAR DUCKSBACK FOREST OAK 5L</t>
  </si>
  <si>
    <t>CUPRINOL 5 YEAR DUCKSBACK RICH CEDAR 5L</t>
  </si>
  <si>
    <t>CUPRINOL 5 YEAR DUCKSBACK FOREST GREEN 5L</t>
  </si>
  <si>
    <t>CUPRINOL 5 YEAR DUCKSBACK AUTUMN BROWN 5L</t>
  </si>
  <si>
    <t>CUPRINOL QD CLADDING &amp; FENCE OPQ BLACK 10L</t>
  </si>
  <si>
    <t>CUPRINOL QD CLADDING &amp; FENCE OPQ AUTUMN CEDAR 10L</t>
  </si>
  <si>
    <t>CUPRINOL QD CLADDING &amp; FENCE OPQ MOOR GREEN 10L</t>
  </si>
  <si>
    <t>CUPRINOL QD CLADDING &amp; FENCE OPQ DK OAK 10L</t>
  </si>
  <si>
    <t>CUPRINOL QD CLADDING &amp; FENCE OPQ RUSTIC WALNUT 10L</t>
  </si>
  <si>
    <t>HAMMERITE SMOOTH MF SILVER 750ML</t>
  </si>
  <si>
    <t>HAMMERITE SMOOTH MF GOLD 750ML</t>
  </si>
  <si>
    <t>HAMMERITE RAD ENAMEL GLS WHITE 500ML</t>
  </si>
  <si>
    <t>HAMMERITE SMOOTH MF BLACK AERO 400ML</t>
  </si>
  <si>
    <t>HAMMERITE SMOOTH MF BLACK 750ML</t>
  </si>
  <si>
    <t>POLY TR ALABASTINE 1.8KG</t>
  </si>
  <si>
    <t>POLY TR STAIN BLOCK AERO 500ML</t>
  </si>
  <si>
    <t>POLY TR ONE FILL LIGHT FILL 1L</t>
  </si>
  <si>
    <t>POLY TR EX/STRONG PASTE 30ROLL EACH</t>
  </si>
  <si>
    <t>POLY TR EX/STRONG PASTE 10ROLL EACH</t>
  </si>
  <si>
    <t>DULUX TR P/SHIELD D/MATT PBW 5L</t>
  </si>
  <si>
    <t>DULUX TR V/MATT L&amp;S ABS WHITE 5L</t>
  </si>
  <si>
    <t>DULUX TR FLAT MATT TINTED LIG 5L</t>
  </si>
  <si>
    <t>DULUX TR FLAT MATT TINTED MED 5L</t>
  </si>
  <si>
    <t>DULUX TR FLAT MATT TINTED EXT 5L</t>
  </si>
  <si>
    <t>DULUX TR S/SHIELD QD E/S TINT LIG 5L</t>
  </si>
  <si>
    <t>DULUX TR S/SHIELD QD E/S TINT MED 5L</t>
  </si>
  <si>
    <t>DULUX TR DIAMOND MATT TINTED EXT 2.5L</t>
  </si>
  <si>
    <t>DULUX TR DIAMOND MATT TINTED EXT 5L</t>
  </si>
  <si>
    <t>DULUX TR W/S QD SAT TINTED MED 1L</t>
  </si>
  <si>
    <t>DULUX TR W/S QD SAT TINTED MED 2.5L</t>
  </si>
  <si>
    <t>DULUX TR W/S QD SAT TINTED EXT 1L</t>
  </si>
  <si>
    <t>DULUX TR W/S QD SAT TINTED EXT 2.5L</t>
  </si>
  <si>
    <t>DULUX TR M/SHIELD F/MATT TINT LIG 5L</t>
  </si>
  <si>
    <t>DULUX TR M/SHIELD F/MATT TINT MED 5L</t>
  </si>
  <si>
    <t>DULUX TR M/SHIELD E/SHELL TINT LIG 5L</t>
  </si>
  <si>
    <t>DULUX TR SUPERMATT TINT LIG 10L</t>
  </si>
  <si>
    <t>DULUX TR DIAMOND EGGSHELL TINT LIG 1L</t>
  </si>
  <si>
    <t>DULUX TR DIAMOND EGGSHELL TINT MED 1L</t>
  </si>
  <si>
    <t>DULUX TR DIAMOND EGGSHELL TINT MED 5L</t>
  </si>
  <si>
    <t>DULUX TR DIAMOND E/SHELL TINT EXT 1L</t>
  </si>
  <si>
    <t>DULUX TR DIAMOND EGGSHELL TINT EXT 5L</t>
  </si>
  <si>
    <t>DULUX TR V/MATT TINTED MED 1L</t>
  </si>
  <si>
    <t>DULUX TR V/MATT TINTED MED 2.5L</t>
  </si>
  <si>
    <t>DULUX TR V/MATT TINTED MED 5L</t>
  </si>
  <si>
    <t>DULUX TR V/MATT TINTED EXT 1L</t>
  </si>
  <si>
    <t>DULUX TR V/MATT TINTED EXT 2.5L</t>
  </si>
  <si>
    <t>DULUX TR V/MATT TINTED EXT 5L</t>
  </si>
  <si>
    <t>DULUX TR V/MATT TINTED LIG 1L</t>
  </si>
  <si>
    <t>DULUX TR V/MATT TINTED LIG 2.5L</t>
  </si>
  <si>
    <t>DULUX TR V/MATT TINTED LIG 5L</t>
  </si>
  <si>
    <t>DULUX TR V/MATT TINTED LIG 10L</t>
  </si>
  <si>
    <t>DULUX TR W/S F/TEXT TINTED MED 5L</t>
  </si>
  <si>
    <t>DULUX TR V/MATT L&amp;S TINTED LUM 5L</t>
  </si>
  <si>
    <t>CUPRINOL 5 YEAR DUCKSBACK S/COPSE 5L</t>
  </si>
  <si>
    <t>DULUX TR SUPERMATT TINT LIG 5L</t>
  </si>
  <si>
    <t>DULUX TR V/MATT PBW 7.5L</t>
  </si>
  <si>
    <t>HAMMERITE NO1 RUST BEATER GREY 250ML</t>
  </si>
  <si>
    <t>DULUX TR W/S EXT GLOSS BLACK 1L</t>
  </si>
  <si>
    <t>DULUX TR W/S EXT GLOSS PBW 1L</t>
  </si>
  <si>
    <t>DULUX TR W/S EXT U/COAT B/WHITE 1L</t>
  </si>
  <si>
    <t>DULUX TR W/S EXT U/COAT D GREY 1L</t>
  </si>
  <si>
    <t>DULUX TR W/S EXT GLOSS BLACK 2.5L</t>
  </si>
  <si>
    <t>DULUX TR W/S EXT GLOSS PBW 2.5L</t>
  </si>
  <si>
    <t>DULUX TR W/S EXT U/COAT D GREY 2.5L</t>
  </si>
  <si>
    <t>DULUX TR W/S EXT GLOSS PBW 5L</t>
  </si>
  <si>
    <t>DULUX TR W/S EXT U/COAT B/WHITE 5L</t>
  </si>
  <si>
    <t>DULUX TR W/S EXT U/COAT D GREY 5L</t>
  </si>
  <si>
    <t>DULUX TR W/S ULT OPQ BLACK 1L</t>
  </si>
  <si>
    <t>DULUX TR GLOSS BLACK 1L</t>
  </si>
  <si>
    <t>DULUX TR U/COAT DARK GREY 1L</t>
  </si>
  <si>
    <t>DULUX TR SATINWOOD PBW 1L</t>
  </si>
  <si>
    <t>DULUX TR UNDERCOAT WHITE 1L</t>
  </si>
  <si>
    <t>DULUX TR U/COAT BW 1L</t>
  </si>
  <si>
    <t>DULUX TR EGGSHELL WHITE 2.5L</t>
  </si>
  <si>
    <t>DULUX TR EGGSHELL PBW 2.5L</t>
  </si>
  <si>
    <t>DULUX TR GLOSS BLACK 2.5L</t>
  </si>
  <si>
    <t>DULUX TR U/COAT DARK GREY 2.5L</t>
  </si>
  <si>
    <t>DULUX TR SATINWOOD PBW 2.5L</t>
  </si>
  <si>
    <t>DULUX TR UNDERCOAT WHITE 2.5L</t>
  </si>
  <si>
    <t>DULUX TR U/COAT BW 2.5L</t>
  </si>
  <si>
    <t>DULUX TR M/SHIELD GLOSS WHITE 5L</t>
  </si>
  <si>
    <t>DULUX TR METALSHIELD GLOSS BLACK 5L</t>
  </si>
  <si>
    <t>DULUX TR U/COAT BW 5L</t>
  </si>
  <si>
    <t>DULUX TR UNDERCOAT WHITE 5L</t>
  </si>
  <si>
    <t>DULUX TR SATINWOOD PBW 5L</t>
  </si>
  <si>
    <t>DULUX TR U/COAT DARK GREY 5L</t>
  </si>
  <si>
    <t>DULUX TR EGGSHELL PBW 5L</t>
  </si>
  <si>
    <t>DULUX TR EGGSHELL WHITE 5L</t>
  </si>
  <si>
    <t>DULUX TR GLOSS BLACK 5L</t>
  </si>
  <si>
    <t>DULUX TR M/SHIELD SATIN BLACK 2.5L</t>
  </si>
  <si>
    <t>DULUX TR M/SHIELD SATIN BLACK 5L</t>
  </si>
  <si>
    <t>DULUX TR M/SHIELD SATIN WHITE 5L</t>
  </si>
  <si>
    <t>DULUX TR EGGSHELL TINTED EXT 5L</t>
  </si>
  <si>
    <t>DULUX TR EGGSHELL TINTED LIG 5L</t>
  </si>
  <si>
    <t>DULUX TR EGGSHELL TINTED MED 5L</t>
  </si>
  <si>
    <t>DULUX TR GLOSS TINTED EXT 1L</t>
  </si>
  <si>
    <t>DULUX TR GLOSS TINTED EXT 2.5L</t>
  </si>
  <si>
    <t>DULUX TR GLOSS TINTED EXT 5L</t>
  </si>
  <si>
    <t>DULUX TR GLOSS TINTED LIG 1L</t>
  </si>
  <si>
    <t>DULUX TR GLOSS TINTED LIG 2.5L</t>
  </si>
  <si>
    <t>DULUX TR GLOSS TINTED LIG 5L</t>
  </si>
  <si>
    <t>DULUX TR GLOSS TINTED MED 1L</t>
  </si>
  <si>
    <t>DULUX TR GLOSS TINTED MED 2.5L</t>
  </si>
  <si>
    <t>DULUX TR GLOSS TINTED MED 5L</t>
  </si>
  <si>
    <t>DULUX TR M/SHIELD GLOSS TINTED EXT 5L</t>
  </si>
  <si>
    <t>DULUX TR M/SHIELD GLOSS TINTED MED 5L</t>
  </si>
  <si>
    <t>DULUX TR M/SHIELD SATIN TINTED EXT 2.5L</t>
  </si>
  <si>
    <t>DULUX TR M/SHIELD SATIN TINTED EXT 5L</t>
  </si>
  <si>
    <t>DULUX TR M/SHIELD SATIN TINTED MED 2.5L</t>
  </si>
  <si>
    <t>DULUX TR M/SHIELD SATIN TINTED MED 5L</t>
  </si>
  <si>
    <t>DULUX TR SATINWOOD TINTED EXT 1L</t>
  </si>
  <si>
    <t>DULUX TR SATINWOOD TINTED EXT 2.5L</t>
  </si>
  <si>
    <t>DULUX TR SATINWOOD TINTED EXT 5L</t>
  </si>
  <si>
    <t>DULUX TR SATINWOOD TINTED LIG 1L</t>
  </si>
  <si>
    <t>DULUX TR SATINWOOD TINTED LIG 2.5L</t>
  </si>
  <si>
    <t>DULUX TR SATINWOOD TINTED LIG 5L</t>
  </si>
  <si>
    <t>DULUX TR SATINWOOD TINTED MED 1L</t>
  </si>
  <si>
    <t>DULUX TR SATINWOOD TINTED MED 2.5L</t>
  </si>
  <si>
    <t>DULUX TR SATINWOOD TINTED MED 5L</t>
  </si>
  <si>
    <t>DULUX TR W/S ULT OPQ TINT EXT 1L</t>
  </si>
  <si>
    <t>DULUX TR W/S ULT OPQ TINT EXT 5L</t>
  </si>
  <si>
    <t>DULUX TR W/S ULT OPQ TINT MED 1L</t>
  </si>
  <si>
    <t>DULUX TR W/S ULT OPQ TINT MED 5L</t>
  </si>
  <si>
    <t>DULUX TR UNDERCOAT TINTED DEE 1L</t>
  </si>
  <si>
    <t>DULUX TR UNDERCOAT TINTED DEE 2.5L</t>
  </si>
  <si>
    <t>DULUX TR UNDERCOAT TINTED DEE 5L</t>
  </si>
  <si>
    <t>DULUX TR UNDERCOAT TINTED MED 1L</t>
  </si>
  <si>
    <t>DULUX TR UNDERCOAT TINTED MED 2.5L</t>
  </si>
  <si>
    <t>DULUX TR UNDERCOAT TINTED MED 5L</t>
  </si>
  <si>
    <t>DULUX TR W/S EXT GLOSS TINTED EXT 1L</t>
  </si>
  <si>
    <t>DULUX TR W/S EXT GLOSS TINTED EXT 2.5L</t>
  </si>
  <si>
    <t>DULUX TR W/S EXT GLOSS TINTED EXT 5L</t>
  </si>
  <si>
    <t>DULUX TR W/S EXT GLOSS TINTED LIG 1L</t>
  </si>
  <si>
    <t>DULUX TR W/S EXT GLOSS TINTED LIG 2.5L</t>
  </si>
  <si>
    <t>DULUX TR W/S EXT GLOSS TINTED LIG 5L</t>
  </si>
  <si>
    <t>DULUX TR W/S EXT GLOSS TINTED MED 1L</t>
  </si>
  <si>
    <t>DULUX TR W/S EXT GLOSS TINTED MED 2.5L</t>
  </si>
  <si>
    <t>DULUX TR W/S EXT GLOSS TINTED MED 5L</t>
  </si>
  <si>
    <t>DULUX TR W/S EXT U/COAT TINT DEE 1L</t>
  </si>
  <si>
    <t>DULUX TR W/S EXT U/COAT TINT DEE 2.5L</t>
  </si>
  <si>
    <t>DULUX TR W/S EXT U/COAT TINT DEE 5L</t>
  </si>
  <si>
    <t>DULUX TR W/S EXT U/COAT TINT MED 1L</t>
  </si>
  <si>
    <t>DULUX TR W/S EXT U/COAT TINT MED 2.5L</t>
  </si>
  <si>
    <t>DULUX TR W/S EXT U/COAT TINT MED 5L</t>
  </si>
  <si>
    <t>DULUX TR DIAMOND MATT PBW 2.5L</t>
  </si>
  <si>
    <t>DULUX TR DIAMOND MATT MAGNOLIA 5L</t>
  </si>
  <si>
    <t>DULUX TR DRYWALL PRIMER SEALER 10L</t>
  </si>
  <si>
    <t>DULUX TR DIAMOND MATT TINTED LIG 2.5L</t>
  </si>
  <si>
    <t>DULUX TR DIAMOND MATT TINTED MED 2.5L</t>
  </si>
  <si>
    <t>DULUX TR DIAMOND MATT TINTED MED 5L</t>
  </si>
  <si>
    <t>POLY TR E/SAND INT POLYFILLA 2KG</t>
  </si>
  <si>
    <t>ARMSTEAD TR QD WOOD PRIMER U/COAT 1L</t>
  </si>
  <si>
    <t>ARMSTEAD TR QD WOOD PRIMER U/COAT 2.5L</t>
  </si>
  <si>
    <t>ARMSTEAD TR ANTI-MOULD V/MATT WHITE 5L</t>
  </si>
  <si>
    <t>ARMSTEAD TR DUR MATT WHITE 5L</t>
  </si>
  <si>
    <t>ARMSTEAD TR EGGSHELL WHITE 5L</t>
  </si>
  <si>
    <t>ARMSTEAD TR FLOOR PAINT RED 5L</t>
  </si>
  <si>
    <t>ARMSTEAD TR HIGH GLOSS B/WHITE 1L</t>
  </si>
  <si>
    <t>ARMSTEAD TR HIGH GLOSS B/WHITE 2.5L</t>
  </si>
  <si>
    <t>ARMSTEAD TR HIGH GLOSS B/WHITE 5L</t>
  </si>
  <si>
    <t>ARMSTEAD TR HIGH GLOSS BLACK 1L</t>
  </si>
  <si>
    <t>ARMSTEAD TR HIGH GLOSS BLACK 2.5L</t>
  </si>
  <si>
    <t>ARMSTEAD TR HIGH GLOSS BLACK 5L</t>
  </si>
  <si>
    <t>ARMSTEAD TR HIGH GLOSS WHITE 2.5L</t>
  </si>
  <si>
    <t>ARMSTEAD TR HIGH GLOSS WHITE 5L</t>
  </si>
  <si>
    <t>ARMSTEAD TR SATIN B/WHITE 2.5L</t>
  </si>
  <si>
    <t>ARMSTEAD TR SATIN B/WHITE 5L</t>
  </si>
  <si>
    <t>ARMSTEAD TR UNDERCOAT DARK GREY 1L</t>
  </si>
  <si>
    <t>ARMSTEAD TR UNDERCOAT DARK GREY 2.5L</t>
  </si>
  <si>
    <t>ARMSTEAD TR UNDERCOAT WHITE 2.5L</t>
  </si>
  <si>
    <t>ARMSTEAD TR V/MATT BW 10L</t>
  </si>
  <si>
    <t>ARMSTEAD TR V/MATT BW 5L</t>
  </si>
  <si>
    <t>ARMSTEAD TR V/MATT BLACK 5L</t>
  </si>
  <si>
    <t>ARMSTEAD TR V/MATT GARDENIA 10L</t>
  </si>
  <si>
    <t>ARMSTEAD TR V/MATT MAGNOLIA 10L</t>
  </si>
  <si>
    <t>ARMSTEAD TR V/MATT MAGNOLIA 5L</t>
  </si>
  <si>
    <t>ARMSTEAD TR V/MATT WHITE 10L</t>
  </si>
  <si>
    <t>ARMSTEAD TR V/MATT WHITE 5L</t>
  </si>
  <si>
    <t>ARMSTEAD TR V/SILK MAGNOLIA 10L</t>
  </si>
  <si>
    <t>ARMSTEAD TR V/SILK MAGNOLIA 5L</t>
  </si>
  <si>
    <t>ARMSTEAD TR V/SILK WHITE 10L</t>
  </si>
  <si>
    <t>ARMSTEAD TR V/SILK WHITE 5L</t>
  </si>
  <si>
    <t>ARMSTEAD TR V/SOFT SHEEN B/WHITE 5L</t>
  </si>
  <si>
    <t>ARMSTEAD TR V/SOFT SHEEN MAGNOLIA 5L</t>
  </si>
  <si>
    <t>ARMSTEAD TR DUR ACYLIC E/SHELL TINT PAS 5L</t>
  </si>
  <si>
    <t>ARMSTEAD TR PLIO MASONRY MAG 5L</t>
  </si>
  <si>
    <t>ARMSTEAD TR PLIO MASONRY B/WHITE 5L</t>
  </si>
  <si>
    <t>ARMSTEAD TR QD SATIN B/WHITE 2.5L</t>
  </si>
  <si>
    <t>ARMSTEAD TR QD SATIN B/WHITE 5L</t>
  </si>
  <si>
    <t>ARMSTEAD TR A/MOULD V/MATT TINT PAS 5L</t>
  </si>
  <si>
    <t>ARMSTEAD TR CONTRACT MATT TINTED PAS 10L</t>
  </si>
  <si>
    <t>ARMSTEAD TR DUR ACRYLIC E/SHELL TINT MID 5L</t>
  </si>
  <si>
    <t>ARMSTEAD TR DUR ACRYLIC E/SHELL TINT STR 5L</t>
  </si>
  <si>
    <t>ARMSTEAD TR DUR MATT TINTED PAS 2.5L</t>
  </si>
  <si>
    <t>ARMSTEAD TR DUR MATT TINTED PAS 5L</t>
  </si>
  <si>
    <t>ARMSTEAD TR EGGSHELL TINTED MID 5L</t>
  </si>
  <si>
    <t>ARMSTEAD TR EGGSHELL TINTED PAS 5L</t>
  </si>
  <si>
    <t>ARMSTEAD TR EGGSHELL TINTED STR 5L</t>
  </si>
  <si>
    <t>ARMSTEAD TR PLIO MASONRY TINTED PAS 5L</t>
  </si>
  <si>
    <t>ARMSTEAD TR PLIO MASONRY TINTED STR 5L</t>
  </si>
  <si>
    <t>ARMSTEAD TR HIGH GLOSS TINTED MID 1L</t>
  </si>
  <si>
    <t>ARMSTEAD TR HIGH GLOSS TINTED MID 5L</t>
  </si>
  <si>
    <t>ARMSTEAD TR HIGH GLOSS TINTED PAS 1L</t>
  </si>
  <si>
    <t>ARMSTEAD TR HIGH GLOSS TINTED PAS 5L</t>
  </si>
  <si>
    <t>ARMSTEAD TR HIGH GLOSS TINTED STR 1L</t>
  </si>
  <si>
    <t>ARMSTEAD TR HIGH GLOSS TINTED STR 5L</t>
  </si>
  <si>
    <t>ARMSTEAD TR QD TINTED GLOSS MID 2.5L</t>
  </si>
  <si>
    <t>ARMSTEAD TR QD TINTED GLOSS STR 2.5L</t>
  </si>
  <si>
    <t>ARMSTEAD TR QD SATIN TINTED STR 2.5L</t>
  </si>
  <si>
    <t>ARMSTEAD TR V/SOFT SHEEN TINTED MID 5L</t>
  </si>
  <si>
    <t>ARMSTEAD TR SATIN TINTED PAS 2.5L</t>
  </si>
  <si>
    <t>ARMSTEAD TR SATIN TINTED STR 2.5L</t>
  </si>
  <si>
    <t>ARMSTEAD TR UNDERCOAT TINTED MID 2.5L</t>
  </si>
  <si>
    <t>ARMSTEAD TR UNDERCOAT TINTED MID 5L</t>
  </si>
  <si>
    <t>ARMSTEAD TR UNDERCOAT TINTED PAS 2.5L</t>
  </si>
  <si>
    <t>ARMSTEAD TR UNDERCOAT TINTED PAS 5L</t>
  </si>
  <si>
    <t>ARMSTEAD TR V/MATT TINTED MID 2.5L</t>
  </si>
  <si>
    <t>ARMSTEAD TR V/MATT TINTED MID 5L</t>
  </si>
  <si>
    <t>ARMSTEAD TR V/MATT TINTED PAS 2.5L</t>
  </si>
  <si>
    <t>ARMSTEAD TR V/MATT TINTED PAS 5L</t>
  </si>
  <si>
    <t>ARMSTEAD TR V/MATT TINTED STR 2.5L</t>
  </si>
  <si>
    <t>ARMSTEAD TR V/MATT TINTED STR 5L</t>
  </si>
  <si>
    <t>ARMSTEAD TR V/SOFT SHEEN TINTED PAS 5L</t>
  </si>
  <si>
    <t>ARMSTEAD TR DUR MATT TINTED MID 5L</t>
  </si>
  <si>
    <t>ARMSTEAD TR DUR MATT TINTED STR 5L</t>
  </si>
  <si>
    <t>DULUX TR QD GLOSS PURE BRILLIANT WHITE 1L</t>
  </si>
  <si>
    <t>DULUX TR QD GLOSS PURE BRILLIANT WHITE 2.5L</t>
  </si>
  <si>
    <t>DULUX TR QD GLOSS PURE BRILLIANT WHITE 5L</t>
  </si>
  <si>
    <t>DULUX TR QD SATINWOOD PURE BRILLIANT WHITE 1L</t>
  </si>
  <si>
    <t>DULUX TR QD SATINWOOD PBW 2.5L</t>
  </si>
  <si>
    <t>DULUX TR QD SATINWOOD PURE BRILLIANT WHITE 5L</t>
  </si>
  <si>
    <t>DULUX TR QD UNDERCOAT WHITE 1L</t>
  </si>
  <si>
    <t>DULUX TR QD UNDERCOAT WHITE 5L</t>
  </si>
  <si>
    <t>DULUX TR QD GLOSS TINTED LIGHT 1L</t>
  </si>
  <si>
    <t>DULUX TR QD GLOSS TINTED LIG 2.5L</t>
  </si>
  <si>
    <t>DULUX TR QD GLOSS TINTED LIG 5L</t>
  </si>
  <si>
    <t>DULUX TR QD GLOSS TINTED MED 1L</t>
  </si>
  <si>
    <t>DULUX TR QD GLOSS TINTED MED 2.5L</t>
  </si>
  <si>
    <t>DULUX TR QD GLOSS TINTED MED 5L</t>
  </si>
  <si>
    <t>DULUX TR QD GLOSS TINTED EXT 1L</t>
  </si>
  <si>
    <t>DULUX TR QD GLOSS TINTED EXT 2.5L</t>
  </si>
  <si>
    <t>DULUX TR QD GLOSS TINTED EXT 5L</t>
  </si>
  <si>
    <t>DULUX TR QD SATINWD TINTED LIG 1L</t>
  </si>
  <si>
    <t>DULUX TR QD SATINWD TINTED LIG 2.5L</t>
  </si>
  <si>
    <t>DULUX TR QD SATINWD TINTED LIG 5L</t>
  </si>
  <si>
    <t>DULUX TR QD SATINWD TINTED MED 1L</t>
  </si>
  <si>
    <t>DULUX TR QD SATINWD TINTED MED 2.5L</t>
  </si>
  <si>
    <t>DULUX TR QD SATINWD TINTED MED 5L</t>
  </si>
  <si>
    <t>DULUX TR QD SATINWD TINTED EXT 1L</t>
  </si>
  <si>
    <t>DULUX TR QD SATINWD TINTED EXT 2.5L</t>
  </si>
  <si>
    <t>DULUX TR QD SATINWD TINTED EXT 5L</t>
  </si>
  <si>
    <t>DULUX TR ULTRA MATT WHITE 10L</t>
  </si>
  <si>
    <t>KNAUF FILL &amp; FINISH LIGHT 20KG</t>
  </si>
  <si>
    <t>GEOCEL PAINTERS MATE WHITE 310ML</t>
  </si>
  <si>
    <t>GEOCEL CONTRACTOR CAULK WHITE 380ML</t>
  </si>
  <si>
    <t>COO-VAR BRICK &amp; TILE PAINT G/RED 2.5L</t>
  </si>
  <si>
    <t>COO-VAR WB TILE PAINT M/RED 2.5L</t>
  </si>
  <si>
    <t>COO-VAR ACRYLIC FLOOR PAINT FLINT GREY 5L</t>
  </si>
  <si>
    <t>COO-VAR LINE MARK AERO YELLOW 750ML</t>
  </si>
  <si>
    <t>COO-VAR MATT BLACK 2.5L</t>
  </si>
  <si>
    <t>COO-VAR ANTI CONDENS PAINT 2.5L</t>
  </si>
  <si>
    <t>DULUX TR DIAMOND MATT PBW 10L</t>
  </si>
  <si>
    <t>ARMSTEAD TR DURABLE MATT WHITE 10L</t>
  </si>
  <si>
    <t>ARMSTEAD TR DUR ACR E/SHELL WHITE 2.5L</t>
  </si>
  <si>
    <t>ARMSTEAD TR VINYL MATT MAGNOLIA 2.5L</t>
  </si>
  <si>
    <t>ARMSTEAD TR VINYL MATT WHITE 2.5L</t>
  </si>
  <si>
    <t>ARMSTEAD TR VINYL MATT TINTED PASTEL 10L</t>
  </si>
  <si>
    <t>ARMSTEAD TR DURABLE MATT TINTED PASTEL 10L</t>
  </si>
  <si>
    <t>DULUX TR QUICK DRY U/COAT TINTED MED 1L</t>
  </si>
  <si>
    <t>DULUX TR QUICK DRY U/COAT TINTED EXT 1L</t>
  </si>
  <si>
    <t>DULUX TR QUICK DRY U/COAT TINTED LIG 1L</t>
  </si>
  <si>
    <t>DULUX TR QUICK DRY U/COAT TINTED MED 2.5L</t>
  </si>
  <si>
    <t>DULUX TR QUICK DRY U/COAT TINTED EXT 2.5L</t>
  </si>
  <si>
    <t>ARMSTEAD TR DURABLE MATT MAGNOLIA 5L</t>
  </si>
  <si>
    <t>ARMSTEAD TR DURABLE MATT MAGNOLIA 10L</t>
  </si>
  <si>
    <t>DULUX TR V/MATT MAGNOLIA SVP 7.5L</t>
  </si>
  <si>
    <t>CUPRINOL 5 YEAR DUCKSBACK BLACK 5L</t>
  </si>
  <si>
    <t>DULUX TR QUICK DRY U/COAT TINTED LIG 2.5L</t>
  </si>
  <si>
    <t>ARMSTEAD TR RED OXIDE METAL PRIMER 2.5L</t>
  </si>
  <si>
    <t>DT METALSHIELD QUICK DRY METAL PRIMER 5L</t>
  </si>
  <si>
    <t>DT METALSHIELD QUICK DRY METAL PRIMER 1L</t>
  </si>
  <si>
    <t>DULUX TR DIAMOND SATINWOOD PBW 1L</t>
  </si>
  <si>
    <t>DULUX TR DIAMOND SATINWOOD PBW 2.5L</t>
  </si>
  <si>
    <t>DULUX TR DIAMOND SATINWOOD PBW 5L</t>
  </si>
  <si>
    <t>DULUX TR DIAMOND SATINWOOD LIGHT TINT 1L</t>
  </si>
  <si>
    <t>DULUX TR DIAMOND SATINWOOD LIGHT TINT 2.5L</t>
  </si>
  <si>
    <t>DULUX TR DIAMOND SATINWOOD E/DEEP TINT 2.5L</t>
  </si>
  <si>
    <t>CUPRINOL WOOD PRESERVER CLEAR (WB) 5L</t>
  </si>
  <si>
    <t>DULUX TR HERITAGE TESTER RAVENS FLIGHT 125ML</t>
  </si>
  <si>
    <t>DT PYROSHIELD FIRE UPGRADE BASECOAT 10L</t>
  </si>
  <si>
    <t>DT PYROSHIELD MATT WHITE 5L</t>
  </si>
  <si>
    <t>DT PYROSHIELD EGGSHELL WHITE 5L</t>
  </si>
  <si>
    <t>DULUX TR AIRSURE DIAMOND MATT PBW 10L</t>
  </si>
  <si>
    <t>DULUX TR W/S MSNRY GOOSEWING 5L</t>
  </si>
  <si>
    <t>DULUX TR W/S MSNRY SMOOTH MAGNOLIA 7.5L</t>
  </si>
  <si>
    <t>DULUX TR W/S MSNRY SMOOTH PBW 7.5L</t>
  </si>
  <si>
    <t>DULUX TR W/S MSNRY TINTED EXT 2.5L</t>
  </si>
  <si>
    <t>DULUX TR W/S MSNRY TINTED LIG 2.5L</t>
  </si>
  <si>
    <t>DULUX TR W/S MSNRY TINTED MED 2.5L</t>
  </si>
  <si>
    <t>DULUX TR W/S QD EXT HIGH GLOSS PBW 2.5L</t>
  </si>
  <si>
    <t>DULUX TR W/S QD EXT FLEXIBLE U/COAT WHITE 2.5L</t>
  </si>
  <si>
    <t>DULUX TR W/S QD EXT FLEXIBLE U/COAT WHITE 5L</t>
  </si>
  <si>
    <t>DULUX TR W/S QD EXT HIGH GLOSS TINTED E/DEEP 1L</t>
  </si>
  <si>
    <t>DULUX TR W/S QD EXT HIGH GLOSS TINTED E/DEEP 2.5L</t>
  </si>
  <si>
    <t>DULUX TR W/S QD EXT HIGH GLOSS TINTED E/DEEP 5L</t>
  </si>
  <si>
    <t>DULUX TR W/S QD EXT HIGH GLOSS TINTED MEDIUM 1L</t>
  </si>
  <si>
    <t>DULUX TR W/S QD EXT HIGH GLOSS TINTED MEDIUM 2.5L</t>
  </si>
  <si>
    <t>DULUX TR W/S QD EXT HIGH GLOSS TINTED MEDIUM 5L</t>
  </si>
  <si>
    <t>DULUX TR W/S QD EXT HIGH GLOSS TINTED LIGHT 2.5L</t>
  </si>
  <si>
    <t>DULUX TR W/S QD EXT HIGH GLOSS TINTED LIGHT 5L</t>
  </si>
  <si>
    <t>DULUX TR W/S QD EXT FLEXIBLE U/COAT TINTED E/DEEP 1L</t>
  </si>
  <si>
    <t>DULUX TR W/S QD EXT FLEXIBLE U/COAT TINTED E/DEEP 2.5L</t>
  </si>
  <si>
    <t>DULUX TR W/S QD EXT FLEXIBLE U/COAT TINTED E/DEEP 5L</t>
  </si>
  <si>
    <t>DULUX TR W/S QD EXT FLEXIBLE U/COAT TINTED LIGHT 1L</t>
  </si>
  <si>
    <t>DULUX TR W/S QD EXT FLEXIBLE U/COAT TINTED LIGHT 2.5L</t>
  </si>
  <si>
    <t>DULUX TR W/S QD EXT FLEXIBLE U/COAT TINTED LIGHT 5L</t>
  </si>
  <si>
    <t>DULUX TR SUPERMATT WHITE 10L</t>
  </si>
  <si>
    <t>POLY POLYFILLA DEC CAULK WHITE 290ML</t>
  </si>
  <si>
    <t>ABRANET 225MM RONDELL GRIP P120 SB-10-P</t>
  </si>
  <si>
    <t>ABRANET 150MM RONDELL GRIP P120 SB-10-P</t>
  </si>
  <si>
    <t>IRWIN B-METAL TRP BLADE 10PK EACH</t>
  </si>
  <si>
    <t>IRWIN CRBN STL SNP BLADE 10PK 18MM</t>
  </si>
  <si>
    <t>IRWIN CRBN STL SNP BLADE 10 PK 9MM</t>
  </si>
  <si>
    <t>IRWIN BI-METAL SNP BLADE 5PK 18MM</t>
  </si>
  <si>
    <t>TETRION A/PURP POWDER FILLER 1.5KG</t>
  </si>
  <si>
    <t>TETRION A/PURP POWDER FILLER 5KG</t>
  </si>
  <si>
    <t>TETRION A/PURP POWDER FILLER 10KG</t>
  </si>
  <si>
    <t>TETRION POWERFIL 2K FILLER 1L</t>
  </si>
  <si>
    <t>TETRION POWERFIL 2K FILLER 3.5L</t>
  </si>
  <si>
    <t>REPAIR CARE TRIAL PACK EACH</t>
  </si>
  <si>
    <t>PURDY SHORT HANDLE WIRE BRUSH</t>
  </si>
  <si>
    <t>PURDY COLOSSUS 1IN NAP 12IN</t>
  </si>
  <si>
    <t>PURDY MON 1.5/2/3 PRO 1.5/2 EACH</t>
  </si>
  <si>
    <t>321 SUPER FRESCO SWIRL</t>
  </si>
  <si>
    <t>390 SUPER FRESCO WATERFALL</t>
  </si>
  <si>
    <t>12011 S FRESCO BUCKINGHAM</t>
  </si>
  <si>
    <t>COO-VAR VANDALENE BLACK 4KG</t>
  </si>
  <si>
    <t>RONSEAL H/P WOOD FILLER WHITE 1KG</t>
  </si>
  <si>
    <t>RONSEAL H/P WOOD FILLER WHITE 550G</t>
  </si>
  <si>
    <t>DDC 800 DOUBLE LINING PAPER</t>
  </si>
  <si>
    <t>DDC 1000 DOUBLE LINING PAPER</t>
  </si>
  <si>
    <t>DDC 1200 DOUBLE LINING PAPER</t>
  </si>
  <si>
    <t>DDC WOODCHIP EFFECT 10-191</t>
  </si>
  <si>
    <t>DDC 1400 DOUBLE LINING PAPER</t>
  </si>
  <si>
    <t>DDC 1000 QUADRUPLE LINING PAPER - 4 ROLLS</t>
  </si>
  <si>
    <t>PURDY ANGLED ADJUSTABLE FRAME 12-18IN</t>
  </si>
  <si>
    <t>MIRKA DUSTBAG FLEECE FOR DE 1230/1242 5PK</t>
  </si>
  <si>
    <t>GRACO ULTRA MAX CORDLESS AIRLESS SPRAYER 25M614</t>
  </si>
  <si>
    <t>PURDY 10 IN 1 PREMIUM FOLDING TOOL</t>
  </si>
  <si>
    <t>COO-VAR TWO PACK WB ANTI-GRAFFITI CLEAR 5L</t>
  </si>
  <si>
    <t>THERMOGUARD TIMBERCOAT INSULATING BASECOAT 20SQM</t>
  </si>
  <si>
    <t>LITTLE GREENE INTEL GLOSS TRANSP TINT 1L</t>
  </si>
  <si>
    <t>SPIRIT OVAL TECHNOFIL BRUSH PACK</t>
  </si>
  <si>
    <t>MICROFIBRE ALL PURPOSE CLOTH 40CM X 40CM 10PK</t>
  </si>
  <si>
    <t>COTTON RAGS DISPENSER BOX 5KG</t>
  </si>
  <si>
    <t>ERASER SPONGE 100MM X 65MM X 25MM 10PK</t>
  </si>
  <si>
    <t>BLUE CENTRE FEED ROLLS 2 PLY 375 SHEETS BLUE</t>
  </si>
  <si>
    <t>POLYPROPYLENE DUSTPAN &amp; BRUSH SET</t>
  </si>
  <si>
    <t>REPAIR CARE DRY FLEX 4 2-IN-1 A</t>
  </si>
  <si>
    <t>REPAIR CARE DRY FIX UNI</t>
  </si>
  <si>
    <t>REPAIR CARE DRY SEAL MP</t>
  </si>
  <si>
    <t>TOUPRET JOINT SKIM &amp; FILL POWDER 10KG</t>
  </si>
  <si>
    <t>TOUPRET JOINT &amp; SKIM READY MIX 20KG</t>
  </si>
  <si>
    <t>TOUPRET PATCH &amp; REPAIR READY MIX 1.5KG</t>
  </si>
  <si>
    <t>ULTRAGRIME PRO ANTI BAC XXL+ CLOTHWIPES</t>
  </si>
  <si>
    <t>LIGHTWEIGHT CLOTHS BLUE 1X 50 PACK</t>
  </si>
  <si>
    <t>REPAIR CARE DRY FLEX 1 2-IN-1</t>
  </si>
  <si>
    <t>REPAIR CARE DRY FLEX 4 A&amp;B</t>
  </si>
  <si>
    <t>REPAIR CARE DRY FLEX 1 A&amp;B</t>
  </si>
  <si>
    <t>REPAIR CARE DRY FLEX 16 A&amp;B</t>
  </si>
  <si>
    <t>ULTRAGRIME PRO POWER SCRUB XXL+ CLOTHWIPES</t>
  </si>
  <si>
    <t>TOUPRET INTERIOR FILLER 2KG</t>
  </si>
  <si>
    <t>TOUPRET INTERIOR FILLER 5KG</t>
  </si>
  <si>
    <t>TOUPRET QUICK DRY FILLER 2KG</t>
  </si>
  <si>
    <t>TOUPRET QUICK DRY FILLER 5KG</t>
  </si>
  <si>
    <t>TOUPRET READY TO USE FILLER 330G</t>
  </si>
  <si>
    <t>TOUPRET READY TO USE FILLER 1.5KG</t>
  </si>
  <si>
    <t>TOUPRET QUICK FILL (INTERIOR)1L</t>
  </si>
  <si>
    <t>TOUPRET EXTERIOR MASONRY REPAIR FILLER 1.5KG</t>
  </si>
  <si>
    <t>TOUPRET EXTERIOR MASONRY REPAIR FILLER 5KG</t>
  </si>
  <si>
    <t>TOUPRET EXTERIOR MASONRY REPAIR FILLER 15KG</t>
  </si>
  <si>
    <t>TOUPRET EXTERIOR ROCK SOLID REPAIR FILLER 2KG</t>
  </si>
  <si>
    <t>TOUPRET FILL-FLEX 1KG</t>
  </si>
  <si>
    <t>TOUPRET WOOD FILLER 330G</t>
  </si>
  <si>
    <t>TOUPRET WOOD FILLER 1.25KG</t>
  </si>
  <si>
    <t>TOUPRET WOOD REPAIR FILLER 1KG</t>
  </si>
  <si>
    <t>TOUPRET GLAZING PUTTY 1KG</t>
  </si>
  <si>
    <t>DT PYROSHIELD MATT LIGHT BS TINTED 5L</t>
  </si>
  <si>
    <t>PRODEC ICE FUSION DECORATING 9" 4" KIT</t>
  </si>
  <si>
    <t>REPAIR CARE DRY FLEX SUPER FINISH 2IN1 150ML</t>
  </si>
  <si>
    <t>REPAIR CARE DRY FLEX 1 2IN1 150ML</t>
  </si>
  <si>
    <t>REPAIR CARE DRY FLEX 4 2IN1 150ML</t>
  </si>
  <si>
    <t>REFUND TESTER POT</t>
  </si>
  <si>
    <t>TOR COATINGS (SPECIAL ORDER)</t>
  </si>
  <si>
    <t>WATCO LTD (SPECIAL ORDER)</t>
  </si>
  <si>
    <t>CROMADEX (SPECIAL ORDER)</t>
  </si>
  <si>
    <t>TEKTURA PLC (SPECIAL ORDER)</t>
  </si>
  <si>
    <t>ARTHOUSE LTD (SPECIAL ORDER)</t>
  </si>
  <si>
    <t>BEDEC PRODUCTS (SPECIAL ORDER)</t>
  </si>
  <si>
    <t>ARTHUR SANDERSON &amp; SONS (SPECIAL ORDER)</t>
  </si>
  <si>
    <t>COO-VAR (SPECIAL ORDER)</t>
  </si>
  <si>
    <t>INTERNATIONAL PAINT LTD (SPECIAL ORDER)</t>
  </si>
  <si>
    <t>GRAHAM AND BROWN (SPECIAL ORDER)</t>
  </si>
  <si>
    <t>HARLEQUIN JEWEL HARRIS (SPECIAL ORDER - WALLPAPER)</t>
  </si>
  <si>
    <t>OSMO UK (SPECIAL ORDER)</t>
  </si>
  <si>
    <t>Dulux TR AS Supermatt Almond White 10L</t>
  </si>
  <si>
    <t>Cuprinol Garden Shades Cornflower 1L</t>
  </si>
  <si>
    <t>Cuprinol Garden Shades Dusky Gem 5L</t>
  </si>
  <si>
    <t>Cuprinol Garden Shades Pebble Trail 2.5L</t>
  </si>
  <si>
    <t>Cuprinol Garden Shades Urban Slate 1L</t>
  </si>
  <si>
    <t>Cuprinol Garden Shades Urban Slate 5L</t>
  </si>
  <si>
    <t>Dulux TR Heritage Tester RM Colour 125ml</t>
  </si>
  <si>
    <t>Dulux TR Mouldshield Fungicidal Eggshell Tint Colours 5L</t>
  </si>
  <si>
    <t>Dulux RT Bath+s/sheen PBW 2.5L</t>
  </si>
  <si>
    <t>Dulux RT Once Gloss PBW 2.5L</t>
  </si>
  <si>
    <t>Dulux RT Once S/Wood PBW 2.5L</t>
  </si>
  <si>
    <t>Dulux TR Diamond S/Wood PBW 1L</t>
  </si>
  <si>
    <t>Zinsser Allcoat (INT) Commercial WB White 10L</t>
  </si>
  <si>
    <t>Solvite Ready Mixed Adhesive 10KG</t>
  </si>
  <si>
    <t>Solvite Ready Mixed Adhesive 4.5KG</t>
  </si>
  <si>
    <t>Hamilton Prestige Heavy Duty Scraper 2IN</t>
  </si>
  <si>
    <t>Hamilton Prestige Flat Fitch Brush 5 Pack</t>
  </si>
  <si>
    <t>Hamilton Perfection 12IN Long Pile Roller Sleeve</t>
  </si>
  <si>
    <t>Hamilton Perfection 9IN Long Pile Roller Sleeve</t>
  </si>
  <si>
    <t>Hamilton Perfection 12IN Medium Pile Roller Sleeve</t>
  </si>
  <si>
    <t>Hamilton Perfection 9IN Medium Pile Roller Sleeve</t>
  </si>
  <si>
    <t>Hamilton Perfection 4IN Medium Pile Mini Roller Sleeve</t>
  </si>
  <si>
    <t>Hamilton Perfection 9IN Short Pile Roller Sleeve</t>
  </si>
  <si>
    <t>Hamilton Perfection 4IN Short Pile Mini Roller Sleeve</t>
  </si>
  <si>
    <t>Hamilton Perfection 12IN Ex Long Pile Roller Sleeve</t>
  </si>
  <si>
    <t>Hamilton Perfection 9IN Ex Long Pile Roller Sleeve</t>
  </si>
  <si>
    <t>Hamilton Prestige Angled Oval Brush 25MM</t>
  </si>
  <si>
    <t>Hamilton Prestige Angled Oval Brush 35MM</t>
  </si>
  <si>
    <t>Hamilton Prestige Round Fitch Brush 5 Pack</t>
  </si>
  <si>
    <t>DDC All Purpose Brush 1.5IN F/CERT</t>
  </si>
  <si>
    <t>DDC All Purpose Brush 1IN F/CERT</t>
  </si>
  <si>
    <t>DDC All Purpose Brush 2.5IN F/CERT</t>
  </si>
  <si>
    <t>DDC All Purpose Brush 2IN F/CERT</t>
  </si>
  <si>
    <t>DDC All Purpose Brush 3IN F/CERT</t>
  </si>
  <si>
    <t>DDC All Purpose Brush 4IN F/CERT</t>
  </si>
  <si>
    <t>DDC All Purpose Brush 6PK F/CERT</t>
  </si>
  <si>
    <t>Graco Fine Finish Tip LP517</t>
  </si>
  <si>
    <t>Graco Fine Finish Tip LP519</t>
  </si>
  <si>
    <t>Graco Classic 390 PC Stand Sprayer 17C347 110v</t>
  </si>
  <si>
    <t>QTech T5 Airless Sprayer 110V 600-850</t>
  </si>
  <si>
    <t>Indasa Scraper 2IN</t>
  </si>
  <si>
    <t>Enter Price of Item New cost 1st Jan 2024</t>
  </si>
  <si>
    <t>Priced before 01/03/2023</t>
  </si>
  <si>
    <t>01/06/2023 Prices from 1st June</t>
  </si>
  <si>
    <t>Total Units Purchased 2023</t>
  </si>
  <si>
    <t>Item Number (global)</t>
  </si>
  <si>
    <t/>
  </si>
  <si>
    <t xml:space="preserve">
Qty YTD 01/2023-12/2023</t>
  </si>
  <si>
    <t>RUBBOL SATURA ZWART 1L</t>
  </si>
  <si>
    <t>DULUX TR QD OPAQUE WHITE 1L</t>
  </si>
  <si>
    <t>CUPRINOL GARDEN FURNITURE RESTORER 1L</t>
  </si>
  <si>
    <t>HAMMERITE RAD ENAMEL GLS WHIT AER 400ML</t>
  </si>
  <si>
    <t>HAMMERITE SMOOTH MF WHITE AERO 400ML</t>
  </si>
  <si>
    <t>HAMMERITE SMOOTH MF SILVER AERO 400ML</t>
  </si>
  <si>
    <t>HAMMERITE HAMMERED MF BLACK 2.5L</t>
  </si>
  <si>
    <t>HAMMERITE HAMMERED MF SILVER GREY 250ML</t>
  </si>
  <si>
    <t>HAMMERITE SMOOTH MF YELLOW 2.5L</t>
  </si>
  <si>
    <t>HAMMERITE SMOOTH MF DARK GREEN 5L</t>
  </si>
  <si>
    <t>POLY STAIN STOP AERO 250ML</t>
  </si>
  <si>
    <t>SIKKENS CETOL TSI SATIN PLUS 006 LIGHT OAK 1L</t>
  </si>
  <si>
    <t>SIKKENS CETOL HLS PLUS 006 LIGHT OAK 1L</t>
  </si>
  <si>
    <t>SIKKENS CETOL HLS PLUS 006 LIGHT OAK 5L</t>
  </si>
  <si>
    <t>SI CETOL FILTER 7 PLUS 006 CHENE CLAIR 1L</t>
  </si>
  <si>
    <t>SIKKENS CETOL FILTER 7 PLUS 006 LIGHT OAK 5L</t>
  </si>
  <si>
    <t>SIKKENS CETOL FILTER 7 PLUS 045 MAHOGANY 2.5L</t>
  </si>
  <si>
    <t>SIKKENS CETOL HLS PLUS 010 WALNUT 2.5L</t>
  </si>
  <si>
    <t>SIKKENS CETOL HLS PLUS 020 EBONY 1L</t>
  </si>
  <si>
    <t>SIKKENS CETOL FILTER 7 PLUS 048 ROSE 2.5L</t>
  </si>
  <si>
    <t>SIKKENS CETOL FILTER 7 PLUS 048 ROSE 5L</t>
  </si>
  <si>
    <t>SIKKENS CETOL HLS PLUS 045 MAHOGANY 2.5L</t>
  </si>
  <si>
    <t>SIKKENS CETOL HLS PLUS 048 ROSEWOOD 2.5L</t>
  </si>
  <si>
    <t>SIKKENS CETOL FILTER 7 PLUS TU TINT 5L</t>
  </si>
  <si>
    <t>SIKKENS RUBBOL SATURA PLUS BLACK 2.5L</t>
  </si>
  <si>
    <t>DULUX TR AS SUPERMATT ALMOND WHITE 10L</t>
  </si>
  <si>
    <t>DULUX TR W/S QD U/COAT D. GREY 2.5L</t>
  </si>
  <si>
    <t>CUPRINOL ALL PURPOSE WOODFILLER WHITE 250ML</t>
  </si>
  <si>
    <t>CUPRINOL ANTI-SLIP DECKING STAIN HAM/OAK 2.5L</t>
  </si>
  <si>
    <t>CUPRINOL QD CLADDING &amp; FENCE OPQ RICH BROWN 10L</t>
  </si>
  <si>
    <t>POLY TEXT CEILING COURSE FIN 5L</t>
  </si>
  <si>
    <t>DULUX TR DIAMOND GLAZE TINTED YEL 1L</t>
  </si>
  <si>
    <t>DULUX TR DIAMOND GLAZE TINTED RED 1L</t>
  </si>
  <si>
    <t>DULUX TR DIAMOND GLAZE RED TINTED RED 2.5L</t>
  </si>
  <si>
    <t>DULUX TR M/SHIELD EGGSHELL TNT MED 5L</t>
  </si>
  <si>
    <t>DULUX TR W/S MAX EXP TINTED EXT 5L</t>
  </si>
  <si>
    <t>DULUX TR S/SHIELD D/MATT TINT MED 5L</t>
  </si>
  <si>
    <t>DULUX S/SHIELD D/MATT TINT EXT 5L</t>
  </si>
  <si>
    <t>DULUX TR S/SHEEN TINTED LIG 1L</t>
  </si>
  <si>
    <t>DULUX TR QD VARN TINTED RED 1L</t>
  </si>
  <si>
    <t>DULUX TR W/S QD EXT GLOSS TINT MED 2.5L</t>
  </si>
  <si>
    <t>CUPRINOL EXT WOOD PRESERVER GOLD BROWN (BP) 5L</t>
  </si>
  <si>
    <t>SIKKENS RUBBOL PRIMER PLUS WHITE 1L</t>
  </si>
  <si>
    <t>DULUX TR SUPERMATT TINT MED 5L</t>
  </si>
  <si>
    <t>POLY TR ONE/F LGT/FILL 25%EXT 4L</t>
  </si>
  <si>
    <t>CUPRINOL GARDEN SHADES COASTAL MIST 2.5L</t>
  </si>
  <si>
    <t>DULUX CD W/S A/S BASE LIGHT 4.5L</t>
  </si>
  <si>
    <t>DULUX TR ALL PURPOSE PRIMER 1L</t>
  </si>
  <si>
    <t>DULUX TR CD M/SHLD GLOSS E/DEEP BASE 5L</t>
  </si>
  <si>
    <t>CUPRINOL LESS MESS FENCE CARE RICH OAK 9L</t>
  </si>
  <si>
    <t>CUPRINOL ULTIMATE GARDEN WOOD PRESERVER COUNTRY OAK 4L</t>
  </si>
  <si>
    <t>CUPRINOL ULTIMATE GARDEN WOOD PRESERVER GOLDEN OAK 4L</t>
  </si>
  <si>
    <t>ARMSTEAD TR V/SOFT SHEEN TINTED STR 5L</t>
  </si>
  <si>
    <t>ZINSSER WATERTITE 5L</t>
  </si>
  <si>
    <t>BLACKFRIAR WOOD PRIMER PNK/WHITE 500ML</t>
  </si>
  <si>
    <t>BLACKFRIAR PAINT REMOVER 2.5L</t>
  </si>
  <si>
    <t>BLACKFRIAR BRICK &amp; TILE MATT RED 2.5L</t>
  </si>
  <si>
    <t>MGC FUNGICIDAL ADDITIVE 50ML</t>
  </si>
  <si>
    <t>Q-LUBE PISTON LUBRICANT 237ML Q400-005</t>
  </si>
  <si>
    <t>COO-VAR WB R/LINE PAINT WHITE 2.5L</t>
  </si>
  <si>
    <t>COO-VAR S/GRIP ANTI-SLIP FLOOR PAINT 2.5L</t>
  </si>
  <si>
    <t>COO-VAR FLOOR PAINT TILE RED 5L</t>
  </si>
  <si>
    <t>COO-VAR BRICK &amp; TILE PAINT G/RED 1L</t>
  </si>
  <si>
    <t>COO-VAR LINE MARK AERO WHITE 750ML</t>
  </si>
  <si>
    <t>COO-VAR MATT BLACK 1L</t>
  </si>
  <si>
    <t>COO-VAR ANTI DAMP PAINT 1L</t>
  </si>
  <si>
    <t>WERNER 75053 4X3 MULTI-PURPOSE TELESCOPIC LADDER</t>
  </si>
  <si>
    <t xml:space="preserve">WERNER 79008 LADDER STAND OFF
</t>
  </si>
  <si>
    <t>RUBBOL PRIMER WHITE 2.5L</t>
  </si>
  <si>
    <t>DULUX RT EASYCARE KITCH MATT POLISH/PEBBLE 2.5L</t>
  </si>
  <si>
    <t>COO-VAR LINE MARK AERO BLUE 750ML</t>
  </si>
  <si>
    <t>ZINSSER ALLCOAT EXTERIOR WB GLOSS BLACK 1L</t>
  </si>
  <si>
    <t>ZINSSER GARDZ SEALER 2.5L</t>
  </si>
  <si>
    <t>CUPRINOL GARDEN SHADES URBAN SLATE 5L</t>
  </si>
  <si>
    <t>BOLLOM BROFLAME ULTRA BASECOAT 5LT</t>
  </si>
  <si>
    <t>BOLLOM FLAMEGUARD ULTRA ACRYLIC EGGSHELL WHITE 5LT</t>
  </si>
  <si>
    <t>COO-VAR ANTI-SLIP ACRYLIC FLOOR PAINT BLACK 5L</t>
  </si>
  <si>
    <t>CUPRINOL 5 STAR WOOD TREATMENT 5L</t>
  </si>
  <si>
    <t>HAMMERITE ULTIMA SMOOTH DARK GREY 750ML</t>
  </si>
  <si>
    <t>DULUX TR HERITAGE TESTER BEACHCOMB GREY 125ML</t>
  </si>
  <si>
    <t>DULUX TR HERITAGE TESTER CHINA WHITE 125ML</t>
  </si>
  <si>
    <t>DULUX TR HERITAGE TESTER DH OXFORD BLUE 125ML</t>
  </si>
  <si>
    <t>DULUX TR HERITAGE TESTER LEAD GREY 125ML</t>
  </si>
  <si>
    <t>DULUX TR HERITAGE TESTER LEAD WHITE 125ML</t>
  </si>
  <si>
    <t>DULUX TR HERITAGE TESTER PEBBLE GREY125ML</t>
  </si>
  <si>
    <t>DULUX TR HERITAGE TESTER PEWTER PLATE 125ML</t>
  </si>
  <si>
    <t>DULUX TR HERITAGE TESTER DH SLATE 125ML</t>
  </si>
  <si>
    <t>DULUX TR HERITAGE TESTER JENNY WREN 125ML</t>
  </si>
  <si>
    <t>DULUX TR HERITAGE TESTER TERRA OMBRA 125ML</t>
  </si>
  <si>
    <t>DULUX TR W/S MSNRY FROST GREY 5L</t>
  </si>
  <si>
    <t>DULUX TR W/S QD EXT HIGH GLOSS PBW 1L</t>
  </si>
  <si>
    <t>DULUX TR W/S QD EXT FLEXIBLE U/COAT WHITE 1L</t>
  </si>
  <si>
    <t>DULUX TR W/S QD EXT HIGH GLOSS TINTED LIGHT 1L</t>
  </si>
  <si>
    <t>DULUX TR W/S ALL SEASONS PLIOLITE SMOOTH WHITE 5L</t>
  </si>
  <si>
    <t>DULUX TR W/S ALL SEASONS PLIOLITE SMOOTH MAG 5L</t>
  </si>
  <si>
    <t>DULUX TR DIAMOND MATT RAL9010 10L</t>
  </si>
  <si>
    <t>DULUX TR SUPERMATT MAGNOLIA (TOUCH UP STOCK ONLY) 10L</t>
  </si>
  <si>
    <t>DULUX TRADE DIAMOND MATT PBW 5L (TOUCH UP)</t>
  </si>
  <si>
    <t>ZINSSER ALLCOAT EXT SAT WB TINT TR 1L</t>
  </si>
  <si>
    <t>DULUX TRADE DIAMOND MATT LIGHT TINT 5L (TOUCH UP)</t>
  </si>
  <si>
    <t>ABRANET 150MM GRIP P120 50PK</t>
  </si>
  <si>
    <t>TESA PRECISION MASK 4334 - 50M X 38MM</t>
  </si>
  <si>
    <t>TESA PRECISION MASK 4334 50M X 50MM</t>
  </si>
  <si>
    <t>3M 244 GOLD PRECISION TAPE 24MM</t>
  </si>
  <si>
    <t>OAKEY GLASSPAPER MED 5PK EACH</t>
  </si>
  <si>
    <t>MIRKA ABRANET DEROS 150MM GRIP P80 10PK</t>
  </si>
  <si>
    <t>MIRKA ABRANET 125MM GRIP P120 10PK</t>
  </si>
  <si>
    <t>MIRKA ABRANET DEOS 81X133 P120 10PK</t>
  </si>
  <si>
    <t>MIRKA ABRANET DEOS 81X133 P80 10PK</t>
  </si>
  <si>
    <t>GRACO EASYOUT GUNFILTER BLUE PC GUN 100 MESH 287033</t>
  </si>
  <si>
    <t>SOLVITE READY MIXED ADHESIVE 10KG</t>
  </si>
  <si>
    <t>SOLVITE READY MIXED ADHESIVE 4.5KG</t>
  </si>
  <si>
    <t>BARRETTINE PEELAWAY 1 15KG</t>
  </si>
  <si>
    <t>MIRKA ABRANET 80X230MM GRIP P120 10PK</t>
  </si>
  <si>
    <t>BIG WIPES HEAVY-DUTY PRO+ REFILL POUCH 80 WIPES</t>
  </si>
  <si>
    <t>BARRETTINE PAINT&amp;VARN REMOVER 1L</t>
  </si>
  <si>
    <t>CARRIER BAG - WALLCOVERINGS EACH</t>
  </si>
  <si>
    <t>3M244/36L SCOTCH AFPLAKTAPE GOLD 36MM</t>
  </si>
  <si>
    <t>3M2090/36L SCOTCH AFPLAKTAPE BLAUW 36MM</t>
  </si>
  <si>
    <t>BIG WIPES MULTI-SURFACE PRO+BIO TUB 80 WIPES</t>
  </si>
  <si>
    <t>SANDERSON ELITE PASTE 5KG</t>
  </si>
  <si>
    <t>SANDERSON ELITE PASTE 10KG</t>
  </si>
  <si>
    <t>TEKTURA TEKFIX 65 ADHESIVE 10KG</t>
  </si>
  <si>
    <t>KNAUF JOINT FILLER 20KG</t>
  </si>
  <si>
    <t>KNAUF JOINT TAPE EACH</t>
  </si>
  <si>
    <t>KNAUF CORNER FLEX TAPE EACH</t>
  </si>
  <si>
    <t>GYPROC COVE 3MX127MM C PROFILE</t>
  </si>
  <si>
    <t>GYPROC SS S/G JOINTING KNIFE 250MM</t>
  </si>
  <si>
    <t>REPAIR CARE PROF DISP GUN EACH</t>
  </si>
  <si>
    <t>REPAIR CARE PERSPEX SHTS 500MM</t>
  </si>
  <si>
    <t>REPAIR CARE SCRAPER BLADES EACH</t>
  </si>
  <si>
    <t>REPAIR CARE DOSING GUN EACH</t>
  </si>
  <si>
    <t>REPAIR CARE GLOVES LARGE EACH</t>
  </si>
  <si>
    <t>RONSEAL H/P WOOD FILLER NATURAL 550G</t>
  </si>
  <si>
    <t>SINIAT JOINT TAPE 150M</t>
  </si>
  <si>
    <t>OLFA X-DESIGN W/LOCK SNAP KNIFE 18MM</t>
  </si>
  <si>
    <t>PREMIER MASK FFP1 2PK EACH</t>
  </si>
  <si>
    <t>HIPPO CARPET PROTECTOR 600MM 50M</t>
  </si>
  <si>
    <t>PURDY WHITE DOVE 3/8IN NAP 2 PACK 6.5IN</t>
  </si>
  <si>
    <t>MIRKA HIOMANT ROLL 80G 50M</t>
  </si>
  <si>
    <t>19059 SUPER FRESCO PLASTER</t>
  </si>
  <si>
    <t>110620 LEONIDA</t>
  </si>
  <si>
    <t>804301 ANAGLYPTA</t>
  </si>
  <si>
    <t>PURDY POWER LOCK EXTENSION POLE 6-12FT</t>
  </si>
  <si>
    <t>GYPROC FIBATAPE CLASSIC 90M</t>
  </si>
  <si>
    <t>DDC ALL PURPOSE BRUSH 6PK F/CERT</t>
  </si>
  <si>
    <t>DDC ALL PURPOSE BRUSH 4IN F/CERT</t>
  </si>
  <si>
    <t>DDC ALL PURPOSE BRUSH 3IN F/CERT</t>
  </si>
  <si>
    <t>DDC ALL PURPOSE BRUSH 2.5IN F/CERT</t>
  </si>
  <si>
    <t>DDC ALL PURPOSE BRUSH 2IN F/CERT</t>
  </si>
  <si>
    <t>DDC ALL PURPOSE BRUSH 1.5IN F/CERT</t>
  </si>
  <si>
    <t>DDC ALL PURPOSE BRUSH 1IN F/CERT</t>
  </si>
  <si>
    <t>DDC WOODEN SEAM ROLLER 1.5IN</t>
  </si>
  <si>
    <t>AXUS GREY IMMACULATE FINISH BRUSH SET 3PC</t>
  </si>
  <si>
    <t>DDC PAINTABLE TEXTURED VINYL 10-187</t>
  </si>
  <si>
    <t>DDC PAINTABLE TEXTURED VINYL 10-189</t>
  </si>
  <si>
    <t>HAMILTON PERFECTION FLEXIBLE FILLING KNIFE 2IN</t>
  </si>
  <si>
    <t>3M SCOTCH 2090 PRO MASK TAPE 48MMX50M</t>
  </si>
  <si>
    <t>TESAKREPP 4333: ROSA: 50 MM X 50 M: 1 ROLLE</t>
  </si>
  <si>
    <t>HAMILTON PRESTIGE PURE BRISTLE &amp; PURE SYNTHETIC BRUSH PACK</t>
  </si>
  <si>
    <t>PURDY COLOSSUS 1/2IN NAP 18IN</t>
  </si>
  <si>
    <t>DWOW215706 - WOODLAND CHORUS - SKY BLUE/MULTI - WOODLAND WAL</t>
  </si>
  <si>
    <t>111497-HARLEQUIN-STANDING OVATION-FLOREALE-TANGERINE/FUCHSIA</t>
  </si>
  <si>
    <t>PURDY REVOLUTION ROLLER SYSTEM KIT</t>
  </si>
  <si>
    <t>HAMILTON PERFECTION ROLLER SLV - MEDIUM MIDI 4"</t>
  </si>
  <si>
    <t>COO-VAR LOW ODOUR LINE MARKING PAINT YELLOW 2.5L</t>
  </si>
  <si>
    <t>WALLROCK FIBRELINER SMOOTH 100 DOUBLE</t>
  </si>
  <si>
    <t>COO-VAR PROFLOOR PLUS ANTI-SLIP OPTION 440G</t>
  </si>
  <si>
    <t>ZINSSER ALLCOAT EXT WB GLOSS WHITE 2.5L</t>
  </si>
  <si>
    <t>ZINSSER ALLCOAT EXT WB GLOSS BLACK 5L</t>
  </si>
  <si>
    <t>OX TOOLS TWIN FILTER CARTRIDGES FOR S450 ABEK1</t>
  </si>
  <si>
    <t>OX TOOLS RED PVC KNITWRIST GLOVES - SIZE 10 (XL)</t>
  </si>
  <si>
    <t>OX TOOLS NITRILE DISPOSABLE GLOVE 100PK XL</t>
  </si>
  <si>
    <t>BEDEC MSP SATIN GOLD 2.5L</t>
  </si>
  <si>
    <t>LITTLE GREENE INTEL EGGSHELL HI-WHT TINT 5L</t>
  </si>
  <si>
    <t>LITTLE GREENE INTEL EGGSHELL HI-WHT TINT 2.5L</t>
  </si>
  <si>
    <t>LITTLE GREENE INTEL EGGSHELL EX DEEP TINT 2.5L</t>
  </si>
  <si>
    <t>LITTLE GREENE INTEL MATT EMULSION EX DEEP TINT 5L</t>
  </si>
  <si>
    <t>LITTLE GREENE INTEL MATT EMULSION HI-WHT TINT 10L</t>
  </si>
  <si>
    <t>LITTLE GREENE INTEL EXT EGGSHELL DEEP TINT 2.5L</t>
  </si>
  <si>
    <t>3M MASKERINGSFILM AMF99 251CMX27.4M</t>
  </si>
  <si>
    <t>TRADE BIB &amp; BRACE EXTRA LARGE TALL</t>
  </si>
  <si>
    <t>DDC TROUSER 40R</t>
  </si>
  <si>
    <t>DDC TROUSER 30T</t>
  </si>
  <si>
    <t>MALE DEXTERS TROUSER 32S</t>
  </si>
  <si>
    <t>MALE DEXTERS TROUSER 32R</t>
  </si>
  <si>
    <t>MALE DEXTERS TROUSER 36R</t>
  </si>
  <si>
    <t>DEXTERS DECORATOR SPONGE BAG</t>
  </si>
  <si>
    <t>BLACKFRIAR POLYURETHANE INT VARNISH CLEAR MATT 1L</t>
  </si>
  <si>
    <t>MIRKA LEROS EXTENSION SHAFT 50CM</t>
  </si>
  <si>
    <t>GYPROC COVE ADHESIVE 5KG - PLASTIC BAG</t>
  </si>
  <si>
    <t>ULTRAGRIME HUGE WIPES 100PK</t>
  </si>
  <si>
    <t>390 - ULTIMATE WHITES - SFW WATERFALL - 1 ROLL</t>
  </si>
  <si>
    <t>WERNER 7400318 3-TREAD HIGH HANDRAIL STEPLADDER</t>
  </si>
  <si>
    <t>WERNER 7224418 2X15 BOX SECTION EXTENSION LADDER</t>
  </si>
  <si>
    <t>PRODEC TRIANGULAR SHAVEHOOK</t>
  </si>
  <si>
    <t>PRODEC CELLULOSE SPONGE LARGE</t>
  </si>
  <si>
    <t>PRODEC PROFESSIONAL BLACK DUCT TAPE 50MM</t>
  </si>
  <si>
    <t>PRODEC POWDER FREE NITRILE GLOVES LGE BOX 100</t>
  </si>
  <si>
    <t>RUSTINS SANDING SEALER 1L</t>
  </si>
  <si>
    <t>AXUS GREY IMMACULATE FINISH CORNER ROLLER</t>
  </si>
  <si>
    <t>AXUS PAINTERS TROUSERS 34IN</t>
  </si>
  <si>
    <t>AXUS PALM COATED WHITE PAINTERS GLOVES LARGE 3PK</t>
  </si>
  <si>
    <t>AXUS PALM COATED WHITE PAINTERS GLOVES XL 3PK</t>
  </si>
  <si>
    <t>AXUS PAINTERS TROUSERS 36IN</t>
  </si>
  <si>
    <t>HIPPO CARPET PROTECTOR ROLL 800MM X 50M</t>
  </si>
  <si>
    <t>ZINSSER PEELSTOP 5L</t>
  </si>
  <si>
    <t>U-POL TOUGHFILL 2 PART FILLER 1.1L</t>
  </si>
  <si>
    <t>U-POL EASYFILL 2 PART FILLER 1.1L</t>
  </si>
  <si>
    <t>U-POL FASTFILL 2 PART FILLER 1.1L</t>
  </si>
  <si>
    <t>WERNER 31089818 ODD JOB WORK PLATFORM</t>
  </si>
  <si>
    <t>WERNER 31289800 ODD JOB 600 WORK PLATFORM</t>
  </si>
  <si>
    <t>INDASA COVER ROLL MASKING FILM 25M X 1800MM</t>
  </si>
  <si>
    <t>INDASA COVER ROLL MASKING FILM 25M X 1200MM</t>
  </si>
  <si>
    <t>OWATROL MOULD STOP 50ML</t>
  </si>
  <si>
    <t>OSMO POLYX-OIL ORIGINAL GLOSS CLEAR 2.5L</t>
  </si>
  <si>
    <t>PRODEC BRUSH SYNTHETIC SASH SET ROUND POINT 4PK</t>
  </si>
  <si>
    <t>PRODEC BLACK PLASTIC MINI SCUTTLE 5L</t>
  </si>
  <si>
    <t>PRODEC ADVANCED BIB &amp; BRACE LARGE</t>
  </si>
  <si>
    <t>BARRETTINE BOILED LINSEED OIL 5L</t>
  </si>
  <si>
    <t>BEDEC MSP GLOSS LIGHT GREY 750ML</t>
  </si>
  <si>
    <t>BEDEC MSP MATT BLACK 2.5L</t>
  </si>
  <si>
    <t>BEDEC MSP SATIN SILVER 750ML</t>
  </si>
  <si>
    <t>DEMI-MASQUE SPECIAL PEINTURE A FILTRES INTEGRES A1P2</t>
  </si>
  <si>
    <t>3M ØREPROPPER 1100 4 PAR</t>
  </si>
  <si>
    <t>HAMILTON PRESTIGE ROUND FITCH BRUSH 5 PACK</t>
  </si>
  <si>
    <t>HAMILTON PRESTIGE FLAT FITCH BRUSH 5 PACK</t>
  </si>
  <si>
    <t>POLYVINE METALLIC PALE GOLD 500ML</t>
  </si>
  <si>
    <t>POLYVINE METALLIC COPPER 1L</t>
  </si>
  <si>
    <t>WERNER 723 TRADE 1.85M TRIPLE EXTENSION LADDERS</t>
  </si>
  <si>
    <t>REPAIR CARE MIX AND FIX MULTI PACK (50)</t>
  </si>
  <si>
    <t>PURDY PARROT JUMBO MINI 6.5" 2PK</t>
  </si>
  <si>
    <t>INDASA SCRAPER 2IN</t>
  </si>
  <si>
    <t>104956 MOLTEN ROSE GOLD 1 ROLL</t>
  </si>
  <si>
    <t>BEDEC MSP GLOSS ANTHRACITE 2.5L</t>
  </si>
  <si>
    <t>TOUPRET JOINT SKIM &amp; FILL POWDER 5KG</t>
  </si>
  <si>
    <t>TOUPRET PATCH &amp; REPAIR QUICK DRY 2KG</t>
  </si>
  <si>
    <t>TOUPRET PATCH &amp; REPAIR QUICK DRY 5 KG</t>
  </si>
  <si>
    <t>FROGTAPE MULTI-SURFACE 36MMX41.1M</t>
  </si>
  <si>
    <t>FROGTAPE DELICATE 36MMX41.1M</t>
  </si>
  <si>
    <t>HAMILTON PERFECTION 4IN MEDIUM PILE MINI ROLLER SLEEVE</t>
  </si>
  <si>
    <t>HAMILTON PERFECTION 4IN LONG PILE MINI ROLLER SLEEVE</t>
  </si>
  <si>
    <t>HAMILTON PERFECTION 4IN EX LONG PILE MINI ROLLER SLEEVE</t>
  </si>
  <si>
    <t>HAMILTON PERFECTION 9IN SHORT PILE ROLLER SLEEVE</t>
  </si>
  <si>
    <t>HAMILTON PERFECTION 9IN MEDIUM PILE ROLLER SLEEVE</t>
  </si>
  <si>
    <t>HAMILTON PRESTIGE ANGLED OVAL BRUSH 25MM</t>
  </si>
  <si>
    <t>HAMILTON PRESTIGE ANGLED OVAL BRUSH 35MM</t>
  </si>
  <si>
    <t>HAMILTON PRESTIGE HEAVY DUTY SCRAPER 2IN</t>
  </si>
  <si>
    <t>HAMILTON PRESTIGE HEAVY DUTY SCRAPER REPLACEMENT BLADES 2IN</t>
  </si>
  <si>
    <t>HAMILTON PERFECTION 9IN LONG PILE ROLLER SLEEVE</t>
  </si>
  <si>
    <t>HAMILTON PERFECTION 9IN EX LONG PILE ROLLER SLEEVE</t>
  </si>
  <si>
    <t>HAMILTON PERFECTION 12IN MEDIUM PILE ROLLER SLEEVE</t>
  </si>
  <si>
    <t>HAMILTON PERFECTION 12IN LONG PILE ROLLER SLEEVE</t>
  </si>
  <si>
    <t>HAMILTON PERFECTION 12IN EX LONG PILE ROLLER SLEEVE</t>
  </si>
  <si>
    <t>HAMILTON PERFECTION 15IN MEDIUM PILE ROLLER SLEEVE</t>
  </si>
  <si>
    <t>HAMILTON PERFECTION 15IN LONG PILE ROLLER SLEEVE</t>
  </si>
  <si>
    <t>MIRKA ABRANET DEOS DELTA 152X152X100MM PK10 P120</t>
  </si>
  <si>
    <t>ZINSSER BULLS EYE 1-2-3 GREY 1L</t>
  </si>
  <si>
    <t>ZINSSER ALLCOAT EXTERIOR SATIN WB GREY 5L</t>
  </si>
  <si>
    <t>ULTRAGRIME BIODEGRADABLE XXLWIPES 100PK</t>
  </si>
  <si>
    <t>OB1 MULTISURFACE SEAL&amp;ADH CLEAR 290ML</t>
  </si>
  <si>
    <t>OSMO POLYX H/WAX OIL CL SATIN 750ML</t>
  </si>
  <si>
    <t>OSMO POLYX H/WAX OIL CL MATT 750ML</t>
  </si>
  <si>
    <t>OSMO UV PROTECTION OIL EX CLEAR 0.75L</t>
  </si>
  <si>
    <t>OSMO TOP OIL CLEAR SATIN 0.5L     </t>
  </si>
  <si>
    <t>PRODEC ICE FUSION 3PC BRUSH SET</t>
  </si>
  <si>
    <t>PIONEER 14 PIECE SCUTTLE KIT</t>
  </si>
  <si>
    <t>TRUE COLOURS SAMPLE POT BRUSH</t>
  </si>
  <si>
    <t>SOLVITE PASTE THE WALL 5 ROLL SACHET</t>
  </si>
  <si>
    <t>MIRKA ABRANET 115MMX2.5M P120</t>
  </si>
  <si>
    <t>ZINSSER B-I-N GREY 1 LTR</t>
  </si>
  <si>
    <t>TOUPRET FINE SURFACE FILLER 330G</t>
  </si>
  <si>
    <t>LITTLE GREENE LIMEWASH 5L BTO</t>
  </si>
  <si>
    <t>LITTLE GREENE INTEL EGGSHELL 2.5L BTO</t>
  </si>
  <si>
    <t>LITTLE GREENE INTEL MATT EMULSION 2.5L BTO</t>
  </si>
  <si>
    <t>LITTLE GREENE INTEL MATT EMULSION 5L BTO</t>
  </si>
  <si>
    <t>TOUPRET EXTERIOR ROCK SOLID REPAIR FILLER 5KG</t>
  </si>
  <si>
    <t>MIRKA GOLDFLEX SOFT 115X140MM P240 10PK</t>
  </si>
  <si>
    <t>MIRKA ABRANET 115MMX2.5M GRIP P180</t>
  </si>
  <si>
    <t>MIRKA HIOMANT 115MM X 50M RLL P80</t>
  </si>
  <si>
    <t>MIRKA GOLD PROFLEX 115MM X 10M RLL P240 UK</t>
  </si>
  <si>
    <t>HAMILTON PERFECTION BRISTLE BRUSH 3"</t>
  </si>
  <si>
    <t>ARROWORTHY CLASSIC SEMI-OVAL ANGLE NYLYN LONG HANDLE 1.5"</t>
  </si>
  <si>
    <t>105117 G&amp;B BOTANY PLUM</t>
  </si>
  <si>
    <t>33-304 SUPERFRESCO EASY AURA GREY 1 ROLL</t>
  </si>
  <si>
    <t>31-860 SUPERFRESCO EASY CALICO GREY 1 ROLL</t>
  </si>
  <si>
    <t>3M 2090 UNIVERSAL 36MM X 50M 3PK</t>
  </si>
  <si>
    <t>116633 BOUTIQUE DIGITAL MARTHA VIRIDIAN WALLPAPER</t>
  </si>
  <si>
    <t>3M 2072 EXTRA SENSITIVE TAPE 36MM X 50M 2+1</t>
  </si>
  <si>
    <t>POLYVINE EXTREME VARNISH SATIN 1L</t>
  </si>
  <si>
    <t>POLYVINE DECORATORS SATIN VARNISH 1L</t>
  </si>
  <si>
    <t>PIONEER SPIRIT RENAISSANCE 5 PIECE SET</t>
  </si>
  <si>
    <t>PIONEER SWIFT ANGLE SASH 3 PIECE SET</t>
  </si>
  <si>
    <t>BARTOLINE IMPROVED CLEAN SPIRIT 750ML</t>
  </si>
  <si>
    <t>CIRET EMULSION AND GLOSS 4IN KIT</t>
  </si>
  <si>
    <t>INDASA RHYNOGRIP HT 15 HOLE DISCS GRIP P80 50BOX</t>
  </si>
  <si>
    <t>INDASA RHYNOGRIP HT 15 HOLE DISCS GRIP P80 10PK</t>
  </si>
  <si>
    <t>INDASA RHYNOGRIP HT 15 HOLE DISCS GRIP P120 10PK</t>
  </si>
  <si>
    <t>BIG WIPES HEAV-DUTY &amp; MULT-SURF TWIN PACK</t>
  </si>
  <si>
    <t>GRAPHENSTONE GRAFCLEAN COLOUR 10L</t>
  </si>
  <si>
    <t>GRAPHENSTONE GCS INTERIOR 4L</t>
  </si>
  <si>
    <t>GRAPHENSTONE AMBIENT PRIMER L42 4L</t>
  </si>
  <si>
    <t>GRAPHENSTONE FILLER 4L</t>
  </si>
  <si>
    <t>GRAPHENSTONE ECOPUTTY 5KG</t>
  </si>
  <si>
    <t>GRAPHENSTONE MINERMASTIC PREMIUM 0.75L</t>
  </si>
  <si>
    <t>GYPROC EASIFILL 60 5KG (PLASTIC PACKAGING)</t>
  </si>
  <si>
    <t>GYPROC EASIFILL 60 10KG (PLASTIC PACKAGING)</t>
  </si>
  <si>
    <t>GYPROC EASIFILL 20 5KG (PLASTIC PACKAGING)</t>
  </si>
  <si>
    <t>HAMILTON FOR THE TRADE 1.5IN FLAT BRUSH 4 PK</t>
  </si>
  <si>
    <t>ZINSSER ALLCOAT EXT SB GLOSS BLACK 2.5L</t>
  </si>
  <si>
    <t>ARROWORTHY CLASSIC BRUSH 3PK WITH FREE SEMI OVAL ANGLE SASH</t>
  </si>
  <si>
    <t>OSMO UV PROTECTION OIL TINT OAK 750ML</t>
  </si>
  <si>
    <t>REPAIR CARE TRIAL PACK 2023</t>
  </si>
  <si>
    <t>INDASA FAST MASK SELF ADHESIVE PAPER ROLLS 222MM</t>
  </si>
  <si>
    <t>INDASA FAST MASK SELF ADHESIVE PAPER ROLLS 148MM</t>
  </si>
  <si>
    <t>PRODEC ICE FUSION 4IN SCUTTLE KIT</t>
  </si>
  <si>
    <t>BEDEC ALL PRIME WHITE 2.5L</t>
  </si>
  <si>
    <t>ARROWORTHY CLASSIC STRAIGHT SHORT HANDLE BOXSET 3PK</t>
  </si>
  <si>
    <t>OAKEY FLEXIBLE FINISHING PADS GREY 5PK</t>
  </si>
  <si>
    <t>OAKEY FLEXIBLE REMOVAL PADS MAROON 5PK</t>
  </si>
  <si>
    <t>PRODEC ADVANCE ICE FUSION SYNTHETIC BRUSH 1.5IN</t>
  </si>
  <si>
    <t>PRODEC ADVANCE ICE FUSION SYNTHETIC BRUSH 3IN</t>
  </si>
  <si>
    <t>PRODEC ADVANCE ICE FUSION CUTTING IN BRUSH 2IN</t>
  </si>
  <si>
    <t>TOUPRET INTERIOR FILLER 10KG</t>
  </si>
  <si>
    <t>TOUPRET READY TO USE FILLER 4KG</t>
  </si>
  <si>
    <t>PRODEC ADVANCE ICE FUSION SYNTHETIC BRUSH 1IN</t>
  </si>
  <si>
    <t>TOUPRET TOUGH MULTI-FILLER 2KG</t>
  </si>
  <si>
    <t>PRODEC ADVANCE ICE FUSION OVAL BRUSH 2IN</t>
  </si>
  <si>
    <t>PRODEC ADVANCE ICE FUSION ROLLER SLEEVE 12IN</t>
  </si>
  <si>
    <t>BEDEC MSP GLOSS OXFORD BLUE 2.5L</t>
  </si>
  <si>
    <t>BEDEC MSP GLOSS RED COSSACK 2.5L</t>
  </si>
  <si>
    <t>BEDEC MSP GLOSS LAGOON 2.5L</t>
  </si>
  <si>
    <t>BEDEC MSP GLOSS LIGHT GREY 2.5L</t>
  </si>
  <si>
    <t>BEDEC MSP SATIN SILVER 5L</t>
  </si>
  <si>
    <t>BEDEC SUPERFLEX BLACK 20L</t>
  </si>
  <si>
    <t>COO-VAR SUREGRIP LIGHT GREY 5L</t>
  </si>
  <si>
    <t>COO-VAR LOW ODOUR LINE MARKING PAINT WHITE 5L</t>
  </si>
  <si>
    <t>FILLTITE RAPID DRYING EXTERIOR FILLER 1L</t>
  </si>
  <si>
    <t>GYPROC EASIFILLER 2.5L</t>
  </si>
  <si>
    <t>FLUXAF POWERCLEAN SPRAY 750ML</t>
  </si>
  <si>
    <t>FLUXAF MOULD AND MILDEW REMOVER SPRAY 750ML</t>
  </si>
  <si>
    <t>OWATROL VC175 50ML</t>
  </si>
  <si>
    <t>TIMBABUILD EHB60 EPOXY HIGH BUILD 400ML</t>
  </si>
  <si>
    <t>TIMBABUILD STARTER KIT</t>
  </si>
  <si>
    <t>TIMBABUILD EWS 300ML</t>
  </si>
  <si>
    <t>LICK ECO FLAT BRUSH 2IN</t>
  </si>
  <si>
    <t>LICK ECO FLAT BRUSH 3IN</t>
  </si>
  <si>
    <t>LICK ANGLE SASH BRUSH 1.5IN</t>
  </si>
  <si>
    <t>LICK ANGLE SASH BRUSH 2.5IN</t>
  </si>
  <si>
    <t>LICK ECO ROLLER FRAME 4IN</t>
  </si>
  <si>
    <t>LICK ECO ROLLER SLEEVE 4IN PK4</t>
  </si>
  <si>
    <t>LICK ECO ROLLER SLEEVE 9IN</t>
  </si>
  <si>
    <t xml:space="preserve">LICK 100% RECYCLED TAPE &amp; DRAPE 1.4M X 33M
</t>
  </si>
  <si>
    <t>SOUDAL TRADE DECORATORS CAULK WHITE 290ML</t>
  </si>
  <si>
    <t>TOUPRET JOINT &amp; SKIM READY TO USE 10KG</t>
  </si>
  <si>
    <t>AXUS DECOR ADJUSTABLE FRAME 12/18IN &amp; 12IN MINK SLEEVE COMBO</t>
  </si>
  <si>
    <t>OLFA KNIFE &amp; OLFA SPEED BLADES 5PK</t>
  </si>
  <si>
    <t>BARRETTINE PAINT PANTHER SCRAPER 3IN</t>
  </si>
  <si>
    <t>PAINTERS PACK ROLLERS &amp; TRAY SET</t>
  </si>
  <si>
    <t>WOOSTER SILVER TIP BRUSH 3 PACK</t>
  </si>
  <si>
    <t>PRODEC CELLULOSE SPONGE STANDARD</t>
  </si>
  <si>
    <t>CIRET 18MM SNAP OFF BLADES 10PK</t>
  </si>
  <si>
    <t>GRAPHENSTONE GCS EXTERIOR 10L</t>
  </si>
  <si>
    <t>ZINSSER B-I-N AQUA WHITE 1L</t>
  </si>
  <si>
    <t>ARROWORTHY CLASSIC MICROFIBER MINI 4IN 2PK SHORT PILE</t>
  </si>
  <si>
    <t>ZINSSER B-I-N AQUA WHITE 2.5L</t>
  </si>
  <si>
    <t>BARRACUDA PUSH FIT MINI ROLLER 4IN BY 11IN PUSH FIT FRAME</t>
  </si>
  <si>
    <t>HAMILTON PERFECTION ROLLER 6PK WITH FREE ANGLEBRUSH</t>
  </si>
  <si>
    <t>LIGHTWEIGHT CLOTHS BLUE 50PK</t>
  </si>
  <si>
    <t>HAMILTON FOR THE TRADE FINE TIP FLAT BRUSH 5PK</t>
  </si>
  <si>
    <t>PRESTIGIOUS TEXTILES (SPECIAL ORDER - WALLPAPER)</t>
  </si>
  <si>
    <t>ZARGES UK LTD (SPECIAL ORDER)</t>
  </si>
  <si>
    <t>BARRETTINE PRODUCTS (SPECIAL ORDER)</t>
  </si>
  <si>
    <t>NEWMOR (DIXON TURNER) SPECIAL ORDER - WALLPAPER</t>
  </si>
  <si>
    <t>MIRKA ABRASIVES (SPECIAL ORDER)</t>
  </si>
  <si>
    <t>MOULD GROWTH CONSULTANTS (SPECIAL ORDER)</t>
  </si>
  <si>
    <t>POLYVINE (SPECIAL ORDER)</t>
  </si>
  <si>
    <t>CAN RECYCLING SOLVENT BASED AKZONOBEL</t>
  </si>
  <si>
    <t>CAN RECYCLING WATER BASED AKZONOBEL</t>
  </si>
  <si>
    <t>WERNER (SPECIAL ORDER)</t>
  </si>
  <si>
    <t>INTUMESCENT (ENVIROGRAF) (SPECIAL ORDER)</t>
  </si>
  <si>
    <t>OX TOOLS (SPECIAL ORDER)</t>
  </si>
  <si>
    <t>REFUND HERITAGE TESTER POT</t>
  </si>
  <si>
    <t>Axus Stainless Steel Wallpaper Scissors 12'</t>
  </si>
  <si>
    <t>DDC 22 Piece Mini Scuttle Kit - 4'</t>
  </si>
  <si>
    <t>DDC Advanced Sim Mohair Sleeve 2pk 4'</t>
  </si>
  <si>
    <t>DDC Interior Brush 4'</t>
  </si>
  <si>
    <t>DDC Interior Brush 6'</t>
  </si>
  <si>
    <t>DDC Synthetic Brush 1'</t>
  </si>
  <si>
    <t>DDC Synthetic Brush 1.5'</t>
  </si>
  <si>
    <t>DDC Synthetic Brush 2'</t>
  </si>
  <si>
    <t>DDC Synthetic Brush 3'</t>
  </si>
  <si>
    <t>DDC Woven Poly Roller Kit 2 Sleeves 9'</t>
  </si>
  <si>
    <t>DT Metalshield Quick Dry Metal Primer 1L</t>
  </si>
  <si>
    <t>DT Metalshield Quick Dry Metal Primer 5L</t>
  </si>
  <si>
    <t>DT Plus Levelling Tool</t>
  </si>
  <si>
    <t>DT Plus Smartshield clearcoat 10L</t>
  </si>
  <si>
    <t>DT Plus Thermacoat Comb</t>
  </si>
  <si>
    <t>DT Pyroshield Eggshell Light BS Tinted 5L</t>
  </si>
  <si>
    <t>DT Pyroshield Eggshell White 5L</t>
  </si>
  <si>
    <t>DT Pyroshield Fire Upgrade Basecoat 10L</t>
  </si>
  <si>
    <t>DT Pyroshield Matt Light BS Tinted 5L</t>
  </si>
  <si>
    <t>DT Pyroshield Matt White 5L</t>
  </si>
  <si>
    <t>Hamilton Expression Synth Paint Brush 2.0' FSC</t>
  </si>
  <si>
    <t>Hamilton Perfection Bristle Brush 1'</t>
  </si>
  <si>
    <t>Hamilton Perfection Bristle Brush 1.5'</t>
  </si>
  <si>
    <t>Hamilton Perfection Bristle Brush 2'</t>
  </si>
  <si>
    <t>Hamilton Perfection Bristle Brush 3'</t>
  </si>
  <si>
    <t>Hamilton Perfection Bristle Window Brush 0.75'</t>
  </si>
  <si>
    <t>Hamilton Perfection Synthetic Brush 1.5'</t>
  </si>
  <si>
    <t>Hamilton Perfection Synthetic Brush 2'</t>
  </si>
  <si>
    <t>Mirka Backing Pad Deros 150mm 5/16' Grip 48H Medium</t>
  </si>
  <si>
    <t>Olfa Professional Razor Edge Glass Scraper</t>
  </si>
  <si>
    <t>Purdy XL Cub 2' Brush</t>
  </si>
  <si>
    <t>Siniat Smartmix 20KG</t>
  </si>
  <si>
    <t>Trade Brush - 1'</t>
  </si>
  <si>
    <t>Trade Brush - 2'</t>
  </si>
  <si>
    <t>Trade Brush - 3'</t>
  </si>
  <si>
    <t>No.</t>
  </si>
  <si>
    <t>Description</t>
  </si>
  <si>
    <t>5025582A</t>
  </si>
  <si>
    <t>5028159</t>
  </si>
  <si>
    <t>DDC  - SI CETOL NOVATOP 006 CHENE CLAIR 5L</t>
  </si>
  <si>
    <t>5060367A</t>
  </si>
  <si>
    <t>5074297A</t>
  </si>
  <si>
    <t>5074298A</t>
  </si>
  <si>
    <t>5077776A</t>
  </si>
  <si>
    <t>5077788A</t>
  </si>
  <si>
    <t>5081949A</t>
  </si>
  <si>
    <t>5081950A</t>
  </si>
  <si>
    <t>5081964A</t>
  </si>
  <si>
    <t>5081985A</t>
  </si>
  <si>
    <t>5081986A</t>
  </si>
  <si>
    <t>5081987A</t>
  </si>
  <si>
    <t>5081988A</t>
  </si>
  <si>
    <t>5081993A</t>
  </si>
  <si>
    <t>5081997A</t>
  </si>
  <si>
    <t>5082008A</t>
  </si>
  <si>
    <t>5082192A</t>
  </si>
  <si>
    <t>5082193A</t>
  </si>
  <si>
    <t>5082319A</t>
  </si>
  <si>
    <t>5082320A</t>
  </si>
  <si>
    <t>5082756A</t>
  </si>
  <si>
    <t>5082932A</t>
  </si>
  <si>
    <t>5082933A</t>
  </si>
  <si>
    <t>5082969A</t>
  </si>
  <si>
    <t>5082970A</t>
  </si>
  <si>
    <t>5082971A</t>
  </si>
  <si>
    <t>5082976A</t>
  </si>
  <si>
    <t>5082977A</t>
  </si>
  <si>
    <t>5082982A</t>
  </si>
  <si>
    <t>5082983A</t>
  </si>
  <si>
    <t>5083002A</t>
  </si>
  <si>
    <t>5083003A</t>
  </si>
  <si>
    <t>5083424A</t>
  </si>
  <si>
    <t>5083456A</t>
  </si>
  <si>
    <t>5083458A</t>
  </si>
  <si>
    <t>5083465A</t>
  </si>
  <si>
    <t>5083468</t>
  </si>
  <si>
    <t>Akzo - Cuprinol Garden Shades Black Ash 1L</t>
  </si>
  <si>
    <t>5083469A</t>
  </si>
  <si>
    <t>5083471A</t>
  </si>
  <si>
    <t>5083472A</t>
  </si>
  <si>
    <t>5083473A</t>
  </si>
  <si>
    <t>5083478A</t>
  </si>
  <si>
    <t>5083479A</t>
  </si>
  <si>
    <t>5083482A</t>
  </si>
  <si>
    <t>5083483A</t>
  </si>
  <si>
    <t>5083484A</t>
  </si>
  <si>
    <t>5083487</t>
  </si>
  <si>
    <t>Akzo - Cuprinol Wood Preserver Clear (bp) 2.5L</t>
  </si>
  <si>
    <t>5083487A</t>
  </si>
  <si>
    <t>Cuprinol Wood Preserver Clear (bp) 2.5L</t>
  </si>
  <si>
    <t>5083488A</t>
  </si>
  <si>
    <t>5083552A</t>
  </si>
  <si>
    <t>5083625A</t>
  </si>
  <si>
    <t>5083626A</t>
  </si>
  <si>
    <t>5083924A</t>
  </si>
  <si>
    <t>5084782A</t>
  </si>
  <si>
    <t>5084801</t>
  </si>
  <si>
    <t>DDC  - HAMMERITE HAMMERED MF SILVER GREY 2.5L</t>
  </si>
  <si>
    <t>5084860A</t>
  </si>
  <si>
    <t>5084861A</t>
  </si>
  <si>
    <t>5084863A</t>
  </si>
  <si>
    <t>5084866A</t>
  </si>
  <si>
    <t>5084867A</t>
  </si>
  <si>
    <t>5084878A</t>
  </si>
  <si>
    <t>5084897A</t>
  </si>
  <si>
    <t>5084898A</t>
  </si>
  <si>
    <t>5084917A</t>
  </si>
  <si>
    <t>5084920A</t>
  </si>
  <si>
    <t>5084998A</t>
  </si>
  <si>
    <t>5084999A</t>
  </si>
  <si>
    <t>5085000A</t>
  </si>
  <si>
    <t>5085001A</t>
  </si>
  <si>
    <t>5085002A</t>
  </si>
  <si>
    <t>5085003A</t>
  </si>
  <si>
    <t>5085004A</t>
  </si>
  <si>
    <t>5085006A</t>
  </si>
  <si>
    <t>5085009A</t>
  </si>
  <si>
    <t>5085014A</t>
  </si>
  <si>
    <t>5085696A</t>
  </si>
  <si>
    <t>5085748A</t>
  </si>
  <si>
    <t>5085749</t>
  </si>
  <si>
    <t>DDC  - SIKKENS CETOL TSI SATIN PLUS 004 NAT OAK 1L</t>
  </si>
  <si>
    <t>5085771</t>
  </si>
  <si>
    <t>DDC  - SIKKENS CETOL TSI SATIN PLUS 004 NAT OAK 2.</t>
  </si>
  <si>
    <t>5085777</t>
  </si>
  <si>
    <t>DDC  - SIKKENS CETOL TSI SATIN PLUS 010 WALNUT 2.5</t>
  </si>
  <si>
    <t>5085778</t>
  </si>
  <si>
    <t>DDC  - SIKKENS CETOL TSI SATIN PLUS 045 MAHOGANY 1</t>
  </si>
  <si>
    <t>5085780</t>
  </si>
  <si>
    <t>DDC  - SIKKENS CETOL TSI SATIN PLUS 085 TEAK 1L</t>
  </si>
  <si>
    <t>5085781</t>
  </si>
  <si>
    <t>DDC  - SIKKENS CETOL TSI SATIN PLUS 085 TEAK 2.5L</t>
  </si>
  <si>
    <t>5085897A</t>
  </si>
  <si>
    <t>5085898A</t>
  </si>
  <si>
    <t>5085899A</t>
  </si>
  <si>
    <t>5085900A</t>
  </si>
  <si>
    <t>5085901A</t>
  </si>
  <si>
    <t>5085902A</t>
  </si>
  <si>
    <t>5085906A</t>
  </si>
  <si>
    <t>5085907A</t>
  </si>
  <si>
    <t>5085912A</t>
  </si>
  <si>
    <t>5085918A</t>
  </si>
  <si>
    <t>5085925A</t>
  </si>
  <si>
    <t>5085935A</t>
  </si>
  <si>
    <t>5085936A</t>
  </si>
  <si>
    <t>5085940A</t>
  </si>
  <si>
    <t>5085965A</t>
  </si>
  <si>
    <t>5085966A</t>
  </si>
  <si>
    <t>5085977A</t>
  </si>
  <si>
    <t>5086048A</t>
  </si>
  <si>
    <t>5086544A</t>
  </si>
  <si>
    <t>5086585A</t>
  </si>
  <si>
    <t>5086740</t>
  </si>
  <si>
    <t>Akzo - Dulux TR P/shield D/Matt Tint Colours 5L</t>
  </si>
  <si>
    <t>5086740A</t>
  </si>
  <si>
    <t>Dulux TR P/shield D/Matt Tint Colours 5L</t>
  </si>
  <si>
    <t>5088021</t>
  </si>
  <si>
    <t>DDC  - SIKKENS CETOL THB PLUS 085 TEAK 1L</t>
  </si>
  <si>
    <t>5088993A</t>
  </si>
  <si>
    <t>Dulux TR Ecosure Matt PBW 5L</t>
  </si>
  <si>
    <t>5088995</t>
  </si>
  <si>
    <t>Akzo - Dulux TR Ecosure Matt PBW 10L</t>
  </si>
  <si>
    <t>5088995A</t>
  </si>
  <si>
    <t>Dulux TR Ecosure Matt PBW 10L</t>
  </si>
  <si>
    <t>5089009</t>
  </si>
  <si>
    <t>Akzo - Dulux TR Acrylic Gloss PBW 2.5L</t>
  </si>
  <si>
    <t>5089009A</t>
  </si>
  <si>
    <t>Dulux TR Acrylic Gloss PBW 2.5L</t>
  </si>
  <si>
    <t>5089016A</t>
  </si>
  <si>
    <t>Dulux TR Ecosure U/Coat PBW 2.5L</t>
  </si>
  <si>
    <t>5089017A</t>
  </si>
  <si>
    <t>Dulux TR Ecosure U/Coat PBW 5L</t>
  </si>
  <si>
    <t>5089020A</t>
  </si>
  <si>
    <t>5089158A</t>
  </si>
  <si>
    <t>5089649A</t>
  </si>
  <si>
    <t>5089681A</t>
  </si>
  <si>
    <t>5090371A</t>
  </si>
  <si>
    <t>5090571</t>
  </si>
  <si>
    <t>Akzo - Dulux TR Ecosure Matt Tinted Colours 5L</t>
  </si>
  <si>
    <t>5090571A</t>
  </si>
  <si>
    <t>Dulux TR Ecosure Matt Tinted Colours 5L</t>
  </si>
  <si>
    <t>5090590A</t>
  </si>
  <si>
    <t>5090592A</t>
  </si>
  <si>
    <t>5090717A</t>
  </si>
  <si>
    <t>5090718A</t>
  </si>
  <si>
    <t>5090721A</t>
  </si>
  <si>
    <t>5090722A</t>
  </si>
  <si>
    <t>5090726A</t>
  </si>
  <si>
    <t>5090727A</t>
  </si>
  <si>
    <t>5090728A</t>
  </si>
  <si>
    <t>5090729A</t>
  </si>
  <si>
    <t>5090730A</t>
  </si>
  <si>
    <t>5090731A</t>
  </si>
  <si>
    <t>5090732A</t>
  </si>
  <si>
    <t>5090733A</t>
  </si>
  <si>
    <t>5090734A</t>
  </si>
  <si>
    <t>5090736A</t>
  </si>
  <si>
    <t>5090737A</t>
  </si>
  <si>
    <t>5090738A</t>
  </si>
  <si>
    <t>5090739A</t>
  </si>
  <si>
    <t>5090740A</t>
  </si>
  <si>
    <t>5090741A</t>
  </si>
  <si>
    <t>5090742A</t>
  </si>
  <si>
    <t>5090743A</t>
  </si>
  <si>
    <t>5090744A</t>
  </si>
  <si>
    <t>5090745A</t>
  </si>
  <si>
    <t>5090746A</t>
  </si>
  <si>
    <t>5090750A</t>
  </si>
  <si>
    <t>5090751A</t>
  </si>
  <si>
    <t>5090752A</t>
  </si>
  <si>
    <t>5090753A</t>
  </si>
  <si>
    <t>5090754A</t>
  </si>
  <si>
    <t>5090755A</t>
  </si>
  <si>
    <t>5090756A</t>
  </si>
  <si>
    <t>5090757A</t>
  </si>
  <si>
    <t>5090758A</t>
  </si>
  <si>
    <t>5090759A</t>
  </si>
  <si>
    <t>5090760A</t>
  </si>
  <si>
    <t>5090761A</t>
  </si>
  <si>
    <t>5090767A</t>
  </si>
  <si>
    <t>5090769A</t>
  </si>
  <si>
    <t>5090778A</t>
  </si>
  <si>
    <t>5090779A</t>
  </si>
  <si>
    <t>5090780A</t>
  </si>
  <si>
    <t>5090781A</t>
  </si>
  <si>
    <t>5090782A</t>
  </si>
  <si>
    <t>5090783A</t>
  </si>
  <si>
    <t>5090784A</t>
  </si>
  <si>
    <t>5090785A</t>
  </si>
  <si>
    <t>5090786A</t>
  </si>
  <si>
    <t>5090787A</t>
  </si>
  <si>
    <t>5090790A</t>
  </si>
  <si>
    <t>5090791A</t>
  </si>
  <si>
    <t xml:space="preserve">Dulux TR Mouldshield Fungicidal Matt Tint Colours </t>
  </si>
  <si>
    <t>5090792A</t>
  </si>
  <si>
    <t>Dulux TR Mouldshield Fungicidal Eggshell  Tint Col</t>
  </si>
  <si>
    <t>5090795A</t>
  </si>
  <si>
    <t>5090796A</t>
  </si>
  <si>
    <t>5090797A</t>
  </si>
  <si>
    <t>5090798A</t>
  </si>
  <si>
    <t>5090799A</t>
  </si>
  <si>
    <t>5090800A</t>
  </si>
  <si>
    <t>5090801A</t>
  </si>
  <si>
    <t>5090802A</t>
  </si>
  <si>
    <t>5090803A</t>
  </si>
  <si>
    <t>5090804A</t>
  </si>
  <si>
    <t>5090805A</t>
  </si>
  <si>
    <t>5090806A</t>
  </si>
  <si>
    <t>5090807A</t>
  </si>
  <si>
    <t>5090808A</t>
  </si>
  <si>
    <t>5090809A</t>
  </si>
  <si>
    <t>5090810A</t>
  </si>
  <si>
    <t>5090811A</t>
  </si>
  <si>
    <t>5090812A</t>
  </si>
  <si>
    <t>5090813A</t>
  </si>
  <si>
    <t>5090814A</t>
  </si>
  <si>
    <t>Dulux TR W/S QD Ext U/Coat Tnt Colours 1L</t>
  </si>
  <si>
    <t>5090815A</t>
  </si>
  <si>
    <t>Dulux TR W/S QD Ext U/Coat Tnt Colours 2.5L</t>
  </si>
  <si>
    <t>5090816A</t>
  </si>
  <si>
    <t>Dulux TR Ecosure U/Coat Tint Colours 2.5L</t>
  </si>
  <si>
    <t>5090817A</t>
  </si>
  <si>
    <t>5090818A</t>
  </si>
  <si>
    <t>5090819A</t>
  </si>
  <si>
    <t>5090873A</t>
  </si>
  <si>
    <t>5090874A</t>
  </si>
  <si>
    <t>5090877A</t>
  </si>
  <si>
    <t>5090885A</t>
  </si>
  <si>
    <t>5090886A</t>
  </si>
  <si>
    <t>5090891A</t>
  </si>
  <si>
    <t>5090892A</t>
  </si>
  <si>
    <t>5090969A</t>
  </si>
  <si>
    <t>5090979A</t>
  </si>
  <si>
    <t>5090980A</t>
  </si>
  <si>
    <t>5090983A</t>
  </si>
  <si>
    <t>Dulux TR Classic Select Woodstain Rich Mahogany 2.</t>
  </si>
  <si>
    <t>5091012A</t>
  </si>
  <si>
    <t>5091026A</t>
  </si>
  <si>
    <t>5091108A</t>
  </si>
  <si>
    <t>5091117A</t>
  </si>
  <si>
    <t>Dulux TR P/shield Basecoat 10L</t>
  </si>
  <si>
    <t>5091192A</t>
  </si>
  <si>
    <t>5091202A</t>
  </si>
  <si>
    <t>5091276A</t>
  </si>
  <si>
    <t>5091277A</t>
  </si>
  <si>
    <t>5091278</t>
  </si>
  <si>
    <t>Akzo - Dulux TR W/S Aqua Pres B/coat+ 2.5L</t>
  </si>
  <si>
    <t>5091278A</t>
  </si>
  <si>
    <t>Dulux TR W/S Aqua Pres B/coat+ 2.5L</t>
  </si>
  <si>
    <t>5091282A</t>
  </si>
  <si>
    <t>5091283A</t>
  </si>
  <si>
    <t>5091365A</t>
  </si>
  <si>
    <t>5091366A</t>
  </si>
  <si>
    <t>5091367A</t>
  </si>
  <si>
    <t>5091368A</t>
  </si>
  <si>
    <t>5091532A</t>
  </si>
  <si>
    <t>5091535A</t>
  </si>
  <si>
    <t>5091630A</t>
  </si>
  <si>
    <t>5091632A</t>
  </si>
  <si>
    <t>5091634A</t>
  </si>
  <si>
    <t>5091636A</t>
  </si>
  <si>
    <t>5091639A</t>
  </si>
  <si>
    <t>5091640A</t>
  </si>
  <si>
    <t>5091646A</t>
  </si>
  <si>
    <t>5091647A</t>
  </si>
  <si>
    <t>5091649A</t>
  </si>
  <si>
    <t>5091650A</t>
  </si>
  <si>
    <t>5091651A</t>
  </si>
  <si>
    <t>5091652A</t>
  </si>
  <si>
    <t>5091653A</t>
  </si>
  <si>
    <t>5091654A</t>
  </si>
  <si>
    <t>5091656A</t>
  </si>
  <si>
    <t>5091661A</t>
  </si>
  <si>
    <t>5091663A</t>
  </si>
  <si>
    <t>5091667A</t>
  </si>
  <si>
    <t>5091668A</t>
  </si>
  <si>
    <t>5091670A</t>
  </si>
  <si>
    <t>5091671A</t>
  </si>
  <si>
    <t>Dulux TR Supermatt Almond White 10L</t>
  </si>
  <si>
    <t>5091675A</t>
  </si>
  <si>
    <t>5091676A</t>
  </si>
  <si>
    <t>5091682A</t>
  </si>
  <si>
    <t>5091683A</t>
  </si>
  <si>
    <t>5091687A</t>
  </si>
  <si>
    <t>5092094A</t>
  </si>
  <si>
    <t>5092218A</t>
  </si>
  <si>
    <t>5092219A</t>
  </si>
  <si>
    <t>5092220A</t>
  </si>
  <si>
    <t>5092221A</t>
  </si>
  <si>
    <t>5092359A</t>
  </si>
  <si>
    <t>5092432A</t>
  </si>
  <si>
    <t>5092434A</t>
  </si>
  <si>
    <t>5092438A</t>
  </si>
  <si>
    <t>5092479A</t>
  </si>
  <si>
    <t>5092480A</t>
  </si>
  <si>
    <t>5092481A</t>
  </si>
  <si>
    <t>5092488A</t>
  </si>
  <si>
    <t>5092495A</t>
  </si>
  <si>
    <t>5092524A</t>
  </si>
  <si>
    <t>5092525A</t>
  </si>
  <si>
    <t>5092526A</t>
  </si>
  <si>
    <t>5092527A</t>
  </si>
  <si>
    <t>5092528A</t>
  </si>
  <si>
    <t>5092529A</t>
  </si>
  <si>
    <t>5092537A</t>
  </si>
  <si>
    <t>5092549A</t>
  </si>
  <si>
    <t>5092551A</t>
  </si>
  <si>
    <t>5092553A</t>
  </si>
  <si>
    <t>5092557A</t>
  </si>
  <si>
    <t>5092559A</t>
  </si>
  <si>
    <t>5092567A</t>
  </si>
  <si>
    <t>5092568A</t>
  </si>
  <si>
    <t>5092570A</t>
  </si>
  <si>
    <t>5092572A</t>
  </si>
  <si>
    <t>5092573A</t>
  </si>
  <si>
    <t>5092574A</t>
  </si>
  <si>
    <t>5092576</t>
  </si>
  <si>
    <t>Akzo - Cuprinol Garden Shades Som Green 1L</t>
  </si>
  <si>
    <t>5092577</t>
  </si>
  <si>
    <t>Akzo - Cuprinol Garden Shades Somerset Green 2.5L</t>
  </si>
  <si>
    <t>5092577A</t>
  </si>
  <si>
    <t>Cuprinol Garden Shades Somerset Green 2.5L</t>
  </si>
  <si>
    <t>5092579</t>
  </si>
  <si>
    <t>Akzo - Cuprinol Garden Shades Rich Berry 1L</t>
  </si>
  <si>
    <t>5092579A</t>
  </si>
  <si>
    <t>Cuprinol Garden Shades Rich Berry 1L</t>
  </si>
  <si>
    <t>5092582A</t>
  </si>
  <si>
    <t>5092583A</t>
  </si>
  <si>
    <t>5092586A</t>
  </si>
  <si>
    <t>5092588A</t>
  </si>
  <si>
    <t>5092589A</t>
  </si>
  <si>
    <t>5092590A</t>
  </si>
  <si>
    <t>5092592A</t>
  </si>
  <si>
    <t>5092593A</t>
  </si>
  <si>
    <t>5092594A</t>
  </si>
  <si>
    <t>5092596A</t>
  </si>
  <si>
    <t>5092604A</t>
  </si>
  <si>
    <t>5092607A</t>
  </si>
  <si>
    <t>5092608A</t>
  </si>
  <si>
    <t>5092609</t>
  </si>
  <si>
    <t>Akzo - Cuprinol Garden Shades Seasoned Oak 5L</t>
  </si>
  <si>
    <t>5092611A</t>
  </si>
  <si>
    <t>5092612A</t>
  </si>
  <si>
    <t>5092613A</t>
  </si>
  <si>
    <t>5092615A</t>
  </si>
  <si>
    <t>5092617A</t>
  </si>
  <si>
    <t>5092618A</t>
  </si>
  <si>
    <t>5092620A</t>
  </si>
  <si>
    <t>5092709A</t>
  </si>
  <si>
    <t>5092710A</t>
  </si>
  <si>
    <t>5092711A</t>
  </si>
  <si>
    <t>5092712A</t>
  </si>
  <si>
    <t>5092713A</t>
  </si>
  <si>
    <t>5092714A</t>
  </si>
  <si>
    <t>5092808A</t>
  </si>
  <si>
    <t>5092830A</t>
  </si>
  <si>
    <t>5092846A</t>
  </si>
  <si>
    <t>5092856</t>
  </si>
  <si>
    <t>DDC  - HAMMERITE WAXOYL BLACK PAIL 20L</t>
  </si>
  <si>
    <t>5092956A</t>
  </si>
  <si>
    <t>5092965A</t>
  </si>
  <si>
    <t>5092966A</t>
  </si>
  <si>
    <t>5093017A</t>
  </si>
  <si>
    <t>5093019A</t>
  </si>
  <si>
    <t>5093025A</t>
  </si>
  <si>
    <t>5093034</t>
  </si>
  <si>
    <t>DDC  - POLY TEXT CEILING COURSE FIN 5L</t>
  </si>
  <si>
    <t>5093068A</t>
  </si>
  <si>
    <t>5093069A</t>
  </si>
  <si>
    <t>5093120A</t>
  </si>
  <si>
    <t>Dulux TR W/S QD Gloss PBW 2.5L</t>
  </si>
  <si>
    <t>5094271A</t>
  </si>
  <si>
    <t>Dulux TR P/shield D/Matt PBW 5L</t>
  </si>
  <si>
    <t>5094278A</t>
  </si>
  <si>
    <t>5094279A</t>
  </si>
  <si>
    <t>5095166</t>
  </si>
  <si>
    <t>DULUX TR DIAMOND QDE L&amp;S TINTED LUM 5L</t>
  </si>
  <si>
    <t>5095343A</t>
  </si>
  <si>
    <t>5095360A</t>
  </si>
  <si>
    <t>5095361A</t>
  </si>
  <si>
    <t>5095362</t>
  </si>
  <si>
    <t>Akzo - Cuprinol ExtWoodPreserver Chestnut (bp)2.5L</t>
  </si>
  <si>
    <t>5095362A</t>
  </si>
  <si>
    <t>Cuprinol Ext Wood Preserver Chestnut (bp) 2.5L</t>
  </si>
  <si>
    <t>5095363A</t>
  </si>
  <si>
    <t>5095364</t>
  </si>
  <si>
    <t>Akzo - Cuprinol Wood Preserver Chestnut (bp) 25L</t>
  </si>
  <si>
    <t>5095365</t>
  </si>
  <si>
    <t>Akzo - Cuprinol ExtWoodPreserver G/brown (bp) 2.5L</t>
  </si>
  <si>
    <t>5095366A</t>
  </si>
  <si>
    <t>5095367</t>
  </si>
  <si>
    <t>Akzo - CuprinolExtWoodPreserver GoldBrown (bp) 25L</t>
  </si>
  <si>
    <t>5095368A</t>
  </si>
  <si>
    <t>5095392</t>
  </si>
  <si>
    <t>Akzo - Dulux TR ClassicSelWoodstain Rosewood 1L</t>
  </si>
  <si>
    <t>5095392A</t>
  </si>
  <si>
    <t>Dulux TR Classic Select Woodstain Rosewood 1L</t>
  </si>
  <si>
    <t>5095393A</t>
  </si>
  <si>
    <t>5095395A</t>
  </si>
  <si>
    <t>5096810A</t>
  </si>
  <si>
    <t>5097039A</t>
  </si>
  <si>
    <t>5097040A</t>
  </si>
  <si>
    <t>5097225A</t>
  </si>
  <si>
    <t>5097226A</t>
  </si>
  <si>
    <t>5110651A</t>
  </si>
  <si>
    <t>5110652A</t>
  </si>
  <si>
    <t>5110653A</t>
  </si>
  <si>
    <t>5110678A</t>
  </si>
  <si>
    <t>5110679A</t>
  </si>
  <si>
    <t>5110680A</t>
  </si>
  <si>
    <t>5114993A</t>
  </si>
  <si>
    <t>5115991A</t>
  </si>
  <si>
    <t>5116033</t>
  </si>
  <si>
    <t>Akzo - Dulux TR Diamond HP Eggshell Tint Colours5L</t>
  </si>
  <si>
    <t>5116033A</t>
  </si>
  <si>
    <t>Dulux TR Diamond HP Eggshell Tint Colours 5L</t>
  </si>
  <si>
    <t>5116367A</t>
  </si>
  <si>
    <t>5116369A</t>
  </si>
  <si>
    <t>5116380</t>
  </si>
  <si>
    <t>Akzo - Dulux TR W/S Preserve Primer 5L</t>
  </si>
  <si>
    <t>5116380A</t>
  </si>
  <si>
    <t>Dulux TR W/S Preserve Primer 5L</t>
  </si>
  <si>
    <t>5119154A</t>
  </si>
  <si>
    <t>5119174</t>
  </si>
  <si>
    <t>DDC  - SIKKENS RUBBOL PRIMER PLUS GREY 1L</t>
  </si>
  <si>
    <t>5122247A</t>
  </si>
  <si>
    <t>5122390A</t>
  </si>
  <si>
    <t>5122391A</t>
  </si>
  <si>
    <t>5122392A</t>
  </si>
  <si>
    <t>5122393</t>
  </si>
  <si>
    <t>Akzo - Cuprinol Garden Shades Sweet Pea 2.5L</t>
  </si>
  <si>
    <t>5122393A</t>
  </si>
  <si>
    <t>Cuprinol Garden Shades Sweet Pea 2.5L</t>
  </si>
  <si>
    <t>5122395A</t>
  </si>
  <si>
    <t>5122396A</t>
  </si>
  <si>
    <t>5122397A</t>
  </si>
  <si>
    <t>5122398A</t>
  </si>
  <si>
    <t>5122405A</t>
  </si>
  <si>
    <t>5122406A</t>
  </si>
  <si>
    <t>5122407A</t>
  </si>
  <si>
    <t>5122408A</t>
  </si>
  <si>
    <t>5122409A</t>
  </si>
  <si>
    <t>5122410A</t>
  </si>
  <si>
    <t>5122411A</t>
  </si>
  <si>
    <t>5122412</t>
  </si>
  <si>
    <t>Akzo - Cuprinol UV Guard Decking Oil Nat Pine 2.5L</t>
  </si>
  <si>
    <t>5122412A</t>
  </si>
  <si>
    <t>Cuprinol UV Guard Decking Oil Natural Pine 2.5L</t>
  </si>
  <si>
    <t>5122413</t>
  </si>
  <si>
    <t>Akzo - Cuprinol UV Guard Deck Oil NaturalCedar2.5L</t>
  </si>
  <si>
    <t>5122413A</t>
  </si>
  <si>
    <t>Cuprinol UV Guard Decking Oil Natural Cedar 2.5L</t>
  </si>
  <si>
    <t>5122414A</t>
  </si>
  <si>
    <t>5122415A</t>
  </si>
  <si>
    <t>5122416</t>
  </si>
  <si>
    <t>Akzo - Cuprinol UV Guard Decking Oil N/pin 5L</t>
  </si>
  <si>
    <t>5122416A</t>
  </si>
  <si>
    <t>Cuprinol UV Guard Decking Oil N/pin 5L</t>
  </si>
  <si>
    <t>5122417</t>
  </si>
  <si>
    <t>Akzo - Cuprinol UV Guard Decking Oil N/ced 5L</t>
  </si>
  <si>
    <t>5122417A</t>
  </si>
  <si>
    <t>Cuprinol UV Guard Decking Oil N/ced 5L</t>
  </si>
  <si>
    <t>5122627A</t>
  </si>
  <si>
    <t>5149182A</t>
  </si>
  <si>
    <t>5149183A</t>
  </si>
  <si>
    <t>5149187A</t>
  </si>
  <si>
    <t>5152588</t>
  </si>
  <si>
    <t>Akzo - Dulux TR P/shield Eggshell Tnt Colours 5L</t>
  </si>
  <si>
    <t>5152588A</t>
  </si>
  <si>
    <t>Dulux TR P/shield Eggshell Tnt Colours 5L</t>
  </si>
  <si>
    <t>5152592</t>
  </si>
  <si>
    <t>DDC  - DULUX TR P/SHIELD EGGSHELL TINT LIG 5L</t>
  </si>
  <si>
    <t>5152595A</t>
  </si>
  <si>
    <t>Dulux TR P/shield Eggshell PBW 5L</t>
  </si>
  <si>
    <t>5153123</t>
  </si>
  <si>
    <t>Akzo - Dulux TR Cellar Paint PBW 5L</t>
  </si>
  <si>
    <t>5153123A</t>
  </si>
  <si>
    <t>Dulux TR Cellar Paint PBW 5L</t>
  </si>
  <si>
    <t>5159072A</t>
  </si>
  <si>
    <t>5159073A</t>
  </si>
  <si>
    <t>5159074A</t>
  </si>
  <si>
    <t>5159075A</t>
  </si>
  <si>
    <t>5159077A</t>
  </si>
  <si>
    <t>5180253A</t>
  </si>
  <si>
    <t>5180254A</t>
  </si>
  <si>
    <t>5180255A</t>
  </si>
  <si>
    <t>5180256A</t>
  </si>
  <si>
    <t>5180262A</t>
  </si>
  <si>
    <t>5180263A</t>
  </si>
  <si>
    <t>5180264A</t>
  </si>
  <si>
    <t>5180412A</t>
  </si>
  <si>
    <t>5180447A</t>
  </si>
  <si>
    <t>5180448A</t>
  </si>
  <si>
    <t>5180449A</t>
  </si>
  <si>
    <t>5180470A</t>
  </si>
  <si>
    <t>5180478A</t>
  </si>
  <si>
    <t>5180479A</t>
  </si>
  <si>
    <t>5180483A</t>
  </si>
  <si>
    <t>5180484A</t>
  </si>
  <si>
    <t>5180485A</t>
  </si>
  <si>
    <t>5180486A</t>
  </si>
  <si>
    <t>5180487A</t>
  </si>
  <si>
    <t>5180488A</t>
  </si>
  <si>
    <t>5180489A</t>
  </si>
  <si>
    <t>5180490A</t>
  </si>
  <si>
    <t>5180491A</t>
  </si>
  <si>
    <t>5180492A</t>
  </si>
  <si>
    <t>5180495A</t>
  </si>
  <si>
    <t>5180496A</t>
  </si>
  <si>
    <t>5180498A</t>
  </si>
  <si>
    <t>5180499A</t>
  </si>
  <si>
    <t>5180512A</t>
  </si>
  <si>
    <t>5180514A</t>
  </si>
  <si>
    <t>5180515A</t>
  </si>
  <si>
    <t>5180518A</t>
  </si>
  <si>
    <t>5180519A</t>
  </si>
  <si>
    <t>5180583A</t>
  </si>
  <si>
    <t>5180586A</t>
  </si>
  <si>
    <t>5180638A</t>
  </si>
  <si>
    <t>5180642A</t>
  </si>
  <si>
    <t>5180645A</t>
  </si>
  <si>
    <t>5180646A</t>
  </si>
  <si>
    <t>5180648A</t>
  </si>
  <si>
    <t>5180650A</t>
  </si>
  <si>
    <t>5180652A</t>
  </si>
  <si>
    <t>5180665A</t>
  </si>
  <si>
    <t>5180701A</t>
  </si>
  <si>
    <t>5180702A</t>
  </si>
  <si>
    <t>5180704A</t>
  </si>
  <si>
    <t>5180705A</t>
  </si>
  <si>
    <t>5180706A</t>
  </si>
  <si>
    <t>5180707A</t>
  </si>
  <si>
    <t>5180744A</t>
  </si>
  <si>
    <t>5180842A</t>
  </si>
  <si>
    <t>5180844A</t>
  </si>
  <si>
    <t>5180845</t>
  </si>
  <si>
    <t>Akzo - Dulux TR Prot W/Sheen R/wood 5L</t>
  </si>
  <si>
    <t>5180845A</t>
  </si>
  <si>
    <t>Dulux TR Prot W/Sheen R/wood 5L</t>
  </si>
  <si>
    <t>5180846A</t>
  </si>
  <si>
    <t>5180847</t>
  </si>
  <si>
    <t>Akzo - Dulux TR Prot W/Sheen Walnut 5L</t>
  </si>
  <si>
    <t>5180847A</t>
  </si>
  <si>
    <t>Dulux TR Prot W/Sheen Walnut 5L</t>
  </si>
  <si>
    <t>5182041</t>
  </si>
  <si>
    <t>Akzo - Dulux TR W/S A/S Msnry Gls PBW 5L</t>
  </si>
  <si>
    <t>5182042</t>
  </si>
  <si>
    <t>Akzo - Dulux TR W/S A/S Msnry Mag 5L</t>
  </si>
  <si>
    <t>5182042A</t>
  </si>
  <si>
    <t>Dulux TR W/S A/S Msnry Mag 5L</t>
  </si>
  <si>
    <t>5182043A</t>
  </si>
  <si>
    <t>5182044A</t>
  </si>
  <si>
    <t>5183209A</t>
  </si>
  <si>
    <t>5183260A</t>
  </si>
  <si>
    <t>5183261A</t>
  </si>
  <si>
    <t>5183270A</t>
  </si>
  <si>
    <t>5183272A</t>
  </si>
  <si>
    <t>5183273A</t>
  </si>
  <si>
    <t>5183274A</t>
  </si>
  <si>
    <t>5183277A</t>
  </si>
  <si>
    <t>5183280A</t>
  </si>
  <si>
    <t>5183281A</t>
  </si>
  <si>
    <t>5183282A</t>
  </si>
  <si>
    <t>5183283A</t>
  </si>
  <si>
    <t>5183284A</t>
  </si>
  <si>
    <t>5183285A</t>
  </si>
  <si>
    <t>5183325A</t>
  </si>
  <si>
    <t>5183326A</t>
  </si>
  <si>
    <t>5183327A</t>
  </si>
  <si>
    <t>5183328A</t>
  </si>
  <si>
    <t>5183329A</t>
  </si>
  <si>
    <t>5183357A</t>
  </si>
  <si>
    <t>5183358A</t>
  </si>
  <si>
    <t>5183359A</t>
  </si>
  <si>
    <t>5183362A</t>
  </si>
  <si>
    <t>5183363A</t>
  </si>
  <si>
    <t>5183368A</t>
  </si>
  <si>
    <t>5183369A</t>
  </si>
  <si>
    <t>5183381A</t>
  </si>
  <si>
    <t>5183382A</t>
  </si>
  <si>
    <t>5183383A</t>
  </si>
  <si>
    <t>5183384A</t>
  </si>
  <si>
    <t>5183391A</t>
  </si>
  <si>
    <t>5183420A</t>
  </si>
  <si>
    <t>5183421A</t>
  </si>
  <si>
    <t>5183422A</t>
  </si>
  <si>
    <t>5183423A</t>
  </si>
  <si>
    <t>5183424A</t>
  </si>
  <si>
    <t>5183425A</t>
  </si>
  <si>
    <t>5183426A</t>
  </si>
  <si>
    <t>5183435A</t>
  </si>
  <si>
    <t>5183436A</t>
  </si>
  <si>
    <t>5183437A</t>
  </si>
  <si>
    <t>5183440A</t>
  </si>
  <si>
    <t>5183947A</t>
  </si>
  <si>
    <t>5183948A</t>
  </si>
  <si>
    <t>5183956A</t>
  </si>
  <si>
    <t>5183958</t>
  </si>
  <si>
    <t>Akzo - Dulux TR W/S A/S Gloss Mag 5L</t>
  </si>
  <si>
    <t>5183991A</t>
  </si>
  <si>
    <t>5183992</t>
  </si>
  <si>
    <t>Akzo - Dulux TR New Work U/Coat White 5L</t>
  </si>
  <si>
    <t>5183992A</t>
  </si>
  <si>
    <t>Dulux TR New Work U/Coat White 5L</t>
  </si>
  <si>
    <t>5183993A</t>
  </si>
  <si>
    <t>5183994A</t>
  </si>
  <si>
    <t>5183995A</t>
  </si>
  <si>
    <t>5184004A</t>
  </si>
  <si>
    <t>5184005A</t>
  </si>
  <si>
    <t>5184006A</t>
  </si>
  <si>
    <t>5184007A</t>
  </si>
  <si>
    <t>5184008A</t>
  </si>
  <si>
    <t>5184468A</t>
  </si>
  <si>
    <t>5184469A</t>
  </si>
  <si>
    <t>5184501A</t>
  </si>
  <si>
    <t>5185145</t>
  </si>
  <si>
    <t>DULUX TR PROT W/SHEEN TINT RED RED 1L</t>
  </si>
  <si>
    <t>5185146</t>
  </si>
  <si>
    <t>DULUX TR PROT W/SHEEN TINT RED RED 2.5L</t>
  </si>
  <si>
    <t>5185149</t>
  </si>
  <si>
    <t>DULUX TR PROT W/SHEEN TINT YEL YEL 2.5L</t>
  </si>
  <si>
    <t>5185222</t>
  </si>
  <si>
    <t>Akzo - Dulux TR W/S A/S Msnry Tint LIG 4.5L</t>
  </si>
  <si>
    <t>5185222A</t>
  </si>
  <si>
    <t>Dulux TR W/S A/S Msnry Tint LIG 4.5L</t>
  </si>
  <si>
    <t>5191767A</t>
  </si>
  <si>
    <t>5191768A</t>
  </si>
  <si>
    <t>5192099</t>
  </si>
  <si>
    <t>DULUX RT MATT ULTRA WHITE 5L</t>
  </si>
  <si>
    <t>5192806</t>
  </si>
  <si>
    <t>Akzo - Dulux TR W/S As M/glss Tinted Colours 4.5L</t>
  </si>
  <si>
    <t>5192806A</t>
  </si>
  <si>
    <t>Dulux TR W/S As M/glss Tinted Colours 4.5L</t>
  </si>
  <si>
    <t>5193078A</t>
  </si>
  <si>
    <t>5196657A</t>
  </si>
  <si>
    <t>5206083A</t>
  </si>
  <si>
    <t>Cuprinol Ultimate Garden Wood Preserver Autumn Bro</t>
  </si>
  <si>
    <t>5206086A</t>
  </si>
  <si>
    <t>Cuprinol Ultimate Garden Wood Preserver Country Oa</t>
  </si>
  <si>
    <t>5206088A</t>
  </si>
  <si>
    <t>Cuprinol Ultimate Garden Wood Preserver Golden Ced</t>
  </si>
  <si>
    <t>5206089A</t>
  </si>
  <si>
    <t>Cuprinol Ultimate Garden Wood Preserver Golden Oak</t>
  </si>
  <si>
    <t>5206120A</t>
  </si>
  <si>
    <t xml:space="preserve">Cuprinol Ultimate Garden Wood Preserver Red Cedar </t>
  </si>
  <si>
    <t>5206121A</t>
  </si>
  <si>
    <t>Cuprinol Ultimate Garden Wood Preserver Spruce Gre</t>
  </si>
  <si>
    <t>5207198</t>
  </si>
  <si>
    <t>DDC  - POLYCELL WOOD HARDENER 250ML</t>
  </si>
  <si>
    <t>5211844A</t>
  </si>
  <si>
    <t>5211845A</t>
  </si>
  <si>
    <t>5213422A</t>
  </si>
  <si>
    <t>5218561A</t>
  </si>
  <si>
    <t>5218562A</t>
  </si>
  <si>
    <t>5218563A</t>
  </si>
  <si>
    <t>5218565A</t>
  </si>
  <si>
    <t>5218566A</t>
  </si>
  <si>
    <t>5218567A</t>
  </si>
  <si>
    <t>5218568A</t>
  </si>
  <si>
    <t>5218569A</t>
  </si>
  <si>
    <t>5218581A</t>
  </si>
  <si>
    <t>5218583A</t>
  </si>
  <si>
    <t>5218584A</t>
  </si>
  <si>
    <t>5218585A</t>
  </si>
  <si>
    <t>5218587A</t>
  </si>
  <si>
    <t>5218588A</t>
  </si>
  <si>
    <t>5218589A</t>
  </si>
  <si>
    <t>5218590</t>
  </si>
  <si>
    <t>Akzo - Armstead TR Contract Silk White 10L</t>
  </si>
  <si>
    <t>5218590A</t>
  </si>
  <si>
    <t>Armstead TR Contract Silk White 10L</t>
  </si>
  <si>
    <t>5218591A</t>
  </si>
  <si>
    <t>5218595A</t>
  </si>
  <si>
    <t>5218596A</t>
  </si>
  <si>
    <t>5218601A</t>
  </si>
  <si>
    <t>5218602A</t>
  </si>
  <si>
    <t>5218603A</t>
  </si>
  <si>
    <t>5218604A</t>
  </si>
  <si>
    <t>5218609A</t>
  </si>
  <si>
    <t>5218610A</t>
  </si>
  <si>
    <t>5218612A</t>
  </si>
  <si>
    <t>5218614A</t>
  </si>
  <si>
    <t>5218615A</t>
  </si>
  <si>
    <t>5218616A</t>
  </si>
  <si>
    <t>5218617A</t>
  </si>
  <si>
    <t>5218618A</t>
  </si>
  <si>
    <t>5218619A</t>
  </si>
  <si>
    <t>5218640A</t>
  </si>
  <si>
    <t>5218641A</t>
  </si>
  <si>
    <t>5218643</t>
  </si>
  <si>
    <t>Akzo - Armstead TR Primer Sealer 5L</t>
  </si>
  <si>
    <t>5218643A</t>
  </si>
  <si>
    <t>Armstead TR Primer Sealer 5L</t>
  </si>
  <si>
    <t>5218646A</t>
  </si>
  <si>
    <t>5218650A</t>
  </si>
  <si>
    <t>5218651A</t>
  </si>
  <si>
    <t>5218657A</t>
  </si>
  <si>
    <t>5218658A</t>
  </si>
  <si>
    <t>5218660A</t>
  </si>
  <si>
    <t>5218665A</t>
  </si>
  <si>
    <t>5218666A</t>
  </si>
  <si>
    <t>5218668A</t>
  </si>
  <si>
    <t>5218670A</t>
  </si>
  <si>
    <t>5218671A</t>
  </si>
  <si>
    <t>5218672A</t>
  </si>
  <si>
    <t>5218673A</t>
  </si>
  <si>
    <t>5218674A</t>
  </si>
  <si>
    <t>5218675A</t>
  </si>
  <si>
    <t>5218683A</t>
  </si>
  <si>
    <t>5218684A</t>
  </si>
  <si>
    <t>5218685A</t>
  </si>
  <si>
    <t>5218686A</t>
  </si>
  <si>
    <t>5218691A</t>
  </si>
  <si>
    <t>5218692A</t>
  </si>
  <si>
    <t>5218693A</t>
  </si>
  <si>
    <t>5218694A</t>
  </si>
  <si>
    <t>5218700A</t>
  </si>
  <si>
    <t>5218701A</t>
  </si>
  <si>
    <t>5218723A</t>
  </si>
  <si>
    <t>5218726A</t>
  </si>
  <si>
    <t>5218752A</t>
  </si>
  <si>
    <t>5218753A</t>
  </si>
  <si>
    <t>5218983</t>
  </si>
  <si>
    <t>Akzo - Cuprinol Garden Shades Lavender 5L</t>
  </si>
  <si>
    <t>5219014A</t>
  </si>
  <si>
    <t>5219176</t>
  </si>
  <si>
    <t>ARMSTEAD TR SATIN TINTED MID 2.5L</t>
  </si>
  <si>
    <t>5219306A</t>
  </si>
  <si>
    <t>5219307A</t>
  </si>
  <si>
    <t>5219308A</t>
  </si>
  <si>
    <t>5219309A</t>
  </si>
  <si>
    <t>5219310A</t>
  </si>
  <si>
    <t>5219311A</t>
  </si>
  <si>
    <t>5219312A</t>
  </si>
  <si>
    <t>5219314A</t>
  </si>
  <si>
    <t>5219315A</t>
  </si>
  <si>
    <t>5219316A</t>
  </si>
  <si>
    <t>5219317A</t>
  </si>
  <si>
    <t>5219318A</t>
  </si>
  <si>
    <t>5219319A</t>
  </si>
  <si>
    <t>5219320A</t>
  </si>
  <si>
    <t>5219321A</t>
  </si>
  <si>
    <t>5219322A</t>
  </si>
  <si>
    <t>5219323A</t>
  </si>
  <si>
    <t>5219324A</t>
  </si>
  <si>
    <t>5219325A</t>
  </si>
  <si>
    <t>5219326A</t>
  </si>
  <si>
    <t>5219327A</t>
  </si>
  <si>
    <t>5219328A</t>
  </si>
  <si>
    <t>5219329A</t>
  </si>
  <si>
    <t>5220069A</t>
  </si>
  <si>
    <t>5220092A</t>
  </si>
  <si>
    <t>5220126A</t>
  </si>
  <si>
    <t>5220147A</t>
  </si>
  <si>
    <t>5220148A</t>
  </si>
  <si>
    <t>5220149A</t>
  </si>
  <si>
    <t>5220150A</t>
  </si>
  <si>
    <t>5220151A</t>
  </si>
  <si>
    <t>5220152A</t>
  </si>
  <si>
    <t>5220376A</t>
  </si>
  <si>
    <t>5220378A</t>
  </si>
  <si>
    <t>5220395A</t>
  </si>
  <si>
    <t>5220396A</t>
  </si>
  <si>
    <t>5220397A</t>
  </si>
  <si>
    <t>5220398A</t>
  </si>
  <si>
    <t>5220399A</t>
  </si>
  <si>
    <t>5220433A</t>
  </si>
  <si>
    <t>5220470A</t>
  </si>
  <si>
    <t>5220471A</t>
  </si>
  <si>
    <t>5220526A</t>
  </si>
  <si>
    <t>5220564A</t>
  </si>
  <si>
    <t>5220826A</t>
  </si>
  <si>
    <t>5222318A</t>
  </si>
  <si>
    <t>5222319A</t>
  </si>
  <si>
    <t>5222320A</t>
  </si>
  <si>
    <t>5222321A</t>
  </si>
  <si>
    <t>5222323A</t>
  </si>
  <si>
    <t>5222325A</t>
  </si>
  <si>
    <t>5222326A</t>
  </si>
  <si>
    <t>5222327A</t>
  </si>
  <si>
    <t>5222328A</t>
  </si>
  <si>
    <t>5222330A</t>
  </si>
  <si>
    <t>5222331A</t>
  </si>
  <si>
    <t>5222332A</t>
  </si>
  <si>
    <t>5222333A</t>
  </si>
  <si>
    <t>5222334A</t>
  </si>
  <si>
    <t>5222338</t>
  </si>
  <si>
    <t>Akzo DDC - Zinsser Allcoat Water Base 10L</t>
  </si>
  <si>
    <t>5222338A</t>
  </si>
  <si>
    <t>Zinsser Allcoat Water Base 10L</t>
  </si>
  <si>
    <t>5222341A</t>
  </si>
  <si>
    <t>5222344A</t>
  </si>
  <si>
    <t>5222346</t>
  </si>
  <si>
    <t>DDC  - ZINSSER W/PAPER SMOOTHING TOOL EACH</t>
  </si>
  <si>
    <t>5222347A</t>
  </si>
  <si>
    <t>5222405</t>
  </si>
  <si>
    <t>DDC  - BLACKFRIAR POLY VARNISH DARK JACOBN 1L</t>
  </si>
  <si>
    <t>5222426</t>
  </si>
  <si>
    <t>DDC  - BLACKFRIAR POLY VARNISH WALNUT 2.5L</t>
  </si>
  <si>
    <t>5222429A</t>
  </si>
  <si>
    <t>5222443A</t>
  </si>
  <si>
    <t>5222490</t>
  </si>
  <si>
    <t>DDC  - BLACKFRIAR UV66 CLEAR 1L</t>
  </si>
  <si>
    <t>5222492</t>
  </si>
  <si>
    <t>DDC  - BLACKFRIAR UV66 CLEAR 2.5L</t>
  </si>
  <si>
    <t>5222501</t>
  </si>
  <si>
    <t>DDC  - BLACKFRIAR QD FLOOR VARNISH 1L</t>
  </si>
  <si>
    <t>5222510</t>
  </si>
  <si>
    <t>DDC  - BLACKFRIAR D/TOUGH CLEAR VARNISH GLOSS 1L</t>
  </si>
  <si>
    <t>5222519A</t>
  </si>
  <si>
    <t>5222534A</t>
  </si>
  <si>
    <t>5222622A</t>
  </si>
  <si>
    <t>5222629A</t>
  </si>
  <si>
    <t>5222636A</t>
  </si>
  <si>
    <t>5222637A</t>
  </si>
  <si>
    <t>5222639A</t>
  </si>
  <si>
    <t>5222640A</t>
  </si>
  <si>
    <t>5222643A</t>
  </si>
  <si>
    <t>5222644A</t>
  </si>
  <si>
    <t>5222655A</t>
  </si>
  <si>
    <t>5223032A</t>
  </si>
  <si>
    <t>5223058</t>
  </si>
  <si>
    <t>DDC  - R/LIFFE GLUTENGLASS INT GRDE 1L</t>
  </si>
  <si>
    <t>5223076</t>
  </si>
  <si>
    <t>DDC  - LIBERON WOOD STOP PASTE A/PINE 125ML</t>
  </si>
  <si>
    <t>5223078</t>
  </si>
  <si>
    <t>DDC  - LIBERON WOOD STOP PASTE G/MHGN 125ML</t>
  </si>
  <si>
    <t>5223079</t>
  </si>
  <si>
    <t>DDC  - LIBERON WOOD STOP PASTE G/PINE 125ML</t>
  </si>
  <si>
    <t>5223080</t>
  </si>
  <si>
    <t>DDC  - LIBERON WOOD STOP PASTE L/OAK 125ML</t>
  </si>
  <si>
    <t>5223081</t>
  </si>
  <si>
    <t>DDC  - LIBERON WOOD STOP PASTE M/OAK 125ML</t>
  </si>
  <si>
    <t>5223082</t>
  </si>
  <si>
    <t>DDC  - LIBERON WOOD STOP PASTE NEUT 125ML</t>
  </si>
  <si>
    <t>5223083</t>
  </si>
  <si>
    <t>DDC  - LIBERON WOOD STOP PASTE V/MHGN 125ML</t>
  </si>
  <si>
    <t>5223097</t>
  </si>
  <si>
    <t>DDC  - LIBERON FLOOR SEALER 1L</t>
  </si>
  <si>
    <t>5223107</t>
  </si>
  <si>
    <t>DDC  - LIBERON STONE FLOOR SEALER 1LT</t>
  </si>
  <si>
    <t>5223252</t>
  </si>
  <si>
    <t>DDC  - SOLIGNUM ARCHITECTURAL EBONY 25LT</t>
  </si>
  <si>
    <t>5223258</t>
  </si>
  <si>
    <t>DDC  - POLYVINE SCUMBLE GLAZE 2L</t>
  </si>
  <si>
    <t>5223353A</t>
  </si>
  <si>
    <t>5223686</t>
  </si>
  <si>
    <t>DDC  - COO-VAR S/GRIP ANTI-SLIP FLOOR PAINT COLS 5</t>
  </si>
  <si>
    <t>5223691</t>
  </si>
  <si>
    <t>DDC  - COO-VAR S/GRIP ANTI-SLIP FLOOR PAINT COLS 1</t>
  </si>
  <si>
    <t>5223703</t>
  </si>
  <si>
    <t>DDC  - COO-VAR FLOOR PAINT COLS 2.5L</t>
  </si>
  <si>
    <t>5223732</t>
  </si>
  <si>
    <t>DDC  - COO-VAR ACRYLIC FLOOR PAINT COL 5L</t>
  </si>
  <si>
    <t>5223733A</t>
  </si>
  <si>
    <t>5223738A</t>
  </si>
  <si>
    <t>5223743A</t>
  </si>
  <si>
    <t>5223744A</t>
  </si>
  <si>
    <t>5223745A</t>
  </si>
  <si>
    <t>5223746A</t>
  </si>
  <si>
    <t>5223748A</t>
  </si>
  <si>
    <t>5224645A</t>
  </si>
  <si>
    <t>5224812A</t>
  </si>
  <si>
    <t>5232363</t>
  </si>
  <si>
    <t>Akzo - Cuprinol Garden Shades Pink Honeysuckle 1L</t>
  </si>
  <si>
    <t>5232364A</t>
  </si>
  <si>
    <t>5232365A</t>
  </si>
  <si>
    <t>5232385A</t>
  </si>
  <si>
    <t>5232386A</t>
  </si>
  <si>
    <t>5232387A</t>
  </si>
  <si>
    <t>5232513A</t>
  </si>
  <si>
    <t>5236667A</t>
  </si>
  <si>
    <t>5236668A</t>
  </si>
  <si>
    <t>5236702A</t>
  </si>
  <si>
    <t>5236721A</t>
  </si>
  <si>
    <t>5236722A</t>
  </si>
  <si>
    <t>5236726A</t>
  </si>
  <si>
    <t>5236727A</t>
  </si>
  <si>
    <t>5241252A</t>
  </si>
  <si>
    <t>5241253A</t>
  </si>
  <si>
    <t>5242767A</t>
  </si>
  <si>
    <t>5242783A</t>
  </si>
  <si>
    <t>5242791A</t>
  </si>
  <si>
    <t>5242800A</t>
  </si>
  <si>
    <t>5242831A</t>
  </si>
  <si>
    <t>5244200</t>
  </si>
  <si>
    <t>DDC  - OSMO UV PROTECTION OIL OAK 0.75L</t>
  </si>
  <si>
    <t>5244207</t>
  </si>
  <si>
    <t>DDC  - OSMO UV PROTECTION OIL OAK 2.5L</t>
  </si>
  <si>
    <t>5244438A</t>
  </si>
  <si>
    <t>5244439A</t>
  </si>
  <si>
    <t>5244440A</t>
  </si>
  <si>
    <t>5244471A</t>
  </si>
  <si>
    <t>5244472</t>
  </si>
  <si>
    <t>Akzo - Cuprinol Garden Shades Honey Manto 1L</t>
  </si>
  <si>
    <t>5248419A</t>
  </si>
  <si>
    <t>5248421A</t>
  </si>
  <si>
    <t>5248422A</t>
  </si>
  <si>
    <t>5248423A</t>
  </si>
  <si>
    <t>5248424A</t>
  </si>
  <si>
    <t>5248425A</t>
  </si>
  <si>
    <t>5248426A</t>
  </si>
  <si>
    <t>5249007A</t>
  </si>
  <si>
    <t>5254525A</t>
  </si>
  <si>
    <t>5255621A</t>
  </si>
  <si>
    <t>5255624A</t>
  </si>
  <si>
    <t>5257695A</t>
  </si>
  <si>
    <t xml:space="preserve">Interthane 990 Base (A) &amp; Curing Agent (B) Tinted </t>
  </si>
  <si>
    <t>5257702A</t>
  </si>
  <si>
    <t>Interseal 670 Base (A) &amp; Curing Agent (B) Tinted 5</t>
  </si>
  <si>
    <t>5259331A</t>
  </si>
  <si>
    <t>5259332</t>
  </si>
  <si>
    <t>Akzo - DT Plus Thermacoat White 10L</t>
  </si>
  <si>
    <t>5259332A</t>
  </si>
  <si>
    <t>DT Plus Thermacoat White 10L</t>
  </si>
  <si>
    <t>5259333</t>
  </si>
  <si>
    <t>Akzo - DT Plus Thermacoat White 20L</t>
  </si>
  <si>
    <t>5259333A</t>
  </si>
  <si>
    <t>DT Plus Thermacoat White 20L</t>
  </si>
  <si>
    <t>5259334</t>
  </si>
  <si>
    <t>Akzo - DT Plus Smooth &amp; Protect White 5L</t>
  </si>
  <si>
    <t>5259334A</t>
  </si>
  <si>
    <t>DT Plus Smooth &amp; Protect White 5L</t>
  </si>
  <si>
    <t>5282515A</t>
  </si>
  <si>
    <t>5282520A</t>
  </si>
  <si>
    <t>5282521A</t>
  </si>
  <si>
    <t>5282772A</t>
  </si>
  <si>
    <t>5282774A</t>
  </si>
  <si>
    <t>5282776A</t>
  </si>
  <si>
    <t>5293175A</t>
  </si>
  <si>
    <t>5313745A</t>
  </si>
  <si>
    <t>5313746A</t>
  </si>
  <si>
    <t>5315681A</t>
  </si>
  <si>
    <t xml:space="preserve">Thermoguard Wallcoat Smoke &amp; Flame Retardant Matt </t>
  </si>
  <si>
    <t>5315852A</t>
  </si>
  <si>
    <t>5315853A</t>
  </si>
  <si>
    <t>5315854A</t>
  </si>
  <si>
    <t>5315857A</t>
  </si>
  <si>
    <t>5315859A</t>
  </si>
  <si>
    <t>5315864A</t>
  </si>
  <si>
    <t>5315918A</t>
  </si>
  <si>
    <t>5315921A</t>
  </si>
  <si>
    <t>5315925A</t>
  </si>
  <si>
    <t>5315937A</t>
  </si>
  <si>
    <t>5315986A</t>
  </si>
  <si>
    <t>5316000A</t>
  </si>
  <si>
    <t>5316733A</t>
  </si>
  <si>
    <t>5316967A</t>
  </si>
  <si>
    <t>Cx Garden Shades Urban Slate 1L</t>
  </si>
  <si>
    <t>5316975A</t>
  </si>
  <si>
    <t>Cx Garden Shades Cornflower 1L</t>
  </si>
  <si>
    <t>5316990A</t>
  </si>
  <si>
    <t>Cx Garden Shades Pebble Trail 2.5L</t>
  </si>
  <si>
    <t>5317077A</t>
  </si>
  <si>
    <t>Cx Garden Shades Urban Slate 5L</t>
  </si>
  <si>
    <t>5317080A</t>
  </si>
  <si>
    <t>Cx Garden Shades Dusky Gem 5L</t>
  </si>
  <si>
    <t>5317834A</t>
  </si>
  <si>
    <t>5320602A</t>
  </si>
  <si>
    <t>5321297A</t>
  </si>
  <si>
    <t>5321363A</t>
  </si>
  <si>
    <t>5321442A</t>
  </si>
  <si>
    <t>5321443A</t>
  </si>
  <si>
    <t>5326056A</t>
  </si>
  <si>
    <t>5326057A</t>
  </si>
  <si>
    <t>5326058A</t>
  </si>
  <si>
    <t>5330417A</t>
  </si>
  <si>
    <t>Cuprinol Wood Preserver Clear (WB) 1L</t>
  </si>
  <si>
    <t>5330418A</t>
  </si>
  <si>
    <t>5330419A</t>
  </si>
  <si>
    <t>5330420A</t>
  </si>
  <si>
    <t>5355970</t>
  </si>
  <si>
    <t>DDC  - CUPRINOL 1 COAT SPR FENCE TREATMENT BLACK 5</t>
  </si>
  <si>
    <t>5362526A</t>
  </si>
  <si>
    <t>5362527A</t>
  </si>
  <si>
    <t>5362528A</t>
  </si>
  <si>
    <t>5362531A</t>
  </si>
  <si>
    <t>5362532A</t>
  </si>
  <si>
    <t>5362538A</t>
  </si>
  <si>
    <t>5480752A</t>
  </si>
  <si>
    <t>5480753A</t>
  </si>
  <si>
    <t>5480936A</t>
  </si>
  <si>
    <t>5480938A</t>
  </si>
  <si>
    <t>5480940A</t>
  </si>
  <si>
    <t>5518972A</t>
  </si>
  <si>
    <t>5518980A</t>
  </si>
  <si>
    <t>5518982A</t>
  </si>
  <si>
    <t>5556022A</t>
  </si>
  <si>
    <t>5556023A</t>
  </si>
  <si>
    <t>5556026A</t>
  </si>
  <si>
    <t>5572017A</t>
  </si>
  <si>
    <t>5576889A</t>
  </si>
  <si>
    <t>5576890A</t>
  </si>
  <si>
    <t>5580759A</t>
  </si>
  <si>
    <t>5580780A</t>
  </si>
  <si>
    <t>SI Alphatex SF Mat Tint N00/Ex Deep BS 5L (Airsure</t>
  </si>
  <si>
    <t>5583703A</t>
  </si>
  <si>
    <t>5583704A</t>
  </si>
  <si>
    <t>5583705A</t>
  </si>
  <si>
    <t>5583706A</t>
  </si>
  <si>
    <t>5583711A</t>
  </si>
  <si>
    <t>5583716A</t>
  </si>
  <si>
    <t>5583719A</t>
  </si>
  <si>
    <t>5583720A</t>
  </si>
  <si>
    <t>5583721A</t>
  </si>
  <si>
    <t>5583722A</t>
  </si>
  <si>
    <t>5583723A</t>
  </si>
  <si>
    <t>5594794A</t>
  </si>
  <si>
    <t>Armstead TR Contract Matt Light Grey 10L</t>
  </si>
  <si>
    <t>5624588A</t>
  </si>
  <si>
    <t>5624589A</t>
  </si>
  <si>
    <t>5624590A</t>
  </si>
  <si>
    <t>5624601A</t>
  </si>
  <si>
    <t>5624602A</t>
  </si>
  <si>
    <t>5624603A</t>
  </si>
  <si>
    <t>5683083A</t>
  </si>
  <si>
    <t>Dulux TR S/shield Dual Active Matt White 5L</t>
  </si>
  <si>
    <t>5683085A</t>
  </si>
  <si>
    <t>Dulux TR S/shield Dual Active Matt Gardenia 5L</t>
  </si>
  <si>
    <t>5696792A</t>
  </si>
  <si>
    <t>Dulux TR W/S Masonry High Gloss PBW 5L</t>
  </si>
  <si>
    <t>5698158A</t>
  </si>
  <si>
    <t>Dulux TR W/S Masonry High Gloss Light Tinted 5L</t>
  </si>
  <si>
    <t>5718712A</t>
  </si>
  <si>
    <t>Dulux TR W/S All Seasons Pliolite Smooth White 5L</t>
  </si>
  <si>
    <t>5718716A</t>
  </si>
  <si>
    <t>Dulux TR W/S All Seasons Pliolite Smooth Mag 5L</t>
  </si>
  <si>
    <t>5736099A</t>
  </si>
  <si>
    <t xml:space="preserve">Dulux TR Supermatt Magnolia (Touch Up Stock Only) </t>
  </si>
  <si>
    <t>5736100A</t>
  </si>
  <si>
    <t>Dulux TR Supermatt White 10L</t>
  </si>
  <si>
    <t>5745112A</t>
  </si>
  <si>
    <t>5745131A</t>
  </si>
  <si>
    <t>5745136A</t>
  </si>
  <si>
    <t>5745138A</t>
  </si>
  <si>
    <t xml:space="preserve">Dulux TR W/S QD Ext Flexible U/Coat Tinted Colour </t>
  </si>
  <si>
    <t>5745139A</t>
  </si>
  <si>
    <t>5745140A</t>
  </si>
  <si>
    <t>5748556A</t>
  </si>
  <si>
    <t>Dulux TR W/S All Seasons Pliolite Smooth Tinted Co</t>
  </si>
  <si>
    <t>5748568A</t>
  </si>
  <si>
    <t>Dulux TR S/shield Dual Active Matt Tinted Colour 5</t>
  </si>
  <si>
    <t>6012983A</t>
  </si>
  <si>
    <t>6020457A</t>
  </si>
  <si>
    <t>6020476A</t>
  </si>
  <si>
    <t>6020477A</t>
  </si>
  <si>
    <t>6027600A</t>
  </si>
  <si>
    <t>6033321</t>
  </si>
  <si>
    <t>DDC  - DULUX PERFECT FINISH BRUSH 0.5IN</t>
  </si>
  <si>
    <t>6033324</t>
  </si>
  <si>
    <t>DDC  - DULUX PERFECT FINISH BRUSH 1.5IN</t>
  </si>
  <si>
    <t>6033892A</t>
  </si>
  <si>
    <t>6033893A</t>
  </si>
  <si>
    <t>6033895A</t>
  </si>
  <si>
    <t>6033896A</t>
  </si>
  <si>
    <t>6033938</t>
  </si>
  <si>
    <t>Akzo DDC - Trade Masking Tape 36mm 50M</t>
  </si>
  <si>
    <t>6033938A</t>
  </si>
  <si>
    <t>Trade Masking Tape 36mm 50M</t>
  </si>
  <si>
    <t>6033946A</t>
  </si>
  <si>
    <t>6033960A</t>
  </si>
  <si>
    <t>6033961A</t>
  </si>
  <si>
    <t>6033962A</t>
  </si>
  <si>
    <t>6033965A</t>
  </si>
  <si>
    <t>6034025A</t>
  </si>
  <si>
    <t>6034077A</t>
  </si>
  <si>
    <t>6034078A</t>
  </si>
  <si>
    <t>Trade Brush - 1"</t>
  </si>
  <si>
    <t>6034079A</t>
  </si>
  <si>
    <t>Trade Brush - 2"</t>
  </si>
  <si>
    <t>6034080A</t>
  </si>
  <si>
    <t>Trade Brush - 3"</t>
  </si>
  <si>
    <t>6034107A</t>
  </si>
  <si>
    <t>6038889A</t>
  </si>
  <si>
    <t>6038910A</t>
  </si>
  <si>
    <t>6038911A</t>
  </si>
  <si>
    <t>6040274A</t>
  </si>
  <si>
    <t>6040302A</t>
  </si>
  <si>
    <t>6040541A</t>
  </si>
  <si>
    <t>Graco EasyOut GunFilter Black pc gun 60 mesh 28703</t>
  </si>
  <si>
    <t>6040542A</t>
  </si>
  <si>
    <t>Graco EasyOut GunFilter Blue pc gun 100 Mesh 28703</t>
  </si>
  <si>
    <t>6045948A</t>
  </si>
  <si>
    <t>6046969A</t>
  </si>
  <si>
    <t xml:space="preserve">Graco Manifold Filter Blue 100 Mesh classic/stmax </t>
  </si>
  <si>
    <t>6046970A</t>
  </si>
  <si>
    <t xml:space="preserve">Graco Manifold Filter Black 60 Mesh classic/stmax </t>
  </si>
  <si>
    <t>6046971A</t>
  </si>
  <si>
    <t>6047741A</t>
  </si>
  <si>
    <t>6049615A</t>
  </si>
  <si>
    <t>6053877A</t>
  </si>
  <si>
    <t>6053879A</t>
  </si>
  <si>
    <t>6054160A</t>
  </si>
  <si>
    <t>6054161A</t>
  </si>
  <si>
    <t>6054162A</t>
  </si>
  <si>
    <t>6054173</t>
  </si>
  <si>
    <t>DDC  - NITROMORS A/PURP PNT&amp;VARN RMVR 750ML</t>
  </si>
  <si>
    <t>6054173A</t>
  </si>
  <si>
    <t>Nitromors A/purp Pnt&amp;varn Rmvr 750ML</t>
  </si>
  <si>
    <t>6054174</t>
  </si>
  <si>
    <t>DDC  - NITROMORS A/PURP PNT&amp;VARN RMVR 2L</t>
  </si>
  <si>
    <t>6054174A</t>
  </si>
  <si>
    <t>Nitromors A/purp Pnt&amp;varn Rmvr 2L</t>
  </si>
  <si>
    <t>6054175A</t>
  </si>
  <si>
    <t>6054177A</t>
  </si>
  <si>
    <t>Solvite R/mix Adhesive 10KG</t>
  </si>
  <si>
    <t>6054202A</t>
  </si>
  <si>
    <t>6054204A</t>
  </si>
  <si>
    <t>6054205A</t>
  </si>
  <si>
    <t>Solvite R/mix Adhesive 4.5KG</t>
  </si>
  <si>
    <t>6058996A</t>
  </si>
  <si>
    <t>6059063A</t>
  </si>
  <si>
    <t>6059081A</t>
  </si>
  <si>
    <t>6059114A</t>
  </si>
  <si>
    <t>6059116A</t>
  </si>
  <si>
    <t>6059429A</t>
  </si>
  <si>
    <t>6059434A</t>
  </si>
  <si>
    <t>6059435A</t>
  </si>
  <si>
    <t>6059447A</t>
  </si>
  <si>
    <t>6059449</t>
  </si>
  <si>
    <t>Akzo DDC - Big Wipes Blk Indstl Wipes EACH</t>
  </si>
  <si>
    <t>6059449A</t>
  </si>
  <si>
    <t>Big Wipes Blk Indstl Wipes EACH</t>
  </si>
  <si>
    <t>6059471A</t>
  </si>
  <si>
    <t>6059473A</t>
  </si>
  <si>
    <t>6059474A</t>
  </si>
  <si>
    <t>6059475A</t>
  </si>
  <si>
    <t>6059476A</t>
  </si>
  <si>
    <t>6059480A</t>
  </si>
  <si>
    <t>6059481A</t>
  </si>
  <si>
    <t>6061768A</t>
  </si>
  <si>
    <t>6083792A</t>
  </si>
  <si>
    <t>6085079A</t>
  </si>
  <si>
    <t>6085108A</t>
  </si>
  <si>
    <t>6085110A</t>
  </si>
  <si>
    <t>6085111A</t>
  </si>
  <si>
    <t>6085971A</t>
  </si>
  <si>
    <t>6090339A</t>
  </si>
  <si>
    <t>6090469A</t>
  </si>
  <si>
    <t>6091934A</t>
  </si>
  <si>
    <t>6092836A</t>
  </si>
  <si>
    <t>6092863A</t>
  </si>
  <si>
    <t>6093278A</t>
  </si>
  <si>
    <t>Mirka Backing Pad Deros 150mm 5/16" Grip 48H Mediu</t>
  </si>
  <si>
    <t>6103930A</t>
  </si>
  <si>
    <t>6103932A</t>
  </si>
  <si>
    <t>6103933A</t>
  </si>
  <si>
    <t>6103934A</t>
  </si>
  <si>
    <t>6103935A</t>
  </si>
  <si>
    <t>6106427A</t>
  </si>
  <si>
    <t>6106492A</t>
  </si>
  <si>
    <t>6106493</t>
  </si>
  <si>
    <t>Big Wipes Multi Purpose 4x4 Black Cap 80 Wipes</t>
  </si>
  <si>
    <t>6107190</t>
  </si>
  <si>
    <t>DDC  - COLE &amp; SON ADHESIVE 5KG</t>
  </si>
  <si>
    <t>6107206A</t>
  </si>
  <si>
    <t>6107254A</t>
  </si>
  <si>
    <t>6107257</t>
  </si>
  <si>
    <t>DDC  - ARTEX CEILING FINISH 25KG</t>
  </si>
  <si>
    <t>6107260A</t>
  </si>
  <si>
    <t>6107261A</t>
  </si>
  <si>
    <t>6107266A</t>
  </si>
  <si>
    <t>6107267A</t>
  </si>
  <si>
    <t>6107268A</t>
  </si>
  <si>
    <t>6107270</t>
  </si>
  <si>
    <t>DDC  - GYPROC JOINT CEMENT 22.5KG</t>
  </si>
  <si>
    <t>6107271A</t>
  </si>
  <si>
    <t>6107273A</t>
  </si>
  <si>
    <t>6107274A</t>
  </si>
  <si>
    <t>6107276A</t>
  </si>
  <si>
    <t>6107277A</t>
  </si>
  <si>
    <t>6107289A</t>
  </si>
  <si>
    <t>6107290</t>
  </si>
  <si>
    <t>DDC  - ARTEX SAND CEMENT 5KG</t>
  </si>
  <si>
    <t>6107296A</t>
  </si>
  <si>
    <t>6107298A</t>
  </si>
  <si>
    <t>6107300A</t>
  </si>
  <si>
    <t>6107326A</t>
  </si>
  <si>
    <t>6107507</t>
  </si>
  <si>
    <t>Repair Care Dosing Gun EACH</t>
  </si>
  <si>
    <t>6107507A</t>
  </si>
  <si>
    <t>6107519A</t>
  </si>
  <si>
    <t>Repair Care Plastic Knife 130MM</t>
  </si>
  <si>
    <t>6107521A</t>
  </si>
  <si>
    <t>Repair Care Gloves Large EACH</t>
  </si>
  <si>
    <t>6107524A</t>
  </si>
  <si>
    <t>Repair Care Easy-q Wipes 150 EACH</t>
  </si>
  <si>
    <t>6107526</t>
  </si>
  <si>
    <t>DDC  - REPAIR CARE DRY FIX 4 SMALL EACH</t>
  </si>
  <si>
    <t>6107529A</t>
  </si>
  <si>
    <t>Repair Care H/duty Gun EACH</t>
  </si>
  <si>
    <t>6107786</t>
  </si>
  <si>
    <t>DDC  - HAMILTON PERFECTION PURE BRISTLE 4PK</t>
  </si>
  <si>
    <t>6107810</t>
  </si>
  <si>
    <t>DDC  - GTEC JOINT FILLER XTRA 12.5KG</t>
  </si>
  <si>
    <t>6107813A</t>
  </si>
  <si>
    <t>6107818</t>
  </si>
  <si>
    <t>DDC  - GTEC TRADE JOINT FILLER 12.5KG</t>
  </si>
  <si>
    <t>6107876A</t>
  </si>
  <si>
    <t>6107885A</t>
  </si>
  <si>
    <t>6107900A</t>
  </si>
  <si>
    <t>6107901A</t>
  </si>
  <si>
    <t>6107902A</t>
  </si>
  <si>
    <t>6107909A</t>
  </si>
  <si>
    <t>6107916A</t>
  </si>
  <si>
    <t>Axus Stainless Steel Wallpaper Scissors 12"</t>
  </si>
  <si>
    <t>6107917</t>
  </si>
  <si>
    <t>DDC  - FILLTITE 2PT WOODFILLER NAT 3.7KG</t>
  </si>
  <si>
    <t>6107918A</t>
  </si>
  <si>
    <t>6107925A</t>
  </si>
  <si>
    <t>6107928</t>
  </si>
  <si>
    <t>DDC  - FILLTITE R/MIX FILLER DARK 250G</t>
  </si>
  <si>
    <t>6107929</t>
  </si>
  <si>
    <t>DDC  - FILLTITE R/MIX FILLER NAT 250G</t>
  </si>
  <si>
    <t>6107930</t>
  </si>
  <si>
    <t>DDC  - FILLTITE R/MIX FILLER WHT 250G</t>
  </si>
  <si>
    <t>6107950A</t>
  </si>
  <si>
    <t>6107951</t>
  </si>
  <si>
    <t>DDC  - PURDY XL ELITE GLIDE BRUSH 3IN</t>
  </si>
  <si>
    <t>6107952A</t>
  </si>
  <si>
    <t>6107954A</t>
  </si>
  <si>
    <t>6107955A</t>
  </si>
  <si>
    <t>6107956A</t>
  </si>
  <si>
    <t>6107957A</t>
  </si>
  <si>
    <t>6107961A</t>
  </si>
  <si>
    <t>6107962A</t>
  </si>
  <si>
    <t>6107964A</t>
  </si>
  <si>
    <t>6107966A</t>
  </si>
  <si>
    <t>6107968A</t>
  </si>
  <si>
    <t>6107969A</t>
  </si>
  <si>
    <t>6107970A</t>
  </si>
  <si>
    <t>6107976A</t>
  </si>
  <si>
    <t>6107977A</t>
  </si>
  <si>
    <t>6107978A</t>
  </si>
  <si>
    <t>6107980A</t>
  </si>
  <si>
    <t>6107984A</t>
  </si>
  <si>
    <t>6107987A</t>
  </si>
  <si>
    <t>6107989</t>
  </si>
  <si>
    <t>DDC  - PURDY XL ELITE GLIDE BRUSH 1.5IN</t>
  </si>
  <si>
    <t>6108003</t>
  </si>
  <si>
    <t>DDC  - PURDY SYNTOX ANGULAR BRUSH 3IN</t>
  </si>
  <si>
    <t>6108006</t>
  </si>
  <si>
    <t>DDC  - PURDY SYNTOX FLAT BRUSH 3IN</t>
  </si>
  <si>
    <t>6108014</t>
  </si>
  <si>
    <t>DDC  - PURDY END CAPS 2PK EACH</t>
  </si>
  <si>
    <t>6108019A</t>
  </si>
  <si>
    <t>6108022A</t>
  </si>
  <si>
    <t>6108024A</t>
  </si>
  <si>
    <t>6108034</t>
  </si>
  <si>
    <t>DDC  - LIBERON WAX FILLER STICK L/OAK EACH</t>
  </si>
  <si>
    <t>6108035</t>
  </si>
  <si>
    <t>DDC  - LIBERON WAX FILLER STICK TEAK 50G</t>
  </si>
  <si>
    <t>6108036</t>
  </si>
  <si>
    <t>DDC  - LIBERON WAX FILLER STICK MHGNY EACH</t>
  </si>
  <si>
    <t>6108038</t>
  </si>
  <si>
    <t>DDC  - LIBERON WAX FILLER STICK M/OAK 50G</t>
  </si>
  <si>
    <t>6108039</t>
  </si>
  <si>
    <t>DDC  - LIBERON WAX FILLER STICK D/OAK 50G</t>
  </si>
  <si>
    <t>6108043</t>
  </si>
  <si>
    <t>DDC  - LIBERON WAX FILLER STICK PINE 50G</t>
  </si>
  <si>
    <t>6108044</t>
  </si>
  <si>
    <t>DDC  - LIBERON WAX FILLER STCK L/WLNT 50G</t>
  </si>
  <si>
    <t>6108045</t>
  </si>
  <si>
    <t>DDC  - LIBERON WAX FILLER STICK RWOOD EACH</t>
  </si>
  <si>
    <t>6108519</t>
  </si>
  <si>
    <t>DDC  - TOUPRET HUMIBLOCK MSNRY FILLER 20KG</t>
  </si>
  <si>
    <t>6108521</t>
  </si>
  <si>
    <t>DDC  - TOUPRET MUREX REPAIR FILLER 15KG</t>
  </si>
  <si>
    <t>6108525</t>
  </si>
  <si>
    <t>DDC  - MIRKA HIOMANT ROLL 120G 5M</t>
  </si>
  <si>
    <t>6108526</t>
  </si>
  <si>
    <t>DDC  - MIRKA HIOMANT ROLL 80G 5M</t>
  </si>
  <si>
    <t>6108530</t>
  </si>
  <si>
    <t>DDC  - MIRKA HIOMANT ROLL 80G 50M</t>
  </si>
  <si>
    <t>6108532</t>
  </si>
  <si>
    <t>DDC  - MIRKA HIOMANT ROLL 120G 50M</t>
  </si>
  <si>
    <t>6108557A</t>
  </si>
  <si>
    <t>6108564</t>
  </si>
  <si>
    <t>Akzo DDC - Mirka Pad Saver for CEROS &amp; DEROS 150mm</t>
  </si>
  <si>
    <t>6108565A</t>
  </si>
  <si>
    <t>6108568</t>
  </si>
  <si>
    <t>DDC  - MIRKA HAND SANDING KIT</t>
  </si>
  <si>
    <t>6108572</t>
  </si>
  <si>
    <t>DDC  - MIRKA ABRANET DISC 80G 10PK 125MM</t>
  </si>
  <si>
    <t>6108573</t>
  </si>
  <si>
    <t>DDC  - MIRKA ABRANET DISC 120G 10PK 125MM</t>
  </si>
  <si>
    <t>6108574</t>
  </si>
  <si>
    <t>DDC  - MIRKA ABRANET DISC 180G 10PK 125MM</t>
  </si>
  <si>
    <t>6108577</t>
  </si>
  <si>
    <t>DDC  - MIRKA ABRANET DISC 80G 10PK 150MM</t>
  </si>
  <si>
    <t>6108578</t>
  </si>
  <si>
    <t>DDC  - MIRKA ABRANET DISC 120G 10PK 150MM</t>
  </si>
  <si>
    <t>6108579</t>
  </si>
  <si>
    <t>DDC  - MIRKA ABRANET DISC 180G 10PK 150MM</t>
  </si>
  <si>
    <t>6108580</t>
  </si>
  <si>
    <t>DDC  - MIRKA ABRANET DISCS 240G 10PK 150MM</t>
  </si>
  <si>
    <t>6108581</t>
  </si>
  <si>
    <t>DDC  - MIRKA ABRANET DISCS 320G 10PK 150MM</t>
  </si>
  <si>
    <t>6108582</t>
  </si>
  <si>
    <t>DDC  - MIRKA ABRANET DISCS 80G 50PK 150MM</t>
  </si>
  <si>
    <t>6108583</t>
  </si>
  <si>
    <t>DDC  - MIRKA ABRANET DISCS 120G 50PK 150MM</t>
  </si>
  <si>
    <t>6108584</t>
  </si>
  <si>
    <t>DDC  - MIRKA ABRANET DISCS 180G 50PK 150MM</t>
  </si>
  <si>
    <t>6108586</t>
  </si>
  <si>
    <t>DDC  - MIRKA ABRANET DISCS 80G 10PK 225MM</t>
  </si>
  <si>
    <t>6108587</t>
  </si>
  <si>
    <t>DDC  - MIRKA ABRANET DISCS 120G 10PK 225MM</t>
  </si>
  <si>
    <t>6108592</t>
  </si>
  <si>
    <t>DDC  - MIRKA ABRANET STRIPS 80G 10PK 80X230MM</t>
  </si>
  <si>
    <t>6108593</t>
  </si>
  <si>
    <t>DDC  - MIRKA ABRANET STRIPS 120G 10PK 80X230MM</t>
  </si>
  <si>
    <t>6108594</t>
  </si>
  <si>
    <t>DDC  - MIRKA ABRANET STRIPS 180G 10PK 80X230MM</t>
  </si>
  <si>
    <t>6108596</t>
  </si>
  <si>
    <t>DDC  - MIRKA ABRANET STRIPS 80G 10PK 133MM</t>
  </si>
  <si>
    <t>6108597</t>
  </si>
  <si>
    <t>DDC  - MIRKA ABRANET STRIPS 120G 10PK 133MM</t>
  </si>
  <si>
    <t>6108598</t>
  </si>
  <si>
    <t>DDC  - MIRKA ABRANET STRIPS 180G 10PK 81X133MM</t>
  </si>
  <si>
    <t>6108634A</t>
  </si>
  <si>
    <t>6108953A</t>
  </si>
  <si>
    <t>6108955A</t>
  </si>
  <si>
    <t>6108960A</t>
  </si>
  <si>
    <t>6108961A</t>
  </si>
  <si>
    <t>6108974</t>
  </si>
  <si>
    <t>DDC  - 13088 SUPER FRESCO LEAVES (CQO)</t>
  </si>
  <si>
    <t>6108982A</t>
  </si>
  <si>
    <t>6108983A</t>
  </si>
  <si>
    <t>6125148A</t>
  </si>
  <si>
    <t>6125149</t>
  </si>
  <si>
    <t>DDC  - COO-VAR PROFLOOR PRIMER 2PK 5KG</t>
  </si>
  <si>
    <t>6125153A</t>
  </si>
  <si>
    <t>6133412A</t>
  </si>
  <si>
    <t>6140629A</t>
  </si>
  <si>
    <t>6140630A</t>
  </si>
  <si>
    <t>6140632A</t>
  </si>
  <si>
    <t>6140633A</t>
  </si>
  <si>
    <t>6140645</t>
  </si>
  <si>
    <t>DDC  - MIRKA FLEECE DUST BAG FOR 915 EXTRACTOR 5 P</t>
  </si>
  <si>
    <t>6141007A</t>
  </si>
  <si>
    <t>6142663A</t>
  </si>
  <si>
    <t>6142665A</t>
  </si>
  <si>
    <t>6142695A</t>
  </si>
  <si>
    <t>6142696A</t>
  </si>
  <si>
    <t>6183759</t>
  </si>
  <si>
    <t xml:space="preserve">DDC  - MIRKA FLEECE DUST BAG FOR 1025 EXTRACTOR 5 </t>
  </si>
  <si>
    <t>6183760A</t>
  </si>
  <si>
    <t>6183769A</t>
  </si>
  <si>
    <t>6183774A</t>
  </si>
  <si>
    <t>6183826A</t>
  </si>
  <si>
    <t>6183827A</t>
  </si>
  <si>
    <t>6183828A</t>
  </si>
  <si>
    <t>6183829A</t>
  </si>
  <si>
    <t>6183836A</t>
  </si>
  <si>
    <t>DDC Blended Bristle Brush 6PK F/CERT</t>
  </si>
  <si>
    <t>6183837A</t>
  </si>
  <si>
    <t>DDC Blended Bristle Brush 4IN F/CERT</t>
  </si>
  <si>
    <t>6183838A</t>
  </si>
  <si>
    <t>DDC Blended Bristle Brush 3IN F/CERT</t>
  </si>
  <si>
    <t>6183839A</t>
  </si>
  <si>
    <t>DDC Blended Bristle Brush 2.5IN F/CERT</t>
  </si>
  <si>
    <t>6183840A</t>
  </si>
  <si>
    <t>DDC Blended Bristle Brush 2IN F/CERT</t>
  </si>
  <si>
    <t>6183851A</t>
  </si>
  <si>
    <t>DDC Blended Bristle Brush 1.5IN F/CERT</t>
  </si>
  <si>
    <t>6183852A</t>
  </si>
  <si>
    <t>DDC Blended Bristle Brush 1IN F/CERT</t>
  </si>
  <si>
    <t>6183854A</t>
  </si>
  <si>
    <t>6183855A</t>
  </si>
  <si>
    <t>6183856A</t>
  </si>
  <si>
    <t>6183857A</t>
  </si>
  <si>
    <t>6183858A</t>
  </si>
  <si>
    <t>6183859A</t>
  </si>
  <si>
    <t>6183860A</t>
  </si>
  <si>
    <t>6183861A</t>
  </si>
  <si>
    <t>6183862A</t>
  </si>
  <si>
    <t>6183863A</t>
  </si>
  <si>
    <t>6183864A</t>
  </si>
  <si>
    <t>6183865A</t>
  </si>
  <si>
    <t>6183866A</t>
  </si>
  <si>
    <t>6183867A</t>
  </si>
  <si>
    <t>6183868A</t>
  </si>
  <si>
    <t>6183869A</t>
  </si>
  <si>
    <t>6183871A</t>
  </si>
  <si>
    <t>6183873A</t>
  </si>
  <si>
    <t>6183874A</t>
  </si>
  <si>
    <t>6183875A</t>
  </si>
  <si>
    <t>6183876A</t>
  </si>
  <si>
    <t>6183891A</t>
  </si>
  <si>
    <t>6183892A</t>
  </si>
  <si>
    <t>6183893A</t>
  </si>
  <si>
    <t>6183894A</t>
  </si>
  <si>
    <t>6183895A</t>
  </si>
  <si>
    <t>6183897A</t>
  </si>
  <si>
    <t>6183898A</t>
  </si>
  <si>
    <t>6183899A</t>
  </si>
  <si>
    <t>6183900A</t>
  </si>
  <si>
    <t>6183901A</t>
  </si>
  <si>
    <t>6183902A</t>
  </si>
  <si>
    <t>6183903A</t>
  </si>
  <si>
    <t>6183904A</t>
  </si>
  <si>
    <t>6183905A</t>
  </si>
  <si>
    <t>6183906A</t>
  </si>
  <si>
    <t>6183907A</t>
  </si>
  <si>
    <t>6183908A</t>
  </si>
  <si>
    <t>6183909A</t>
  </si>
  <si>
    <t>6183910A</t>
  </si>
  <si>
    <t>6183921A</t>
  </si>
  <si>
    <t>6183924A</t>
  </si>
  <si>
    <t>6183930A</t>
  </si>
  <si>
    <t>6183931A</t>
  </si>
  <si>
    <t>6183932A</t>
  </si>
  <si>
    <t>6183933A</t>
  </si>
  <si>
    <t>6183934A</t>
  </si>
  <si>
    <t>6183937A</t>
  </si>
  <si>
    <t>6183938A</t>
  </si>
  <si>
    <t>6183941A</t>
  </si>
  <si>
    <t>6183942A</t>
  </si>
  <si>
    <t>6183943A</t>
  </si>
  <si>
    <t>6183944A</t>
  </si>
  <si>
    <t>6183945A</t>
  </si>
  <si>
    <t>6183946A</t>
  </si>
  <si>
    <t>6183947A</t>
  </si>
  <si>
    <t>6183948A</t>
  </si>
  <si>
    <t>6183950A</t>
  </si>
  <si>
    <t>6183951A</t>
  </si>
  <si>
    <t>6183952A</t>
  </si>
  <si>
    <t>6183954A</t>
  </si>
  <si>
    <t>6183955A</t>
  </si>
  <si>
    <t>6183959A</t>
  </si>
  <si>
    <t>6183964A</t>
  </si>
  <si>
    <t>6187819</t>
  </si>
  <si>
    <t>DDC  - DDC INTERIOR BRUSH 4IN</t>
  </si>
  <si>
    <t>6188307</t>
  </si>
  <si>
    <t>Akzo DDC - Mirka DEROS 150mm Backing Pad</t>
  </si>
  <si>
    <t>6188759A</t>
  </si>
  <si>
    <t>6188760A</t>
  </si>
  <si>
    <t>6188818A</t>
  </si>
  <si>
    <t>6188819A</t>
  </si>
  <si>
    <t>6188820A</t>
  </si>
  <si>
    <t>6188829A</t>
  </si>
  <si>
    <t>6188831A</t>
  </si>
  <si>
    <t>6188833A</t>
  </si>
  <si>
    <t>6188834A</t>
  </si>
  <si>
    <t>6188835A</t>
  </si>
  <si>
    <t>6188836A</t>
  </si>
  <si>
    <t>6188838A</t>
  </si>
  <si>
    <t>6188839A</t>
  </si>
  <si>
    <t>6188841A</t>
  </si>
  <si>
    <t>6188843A</t>
  </si>
  <si>
    <t>6188847A</t>
  </si>
  <si>
    <t>6188849A</t>
  </si>
  <si>
    <t>6188851A</t>
  </si>
  <si>
    <t>6188854A</t>
  </si>
  <si>
    <t>6188858A</t>
  </si>
  <si>
    <t>6188859A</t>
  </si>
  <si>
    <t>6188860A</t>
  </si>
  <si>
    <t>6188861A</t>
  </si>
  <si>
    <t>6188864A</t>
  </si>
  <si>
    <t>6188865A</t>
  </si>
  <si>
    <t>6188866A</t>
  </si>
  <si>
    <t>6188868A</t>
  </si>
  <si>
    <t>6188869A</t>
  </si>
  <si>
    <t>6188870A</t>
  </si>
  <si>
    <t>6188871A</t>
  </si>
  <si>
    <t>6188872A</t>
  </si>
  <si>
    <t>6188873A</t>
  </si>
  <si>
    <t>6188874A</t>
  </si>
  <si>
    <t>6188875A</t>
  </si>
  <si>
    <t>6188877A</t>
  </si>
  <si>
    <t>6188878A</t>
  </si>
  <si>
    <t>6188881A</t>
  </si>
  <si>
    <t>6188882A</t>
  </si>
  <si>
    <t>6188883A</t>
  </si>
  <si>
    <t>6188885A</t>
  </si>
  <si>
    <t>6188890A</t>
  </si>
  <si>
    <t>6188891A</t>
  </si>
  <si>
    <t>6188897A</t>
  </si>
  <si>
    <t>6188899A</t>
  </si>
  <si>
    <t>6188900A</t>
  </si>
  <si>
    <t>6188901A</t>
  </si>
  <si>
    <t>6188902A</t>
  </si>
  <si>
    <t>6188903A</t>
  </si>
  <si>
    <t>6188904A</t>
  </si>
  <si>
    <t>6188905A</t>
  </si>
  <si>
    <t>6188906A</t>
  </si>
  <si>
    <t>6188907A</t>
  </si>
  <si>
    <t>6188934A</t>
  </si>
  <si>
    <t>6188935A</t>
  </si>
  <si>
    <t>6188976A</t>
  </si>
  <si>
    <t>6189788A</t>
  </si>
  <si>
    <t>6189789A</t>
  </si>
  <si>
    <t>6189799A</t>
  </si>
  <si>
    <t>6189800A</t>
  </si>
  <si>
    <t>6189826A</t>
  </si>
  <si>
    <t>6189829A</t>
  </si>
  <si>
    <t>6189831A</t>
  </si>
  <si>
    <t>6189841A</t>
  </si>
  <si>
    <t>6190524A</t>
  </si>
  <si>
    <t>6196026A</t>
  </si>
  <si>
    <t>6197877</t>
  </si>
  <si>
    <t>DDC  - REPAIR CARE DRY FLEX 1 2IN1</t>
  </si>
  <si>
    <t>6197883</t>
  </si>
  <si>
    <t>DDC  - REPAIR CARE DRY FLEX 3</t>
  </si>
  <si>
    <t>6200767</t>
  </si>
  <si>
    <t>Akzo DDC - Tesa 4323 General Purpose Tape 50mmx50m</t>
  </si>
  <si>
    <t>6200767A</t>
  </si>
  <si>
    <t>Tesa 4323 General Purpose Tape 50mmx50m</t>
  </si>
  <si>
    <t>6203504A</t>
  </si>
  <si>
    <t>6203618A</t>
  </si>
  <si>
    <t>6291578A</t>
  </si>
  <si>
    <t>6291751</t>
  </si>
  <si>
    <t>Akzo - DT Plus Levelling Fleece 25M</t>
  </si>
  <si>
    <t>6291751A</t>
  </si>
  <si>
    <t>DT Plus Levelling Fleece 25M</t>
  </si>
  <si>
    <t>6291752A</t>
  </si>
  <si>
    <t>6291753A</t>
  </si>
  <si>
    <t>6291754</t>
  </si>
  <si>
    <t>Akzo - DT Plus Loading Tool</t>
  </si>
  <si>
    <t>6291754A</t>
  </si>
  <si>
    <t>DT Plus Loading Tool</t>
  </si>
  <si>
    <t>6291755</t>
  </si>
  <si>
    <t>Akzo - DT Plus Sm/Protect Notched Trowel</t>
  </si>
  <si>
    <t>6291959A</t>
  </si>
  <si>
    <t>Tritech T5 Airless Sprayer 110V 600-850</t>
  </si>
  <si>
    <t>6305571</t>
  </si>
  <si>
    <t>DDC  - MIRKA GOLD PROFLEX 115MMX10M ROLL P180</t>
  </si>
  <si>
    <t>6305572</t>
  </si>
  <si>
    <t>DDC  - MIRKA GOLD PROFLEX 115MMX10M ROLL P240</t>
  </si>
  <si>
    <t>6306043A</t>
  </si>
  <si>
    <t>6306066</t>
  </si>
  <si>
    <t>DDC  - MIRKA GOLDFLEX PADS 15X140MM P150 10PK</t>
  </si>
  <si>
    <t>6306092</t>
  </si>
  <si>
    <t>DDC  - MIRKA GOLDFLEX PADS 15X140MM P240 10PK</t>
  </si>
  <si>
    <t>6308733A</t>
  </si>
  <si>
    <t>6308786A</t>
  </si>
  <si>
    <t>6308788</t>
  </si>
  <si>
    <t>DDC  - MIRKA ROUNDY KIT</t>
  </si>
  <si>
    <t>6308825A</t>
  </si>
  <si>
    <t>6308826A</t>
  </si>
  <si>
    <t>6309562A</t>
  </si>
  <si>
    <t>6314183A</t>
  </si>
  <si>
    <t>6315731A</t>
  </si>
  <si>
    <t>Graco Ultra Cordless Airless Handheld Sprayer 25M6</t>
  </si>
  <si>
    <t>6315732A</t>
  </si>
  <si>
    <t>6315739A</t>
  </si>
  <si>
    <t>6315773</t>
  </si>
  <si>
    <t>DDC  - MIRKA HIOMANT YELLOW ROLL P60 115MM X 10MTR</t>
  </si>
  <si>
    <t>6315786</t>
  </si>
  <si>
    <t>DDC  - MIRKA HIOMANT YELLOW ROLL P80 115MM X 10MTR</t>
  </si>
  <si>
    <t>6315787</t>
  </si>
  <si>
    <t>DDC  - MIRKA HIOMANT YELLOW ROLL P120 115MM X 10MT</t>
  </si>
  <si>
    <t>6315790A</t>
  </si>
  <si>
    <t>6316096A</t>
  </si>
  <si>
    <t>6316201A</t>
  </si>
  <si>
    <t>6316456A</t>
  </si>
  <si>
    <t>Graco Classic 390 PC Stand Sprayer 17C347</t>
  </si>
  <si>
    <t>6316838A</t>
  </si>
  <si>
    <t>6316839A</t>
  </si>
  <si>
    <t>6316840A</t>
  </si>
  <si>
    <t>6316940A</t>
  </si>
  <si>
    <t>6316965A</t>
  </si>
  <si>
    <t>6316966A</t>
  </si>
  <si>
    <t>6316973A</t>
  </si>
  <si>
    <t>6316974A</t>
  </si>
  <si>
    <t>6316977A</t>
  </si>
  <si>
    <t>6316993A</t>
  </si>
  <si>
    <t>6316997A</t>
  </si>
  <si>
    <t>6317104</t>
  </si>
  <si>
    <t>HAMILTON PERFORMANCE MASTER CUTTING IN BRUSH 2IN</t>
  </si>
  <si>
    <t>6317315A</t>
  </si>
  <si>
    <t>6317316A</t>
  </si>
  <si>
    <t>6317386A</t>
  </si>
  <si>
    <t>6317435A</t>
  </si>
  <si>
    <t>DDC Synthetic Brush 2"</t>
  </si>
  <si>
    <t>6317436A</t>
  </si>
  <si>
    <t>DDC Synthetic Brush 3"</t>
  </si>
  <si>
    <t>6317437A</t>
  </si>
  <si>
    <t>DDC Woven Poly Roller Kit 2 Sleeves 9"</t>
  </si>
  <si>
    <t>6317438A</t>
  </si>
  <si>
    <t>DDC Advanced Sim Mohair Sleeve 2pk 4"</t>
  </si>
  <si>
    <t>6317504A</t>
  </si>
  <si>
    <t>DDC Synthetic Brush 1"</t>
  </si>
  <si>
    <t>6317505A</t>
  </si>
  <si>
    <t>DDC Synthetic Brush 1.5"</t>
  </si>
  <si>
    <t>6317535A</t>
  </si>
  <si>
    <t xml:space="preserve">Graco FinishPro II airless/air assited 395 PC Pro </t>
  </si>
  <si>
    <t>6317538A</t>
  </si>
  <si>
    <t>6317839A</t>
  </si>
  <si>
    <t>6317864A</t>
  </si>
  <si>
    <t>6338040</t>
  </si>
  <si>
    <t>DDC  - HAMILTON PERFECTION BRISTLE PAINT BRUSH 2.0</t>
  </si>
  <si>
    <t>6338056A</t>
  </si>
  <si>
    <t>Hamilton Expression Synth Paint Brush 2.0" FSC</t>
  </si>
  <si>
    <t>6338060</t>
  </si>
  <si>
    <t xml:space="preserve">DDC  - HAMILTON PERFECTION SYNTH PAINT BRUSH 1.5" </t>
  </si>
  <si>
    <t>6338070</t>
  </si>
  <si>
    <t>DDC  - HAMILTON PERFECTION BRISTLE WINDOW BRUSH 0.</t>
  </si>
  <si>
    <t>6338071</t>
  </si>
  <si>
    <t>DDC  - HAMILTON PERFECTION BRISTLE PAINT BRUSH 1.0</t>
  </si>
  <si>
    <t>6338072</t>
  </si>
  <si>
    <t>DDC  - HAMILTON PERFECTION BRISTLE PAINT BRUSH 1.5</t>
  </si>
  <si>
    <t>6338075</t>
  </si>
  <si>
    <t xml:space="preserve">DDC  - HAMILTON PERFECTION SYNTH PAINT BRUSH 1.0" </t>
  </si>
  <si>
    <t>6338081</t>
  </si>
  <si>
    <t>DDC  - HAMILTON PERFECTION BRISTLE PAINT BRUSH 3.0</t>
  </si>
  <si>
    <t>6338084</t>
  </si>
  <si>
    <t xml:space="preserve">DDC  - HAMILTON PERFECTION SYNTH PAINT BRUSH 2.0" </t>
  </si>
  <si>
    <t>6338099</t>
  </si>
  <si>
    <t xml:space="preserve">DDC  - HAMILTON PERFECTION SYNTH PAINT BRUSH 3.0" </t>
  </si>
  <si>
    <t>6338100</t>
  </si>
  <si>
    <t>DDC  - HAMILTON PRESTIGE SYNTH OVAL ANGLED BRUSH 3</t>
  </si>
  <si>
    <t>6338105</t>
  </si>
  <si>
    <t>DDC  - HAMILTON PRESTIGE SYNTH LAYING OFF BRUSH 10</t>
  </si>
  <si>
    <t>6338106</t>
  </si>
  <si>
    <t>DDC  - HAMILTON PRESTIGE SYNTH OVAL ANGLED BRUSH 2</t>
  </si>
  <si>
    <t>6338110</t>
  </si>
  <si>
    <t>DDC  - HAMILTON PERFECTION ROLLER SLV - MEDIUM MID</t>
  </si>
  <si>
    <t>6338122</t>
  </si>
  <si>
    <t>DDC  - HAMILTON PERFECTION ROLLER SLV - SHORT MIDI</t>
  </si>
  <si>
    <t>6338123</t>
  </si>
  <si>
    <t>DDC  - HAMILTON PERFECTION ROLLER SLV - SHORT 9"</t>
  </si>
  <si>
    <t>6338124</t>
  </si>
  <si>
    <t>DDC  - HAMILTON PERFECTION ROLLER SLV - LONG 9"</t>
  </si>
  <si>
    <t>6338125</t>
  </si>
  <si>
    <t>DDC  - HAMILTON PERFECTION ROLLER SLV - LONG 12"</t>
  </si>
  <si>
    <t>6338126</t>
  </si>
  <si>
    <t>DDC  - HAMILTON PERFECTION ROLLER SLV - X-LONG MID</t>
  </si>
  <si>
    <t>6338127</t>
  </si>
  <si>
    <t>DDC  - HAMILTON PERFECTION ROLLER SLV - X-LONG 9"</t>
  </si>
  <si>
    <t>6338131</t>
  </si>
  <si>
    <t>DDC  - HAMILTON PERFECTION ROLLER SLV - MEDIUM 9"</t>
  </si>
  <si>
    <t>6338141</t>
  </si>
  <si>
    <t xml:space="preserve">DDC  - HAMILTON PERFECTION ROLLER SLV - LONG MIDI </t>
  </si>
  <si>
    <t>6338142</t>
  </si>
  <si>
    <t>DDC  - HAMILTON PERFECTION ROLLER SLV - X-LONG 12"</t>
  </si>
  <si>
    <t>6342500A</t>
  </si>
  <si>
    <t>6342542A</t>
  </si>
  <si>
    <t>6342575A</t>
  </si>
  <si>
    <t>DDC 22 Piece Mini Scuttle Kit - 4"</t>
  </si>
  <si>
    <t>6342677</t>
  </si>
  <si>
    <t>HAMILTON PRESTIGE SYNTH 3 BRUSH SET - 1" 1.5" &amp; 2"</t>
  </si>
  <si>
    <t>6343027</t>
  </si>
  <si>
    <t>COBO68521356 - COLOR BOX - UNI - DRK BGE</t>
  </si>
  <si>
    <t>6344593A</t>
  </si>
  <si>
    <t>6344597A</t>
  </si>
  <si>
    <t>6344599A</t>
  </si>
  <si>
    <t>6344657A</t>
  </si>
  <si>
    <t>6344663A</t>
  </si>
  <si>
    <t>6345818</t>
  </si>
  <si>
    <t xml:space="preserve">THERMOGUARD DUALCOAT SMOKE &amp; FLAME RETARDANT MATT </t>
  </si>
  <si>
    <t>6345819</t>
  </si>
  <si>
    <t>THERMOGUARD DUALCOAT SMOKE &amp; FLAME RETARDANT EGGSH</t>
  </si>
  <si>
    <t>6345821A</t>
  </si>
  <si>
    <t>6345822A</t>
  </si>
  <si>
    <t>6345843A</t>
  </si>
  <si>
    <t>6345844A</t>
  </si>
  <si>
    <t>6345849A</t>
  </si>
  <si>
    <t>Zinsser Allcoat Water-based White 10L</t>
  </si>
  <si>
    <t>6345853A</t>
  </si>
  <si>
    <t>6345854A</t>
  </si>
  <si>
    <t>6345855A</t>
  </si>
  <si>
    <t>6345856A</t>
  </si>
  <si>
    <t>6345857A</t>
  </si>
  <si>
    <t>6345858A</t>
  </si>
  <si>
    <t>6345859A</t>
  </si>
  <si>
    <t>6345860A</t>
  </si>
  <si>
    <t>6345861A</t>
  </si>
  <si>
    <t>6345862A</t>
  </si>
  <si>
    <t>6346664</t>
  </si>
  <si>
    <t>DDC  - OX TOOLS FFP2 MOULDED CUP RESPIRATOR - 3 PA</t>
  </si>
  <si>
    <t>6346672</t>
  </si>
  <si>
    <t>DDC  - OX TOOLS FFP2 MOULDED CUP RESPIRATOR - 20 P</t>
  </si>
  <si>
    <t>6346673</t>
  </si>
  <si>
    <t>DDC  - OX FFP2VO VALVED ODOUR MASK - 2 PACK</t>
  </si>
  <si>
    <t>6346674</t>
  </si>
  <si>
    <t>DDC  - OX TOOLS FFP1 MOULDED CUP RESPIRATOR - 20 P</t>
  </si>
  <si>
    <t>6346690</t>
  </si>
  <si>
    <t>DDC  - OX TOOLS NITRILE DISPOSABLE GLOVE 100PK XL</t>
  </si>
  <si>
    <t>6347309</t>
  </si>
  <si>
    <t>DDC  - OSMO SPRAY CLEANER INTERIOR 500ML</t>
  </si>
  <si>
    <t>6347311</t>
  </si>
  <si>
    <t>DDC  - OSMO DECKING OIL TEAK 2.5L</t>
  </si>
  <si>
    <t>6347314</t>
  </si>
  <si>
    <t>DDC  - OSMO UV PROTECTION OIL NATURAL 750ML</t>
  </si>
  <si>
    <t>6347315</t>
  </si>
  <si>
    <t>DDC  - OSMO UV PROTECTION OIL NATURAL 2.5L</t>
  </si>
  <si>
    <t>6347316</t>
  </si>
  <si>
    <t>DDC  - OSMO UV PROTECTION OIL CEDAR 750ML</t>
  </si>
  <si>
    <t>6347317</t>
  </si>
  <si>
    <t>DDC  - OSMO UV PROTECTION OIL CEDAR 2.5L</t>
  </si>
  <si>
    <t>6347318</t>
  </si>
  <si>
    <t>DDC  - OSMO UV PROTECTION OIL LARCH 750ML</t>
  </si>
  <si>
    <t>6347319</t>
  </si>
  <si>
    <t>DDC  - OSMO UV PROTECTION OIL LARCH 2.5L</t>
  </si>
  <si>
    <t>6350790A</t>
  </si>
  <si>
    <t>6351631A</t>
  </si>
  <si>
    <t>6352798A</t>
  </si>
  <si>
    <t>6352799A</t>
  </si>
  <si>
    <t>6352807A</t>
  </si>
  <si>
    <t>6352808A</t>
  </si>
  <si>
    <t>6352809A</t>
  </si>
  <si>
    <t>6352810A</t>
  </si>
  <si>
    <t>6352826A</t>
  </si>
  <si>
    <t>6352827A</t>
  </si>
  <si>
    <t>6352828A</t>
  </si>
  <si>
    <t>6352829A</t>
  </si>
  <si>
    <t>6352830A</t>
  </si>
  <si>
    <t>6352841A</t>
  </si>
  <si>
    <t>6352843A</t>
  </si>
  <si>
    <t>6352844A</t>
  </si>
  <si>
    <t>6352845A</t>
  </si>
  <si>
    <t>6352846A</t>
  </si>
  <si>
    <t>6352847A</t>
  </si>
  <si>
    <t>6352848A</t>
  </si>
  <si>
    <t>6352849A</t>
  </si>
  <si>
    <t>6352850A</t>
  </si>
  <si>
    <t>6352887A</t>
  </si>
  <si>
    <t>6352919A</t>
  </si>
  <si>
    <t>6352920A</t>
  </si>
  <si>
    <t>6352921A</t>
  </si>
  <si>
    <t>6352937A</t>
  </si>
  <si>
    <t>6352941A</t>
  </si>
  <si>
    <t>6352942A</t>
  </si>
  <si>
    <t>6352943A</t>
  </si>
  <si>
    <t>6352960A</t>
  </si>
  <si>
    <t>6352971A</t>
  </si>
  <si>
    <t>6352972A</t>
  </si>
  <si>
    <t>6352973A</t>
  </si>
  <si>
    <t>6352974A</t>
  </si>
  <si>
    <t>6352975A</t>
  </si>
  <si>
    <t>6352979A</t>
  </si>
  <si>
    <t>6352980A</t>
  </si>
  <si>
    <t>6352981A</t>
  </si>
  <si>
    <t>6352982A</t>
  </si>
  <si>
    <t>6352983A</t>
  </si>
  <si>
    <t>6352984A</t>
  </si>
  <si>
    <t>6360765A</t>
  </si>
  <si>
    <t>6360784A</t>
  </si>
  <si>
    <t>6360791A</t>
  </si>
  <si>
    <t>6360902A</t>
  </si>
  <si>
    <t>Graco Fine Finish Green Tip LP519</t>
  </si>
  <si>
    <t>6361274A</t>
  </si>
  <si>
    <t>6361368A</t>
  </si>
  <si>
    <t>6361908A</t>
  </si>
  <si>
    <t>6362252A</t>
  </si>
  <si>
    <t>6362650A</t>
  </si>
  <si>
    <t>6362674A</t>
  </si>
  <si>
    <t>6362799</t>
  </si>
  <si>
    <t>DDC  - MIRKA ABRANET ACE HD 150MM P60 BOX OF 25</t>
  </si>
  <si>
    <t>6362807</t>
  </si>
  <si>
    <t>DDC  - MIRKA ABRANET ACE HD 150MM P40 BOX OF 25</t>
  </si>
  <si>
    <t>6363411</t>
  </si>
  <si>
    <t>DDC  - MIRKA SLEEVE FOR HOSE AND CABLE - 3.5M</t>
  </si>
  <si>
    <t>6364268</t>
  </si>
  <si>
    <t>DDC  - OX FFP2V REPLACEMENT FILTER FOR RESP W/SPEC</t>
  </si>
  <si>
    <t>6364269</t>
  </si>
  <si>
    <t>DDC  - OX SAFETY DISPOSABLE MASK (NON TOXIC) - PAC</t>
  </si>
  <si>
    <t>6364869A</t>
  </si>
  <si>
    <t>Graco Fine Finish Green Tip LP517</t>
  </si>
  <si>
    <t>6365220A</t>
  </si>
  <si>
    <t>6365228A</t>
  </si>
  <si>
    <t>6365251A</t>
  </si>
  <si>
    <t>6365254A</t>
  </si>
  <si>
    <t>6365257A</t>
  </si>
  <si>
    <t>6365273A</t>
  </si>
  <si>
    <t>6367671</t>
  </si>
  <si>
    <t>COTTON T-SHIRT WIPES 10KG</t>
  </si>
  <si>
    <t>6372915A</t>
  </si>
  <si>
    <t>6372916A</t>
  </si>
  <si>
    <t>6372926A</t>
  </si>
  <si>
    <t>6373135A</t>
  </si>
  <si>
    <t>6373242A</t>
  </si>
  <si>
    <t>6373251A</t>
  </si>
  <si>
    <t>6373274A</t>
  </si>
  <si>
    <t>6374199</t>
  </si>
  <si>
    <t>DDC  - LIBERON RETOUCH CRAYONS KITCHEN 3PK</t>
  </si>
  <si>
    <t>6374205</t>
  </si>
  <si>
    <t>DDC  - LIBERON RETOUCH CRAYONS MAHOGANY 3PK</t>
  </si>
  <si>
    <t>6374219</t>
  </si>
  <si>
    <t>DDC  - LIBERON PALETTE WOOD DYE VICTORIAN MAHOGANY</t>
  </si>
  <si>
    <t>6374221</t>
  </si>
  <si>
    <t>DDC  - LIBERON RETOUCH CRAYONS WALNUT 3PK</t>
  </si>
  <si>
    <t>6374240</t>
  </si>
  <si>
    <t>DDC  - LIBERON IRON PASTE 250ML</t>
  </si>
  <si>
    <t>6374252</t>
  </si>
  <si>
    <t>DDC  - LIBERON PALETTE WOOD DYE WALNUT 500ML</t>
  </si>
  <si>
    <t>6374257</t>
  </si>
  <si>
    <t>DDC  - LIBERON STONE FLOOR SEALER 5L</t>
  </si>
  <si>
    <t>6376364</t>
  </si>
  <si>
    <t>DDC  - RUSTINS STEEL WOOL COARSE 150G</t>
  </si>
  <si>
    <t>6376413</t>
  </si>
  <si>
    <t>DDC  - RUSTINS BRICK &amp; TILE MATT RED 5L</t>
  </si>
  <si>
    <t>6376459</t>
  </si>
  <si>
    <t>DDC  - RUSTINS RADIATOR ENAMEL SATIN 500ML</t>
  </si>
  <si>
    <t>6376482</t>
  </si>
  <si>
    <t>DDC  - RUSTINS RADIATOR ENAMEL SATIN 250ML</t>
  </si>
  <si>
    <t>6376629</t>
  </si>
  <si>
    <t>DDC  - GEOCEL TOP GUN FRAME SEALANT NATURAL C3 310</t>
  </si>
  <si>
    <t>6376645</t>
  </si>
  <si>
    <t>DDC  - GEOCEL TOP GUN FRAME SEALANT GREY C3 310ML</t>
  </si>
  <si>
    <t>6376646</t>
  </si>
  <si>
    <t>DDC  - GEOCEL TOP GUN FRAME SEALANT WHITE C3 310ML</t>
  </si>
  <si>
    <t>6376678</t>
  </si>
  <si>
    <t>DDC  - TESA GENERAL PURPOSE MASKING TAPE 75MM</t>
  </si>
  <si>
    <t>6376688</t>
  </si>
  <si>
    <t>DDC  - TETRA MOULD CLEANER 500ML</t>
  </si>
  <si>
    <t>6376697</t>
  </si>
  <si>
    <t>DDC  - TETRION SUGARSOAP CONCENTRATE 500ML</t>
  </si>
  <si>
    <t>6376711</t>
  </si>
  <si>
    <t>DDC  - TETRION BRUSH CLEANER 500ML</t>
  </si>
  <si>
    <t>6376829</t>
  </si>
  <si>
    <t>DDC  - BLACKFRIAR EXT VARN GLOSS UV55 OAK 1L</t>
  </si>
  <si>
    <t>6376839</t>
  </si>
  <si>
    <t>DDC  - BLACKFRIAR D/TOUGH SATIN VARN ANT PINE 1L</t>
  </si>
  <si>
    <t>6376852</t>
  </si>
  <si>
    <t>DDC  - BLACKFRIAR EXT VARN GLOSS UV44 MAHOG 1L</t>
  </si>
  <si>
    <t>6376858</t>
  </si>
  <si>
    <t>DDC  - BLACKFRIAR PATENT KNOTTING 125ML</t>
  </si>
  <si>
    <t>6376886</t>
  </si>
  <si>
    <t>DDC  - BLACKFRIAR CONCENTRATED FUNGI WASH 240ML</t>
  </si>
  <si>
    <t>6376895</t>
  </si>
  <si>
    <t>DDC  - BLACKFRIAR ALUM WOOD PRIMER 2.5L</t>
  </si>
  <si>
    <t>6376946</t>
  </si>
  <si>
    <t>DDC  - RUST-OLEUM 7100 SNGL FLR PAINT BLACK RAL900</t>
  </si>
  <si>
    <t>6376947</t>
  </si>
  <si>
    <t>DDC  - RUST-OLEUM 7100 SNGL FLR PAINT TRAF YLL RAL</t>
  </si>
  <si>
    <t>6376953</t>
  </si>
  <si>
    <t>DDC  - RUST-OLEUM 7100 SNGL FLR PAINT ENG RED 5L</t>
  </si>
  <si>
    <t>6376954</t>
  </si>
  <si>
    <t>DDC  - RUST-OLEUM 7100 SNGL FLR PAINT STL GRY RAL7</t>
  </si>
  <si>
    <t>6376957</t>
  </si>
  <si>
    <t>DDC  - RUST-OLEUM COMBICOL M/SURF GLOSS RAL1018 LY</t>
  </si>
  <si>
    <t>6376963</t>
  </si>
  <si>
    <t>DDC  - RUST-OLEUM 7100 SNGL FLR PAINT TRAF BLU RAL</t>
  </si>
  <si>
    <t>6376967</t>
  </si>
  <si>
    <t>DDC  - RUST-OLEUM COMBICOL M/SURF GLOSS RAL7001 SG</t>
  </si>
  <si>
    <t>6376972</t>
  </si>
  <si>
    <t>DDC  - RUST-OLEUM 7100 SNGL FLR PAINT MSS GRN RAL6</t>
  </si>
  <si>
    <t>6376973</t>
  </si>
  <si>
    <t>DDC  - RUST-OLEUM 7100 SNGL FLR PAINT WHITE RAL901</t>
  </si>
  <si>
    <t>6376977</t>
  </si>
  <si>
    <t>6377009</t>
  </si>
  <si>
    <t>DDC  - RUST-OLEUM 7100 SNGL FLR/PT LIGHT GREY RAL7</t>
  </si>
  <si>
    <t>6377037</t>
  </si>
  <si>
    <t>ZINSSER ALLCOAT EXT W/B SATIN TINTED (TRANS) 1L</t>
  </si>
  <si>
    <t>6377058</t>
  </si>
  <si>
    <t>DDC  - TOUPRET MULTIPURPOSE FILLER 2KG</t>
  </si>
  <si>
    <t>6377064</t>
  </si>
  <si>
    <t>DDC  - TOUPRET PLASTER OF PARIS 4KG</t>
  </si>
  <si>
    <t>6377066</t>
  </si>
  <si>
    <t>DDC  - TOUPRET ADHESIVE SCRIM 5CM X 20M</t>
  </si>
  <si>
    <t>6377073</t>
  </si>
  <si>
    <t>DDC  - TOUPRET MULTIPURPOSE FILLER 10KG</t>
  </si>
  <si>
    <t>6377076</t>
  </si>
  <si>
    <t>DDC  - TOUPRET WOOD REPAIR POWDER 2KG</t>
  </si>
  <si>
    <t>6377084</t>
  </si>
  <si>
    <t>DDC  - TOUPRET MULTIPURPOSE FILLER 5KG</t>
  </si>
  <si>
    <t>6377088A</t>
  </si>
  <si>
    <t>6377091A</t>
  </si>
  <si>
    <t>6377135</t>
  </si>
  <si>
    <t>DDC  - LIBERON WOOD FILLER MAHOGANY 125ML</t>
  </si>
  <si>
    <t>6377147</t>
  </si>
  <si>
    <t xml:space="preserve">DDC  - LIBERON SUPERIOR DANISH OIL WITH UV FILTER </t>
  </si>
  <si>
    <t>6377149</t>
  </si>
  <si>
    <t>DDC  - LIBERON DECKING OIL TEAK 5L</t>
  </si>
  <si>
    <t>6377155</t>
  </si>
  <si>
    <t>DDC  - LIBERON DECKING OIL CLEAR 5L</t>
  </si>
  <si>
    <t>6377156</t>
  </si>
  <si>
    <t>DDC  - LIBERON SUPERIOR DANISH OIL 250ML</t>
  </si>
  <si>
    <t>6377157</t>
  </si>
  <si>
    <t>DDC  - LIBERON EXTERIOR WOOD PROTECTOR CLEAR 2.5L</t>
  </si>
  <si>
    <t>6377158</t>
  </si>
  <si>
    <t>DDC  - HAMILTON PRESTIGE LINING TOOL 0.75IN</t>
  </si>
  <si>
    <t>6377160</t>
  </si>
  <si>
    <t>DDC  - HAMILTON PRESTIGE SCRATCH BRUSH &amp; SCRAPER 4</t>
  </si>
  <si>
    <t>6377161</t>
  </si>
  <si>
    <t>DDC  - LIBERON DECKING OIL CLEAR 2.5L</t>
  </si>
  <si>
    <t>6377162</t>
  </si>
  <si>
    <t>6377164</t>
  </si>
  <si>
    <t xml:space="preserve">DDC  - LIBERON CLR/CARE DECKING PAINT LIGHT BROWN </t>
  </si>
  <si>
    <t>6377167</t>
  </si>
  <si>
    <t>DDC  - HAMILTON PRESTIGE LINING TOOL 1IN</t>
  </si>
  <si>
    <t>6377170</t>
  </si>
  <si>
    <t>DDC  - HAMILTON PRESTIGE ROUND FITCH BRUSH SIZE 10</t>
  </si>
  <si>
    <t>6377171</t>
  </si>
  <si>
    <t>6377181</t>
  </si>
  <si>
    <t>DDC  - HAMILTON PRESTIGE LINING TOOL 0.25IN</t>
  </si>
  <si>
    <t>6377184</t>
  </si>
  <si>
    <t>DDC  - HAMILTON PRESTIGE ROUND FITCH BRUSH SIZE 8</t>
  </si>
  <si>
    <t>6377189</t>
  </si>
  <si>
    <t>DDC  - HAMILTON PRESTIGE SASH BRUSH BRISTLE 18MM</t>
  </si>
  <si>
    <t>6377201</t>
  </si>
  <si>
    <t>DDC  - HAMILTON PRESTIGE LINING TOOL 3PK</t>
  </si>
  <si>
    <t>6377205</t>
  </si>
  <si>
    <t>DDC  - HAMILTON PRESTIGE BRISTLE BRUSH 0.5IN</t>
  </si>
  <si>
    <t>6377221</t>
  </si>
  <si>
    <t>DDC  - HAMILTON WOODEN FRAME 9IN</t>
  </si>
  <si>
    <t>6377867</t>
  </si>
  <si>
    <t>DDC  - COO-VAR BRICK &amp; TILE MATT WB 500ML</t>
  </si>
  <si>
    <t>6377901</t>
  </si>
  <si>
    <t>DDC  - COO-VAR RED OXIDE PRIMER 250ML</t>
  </si>
  <si>
    <t>6377980</t>
  </si>
  <si>
    <t>DDC  - HAMILTON PERFORMANCE EXTRA LONG PILE 9IN</t>
  </si>
  <si>
    <t>6378000</t>
  </si>
  <si>
    <t xml:space="preserve">DDC  - HAMILTON PERFECTION ADJ DBL ARM SCRWFT FRM </t>
  </si>
  <si>
    <t>6378004</t>
  </si>
  <si>
    <t>DDC  - HAMILTON PERFORMANCE PLASTIC HNDL 0.75IN</t>
  </si>
  <si>
    <t>6378005</t>
  </si>
  <si>
    <t xml:space="preserve">DDC  - HAMILTON PERFECTION CAST ALU DBL ARM FRAME </t>
  </si>
  <si>
    <t>6378008</t>
  </si>
  <si>
    <t>DDC  - HAMILTON PERFECTION ROLLER SHEEPSKIN 9IN</t>
  </si>
  <si>
    <t>6378025</t>
  </si>
  <si>
    <t>DDC  - HAMILTON PERFECTION ROLLER LONG 15IN</t>
  </si>
  <si>
    <t>6378031</t>
  </si>
  <si>
    <t>DDC  - HAMILTON PERFECTION EXTENSION POLE ADAPTOR</t>
  </si>
  <si>
    <t>6378039A</t>
  </si>
  <si>
    <t>6378044</t>
  </si>
  <si>
    <t>DDC  - HAMILTON PERFECTION ROLLER MEDIUM 15IN</t>
  </si>
  <si>
    <t>6378045</t>
  </si>
  <si>
    <t>DDC  - HAMILTON PERFECTION ROLLER SHEEPSKIN 12IN</t>
  </si>
  <si>
    <t>6378051</t>
  </si>
  <si>
    <t>DDC  - HAMILTON PERFORMANCE WIRE SCRATCH BRUSH 4 R</t>
  </si>
  <si>
    <t>6378726A</t>
  </si>
  <si>
    <t>6378736A</t>
  </si>
  <si>
    <t>6380604A</t>
  </si>
  <si>
    <t>6380982A</t>
  </si>
  <si>
    <t>6383049A</t>
  </si>
  <si>
    <t>Hamilton Round Fitch Brush 5pk</t>
  </si>
  <si>
    <t>6383050A</t>
  </si>
  <si>
    <t>Hamilton Flat Fitch Brush 5pk</t>
  </si>
  <si>
    <t>6383111A</t>
  </si>
  <si>
    <t>6383564A</t>
  </si>
  <si>
    <t>6383625</t>
  </si>
  <si>
    <t>DDC  - HAMILTON ROUND FITCH 5 BRUSH PACK</t>
  </si>
  <si>
    <t>6383626</t>
  </si>
  <si>
    <t>DDC  - HAMILTON FLAT FITCH 5 BRUSH PACK</t>
  </si>
  <si>
    <t>6383640</t>
  </si>
  <si>
    <t>DDC  - HAMILTON LINING TOOL 4 BRUSH PACK</t>
  </si>
  <si>
    <t>6383739</t>
  </si>
  <si>
    <t>DDC  - POLYVINE METALLIC PEWTER 2.5L</t>
  </si>
  <si>
    <t>6383752</t>
  </si>
  <si>
    <t>DDC  - POLYVINE METALLIC PALE GOLD 2.5L</t>
  </si>
  <si>
    <t>6383766</t>
  </si>
  <si>
    <t>DDC  - POLYVINE METALLIC ANTIQUE GOLD 2.5L</t>
  </si>
  <si>
    <t>6383771</t>
  </si>
  <si>
    <t>DDC  - POLYVINE METALLIC COPPER 2.5L</t>
  </si>
  <si>
    <t>6383772</t>
  </si>
  <si>
    <t>DDC  - POLYVINE METALLIC SHIMMER 2.5L</t>
  </si>
  <si>
    <t>6383929A</t>
  </si>
  <si>
    <t>6383953A</t>
  </si>
  <si>
    <t>6383954A</t>
  </si>
  <si>
    <t>6383955A</t>
  </si>
  <si>
    <t>6383956A</t>
  </si>
  <si>
    <t>6383959A</t>
  </si>
  <si>
    <t>6383960A</t>
  </si>
  <si>
    <t>6383963A</t>
  </si>
  <si>
    <t>6384971A</t>
  </si>
  <si>
    <t>6385002A</t>
  </si>
  <si>
    <t>6385005A</t>
  </si>
  <si>
    <t>6385217</t>
  </si>
  <si>
    <t>DDC  - OSMO DOOR OIL - RAW 1L</t>
  </si>
  <si>
    <t>6386660A</t>
  </si>
  <si>
    <t>6386661A</t>
  </si>
  <si>
    <t>Repair Care Dry Flex 4</t>
  </si>
  <si>
    <t>6386662A</t>
  </si>
  <si>
    <t>6386664A</t>
  </si>
  <si>
    <t>6386665A</t>
  </si>
  <si>
    <t>6386669A</t>
  </si>
  <si>
    <t>6386670A</t>
  </si>
  <si>
    <t>6386671A</t>
  </si>
  <si>
    <t>6386672A</t>
  </si>
  <si>
    <t>Repair Care Scraper</t>
  </si>
  <si>
    <t>6386673A</t>
  </si>
  <si>
    <t>6389155A</t>
  </si>
  <si>
    <t>6389298A</t>
  </si>
  <si>
    <t>6389310A</t>
  </si>
  <si>
    <t>6389324A</t>
  </si>
  <si>
    <t>6389325A</t>
  </si>
  <si>
    <t>6389331A</t>
  </si>
  <si>
    <t>6389536A</t>
  </si>
  <si>
    <t>6389621A</t>
  </si>
  <si>
    <t>6389622A</t>
  </si>
  <si>
    <t>6389623A</t>
  </si>
  <si>
    <t>6390501A</t>
  </si>
  <si>
    <t>6390503A</t>
  </si>
  <si>
    <t>6390505A</t>
  </si>
  <si>
    <t>6390506A</t>
  </si>
  <si>
    <t>6390507A</t>
  </si>
  <si>
    <t>6390508A</t>
  </si>
  <si>
    <t>6390509A</t>
  </si>
  <si>
    <t>6390510A</t>
  </si>
  <si>
    <t>6390512A</t>
  </si>
  <si>
    <t>6390513A</t>
  </si>
  <si>
    <t>6390514A</t>
  </si>
  <si>
    <t>6390516A</t>
  </si>
  <si>
    <t>6390517A</t>
  </si>
  <si>
    <t>6390518A</t>
  </si>
  <si>
    <t>6390519A</t>
  </si>
  <si>
    <t>6390521A</t>
  </si>
  <si>
    <t>6390522A</t>
  </si>
  <si>
    <t>6390523A</t>
  </si>
  <si>
    <t>6390524A</t>
  </si>
  <si>
    <t>6390525A</t>
  </si>
  <si>
    <t>6390742</t>
  </si>
  <si>
    <t>DDC  - OSMO BRUSH CLEANER &amp; THINNER 1L</t>
  </si>
  <si>
    <t>6390790A</t>
  </si>
  <si>
    <t>6390792A</t>
  </si>
  <si>
    <t xml:space="preserve">Graco UltraMax II 695 ProContractor BlueLink 110V </t>
  </si>
  <si>
    <t>6390793A</t>
  </si>
  <si>
    <t>6390806A</t>
  </si>
  <si>
    <t>6391320A</t>
  </si>
  <si>
    <t>6391490A</t>
  </si>
  <si>
    <t>6391500A</t>
  </si>
  <si>
    <t>6391511A</t>
  </si>
  <si>
    <t>6391534A</t>
  </si>
  <si>
    <t>6391535A</t>
  </si>
  <si>
    <t>6391536A</t>
  </si>
  <si>
    <t>6391541A</t>
  </si>
  <si>
    <t>6391543A</t>
  </si>
  <si>
    <t>6391545A</t>
  </si>
  <si>
    <t>6391551A</t>
  </si>
  <si>
    <t>6391561A</t>
  </si>
  <si>
    <t>6392107A</t>
  </si>
  <si>
    <t>6392108A</t>
  </si>
  <si>
    <t>6392118A</t>
  </si>
  <si>
    <t>6392195A</t>
  </si>
  <si>
    <t>Hamilton Perfection Roll Sleeve Shrt Mid 4"</t>
  </si>
  <si>
    <t>6392196A</t>
  </si>
  <si>
    <t>Hamilton Perfection Roll Sleeve Med Mid 4"</t>
  </si>
  <si>
    <t>6392199A</t>
  </si>
  <si>
    <t>Hamilton Perfection Roll Sleeve Short 9"</t>
  </si>
  <si>
    <t>6392200A</t>
  </si>
  <si>
    <t>Hamilton Perfection Roll Sleeve Med 9"</t>
  </si>
  <si>
    <t>6392205A</t>
  </si>
  <si>
    <t>6392256A</t>
  </si>
  <si>
    <t>Hamilton Prestige Syn Oval Angle Brush 25mm</t>
  </si>
  <si>
    <t>6392257A</t>
  </si>
  <si>
    <t>Hamilton Prestige Syn Oval Angle Brush 35mm</t>
  </si>
  <si>
    <t>6392291A</t>
  </si>
  <si>
    <t>Hamilton Heavy Duty Scraper 50MM</t>
  </si>
  <si>
    <t>6392301A</t>
  </si>
  <si>
    <t>Hamilton Perfection Roll Sleeve Long 9"</t>
  </si>
  <si>
    <t>6392302A</t>
  </si>
  <si>
    <t>Hamilton Perfection Roll Sleeve X-Long 9"</t>
  </si>
  <si>
    <t>6392303A</t>
  </si>
  <si>
    <t>Hamilton Perfection Roller Sleeve Med 12"</t>
  </si>
  <si>
    <t>6392304A</t>
  </si>
  <si>
    <t>Hamilton Perfection Roll Sleeve Long 12"</t>
  </si>
  <si>
    <t>6392305A</t>
  </si>
  <si>
    <t>Hamilton Perfection Roll Sleeve X-Long 12"</t>
  </si>
  <si>
    <t>6392574A</t>
  </si>
  <si>
    <t>6392934A</t>
  </si>
  <si>
    <t>6392935A</t>
  </si>
  <si>
    <t>DDC Interior Brush 6"</t>
  </si>
  <si>
    <t>6392936A</t>
  </si>
  <si>
    <t>DDC Interior Brush 4"</t>
  </si>
  <si>
    <t>6393688A</t>
  </si>
  <si>
    <t>6393689A</t>
  </si>
  <si>
    <t>6393986A</t>
  </si>
  <si>
    <t>6394052A</t>
  </si>
  <si>
    <t>6394089A</t>
  </si>
  <si>
    <t>6394164A</t>
  </si>
  <si>
    <t>6394165A</t>
  </si>
  <si>
    <t>6394196A</t>
  </si>
  <si>
    <t>6394197A</t>
  </si>
  <si>
    <t>6394214A</t>
  </si>
  <si>
    <t>6394223A</t>
  </si>
  <si>
    <t>6394224A</t>
  </si>
  <si>
    <t>6394225A</t>
  </si>
  <si>
    <t>6394226A</t>
  </si>
  <si>
    <t>6394415A</t>
  </si>
  <si>
    <t>6394467A</t>
  </si>
  <si>
    <t>6394759A</t>
  </si>
  <si>
    <t>6394828A</t>
  </si>
  <si>
    <t>6394837A</t>
  </si>
  <si>
    <t>6394892A</t>
  </si>
  <si>
    <t>6395683A</t>
  </si>
  <si>
    <t>Purdy XL Cub 2" Brush</t>
  </si>
  <si>
    <t>6395703A</t>
  </si>
  <si>
    <t>6395772A</t>
  </si>
  <si>
    <t>6395773A</t>
  </si>
  <si>
    <t>6396799A</t>
  </si>
  <si>
    <t>6396802A</t>
  </si>
  <si>
    <t>6396803A</t>
  </si>
  <si>
    <t>6396904A</t>
  </si>
  <si>
    <t>6396927A</t>
  </si>
  <si>
    <t>6396928A</t>
  </si>
  <si>
    <t>6396929A</t>
  </si>
  <si>
    <t>6396941A</t>
  </si>
  <si>
    <t>6396942A</t>
  </si>
  <si>
    <t>6396943A</t>
  </si>
  <si>
    <t>6396944A</t>
  </si>
  <si>
    <t>6396945A</t>
  </si>
  <si>
    <t>6396946A</t>
  </si>
  <si>
    <t>6396952A</t>
  </si>
  <si>
    <t>6396953A</t>
  </si>
  <si>
    <t>6396955A</t>
  </si>
  <si>
    <t>6396956A</t>
  </si>
  <si>
    <t>6396957A</t>
  </si>
  <si>
    <t>6396958A</t>
  </si>
  <si>
    <t>6396960A</t>
  </si>
  <si>
    <t>6398033</t>
  </si>
  <si>
    <t>DDC  - MIRKA LEROS 950CV DUAL VOLTAGE KIT</t>
  </si>
  <si>
    <t>6398033A</t>
  </si>
  <si>
    <t>Mirka Leros 950CV Dual Voltage Kit</t>
  </si>
  <si>
    <t>6398215A</t>
  </si>
  <si>
    <t>6398717A</t>
  </si>
  <si>
    <t>6399001</t>
  </si>
  <si>
    <t>Akzo DDC - Mirka® LEROS 950 CV Dual Voltage Deco K</t>
  </si>
  <si>
    <t>6399001A</t>
  </si>
  <si>
    <t>Mirka LEROS 950 CV Dual Voltage Deco Kit</t>
  </si>
  <si>
    <t>6399023</t>
  </si>
  <si>
    <t>Akzo DDC - Mirka® DEOS 110v 81x133mm Deco Kit</t>
  </si>
  <si>
    <t>6399023A</t>
  </si>
  <si>
    <t>Mirka DEOS 110v 81x133mm Deco Kit</t>
  </si>
  <si>
    <t>6399347A</t>
  </si>
  <si>
    <t>6399759A</t>
  </si>
  <si>
    <t>6401600A</t>
  </si>
  <si>
    <t>6402025A</t>
  </si>
  <si>
    <t>6402177</t>
  </si>
  <si>
    <t>Akzo DDC - Mirka® DEOS Delta Promotional Kit 230v</t>
  </si>
  <si>
    <t>6402177A</t>
  </si>
  <si>
    <t>Mirka DEOS Delta Promotional Kit 230v</t>
  </si>
  <si>
    <t>6402601A</t>
  </si>
  <si>
    <t>6403431</t>
  </si>
  <si>
    <t xml:space="preserve">Akzo DDC - Repair Care Smart Line Nitril Gloves L </t>
  </si>
  <si>
    <t>6403431A</t>
  </si>
  <si>
    <t>Repair Care Smart Line Nitril Gloves L 50 Pack</t>
  </si>
  <si>
    <t>6403469A</t>
  </si>
  <si>
    <t>6403566A</t>
  </si>
  <si>
    <t>6403583A</t>
  </si>
  <si>
    <t>6403630A</t>
  </si>
  <si>
    <t>6403637A</t>
  </si>
  <si>
    <t>6403648A</t>
  </si>
  <si>
    <t>6403654A</t>
  </si>
  <si>
    <t>6403712A</t>
  </si>
  <si>
    <t>6403715A</t>
  </si>
  <si>
    <t>6403727A</t>
  </si>
  <si>
    <t>6403730A</t>
  </si>
  <si>
    <t>6403738A</t>
  </si>
  <si>
    <t>6403744A</t>
  </si>
  <si>
    <t>6403851A</t>
  </si>
  <si>
    <t>AF37735-Abby Rose 4-Multi-coloured</t>
  </si>
  <si>
    <t>6403854A</t>
  </si>
  <si>
    <t>AF37748-Abby Rose 4-Beige</t>
  </si>
  <si>
    <t>6403860</t>
  </si>
  <si>
    <t>Akzo DDC - Chroma W7360-29</t>
  </si>
  <si>
    <t>6403921</t>
  </si>
  <si>
    <t>Akzo DDC - Zingrina W6582-07</t>
  </si>
  <si>
    <t>6403926</t>
  </si>
  <si>
    <t>Akzo DDC - Knot Garden W7455-01</t>
  </si>
  <si>
    <t>6404055A</t>
  </si>
  <si>
    <t>6404056A</t>
  </si>
  <si>
    <t>6404057A</t>
  </si>
  <si>
    <t>Repair Care Dry Flex 1 A&amp;B</t>
  </si>
  <si>
    <t>6405828</t>
  </si>
  <si>
    <t>MIRKA ABRANET 115MMX2.5M P180</t>
  </si>
  <si>
    <t>6407796A</t>
  </si>
  <si>
    <t>Repair Care Dry Flex 16 A&amp;B</t>
  </si>
  <si>
    <t>6410329A</t>
  </si>
  <si>
    <t>6410384A</t>
  </si>
  <si>
    <t>6414008A</t>
  </si>
  <si>
    <t>6414009A</t>
  </si>
  <si>
    <t>6414040A</t>
  </si>
  <si>
    <t>6414041A</t>
  </si>
  <si>
    <t>6414042A</t>
  </si>
  <si>
    <t>6414043A</t>
  </si>
  <si>
    <t>6416399</t>
  </si>
  <si>
    <t>6416425A</t>
  </si>
  <si>
    <t>6416430A</t>
  </si>
  <si>
    <t>Hamilton Perfection Bristle Brush 2"</t>
  </si>
  <si>
    <t>6416432A</t>
  </si>
  <si>
    <t>Hamilton Perfection Synthetic Brush 1.5"</t>
  </si>
  <si>
    <t>6416433A</t>
  </si>
  <si>
    <t>Hamilton Perfection Bristle Window Brush 0.75"</t>
  </si>
  <si>
    <t>6416434A</t>
  </si>
  <si>
    <t>Hamilton Perfection Bristle Brush 1"</t>
  </si>
  <si>
    <t>6416435A</t>
  </si>
  <si>
    <t>Hamilton Perfection Bristle Brush 1.5"</t>
  </si>
  <si>
    <t>6416437A</t>
  </si>
  <si>
    <t>Hamilton Perfection Bristle Brush 3"</t>
  </si>
  <si>
    <t>6416438A</t>
  </si>
  <si>
    <t>Hamilton Perfection Synthetic Brush 2"</t>
  </si>
  <si>
    <t>6416440A</t>
  </si>
  <si>
    <t>6416446</t>
  </si>
  <si>
    <t>6416468</t>
  </si>
  <si>
    <t>PRODEC ICE FUSION 1.5" CUTTING IN ANGLED BRUSH</t>
  </si>
  <si>
    <t>6418747A</t>
  </si>
  <si>
    <t>Dulux TR Supermatt Light Tint 10L</t>
  </si>
  <si>
    <t>6421124</t>
  </si>
  <si>
    <t>103517 G&amp;B ZEN COBALT</t>
  </si>
  <si>
    <t>6421398A</t>
  </si>
  <si>
    <t>6421425A</t>
  </si>
  <si>
    <t>6421455A</t>
  </si>
  <si>
    <t>6421456A</t>
  </si>
  <si>
    <t>6426347A</t>
  </si>
  <si>
    <t>Repair Care Dry Flex Super Finish 2in1 150ml</t>
  </si>
  <si>
    <t>6426384A</t>
  </si>
  <si>
    <t>Repair Care Dry Flex 1 2in1 150ml</t>
  </si>
  <si>
    <t>6426385A</t>
  </si>
  <si>
    <t>Repair Care Dry Flex 4 2in1 150ml</t>
  </si>
  <si>
    <t>6430171A</t>
  </si>
  <si>
    <t>8000223</t>
  </si>
  <si>
    <t>THERMOGUARD (SPECIAL ORDER)</t>
  </si>
  <si>
    <t>8188865</t>
  </si>
  <si>
    <t>Akzo DDC - DDC SHORT HANDLE STICK FRAME 4IN</t>
  </si>
  <si>
    <t>Dulux TR Airsure Supermatt White 10L</t>
  </si>
  <si>
    <t>Dulux TR Metalshield Quick Dry Metal Primer 1L</t>
  </si>
  <si>
    <t>Dulux TR Metalshield Quick Dry Metal Primer 5L</t>
  </si>
  <si>
    <t>Dulux TR Plus Levelling Tool</t>
  </si>
  <si>
    <t>Dulux TR Plus Smartshield clearcoat 10L</t>
  </si>
  <si>
    <t>Dulux TR Plus Thermacoat Comb</t>
  </si>
  <si>
    <t>Dulux TR Pyroshield Eggshell Light BS Tinted 5L</t>
  </si>
  <si>
    <t>Dulux TR Pyroshield Eggshell White 5L</t>
  </si>
  <si>
    <t>Dulux TR Pyroshield Fire Upgrade Basecoat 10L</t>
  </si>
  <si>
    <t>Dulux TR Pyroshield Matt Light BS Tinted 5L</t>
  </si>
  <si>
    <t>Dulux TR Pyroshield Matt White 5L</t>
  </si>
  <si>
    <t>Dulux TR W/SDT W/Shield Preservative Primer 2.5L</t>
  </si>
  <si>
    <t>Dulux TR W/Shield Preservative Primer 1L</t>
  </si>
  <si>
    <t xml:space="preserve">New Deal </t>
  </si>
  <si>
    <t xml:space="preserve">Old Deal </t>
  </si>
  <si>
    <t xml:space="preserve">DIFF </t>
  </si>
  <si>
    <t xml:space="preserve">
Sales All</t>
  </si>
  <si>
    <t>DULUX TR V/SILK PBW 10L</t>
  </si>
  <si>
    <t>DULUX TR DIAMOND GLAZE SATIN 1L</t>
  </si>
  <si>
    <t>SIKKENS CETOL HLS PLUS 006 LIGHT OAK 2.5L</t>
  </si>
  <si>
    <t>SIKKENS CETOL FILTER 7 PLUS 006 LIGHT OAK 1L</t>
  </si>
  <si>
    <t>SIKKENS CETOL FILTER 7 PLUS 009 DARK OAK 1L</t>
  </si>
  <si>
    <t>SIKKENS CETOL FILTER 7 PLUS 010 WALNUT 2.5L</t>
  </si>
  <si>
    <t>SIKKENS CETOL HLS PLUS 009 DARK OAK 1L</t>
  </si>
  <si>
    <t>SIKKENS CETOL HLS PLUS 009 DARK OAK 2.5L</t>
  </si>
  <si>
    <t>SIKKENS CETOL HLS PLUS 045 MAHOGANY 1L</t>
  </si>
  <si>
    <t>SIKKENS RUBBOL SATURA PLUS WHITE 5L</t>
  </si>
  <si>
    <t>DULUXTRWSMSNRYSMOOTHPBW75L</t>
  </si>
  <si>
    <t>POLYTEXTCEILINGCOURSEFIN5L</t>
  </si>
  <si>
    <t>DULUX TR W/S F/TEXT TINTED LIG 5L</t>
  </si>
  <si>
    <t>DULUXCDWSASBASELIGHT45L</t>
  </si>
  <si>
    <t>BLACKFRIARWOODPRIMERPNKWHITE500ML</t>
  </si>
  <si>
    <t>BLACKFRIAR QD INT VARNISH CLEAR MATT 1L</t>
  </si>
  <si>
    <t>SIKKENS RUBBOL PRIMER PLUS WHITE 2.5L</t>
  </si>
  <si>
    <t>DULUX TR DIAMOND SATINWOOD E/DEEP TINT 1L</t>
  </si>
  <si>
    <t>ZINSSER ALLCOAT EXTERIOR WB SATIN BLACK 1L</t>
  </si>
  <si>
    <t>DULUX TRADE DIAMOND MATT MEDIUM BASE 5L (TOUCH UP)</t>
  </si>
  <si>
    <t>MIRKA ABRANET DEROS 150MM GRIP P120 50PK</t>
  </si>
  <si>
    <t>TESA 4334 PRECISION MASKING TAPE 50MX38MM</t>
  </si>
  <si>
    <t>TESA 4334 PRECISION MASKING TAPE 50MX50MM</t>
  </si>
  <si>
    <t>TRADE BRUSH - 1'</t>
  </si>
  <si>
    <t>TRADE BRUSH - 2'</t>
  </si>
  <si>
    <t>TRADE BRUSH - 3'</t>
  </si>
  <si>
    <t>MIRKA ABRANET 225MM GRIP P120 10PK</t>
  </si>
  <si>
    <t>MIRKA ABRANET DEROS 150MM GRIP P120 10PK</t>
  </si>
  <si>
    <t>GRACO TSL 250ML 206994</t>
  </si>
  <si>
    <t>GRACO RAC X BLUE TIP GUARD 7/8IN 246215</t>
  </si>
  <si>
    <t>3M 244 GOLD PRECISION TAPE 36MM</t>
  </si>
  <si>
    <t>3M SCOTCH 2090 PRO MASK TAPE 24MMX50M</t>
  </si>
  <si>
    <t>3M SCOTCH 2090 PRO MASK TAPE 36MMX50M</t>
  </si>
  <si>
    <t>REPAIRCAREDOSINGGUNEACH</t>
  </si>
  <si>
    <t>GRACO MANIFOLD FILTER 60 MESH EACH</t>
  </si>
  <si>
    <t>AXUS STAINLESS STEEL WALLPAPER SCISSORS 12'</t>
  </si>
  <si>
    <t>TESA 4333 PRECISION MASKING TAPE 50MX50MM</t>
  </si>
  <si>
    <t>MIRKAGOLDPROFLEX115MMX10MROLLP180</t>
  </si>
  <si>
    <t>DDC SYNTHETIC BRUSH 2'</t>
  </si>
  <si>
    <t>DDC SYNTHETIC BRUSH 3'</t>
  </si>
  <si>
    <t>DDC WOVEN POLY ROLLER KIT 2 SLEEVES 9'</t>
  </si>
  <si>
    <t>DDC ADVANCED SIM MOHAIR SLEEVE 2PK 4'</t>
  </si>
  <si>
    <t>DDC SYNTHETIC BRUSH 1'</t>
  </si>
  <si>
    <t>DDC SYNTHETIC BRUSH 1.5'</t>
  </si>
  <si>
    <t>HAMILTONPERFECTIONROLLERSLVMEDIUMMIDI4</t>
  </si>
  <si>
    <t>HAMILTONPERFECTIONROLLERSLVXLONG12</t>
  </si>
  <si>
    <t>PURDY MARATHON 9' R/SLEEVE 1.75' CORE - 3/4' NAP</t>
  </si>
  <si>
    <t>DDC 22 PIECE MINI SCUTTLE KIT - 4'</t>
  </si>
  <si>
    <t>THERMOGUARDDUALCOATSMOKEFLAMERETARDANTEGGSHELL20SQM</t>
  </si>
  <si>
    <t>OXTOOLSNITRILEDISPOSABLEGLOVE100PKXL</t>
  </si>
  <si>
    <t>3M HAND ADVANCED PRE FOLD MASK FILM 99'</t>
  </si>
  <si>
    <t>DDC WOVEN POLYAMIDE ROLLER SCUTTLE KIT - 9'</t>
  </si>
  <si>
    <t>GRACO FINE FINISH TIP LP517</t>
  </si>
  <si>
    <t>ULTRAGRIME HUGE WIPES PACK OF 100</t>
  </si>
  <si>
    <t>FILLTITE READY TO USE WOOD FILLER DARK 325G</t>
  </si>
  <si>
    <t>INDASA SANDING SPONGE PAD P80</t>
  </si>
  <si>
    <t>INDASA SANDING SPONGE PAD P120</t>
  </si>
  <si>
    <t>GRACO RAC X BLUE TIP 517 PAA517</t>
  </si>
  <si>
    <t>3M PRO SPRAY PAINT RESPIRATOR</t>
  </si>
  <si>
    <t>3M EAR PLUGS 4 PAIR</t>
  </si>
  <si>
    <t>TFB MICROFIBRE MINI 4' 5MM NAP/10PACK</t>
  </si>
  <si>
    <t>TFB MICROFIBRE MINI 4' 10MM NAP/10PACK</t>
  </si>
  <si>
    <t>TFB MICROFIBRE MINI 4' 5MM NAP/3PACK</t>
  </si>
  <si>
    <t>TFB MICROFIBRE MINI 4' 10MM NAP/3PACK</t>
  </si>
  <si>
    <t>BLACKFRIAR PU FLOOR PAINT - MID GREY 5LT</t>
  </si>
  <si>
    <t>PRODEC ICE FUSION 2' SYNTHETIC PAINT BRUSH</t>
  </si>
  <si>
    <t>PRODEC ICE FUSION 9' ROLLER REFILL</t>
  </si>
  <si>
    <t>PRODEC ICE FUSION 4' ROLLER REFILL 2 PACK</t>
  </si>
  <si>
    <t>PURDY PARROT JUMBO MINI 4.5' 2PK</t>
  </si>
  <si>
    <t>PURDY PARROT JUMBO MINI 6.5' 2PK</t>
  </si>
  <si>
    <t>GRACO ULTRAMAX II 695 PROCONTRACTOR BLUELINK 110V 17E637</t>
  </si>
  <si>
    <t>DDC INTERIOR BRUSH 6'</t>
  </si>
  <si>
    <t>DDC INTERIOR BRUSH 4'</t>
  </si>
  <si>
    <t>PRODEC ICE FUSION 1' SYNTHETIC BRUSH</t>
  </si>
  <si>
    <t>PRODEC ICE FUSION 1.5' SYNTHETIC BRUSH</t>
  </si>
  <si>
    <t>PRODEC ICE FUSION 3' SYNTHETIC BRUSH</t>
  </si>
  <si>
    <t>ZEROFLAME PAINT 5L</t>
  </si>
  <si>
    <t>MIRKAABRANET115MMX25MP120</t>
  </si>
  <si>
    <t>QTECH ALUMINIUM TIP EXTENSION 10' 7/8' 04-6001</t>
  </si>
  <si>
    <t>QTECH ALUMINIUM TIP EXTENSION 20' 7/8' 04-6003</t>
  </si>
  <si>
    <t>PRODEC ICE FUSION 1' OVAL SYNTHETIC BRUSH</t>
  </si>
  <si>
    <t>PRODEC ICE FUSION 2' OVAL SYNTHETIC BRUSH</t>
  </si>
  <si>
    <t>HAMILTON PERFECTION BRISTLE BRUSH 2'</t>
  </si>
  <si>
    <t>HAMILTON PERFECTION SYNTHETIC BRUSH 1.5'</t>
  </si>
  <si>
    <t>HAMILTON PERFECTION BRISTLE WINDOW BRUSH 0.75'</t>
  </si>
  <si>
    <t>HAMILTON PERFECTION BRISTLE BRUSH 1.5'</t>
  </si>
  <si>
    <t>HAMILTON PERFECTION SYNTHETIC BRUSH 1'</t>
  </si>
  <si>
    <t>HAMILTON PERFECTION BRISTLE BRUSH 3'</t>
  </si>
  <si>
    <t>HAMILTON PERFECTION SYNTHETIC BRUSH 2'</t>
  </si>
  <si>
    <t>HAMILTON PERFECTION SYNTHETIC BRUSH 3'</t>
  </si>
  <si>
    <t>HAMILTON PERFORMANCE CUTTING IN BRUSH 2'</t>
  </si>
  <si>
    <t>PRODEC ICE FUSION 2' ANGLED BRUSH</t>
  </si>
  <si>
    <t>PRODEC ICE FUSION 2' CUTTING IN ANGLED BRUSH</t>
  </si>
  <si>
    <t>PRODEC ICE FUSION 12' ROLLER REFILL</t>
  </si>
  <si>
    <t>PRODEC ICE FUSION 1.5' OVAL SYNTHETIC BRUSH</t>
  </si>
  <si>
    <t>DULUX TR SUPERMATT LIGHT TINT 10L</t>
  </si>
  <si>
    <t>ARROWORTHY CLASSIC SEMI-OVAL ANGLE NYLYN LONG HANDLE 1.5'</t>
  </si>
  <si>
    <t>PRODEC ICE FUSION DECORATING 9' 4' KIT</t>
  </si>
  <si>
    <t>INDASA RHYNOGRIP HT 15 HOLE DISCS GRIP P120 50BOX</t>
  </si>
  <si>
    <t>TEAMAC MORDANT SOLUTION 2.5L</t>
  </si>
  <si>
    <t>VESCOM UK LTD (SPECIAL ORDER - WALLPAPER)</t>
  </si>
  <si>
    <t>GRACO N V (SPECIAL ORDER)</t>
  </si>
  <si>
    <t>GP &amp; J BAKER (SPECIAL ORDER - WALLPAPER)</t>
  </si>
  <si>
    <t>OSBORNE &amp; LITTLE (SPECIAL ORDER - WALLPAPER)</t>
  </si>
  <si>
    <t>CANRECYCLINGSOLVENTBASEDAKZONOBEL</t>
  </si>
  <si>
    <t>CANRECYCLINGWATERBASEDAKZONOBEL</t>
  </si>
  <si>
    <t>THE GRAPHENE COMPANY (SPECIAL ORDER)</t>
  </si>
  <si>
    <t>DULUX ACADEMY CRAFT MARBLING</t>
  </si>
  <si>
    <t>DIAMONDMATTSCRATCHCARD</t>
  </si>
  <si>
    <t>GROUPED</t>
  </si>
  <si>
    <t>SUPPL GROUPED</t>
  </si>
  <si>
    <t>#</t>
  </si>
  <si>
    <t>Not assigned</t>
  </si>
  <si>
    <t>AKZO Purchased</t>
  </si>
  <si>
    <t>AKZO Price</t>
  </si>
  <si>
    <t>Unit Difference</t>
  </si>
  <si>
    <t>Generic</t>
  </si>
  <si>
    <t>SKU Name</t>
  </si>
  <si>
    <t xml:space="preserve">Current Armstead -Rates on system 25th April </t>
  </si>
  <si>
    <t>6188891</t>
  </si>
  <si>
    <t>6188903</t>
  </si>
  <si>
    <t>5090751</t>
  </si>
  <si>
    <t>5090809</t>
  </si>
  <si>
    <t>5091663</t>
  </si>
  <si>
    <t>5293175</t>
  </si>
  <si>
    <t>5218587</t>
  </si>
  <si>
    <t>5091671</t>
  </si>
  <si>
    <t>6410329</t>
  </si>
  <si>
    <t>5224812</t>
  </si>
  <si>
    <t>5090805</t>
  </si>
  <si>
    <t>5583720</t>
  </si>
  <si>
    <t>5090801</t>
  </si>
  <si>
    <t>6188899</t>
  </si>
  <si>
    <t>5082320</t>
  </si>
  <si>
    <t>5091649</t>
  </si>
  <si>
    <t>5583723</t>
  </si>
  <si>
    <t>5110680</t>
  </si>
  <si>
    <t>5183994</t>
  </si>
  <si>
    <t>6404056</t>
  </si>
  <si>
    <t>5149187</t>
  </si>
  <si>
    <t>5572017</t>
  </si>
  <si>
    <t>5224645</t>
  </si>
  <si>
    <t>6365251</t>
  </si>
  <si>
    <t>5219306</t>
  </si>
  <si>
    <t>5090806</t>
  </si>
  <si>
    <t>5090718</t>
  </si>
  <si>
    <t>5081950</t>
  </si>
  <si>
    <t>5219307</t>
  </si>
  <si>
    <t>5219325</t>
  </si>
  <si>
    <t>5090780</t>
  </si>
  <si>
    <t>6316965</t>
  </si>
  <si>
    <t>5122627</t>
  </si>
  <si>
    <t>5219308</t>
  </si>
  <si>
    <t>6183864</t>
  </si>
  <si>
    <t>5180498</t>
  </si>
  <si>
    <t>5092359</t>
  </si>
  <si>
    <t>5218683</t>
  </si>
  <si>
    <t>5090796</t>
  </si>
  <si>
    <t>5219317</t>
  </si>
  <si>
    <t>5180448</t>
  </si>
  <si>
    <t>5097226</t>
  </si>
  <si>
    <t>6188902</t>
  </si>
  <si>
    <t>6188900</t>
  </si>
  <si>
    <t>5556023</t>
  </si>
  <si>
    <t>5196657</t>
  </si>
  <si>
    <t>5218674</t>
  </si>
  <si>
    <t>6365257</t>
  </si>
  <si>
    <t>6188860</t>
  </si>
  <si>
    <t>5180449</t>
  </si>
  <si>
    <t>6034079</t>
  </si>
  <si>
    <t>6183866</t>
  </si>
  <si>
    <t>5091026</t>
  </si>
  <si>
    <t>5183437</t>
  </si>
  <si>
    <t>5090733</t>
  </si>
  <si>
    <t>5091012</t>
  </si>
  <si>
    <t>6183945</t>
  </si>
  <si>
    <t>5220126</t>
  </si>
  <si>
    <t>6183858</t>
  </si>
  <si>
    <t>5220152</t>
  </si>
  <si>
    <t>5180744</t>
  </si>
  <si>
    <t>5092713</t>
  </si>
  <si>
    <t>5090813</t>
  </si>
  <si>
    <t>5219315</t>
  </si>
  <si>
    <t>5086048</t>
  </si>
  <si>
    <t>5090802</t>
  </si>
  <si>
    <t>6188859</t>
  </si>
  <si>
    <t>5583705</t>
  </si>
  <si>
    <t>6188836</t>
  </si>
  <si>
    <t>5090728</t>
  </si>
  <si>
    <t>5183993</t>
  </si>
  <si>
    <t>5090734</t>
  </si>
  <si>
    <t>6188935</t>
  </si>
  <si>
    <t>5583722</t>
  </si>
  <si>
    <t>6059447</t>
  </si>
  <si>
    <t>5583721</t>
  </si>
  <si>
    <t>5091654</t>
  </si>
  <si>
    <t>6106492</t>
  </si>
  <si>
    <t>6183899</t>
  </si>
  <si>
    <t>5093019</t>
  </si>
  <si>
    <t>5218595</t>
  </si>
  <si>
    <t>6183875</t>
  </si>
  <si>
    <t>5220149</t>
  </si>
  <si>
    <t>6183827</t>
  </si>
  <si>
    <t>6183840</t>
  </si>
  <si>
    <t>5090800</t>
  </si>
  <si>
    <t>5218584</t>
  </si>
  <si>
    <t>5183991</t>
  </si>
  <si>
    <t>5085009</t>
  </si>
  <si>
    <t>6410384</t>
  </si>
  <si>
    <t>6183909</t>
  </si>
  <si>
    <t>5220433</t>
  </si>
  <si>
    <t>5218581</t>
  </si>
  <si>
    <t>5091535</t>
  </si>
  <si>
    <t>5218610</t>
  </si>
  <si>
    <t>6083792</t>
  </si>
  <si>
    <t>6316838</t>
  </si>
  <si>
    <t>5218726</t>
  </si>
  <si>
    <t>5219327</t>
  </si>
  <si>
    <t>6361908</t>
  </si>
  <si>
    <t>5583716</t>
  </si>
  <si>
    <t>5236726</t>
  </si>
  <si>
    <t>6183836</t>
  </si>
  <si>
    <t>6092863</t>
  </si>
  <si>
    <t>5091366</t>
  </si>
  <si>
    <t>6183944</t>
  </si>
  <si>
    <t>6188760</t>
  </si>
  <si>
    <t>5180447</t>
  </si>
  <si>
    <t>5089681</t>
  </si>
  <si>
    <t>5242791</t>
  </si>
  <si>
    <t>5220397</t>
  </si>
  <si>
    <t>5090727</t>
  </si>
  <si>
    <t>5180263</t>
  </si>
  <si>
    <t>5090787</t>
  </si>
  <si>
    <t>5090808</t>
  </si>
  <si>
    <t>5222325</t>
  </si>
  <si>
    <t>5218563</t>
  </si>
  <si>
    <t>5180492</t>
  </si>
  <si>
    <t>5218668</t>
  </si>
  <si>
    <t>5191768</t>
  </si>
  <si>
    <t>6183862</t>
  </si>
  <si>
    <t>5090797</t>
  </si>
  <si>
    <t>6365220</t>
  </si>
  <si>
    <t>6365228</t>
  </si>
  <si>
    <t>5218666</t>
  </si>
  <si>
    <t>6188877</t>
  </si>
  <si>
    <t>6183904</t>
  </si>
  <si>
    <t>5091282</t>
  </si>
  <si>
    <t>5090757</t>
  </si>
  <si>
    <t>5083924</t>
  </si>
  <si>
    <t>5222655</t>
  </si>
  <si>
    <t>5090783</t>
  </si>
  <si>
    <t>5583719</t>
  </si>
  <si>
    <t>5091647</t>
  </si>
  <si>
    <t>5220092</t>
  </si>
  <si>
    <t>6034080</t>
  </si>
  <si>
    <t>5184007</t>
  </si>
  <si>
    <t>5219312</t>
  </si>
  <si>
    <t>5219320</t>
  </si>
  <si>
    <t>5219311</t>
  </si>
  <si>
    <t>5220151</t>
  </si>
  <si>
    <t>6188759</t>
  </si>
  <si>
    <t>6188831</t>
  </si>
  <si>
    <t>5110653</t>
  </si>
  <si>
    <t>5218641</t>
  </si>
  <si>
    <t>5180262</t>
  </si>
  <si>
    <t>5090741</t>
  </si>
  <si>
    <t>6392301</t>
  </si>
  <si>
    <t>5095343</t>
  </si>
  <si>
    <t>5326058</t>
  </si>
  <si>
    <t>5081997</t>
  </si>
  <si>
    <t>5090754</t>
  </si>
  <si>
    <t>5183328</t>
  </si>
  <si>
    <t>6107976</t>
  </si>
  <si>
    <t>6196026</t>
  </si>
  <si>
    <t>6189826</t>
  </si>
  <si>
    <t>5220826</t>
  </si>
  <si>
    <t>5090810</t>
  </si>
  <si>
    <t>5092528</t>
  </si>
  <si>
    <t>6183947</t>
  </si>
  <si>
    <t>5220396</t>
  </si>
  <si>
    <t>6107289</t>
  </si>
  <si>
    <t>5090750</t>
  </si>
  <si>
    <t>5183436</t>
  </si>
  <si>
    <t>5222326</t>
  </si>
  <si>
    <t>6183855</t>
  </si>
  <si>
    <t>6107271</t>
  </si>
  <si>
    <t>6188890</t>
  </si>
  <si>
    <t>5218567</t>
  </si>
  <si>
    <t>6395703</t>
  </si>
  <si>
    <t>5090726</t>
  </si>
  <si>
    <t>5218604</t>
  </si>
  <si>
    <t>6383959</t>
  </si>
  <si>
    <t>5091365</t>
  </si>
  <si>
    <t>5180701</t>
  </si>
  <si>
    <t>6188865</t>
  </si>
  <si>
    <t>6033961</t>
  </si>
  <si>
    <t>5583711</t>
  </si>
  <si>
    <t>5090779</t>
  </si>
  <si>
    <t>6383929</t>
  </si>
  <si>
    <t>5222330</t>
  </si>
  <si>
    <t>6183851</t>
  </si>
  <si>
    <t>5183382</t>
  </si>
  <si>
    <t>5218651</t>
  </si>
  <si>
    <t>5090795</t>
  </si>
  <si>
    <t>6183907</t>
  </si>
  <si>
    <t>6372916</t>
  </si>
  <si>
    <t>5180491</t>
  </si>
  <si>
    <t>5218591</t>
  </si>
  <si>
    <t>5236722</t>
  </si>
  <si>
    <t>5180470</t>
  </si>
  <si>
    <t>6085971</t>
  </si>
  <si>
    <t>5222331</t>
  </si>
  <si>
    <t>5092710</t>
  </si>
  <si>
    <t>5180264</t>
  </si>
  <si>
    <t>6183900</t>
  </si>
  <si>
    <t>5242783</t>
  </si>
  <si>
    <t>5092529</t>
  </si>
  <si>
    <t>5082977</t>
  </si>
  <si>
    <t>6188907</t>
  </si>
  <si>
    <t>5090760</t>
  </si>
  <si>
    <t>6188901</t>
  </si>
  <si>
    <t>5624603</t>
  </si>
  <si>
    <t>5218565</t>
  </si>
  <si>
    <t>5220399</t>
  </si>
  <si>
    <t>5097225</t>
  </si>
  <si>
    <t>6392200</t>
  </si>
  <si>
    <t>6034077</t>
  </si>
  <si>
    <t>5236667</t>
  </si>
  <si>
    <t>5218603</t>
  </si>
  <si>
    <t>5745139</t>
  </si>
  <si>
    <t>6392302</t>
  </si>
  <si>
    <t>6183951</t>
  </si>
  <si>
    <t>5110679</t>
  </si>
  <si>
    <t>6188906</t>
  </si>
  <si>
    <t>6188864</t>
  </si>
  <si>
    <t>5222622</t>
  </si>
  <si>
    <t>5091653</t>
  </si>
  <si>
    <t>6188819</t>
  </si>
  <si>
    <t>5183381</t>
  </si>
  <si>
    <t>6183892</t>
  </si>
  <si>
    <t>6392304</t>
  </si>
  <si>
    <t>6188838</t>
  </si>
  <si>
    <t>6183897</t>
  </si>
  <si>
    <t>5183329</t>
  </si>
  <si>
    <t>5219316</t>
  </si>
  <si>
    <t>5282776</t>
  </si>
  <si>
    <t>6188885</t>
  </si>
  <si>
    <t>6107254</t>
  </si>
  <si>
    <t>5149183</t>
  </si>
  <si>
    <t>5518972</t>
  </si>
  <si>
    <t>5159075</t>
  </si>
  <si>
    <t>6107276</t>
  </si>
  <si>
    <t>5092221</t>
  </si>
  <si>
    <t>6383953</t>
  </si>
  <si>
    <t>6188818</t>
  </si>
  <si>
    <t>6183859</t>
  </si>
  <si>
    <t>6392303</t>
  </si>
  <si>
    <t>6317437</t>
  </si>
  <si>
    <t>5218616</t>
  </si>
  <si>
    <t>6107273</t>
  </si>
  <si>
    <t>6107300</t>
  </si>
  <si>
    <t>6183954</t>
  </si>
  <si>
    <t>6189831</t>
  </si>
  <si>
    <t>5081949</t>
  </si>
  <si>
    <t>6183869</t>
  </si>
  <si>
    <t>5183363</t>
  </si>
  <si>
    <t>5321363</t>
  </si>
  <si>
    <t>5110652</t>
  </si>
  <si>
    <t>6386669</t>
  </si>
  <si>
    <t>5556026</t>
  </si>
  <si>
    <t>5184469</t>
  </si>
  <si>
    <t>6107268</t>
  </si>
  <si>
    <t>6183861</t>
  </si>
  <si>
    <t>6054162</t>
  </si>
  <si>
    <t>6183906</t>
  </si>
  <si>
    <t>5624590</t>
  </si>
  <si>
    <t>6183856</t>
  </si>
  <si>
    <t>5090756</t>
  </si>
  <si>
    <t>6317505</t>
  </si>
  <si>
    <t>6183952</t>
  </si>
  <si>
    <t>6394467</t>
  </si>
  <si>
    <t>5220395</t>
  </si>
  <si>
    <t>5084141</t>
  </si>
  <si>
    <t>5222636</t>
  </si>
  <si>
    <t>6183943</t>
  </si>
  <si>
    <t>6183893</t>
  </si>
  <si>
    <t>5222327</t>
  </si>
  <si>
    <t>5218596</t>
  </si>
  <si>
    <t>6183868</t>
  </si>
  <si>
    <t>5180704</t>
  </si>
  <si>
    <t>6053877</t>
  </si>
  <si>
    <t>5219324</t>
  </si>
  <si>
    <t>5090790</t>
  </si>
  <si>
    <t>5745140</t>
  </si>
  <si>
    <t>6378039</t>
  </si>
  <si>
    <t>6421398</t>
  </si>
  <si>
    <t>5183947</t>
  </si>
  <si>
    <t>5222637</t>
  </si>
  <si>
    <t>6316840</t>
  </si>
  <si>
    <t>5092219</t>
  </si>
  <si>
    <t>5218671</t>
  </si>
  <si>
    <t>5220148</t>
  </si>
  <si>
    <t>5090804</t>
  </si>
  <si>
    <t>5218684</t>
  </si>
  <si>
    <t>5236727</t>
  </si>
  <si>
    <t>5090891</t>
  </si>
  <si>
    <t>6107277</t>
  </si>
  <si>
    <t>5222323</t>
  </si>
  <si>
    <t>6183826</t>
  </si>
  <si>
    <t>6188861</t>
  </si>
  <si>
    <t>5218619</t>
  </si>
  <si>
    <t>5085004</t>
  </si>
  <si>
    <t>5090799</t>
  </si>
  <si>
    <t>6365273</t>
  </si>
  <si>
    <t>6188834</t>
  </si>
  <si>
    <t>5090892</t>
  </si>
  <si>
    <t>6392196</t>
  </si>
  <si>
    <t>5218618</t>
  </si>
  <si>
    <t>5222318</t>
  </si>
  <si>
    <t>5218568</t>
  </si>
  <si>
    <t>6053879</t>
  </si>
  <si>
    <t>5745131</t>
  </si>
  <si>
    <t>5745136</t>
  </si>
  <si>
    <t>6058996</t>
  </si>
  <si>
    <t>6188904</t>
  </si>
  <si>
    <t>5090740</t>
  </si>
  <si>
    <t>6188833</t>
  </si>
  <si>
    <t>6316839</t>
  </si>
  <si>
    <t>5218753</t>
  </si>
  <si>
    <t>6183905</t>
  </si>
  <si>
    <t>5219319</t>
  </si>
  <si>
    <t>5180412</t>
  </si>
  <si>
    <t>6183948</t>
  </si>
  <si>
    <t>6033965</t>
  </si>
  <si>
    <t>6317435</t>
  </si>
  <si>
    <t>5089158</t>
  </si>
  <si>
    <t>5092434</t>
  </si>
  <si>
    <t>6183924</t>
  </si>
  <si>
    <t>6183857</t>
  </si>
  <si>
    <t>5219329</t>
  </si>
  <si>
    <t>5090778</t>
  </si>
  <si>
    <t>5092714</t>
  </si>
  <si>
    <t>5090792</t>
  </si>
  <si>
    <t>5090791</t>
  </si>
  <si>
    <t>5218692</t>
  </si>
  <si>
    <t>5091661</t>
  </si>
  <si>
    <t>6054160</t>
  </si>
  <si>
    <t>6133412</t>
  </si>
  <si>
    <t>5092526</t>
  </si>
  <si>
    <t>5180705</t>
  </si>
  <si>
    <t>6395772</t>
  </si>
  <si>
    <t>6107987</t>
  </si>
  <si>
    <t>6372926</t>
  </si>
  <si>
    <t>5220398</t>
  </si>
  <si>
    <t>6103934</t>
  </si>
  <si>
    <t>6183871</t>
  </si>
  <si>
    <t>5241253</t>
  </si>
  <si>
    <t>6188883</t>
  </si>
  <si>
    <t>5218646</t>
  </si>
  <si>
    <t>5183272</t>
  </si>
  <si>
    <t>5090732</t>
  </si>
  <si>
    <t>5218723</t>
  </si>
  <si>
    <t>5081988</t>
  </si>
  <si>
    <t>5624589</t>
  </si>
  <si>
    <t>6188878</t>
  </si>
  <si>
    <t>6034078</t>
  </si>
  <si>
    <t>5218675</t>
  </si>
  <si>
    <t>5315921</t>
  </si>
  <si>
    <t>6188872</t>
  </si>
  <si>
    <t>5180652</t>
  </si>
  <si>
    <t>5090371</t>
  </si>
  <si>
    <t>5090753</t>
  </si>
  <si>
    <t>5085001</t>
  </si>
  <si>
    <t>5092438</t>
  </si>
  <si>
    <t>5480940</t>
  </si>
  <si>
    <t>6316993</t>
  </si>
  <si>
    <t>5320602</t>
  </si>
  <si>
    <t>6203504</t>
  </si>
  <si>
    <t>6190524</t>
  </si>
  <si>
    <t>5219321</t>
  </si>
  <si>
    <t>5242767</t>
  </si>
  <si>
    <t>6398717</t>
  </si>
  <si>
    <t>5219323</t>
  </si>
  <si>
    <t>6188835</t>
  </si>
  <si>
    <t>5183423</t>
  </si>
  <si>
    <t>6203618</t>
  </si>
  <si>
    <t>5218660</t>
  </si>
  <si>
    <t>5193078</t>
  </si>
  <si>
    <t>5090812</t>
  </si>
  <si>
    <t>5218562</t>
  </si>
  <si>
    <t>6365254</t>
  </si>
  <si>
    <t>6107266</t>
  </si>
  <si>
    <t>6033892</t>
  </si>
  <si>
    <t>5084999</t>
  </si>
  <si>
    <t>6316940</t>
  </si>
  <si>
    <t>5092846</t>
  </si>
  <si>
    <t>6107980</t>
  </si>
  <si>
    <t>5090742</t>
  </si>
  <si>
    <t>6061768</t>
  </si>
  <si>
    <t>5184004</t>
  </si>
  <si>
    <t>5222334</t>
  </si>
  <si>
    <t>5183426</t>
  </si>
  <si>
    <t>6188820</t>
  </si>
  <si>
    <t>5183948</t>
  </si>
  <si>
    <t>5090782</t>
  </si>
  <si>
    <t>5223733</t>
  </si>
  <si>
    <t>6188851</t>
  </si>
  <si>
    <t>6183946</t>
  </si>
  <si>
    <t>6317504</t>
  </si>
  <si>
    <t>6107296</t>
  </si>
  <si>
    <t>5315918</t>
  </si>
  <si>
    <t>5091651</t>
  </si>
  <si>
    <t>5242800</t>
  </si>
  <si>
    <t>6390806</t>
  </si>
  <si>
    <t>6416440</t>
  </si>
  <si>
    <t>6390793</t>
  </si>
  <si>
    <t>5219322</t>
  </si>
  <si>
    <t>5249007</t>
  </si>
  <si>
    <t>5218670</t>
  </si>
  <si>
    <t>6033962</t>
  </si>
  <si>
    <t>6188868</t>
  </si>
  <si>
    <t>6183867</t>
  </si>
  <si>
    <t>5223032</t>
  </si>
  <si>
    <t>5180490</t>
  </si>
  <si>
    <t>5184501</t>
  </si>
  <si>
    <t>6344657</t>
  </si>
  <si>
    <t>5082008</t>
  </si>
  <si>
    <t>5092830</t>
  </si>
  <si>
    <t>5084998</t>
  </si>
  <si>
    <t>6183865</t>
  </si>
  <si>
    <t>6183903</t>
  </si>
  <si>
    <t>6383049</t>
  </si>
  <si>
    <t>6392934</t>
  </si>
  <si>
    <t>6183852</t>
  </si>
  <si>
    <t>5242831</t>
  </si>
  <si>
    <t>6396944</t>
  </si>
  <si>
    <t>5093025</t>
  </si>
  <si>
    <t>5077788</t>
  </si>
  <si>
    <t>6054202</t>
  </si>
  <si>
    <t>5180486</t>
  </si>
  <si>
    <t>6183908</t>
  </si>
  <si>
    <t>6392305</t>
  </si>
  <si>
    <t>5184468</t>
  </si>
  <si>
    <t>6383050</t>
  </si>
  <si>
    <t>5317077</t>
  </si>
  <si>
    <t>6103935</t>
  </si>
  <si>
    <t>6183964</t>
  </si>
  <si>
    <t>6421456</t>
  </si>
  <si>
    <t>5218665</t>
  </si>
  <si>
    <t>6054177</t>
  </si>
  <si>
    <t>6183838</t>
  </si>
  <si>
    <t>6189800</t>
  </si>
  <si>
    <t>5090886</t>
  </si>
  <si>
    <t>6107925</t>
  </si>
  <si>
    <t>6386670</t>
  </si>
  <si>
    <t>6401600</t>
  </si>
  <si>
    <t>5092525</t>
  </si>
  <si>
    <t>5092620</t>
  </si>
  <si>
    <t>5330420</t>
  </si>
  <si>
    <t>5183425</t>
  </si>
  <si>
    <t>6188849</t>
  </si>
  <si>
    <t>6107909</t>
  </si>
  <si>
    <t>6188882</t>
  </si>
  <si>
    <t>5219310</t>
  </si>
  <si>
    <t>6188841</t>
  </si>
  <si>
    <t>5180495</t>
  </si>
  <si>
    <t>6183898</t>
  </si>
  <si>
    <t>6188905</t>
  </si>
  <si>
    <t>5082971</t>
  </si>
  <si>
    <t>6107274</t>
  </si>
  <si>
    <t>6317436</t>
  </si>
  <si>
    <t>5745138</t>
  </si>
  <si>
    <t>6316973</t>
  </si>
  <si>
    <t>5624602</t>
  </si>
  <si>
    <t>6107978</t>
  </si>
  <si>
    <t>6054161</t>
  </si>
  <si>
    <t>5218612</t>
  </si>
  <si>
    <t>5081993</t>
  </si>
  <si>
    <t>6183942</t>
  </si>
  <si>
    <t>5219318</t>
  </si>
  <si>
    <t>5090759</t>
  </si>
  <si>
    <t>6188869</t>
  </si>
  <si>
    <t>6383956</t>
  </si>
  <si>
    <t>5081964</t>
  </si>
  <si>
    <t>5180484</t>
  </si>
  <si>
    <t>6107918</t>
  </si>
  <si>
    <t>6107885</t>
  </si>
  <si>
    <t>6188829</t>
  </si>
  <si>
    <t>6183950</t>
  </si>
  <si>
    <t>5090818</t>
  </si>
  <si>
    <t>6183910</t>
  </si>
  <si>
    <t>6107900</t>
  </si>
  <si>
    <t>5077776</t>
  </si>
  <si>
    <t>6399759</t>
  </si>
  <si>
    <t>5222319</t>
  </si>
  <si>
    <t>5090885</t>
  </si>
  <si>
    <t>5218617</t>
  </si>
  <si>
    <t>6103930</t>
  </si>
  <si>
    <t>5241252</t>
  </si>
  <si>
    <t>5082319</t>
  </si>
  <si>
    <t>5090807</t>
  </si>
  <si>
    <t>5218691</t>
  </si>
  <si>
    <t>6317438</t>
  </si>
  <si>
    <t>6386665</t>
  </si>
  <si>
    <t>6188976</t>
  </si>
  <si>
    <t>6183955</t>
  </si>
  <si>
    <t>5183362</t>
  </si>
  <si>
    <t>5180487</t>
  </si>
  <si>
    <t>5090743</t>
  </si>
  <si>
    <t>5090781</t>
  </si>
  <si>
    <t>5090798</t>
  </si>
  <si>
    <t>6383963</t>
  </si>
  <si>
    <t>5244438</t>
  </si>
  <si>
    <t>5092709</t>
  </si>
  <si>
    <t>6189829</t>
  </si>
  <si>
    <t>5081986</t>
  </si>
  <si>
    <t>5183383</t>
  </si>
  <si>
    <t>6183932</t>
  </si>
  <si>
    <t>5091646</t>
  </si>
  <si>
    <t>5092220</t>
  </si>
  <si>
    <t>5085002</t>
  </si>
  <si>
    <t>5745112</t>
  </si>
  <si>
    <t>5110678</t>
  </si>
  <si>
    <t>5218640</t>
  </si>
  <si>
    <t>6183901</t>
  </si>
  <si>
    <t>5184006</t>
  </si>
  <si>
    <t>5220069</t>
  </si>
  <si>
    <t>6392291</t>
  </si>
  <si>
    <t>6306043</t>
  </si>
  <si>
    <t>6142696</t>
  </si>
  <si>
    <t>6142665</t>
  </si>
  <si>
    <t>6183921</t>
  </si>
  <si>
    <t>5180706</t>
  </si>
  <si>
    <t>5090752</t>
  </si>
  <si>
    <t>5090590</t>
  </si>
  <si>
    <t>5218650</t>
  </si>
  <si>
    <t>6383954</t>
  </si>
  <si>
    <t>5092537</t>
  </si>
  <si>
    <t>6342575</t>
  </si>
  <si>
    <t>5184005</t>
  </si>
  <si>
    <t>6372915</t>
  </si>
  <si>
    <t>6188881</t>
  </si>
  <si>
    <t>6416425</t>
  </si>
  <si>
    <t>5321297</t>
  </si>
  <si>
    <t>6316966</t>
  </si>
  <si>
    <t>6345857</t>
  </si>
  <si>
    <t>5255621</t>
  </si>
  <si>
    <t>5082932</t>
  </si>
  <si>
    <t>5219314</t>
  </si>
  <si>
    <t>5090729</t>
  </si>
  <si>
    <t>5218615</t>
  </si>
  <si>
    <t>5092481</t>
  </si>
  <si>
    <t>5092711</t>
  </si>
  <si>
    <t>6383955</t>
  </si>
  <si>
    <t>5556022</t>
  </si>
  <si>
    <t>5091630</t>
  </si>
  <si>
    <t>5583706</t>
  </si>
  <si>
    <t>6107298</t>
  </si>
  <si>
    <t>5084866</t>
  </si>
  <si>
    <t>6386671</t>
  </si>
  <si>
    <t>5086585</t>
  </si>
  <si>
    <t>5315859</t>
  </si>
  <si>
    <t>6108955</t>
  </si>
  <si>
    <t>5092527</t>
  </si>
  <si>
    <t>6412815</t>
  </si>
  <si>
    <t>5090755</t>
  </si>
  <si>
    <t>5090761</t>
  </si>
  <si>
    <t>5218601</t>
  </si>
  <si>
    <t>5206086</t>
  </si>
  <si>
    <t>5183260</t>
  </si>
  <si>
    <t>5220147</t>
  </si>
  <si>
    <t>5091639</t>
  </si>
  <si>
    <t>6107901</t>
  </si>
  <si>
    <t>6404055</t>
  </si>
  <si>
    <t>6390501</t>
  </si>
  <si>
    <t>6345844</t>
  </si>
  <si>
    <t>5082970</t>
  </si>
  <si>
    <t>5085000</t>
  </si>
  <si>
    <t>5326057</t>
  </si>
  <si>
    <t>5480938</t>
  </si>
  <si>
    <t>5090739</t>
  </si>
  <si>
    <t>6394196</t>
  </si>
  <si>
    <t>5092480</t>
  </si>
  <si>
    <t>5180496</t>
  </si>
  <si>
    <t>5180665</t>
  </si>
  <si>
    <t>5183424</t>
  </si>
  <si>
    <t>5180707</t>
  </si>
  <si>
    <t>6395773</t>
  </si>
  <si>
    <t>6342542</t>
  </si>
  <si>
    <t>5074298</t>
  </si>
  <si>
    <t>5222347</t>
  </si>
  <si>
    <t>6183934</t>
  </si>
  <si>
    <t>6183937</t>
  </si>
  <si>
    <t>5213422</t>
  </si>
  <si>
    <t>6183933</t>
  </si>
  <si>
    <t>6188870</t>
  </si>
  <si>
    <t>6383111</t>
  </si>
  <si>
    <t>5090746</t>
  </si>
  <si>
    <t>5090817</t>
  </si>
  <si>
    <t>5218672</t>
  </si>
  <si>
    <t>5218752</t>
  </si>
  <si>
    <t>5218583</t>
  </si>
  <si>
    <t>5222640</t>
  </si>
  <si>
    <t>5092488</t>
  </si>
  <si>
    <t>6386672</t>
  </si>
  <si>
    <t>6108022</t>
  </si>
  <si>
    <t>6054205</t>
  </si>
  <si>
    <t>6027600</t>
  </si>
  <si>
    <t>5089649</t>
  </si>
  <si>
    <t>6107969</t>
  </si>
  <si>
    <t>6188866</t>
  </si>
  <si>
    <t>6183860</t>
  </si>
  <si>
    <t>6188873</t>
  </si>
  <si>
    <t>5222639</t>
  </si>
  <si>
    <t>5330418</t>
  </si>
  <si>
    <t>6183873</t>
  </si>
  <si>
    <t>6183902</t>
  </si>
  <si>
    <t>5090877</t>
  </si>
  <si>
    <t>5090874</t>
  </si>
  <si>
    <t>5083626</t>
  </si>
  <si>
    <t>6107261</t>
  </si>
  <si>
    <t>6392256</t>
  </si>
  <si>
    <t>6414008</t>
  </si>
  <si>
    <t>6054204</t>
  </si>
  <si>
    <t>6373251</t>
  </si>
  <si>
    <t>6393688</t>
  </si>
  <si>
    <t>5218658</t>
  </si>
  <si>
    <t>5183391</t>
  </si>
  <si>
    <t>6183938</t>
  </si>
  <si>
    <t>5082969</t>
  </si>
  <si>
    <t>6188858</t>
  </si>
  <si>
    <t>5090786</t>
  </si>
  <si>
    <t>5110651</t>
  </si>
  <si>
    <t>6090469</t>
  </si>
  <si>
    <t>6188871</t>
  </si>
  <si>
    <t>6085079</t>
  </si>
  <si>
    <t>6049615</t>
  </si>
  <si>
    <t>6189799</t>
  </si>
  <si>
    <t>6183839</t>
  </si>
  <si>
    <t>5282774</t>
  </si>
  <si>
    <t>5183281</t>
  </si>
  <si>
    <t>5091687</t>
  </si>
  <si>
    <t>6392257</t>
  </si>
  <si>
    <t>6394289</t>
  </si>
  <si>
    <t>6394415</t>
  </si>
  <si>
    <t>6033893</t>
  </si>
  <si>
    <t>5093017</t>
  </si>
  <si>
    <t>6107964</t>
  </si>
  <si>
    <t>6142695</t>
  </si>
  <si>
    <t>6142663</t>
  </si>
  <si>
    <t>5085912</t>
  </si>
  <si>
    <t>5321443</t>
  </si>
  <si>
    <t>6183931</t>
  </si>
  <si>
    <t>6390519</t>
  </si>
  <si>
    <t>6360791</t>
  </si>
  <si>
    <t>5180253</t>
  </si>
  <si>
    <t>5219309</t>
  </si>
  <si>
    <t>6107916</t>
  </si>
  <si>
    <t>6188874</t>
  </si>
  <si>
    <t>5183327</t>
  </si>
  <si>
    <t>5083625</t>
  </si>
  <si>
    <t>5183270</t>
  </si>
  <si>
    <t>5082933</t>
  </si>
  <si>
    <t>5091632</t>
  </si>
  <si>
    <t>5180254</t>
  </si>
  <si>
    <t>5180256</t>
  </si>
  <si>
    <t>6040542</t>
  </si>
  <si>
    <t>5085901</t>
  </si>
  <si>
    <t>5222332</t>
  </si>
  <si>
    <t>6183828</t>
  </si>
  <si>
    <t>5085006</t>
  </si>
  <si>
    <t>5091368</t>
  </si>
  <si>
    <t>5090785</t>
  </si>
  <si>
    <t>5090803</t>
  </si>
  <si>
    <t>5218693</t>
  </si>
  <si>
    <t>5218694</t>
  </si>
  <si>
    <t>5122407</t>
  </si>
  <si>
    <t>6189788</t>
  </si>
  <si>
    <t>5255624</t>
  </si>
  <si>
    <t>5183435</t>
  </si>
  <si>
    <t>5091367</t>
  </si>
  <si>
    <t>5180478</t>
  </si>
  <si>
    <t>5183369</t>
  </si>
  <si>
    <t>5183261</t>
  </si>
  <si>
    <t>5091640</t>
  </si>
  <si>
    <t>5082982</t>
  </si>
  <si>
    <t>5180255</t>
  </si>
  <si>
    <t>6416435</t>
  </si>
  <si>
    <t>6416430</t>
  </si>
  <si>
    <t>5084867</t>
  </si>
  <si>
    <t>5084861</t>
  </si>
  <si>
    <t>6414042</t>
  </si>
  <si>
    <t>6342500</t>
  </si>
  <si>
    <t>6107956</t>
  </si>
  <si>
    <t>6107977</t>
  </si>
  <si>
    <t>6386662</t>
  </si>
  <si>
    <t>6373242</t>
  </si>
  <si>
    <t>5232513</t>
  </si>
  <si>
    <t>6345856</t>
  </si>
  <si>
    <t>6345843</t>
  </si>
  <si>
    <t>6103932</t>
  </si>
  <si>
    <t>5082976</t>
  </si>
  <si>
    <t>5218602</t>
  </si>
  <si>
    <t>5218685</t>
  </si>
  <si>
    <t>6183854</t>
  </si>
  <si>
    <t>5223738</t>
  </si>
  <si>
    <t>6183930</t>
  </si>
  <si>
    <t>5184008</t>
  </si>
  <si>
    <t>5180489</t>
  </si>
  <si>
    <t>5180479</t>
  </si>
  <si>
    <t>5220150</t>
  </si>
  <si>
    <t>5183995</t>
  </si>
  <si>
    <t>6392199</t>
  </si>
  <si>
    <t>6416438</t>
  </si>
  <si>
    <t>5084920</t>
  </si>
  <si>
    <t>6045948</t>
  </si>
  <si>
    <t>6141007</t>
  </si>
  <si>
    <t>5085940</t>
  </si>
  <si>
    <t>6352807</t>
  </si>
  <si>
    <t>6377088</t>
  </si>
  <si>
    <t>6394214</t>
  </si>
  <si>
    <t>6394164</t>
  </si>
  <si>
    <t>5321442</t>
  </si>
  <si>
    <t>6108953</t>
  </si>
  <si>
    <t>6393689</t>
  </si>
  <si>
    <t>5218588</t>
  </si>
  <si>
    <t>5092218</t>
  </si>
  <si>
    <t>6364869</t>
  </si>
  <si>
    <t>6183959</t>
  </si>
  <si>
    <t>5313745</t>
  </si>
  <si>
    <t>5091096</t>
  </si>
  <si>
    <t>5218686</t>
  </si>
  <si>
    <t>5236668</t>
  </si>
  <si>
    <t>5254525</t>
  </si>
  <si>
    <t>5236702</t>
  </si>
  <si>
    <t>6188843</t>
  </si>
  <si>
    <t>6107326</t>
  </si>
  <si>
    <t>6421425</t>
  </si>
  <si>
    <t>5223746</t>
  </si>
  <si>
    <t>5223744</t>
  </si>
  <si>
    <t>5092479</t>
  </si>
  <si>
    <t>6392936</t>
  </si>
  <si>
    <t>6183874</t>
  </si>
  <si>
    <t>6352921</t>
  </si>
  <si>
    <t>5330419</t>
  </si>
  <si>
    <t>5183440</t>
  </si>
  <si>
    <t>5183326</t>
  </si>
  <si>
    <t>5180488</t>
  </si>
  <si>
    <t>5183285</t>
  </si>
  <si>
    <t>5091634</t>
  </si>
  <si>
    <t>5183359</t>
  </si>
  <si>
    <t>5183384</t>
  </si>
  <si>
    <t>5084897</t>
  </si>
  <si>
    <t>5084860</t>
  </si>
  <si>
    <t>5084782</t>
  </si>
  <si>
    <t>6038910</t>
  </si>
  <si>
    <t>6020476</t>
  </si>
  <si>
    <t>6020477</t>
  </si>
  <si>
    <t>6396799</t>
  </si>
  <si>
    <t>6396957</t>
  </si>
  <si>
    <t>6033895</t>
  </si>
  <si>
    <t>6107984</t>
  </si>
  <si>
    <t>6107952</t>
  </si>
  <si>
    <t>5085899</t>
  </si>
  <si>
    <t>6345821</t>
  </si>
  <si>
    <t>6345855</t>
  </si>
  <si>
    <t>5222333</t>
  </si>
  <si>
    <t>6183829</t>
  </si>
  <si>
    <t>6183891</t>
  </si>
  <si>
    <t>5191767</t>
  </si>
  <si>
    <t>6396945</t>
  </si>
  <si>
    <t>5218657</t>
  </si>
  <si>
    <t>5085897</t>
  </si>
  <si>
    <t>5222328</t>
  </si>
  <si>
    <t>5090784</t>
  </si>
  <si>
    <t>6183837</t>
  </si>
  <si>
    <t>5218561</t>
  </si>
  <si>
    <t>6059063</t>
  </si>
  <si>
    <t>5315937</t>
  </si>
  <si>
    <t>5122405</t>
  </si>
  <si>
    <t>5122406</t>
  </si>
  <si>
    <t>5095366</t>
  </si>
  <si>
    <t>6183894</t>
  </si>
  <si>
    <t>5576889</t>
  </si>
  <si>
    <t>5518982</t>
  </si>
  <si>
    <t>5092094</t>
  </si>
  <si>
    <t>5081987</t>
  </si>
  <si>
    <t>5183284</t>
  </si>
  <si>
    <t>5092966</t>
  </si>
  <si>
    <t>5092808</t>
  </si>
  <si>
    <t>6059434</t>
  </si>
  <si>
    <t>6038911</t>
  </si>
  <si>
    <t>6034107</t>
  </si>
  <si>
    <t>6396802</t>
  </si>
  <si>
    <t>6396928</t>
  </si>
  <si>
    <t>5093069</t>
  </si>
  <si>
    <t>5085003</t>
  </si>
  <si>
    <t>6107957</t>
  </si>
  <si>
    <t>6386673</t>
  </si>
  <si>
    <t>5085902</t>
  </si>
  <si>
    <t>5085898</t>
  </si>
  <si>
    <t>6352808</t>
  </si>
  <si>
    <t>6394226</t>
  </si>
  <si>
    <t>5222320</t>
  </si>
  <si>
    <t>6188875</t>
  </si>
  <si>
    <t>6316977</t>
  </si>
  <si>
    <t>6396952</t>
  </si>
  <si>
    <t>5183358</t>
  </si>
  <si>
    <t>5183420</t>
  </si>
  <si>
    <t>5326056</t>
  </si>
  <si>
    <t>5480753</t>
  </si>
  <si>
    <t>5092175</t>
  </si>
  <si>
    <t>5282520</t>
  </si>
  <si>
    <t>6047741</t>
  </si>
  <si>
    <t>6059116</t>
  </si>
  <si>
    <t>6421455</t>
  </si>
  <si>
    <t>5223745</t>
  </si>
  <si>
    <t>5223743</t>
  </si>
  <si>
    <t>6125148</t>
  </si>
  <si>
    <t>5092712</t>
  </si>
  <si>
    <t>6383960</t>
  </si>
  <si>
    <t>6352848</t>
  </si>
  <si>
    <t>6352941</t>
  </si>
  <si>
    <t>6183941</t>
  </si>
  <si>
    <t>5259331</t>
  </si>
  <si>
    <t>5183368</t>
  </si>
  <si>
    <t>5183209</t>
  </si>
  <si>
    <t>5081985</t>
  </si>
  <si>
    <t>5183283</t>
  </si>
  <si>
    <t>5183282</t>
  </si>
  <si>
    <t>5091636</t>
  </si>
  <si>
    <t>5624601</t>
  </si>
  <si>
    <t>5624588</t>
  </si>
  <si>
    <t>5180583</t>
  </si>
  <si>
    <t>6416437</t>
  </si>
  <si>
    <t>5362527</t>
  </si>
  <si>
    <t>6414043</t>
  </si>
  <si>
    <t>6414009</t>
  </si>
  <si>
    <t>6308733</t>
  </si>
  <si>
    <t>6399347</t>
  </si>
  <si>
    <t>6033896</t>
  </si>
  <si>
    <t>5093068</t>
  </si>
  <si>
    <t>6107955</t>
  </si>
  <si>
    <t>6108019</t>
  </si>
  <si>
    <t>6107970</t>
  </si>
  <si>
    <t>6108024</t>
  </si>
  <si>
    <t>6389622</t>
  </si>
  <si>
    <t>5085966</t>
  </si>
  <si>
    <t>5119154</t>
  </si>
  <si>
    <t>6352809</t>
  </si>
  <si>
    <t>6352810</t>
  </si>
  <si>
    <t>6384971</t>
  </si>
  <si>
    <t>6373135</t>
  </si>
  <si>
    <t>6107206</t>
  </si>
  <si>
    <t>6345861</t>
  </si>
  <si>
    <t>6345858</t>
  </si>
  <si>
    <t>5222344</t>
  </si>
  <si>
    <t>6345862</t>
  </si>
  <si>
    <t>6390514</t>
  </si>
  <si>
    <t>6396927</t>
  </si>
  <si>
    <t>5091650</t>
  </si>
  <si>
    <t>6059081</t>
  </si>
  <si>
    <t>5094278</t>
  </si>
  <si>
    <t>6085110</t>
  </si>
  <si>
    <t>5222443</t>
  </si>
  <si>
    <t>6040302</t>
  </si>
  <si>
    <t>5236721</t>
  </si>
  <si>
    <t>5218614</t>
  </si>
  <si>
    <t>5218569</t>
  </si>
  <si>
    <t>5282521</t>
  </si>
  <si>
    <t>6188839</t>
  </si>
  <si>
    <t>6059114</t>
  </si>
  <si>
    <t>5222429</t>
  </si>
  <si>
    <t>6360784</t>
  </si>
  <si>
    <t>5122395</t>
  </si>
  <si>
    <t>5206089</t>
  </si>
  <si>
    <t>5122410</t>
  </si>
  <si>
    <t>6189841</t>
  </si>
  <si>
    <t>6352847</t>
  </si>
  <si>
    <t>6392935</t>
  </si>
  <si>
    <t>6352919</t>
  </si>
  <si>
    <t>6352920</t>
  </si>
  <si>
    <t>5183274</t>
  </si>
  <si>
    <t>5183273</t>
  </si>
  <si>
    <t>5183277</t>
  </si>
  <si>
    <t>5083002</t>
  </si>
  <si>
    <t>5282772</t>
  </si>
  <si>
    <t>5180485</t>
  </si>
  <si>
    <t>5091668</t>
  </si>
  <si>
    <t>5583704</t>
  </si>
  <si>
    <t>5183280</t>
  </si>
  <si>
    <t>6315732</t>
  </si>
  <si>
    <t>5222629</t>
  </si>
  <si>
    <t>6416433</t>
  </si>
  <si>
    <t>6416432</t>
  </si>
  <si>
    <t>5092965</t>
  </si>
  <si>
    <t>5084898</t>
  </si>
  <si>
    <t>6352980</t>
  </si>
  <si>
    <t>6352971</t>
  </si>
  <si>
    <t>6352982</t>
  </si>
  <si>
    <t>6038889</t>
  </si>
  <si>
    <t>6414041</t>
  </si>
  <si>
    <t>6396803</t>
  </si>
  <si>
    <t>5085014</t>
  </si>
  <si>
    <t>5074297</t>
  </si>
  <si>
    <t>5085900</t>
  </si>
  <si>
    <t>5085936</t>
  </si>
  <si>
    <t>5086544</t>
  </si>
  <si>
    <t>6390506</t>
  </si>
  <si>
    <t>6390522</t>
  </si>
  <si>
    <t>6390523</t>
  </si>
  <si>
    <t>6352827</t>
  </si>
  <si>
    <t>6377091</t>
  </si>
  <si>
    <t>6373274</t>
  </si>
  <si>
    <t>6394165</t>
  </si>
  <si>
    <t>5315864</t>
  </si>
  <si>
    <t>6390521</t>
  </si>
  <si>
    <t>6390516</t>
  </si>
  <si>
    <t>6390517</t>
  </si>
  <si>
    <t>6396929</t>
  </si>
  <si>
    <t>6396958</t>
  </si>
  <si>
    <t>6383564</t>
  </si>
  <si>
    <t>5083003</t>
  </si>
  <si>
    <t>6040274</t>
  </si>
  <si>
    <t>6390792</t>
  </si>
  <si>
    <t>5085906</t>
  </si>
  <si>
    <t>5085925</t>
  </si>
  <si>
    <t>5085965</t>
  </si>
  <si>
    <t>5315853</t>
  </si>
  <si>
    <t>5090811</t>
  </si>
  <si>
    <t>5090758</t>
  </si>
  <si>
    <t>6188854</t>
  </si>
  <si>
    <t>5180702</t>
  </si>
  <si>
    <t>5180483</t>
  </si>
  <si>
    <t>5218566</t>
  </si>
  <si>
    <t>5218585</t>
  </si>
  <si>
    <t>5218589</t>
  </si>
  <si>
    <t>5218609</t>
  </si>
  <si>
    <t>5218673</t>
  </si>
  <si>
    <t>5219326</t>
  </si>
  <si>
    <t>5219328</t>
  </si>
  <si>
    <t>5218700</t>
  </si>
  <si>
    <t>5218701</t>
  </si>
  <si>
    <t>6034025</t>
  </si>
  <si>
    <t>6316974</t>
  </si>
  <si>
    <t>6316997</t>
  </si>
  <si>
    <t>5316000</t>
  </si>
  <si>
    <t>5315986</t>
  </si>
  <si>
    <t>5222643</t>
  </si>
  <si>
    <t>5222644</t>
  </si>
  <si>
    <t>6394828</t>
  </si>
  <si>
    <t>6394759</t>
  </si>
  <si>
    <t>6394837</t>
  </si>
  <si>
    <t>6394892</t>
  </si>
  <si>
    <t>6360765</t>
  </si>
  <si>
    <t>6378726</t>
  </si>
  <si>
    <t>6378736</t>
  </si>
  <si>
    <t>6394223</t>
  </si>
  <si>
    <t>6394224</t>
  </si>
  <si>
    <t>6125153</t>
  </si>
  <si>
    <t>5317834</t>
  </si>
  <si>
    <t>6344593</t>
  </si>
  <si>
    <t>6344599</t>
  </si>
  <si>
    <t>6344597</t>
  </si>
  <si>
    <t>6092836</t>
  </si>
  <si>
    <t>5092432</t>
  </si>
  <si>
    <t>5083424</t>
  </si>
  <si>
    <t>5097039</t>
  </si>
  <si>
    <t>5097040</t>
  </si>
  <si>
    <t>5122409</t>
  </si>
  <si>
    <t>5092615</t>
  </si>
  <si>
    <t>5092617</t>
  </si>
  <si>
    <t>5122408</t>
  </si>
  <si>
    <t>5092618</t>
  </si>
  <si>
    <t>5083465</t>
  </si>
  <si>
    <t>5083458</t>
  </si>
  <si>
    <t>5083456</t>
  </si>
  <si>
    <t>5219014</t>
  </si>
  <si>
    <t>6106427</t>
  </si>
  <si>
    <t>5095360</t>
  </si>
  <si>
    <t>5095361</t>
  </si>
  <si>
    <t>5095363</t>
  </si>
  <si>
    <t>5095368</t>
  </si>
  <si>
    <t>5092572</t>
  </si>
  <si>
    <t>5092573</t>
  </si>
  <si>
    <t>5092574</t>
  </si>
  <si>
    <t>5159073</t>
  </si>
  <si>
    <t>5092596</t>
  </si>
  <si>
    <t>5083469</t>
  </si>
  <si>
    <t>5092549</t>
  </si>
  <si>
    <t>5122390</t>
  </si>
  <si>
    <t>5244440</t>
  </si>
  <si>
    <t>5316975</t>
  </si>
  <si>
    <t>5092588</t>
  </si>
  <si>
    <t>5092589</t>
  </si>
  <si>
    <t>5092590</t>
  </si>
  <si>
    <t>5244471</t>
  </si>
  <si>
    <t>5092604</t>
  </si>
  <si>
    <t>5232365</t>
  </si>
  <si>
    <t>5232386</t>
  </si>
  <si>
    <t>5317080</t>
  </si>
  <si>
    <t>5232387</t>
  </si>
  <si>
    <t>5083471</t>
  </si>
  <si>
    <t>5083472</t>
  </si>
  <si>
    <t>5092553</t>
  </si>
  <si>
    <t>5232385</t>
  </si>
  <si>
    <t>5282515</t>
  </si>
  <si>
    <t>5083473</t>
  </si>
  <si>
    <t>5092557</t>
  </si>
  <si>
    <t>5122392</t>
  </si>
  <si>
    <t>5122397</t>
  </si>
  <si>
    <t>5092611</t>
  </si>
  <si>
    <t>5092612</t>
  </si>
  <si>
    <t>5092613</t>
  </si>
  <si>
    <t>5092586</t>
  </si>
  <si>
    <t>5244439</t>
  </si>
  <si>
    <t>5092582</t>
  </si>
  <si>
    <t>5092583</t>
  </si>
  <si>
    <t>5122398</t>
  </si>
  <si>
    <t>5316990</t>
  </si>
  <si>
    <t>5232364</t>
  </si>
  <si>
    <t>5083478</t>
  </si>
  <si>
    <t>5083479</t>
  </si>
  <si>
    <t>5083482</t>
  </si>
  <si>
    <t>5092567</t>
  </si>
  <si>
    <t>5092568</t>
  </si>
  <si>
    <t>5092607</t>
  </si>
  <si>
    <t>5092608</t>
  </si>
  <si>
    <t>5092551</t>
  </si>
  <si>
    <t>5122391</t>
  </si>
  <si>
    <t>5122396</t>
  </si>
  <si>
    <t>5159072</t>
  </si>
  <si>
    <t>5122247</t>
  </si>
  <si>
    <t>5159074</t>
  </si>
  <si>
    <t>5092559</t>
  </si>
  <si>
    <t>5313746</t>
  </si>
  <si>
    <t>5316967</t>
  </si>
  <si>
    <t>5159077</t>
  </si>
  <si>
    <t>5092592</t>
  </si>
  <si>
    <t>5092593</t>
  </si>
  <si>
    <t>5092594</t>
  </si>
  <si>
    <t>5083483</t>
  </si>
  <si>
    <t>5083484</t>
  </si>
  <si>
    <t>5092570</t>
  </si>
  <si>
    <t>5211844</t>
  </si>
  <si>
    <t>5211845</t>
  </si>
  <si>
    <t>5206083</t>
  </si>
  <si>
    <t>5206088</t>
  </si>
  <si>
    <t>5206120</t>
  </si>
  <si>
    <t>5206121</t>
  </si>
  <si>
    <t>5092495</t>
  </si>
  <si>
    <t>5092524</t>
  </si>
  <si>
    <t>5122415</t>
  </si>
  <si>
    <t>5122414</t>
  </si>
  <si>
    <t>5122411</t>
  </si>
  <si>
    <t>5083488</t>
  </si>
  <si>
    <t>6352849</t>
  </si>
  <si>
    <t>6352845</t>
  </si>
  <si>
    <t>6352943</t>
  </si>
  <si>
    <t>6352844</t>
  </si>
  <si>
    <t>6352942</t>
  </si>
  <si>
    <t>6352843</t>
  </si>
  <si>
    <t>6352846</t>
  </si>
  <si>
    <t>6352937</t>
  </si>
  <si>
    <t>6352850</t>
  </si>
  <si>
    <t>6183895</t>
  </si>
  <si>
    <t>6188847</t>
  </si>
  <si>
    <t>6189789</t>
  </si>
  <si>
    <t>6188897</t>
  </si>
  <si>
    <t>6188934</t>
  </si>
  <si>
    <t>6291753</t>
  </si>
  <si>
    <t>6291752</t>
  </si>
  <si>
    <t>5089020</t>
  </si>
  <si>
    <t>5090819</t>
  </si>
  <si>
    <t>5576890</t>
  </si>
  <si>
    <t>5580759</t>
  </si>
  <si>
    <t>5518980</t>
  </si>
  <si>
    <t>5091192</t>
  </si>
  <si>
    <t>5183325</t>
  </si>
  <si>
    <t>5083552</t>
  </si>
  <si>
    <t>5096810</t>
  </si>
  <si>
    <t>5090721</t>
  </si>
  <si>
    <t>5090722</t>
  </si>
  <si>
    <t>5220526</t>
  </si>
  <si>
    <t>5220564</t>
  </si>
  <si>
    <t>5220376</t>
  </si>
  <si>
    <t>5095395</t>
  </si>
  <si>
    <t>5090983</t>
  </si>
  <si>
    <t>5220470</t>
  </si>
  <si>
    <t>5095393</t>
  </si>
  <si>
    <t>5220471</t>
  </si>
  <si>
    <t>5090979</t>
  </si>
  <si>
    <t>5090980</t>
  </si>
  <si>
    <t>5220378</t>
  </si>
  <si>
    <t>6380982</t>
  </si>
  <si>
    <t>5180499</t>
  </si>
  <si>
    <t>5180638</t>
  </si>
  <si>
    <t>5094279</t>
  </si>
  <si>
    <t>5090592</t>
  </si>
  <si>
    <t>5115991</t>
  </si>
  <si>
    <t>5091276</t>
  </si>
  <si>
    <t>5090767</t>
  </si>
  <si>
    <t>5091341</t>
  </si>
  <si>
    <t>5091108</t>
  </si>
  <si>
    <t>5316733</t>
  </si>
  <si>
    <t>5091283</t>
  </si>
  <si>
    <t>5090769</t>
  </si>
  <si>
    <t>5090717</t>
  </si>
  <si>
    <t>5480752</t>
  </si>
  <si>
    <t>5480936</t>
  </si>
  <si>
    <t>5090873</t>
  </si>
  <si>
    <t>5183956</t>
  </si>
  <si>
    <t>5090744</t>
  </si>
  <si>
    <t>5090745</t>
  </si>
  <si>
    <t>5090969</t>
  </si>
  <si>
    <t>5180512</t>
  </si>
  <si>
    <t>5180642</t>
  </si>
  <si>
    <t>5180842</t>
  </si>
  <si>
    <t>5180514</t>
  </si>
  <si>
    <t>5180645</t>
  </si>
  <si>
    <t>5180844</t>
  </si>
  <si>
    <t>5180515</t>
  </si>
  <si>
    <t>5180646</t>
  </si>
  <si>
    <t>5180518</t>
  </si>
  <si>
    <t>5180648</t>
  </si>
  <si>
    <t>5180846</t>
  </si>
  <si>
    <t>5090736</t>
  </si>
  <si>
    <t>5090737</t>
  </si>
  <si>
    <t>5090738</t>
  </si>
  <si>
    <t>5180519</t>
  </si>
  <si>
    <t>5180650</t>
  </si>
  <si>
    <t>5090730</t>
  </si>
  <si>
    <t>5090731</t>
  </si>
  <si>
    <t>5091670</t>
  </si>
  <si>
    <t>5091667</t>
  </si>
  <si>
    <t>5248426</t>
  </si>
  <si>
    <t>5091656</t>
  </si>
  <si>
    <t>5248419</t>
  </si>
  <si>
    <t>5091652</t>
  </si>
  <si>
    <t>5248422</t>
  </si>
  <si>
    <t>5248423</t>
  </si>
  <si>
    <t>5248424</t>
  </si>
  <si>
    <t>5149182</t>
  </si>
  <si>
    <t>5248425</t>
  </si>
  <si>
    <t>5248421</t>
  </si>
  <si>
    <t>5082983</t>
  </si>
  <si>
    <t>5182043</t>
  </si>
  <si>
    <t>5182044</t>
  </si>
  <si>
    <t>5091277</t>
  </si>
  <si>
    <t>5091202</t>
  </si>
  <si>
    <t>5091675</t>
  </si>
  <si>
    <t>5091682</t>
  </si>
  <si>
    <t>5091532</t>
  </si>
  <si>
    <t>5583703</t>
  </si>
  <si>
    <t>5091676</t>
  </si>
  <si>
    <t>5082193</t>
  </si>
  <si>
    <t>5116367</t>
  </si>
  <si>
    <t>5116369</t>
  </si>
  <si>
    <t>5180586</t>
  </si>
  <si>
    <t>5183357</t>
  </si>
  <si>
    <t>5183422</t>
  </si>
  <si>
    <t>5183421</t>
  </si>
  <si>
    <t>5223353</t>
  </si>
  <si>
    <t>6403566</t>
  </si>
  <si>
    <t>6403583</t>
  </si>
  <si>
    <t>6316456</t>
  </si>
  <si>
    <t>6317538</t>
  </si>
  <si>
    <t>6040541</t>
  </si>
  <si>
    <t>6314183</t>
  </si>
  <si>
    <t>6316096</t>
  </si>
  <si>
    <t>6316201</t>
  </si>
  <si>
    <t>6394052</t>
  </si>
  <si>
    <t>6391535</t>
  </si>
  <si>
    <t>6391543</t>
  </si>
  <si>
    <t>6391500</t>
  </si>
  <si>
    <t>6360902</t>
  </si>
  <si>
    <t>6317315</t>
  </si>
  <si>
    <t>6317535</t>
  </si>
  <si>
    <t>6362650</t>
  </si>
  <si>
    <t>6362674</t>
  </si>
  <si>
    <t>6391536</t>
  </si>
  <si>
    <t>6391551</t>
  </si>
  <si>
    <t>6046970</t>
  </si>
  <si>
    <t>6046969</t>
  </si>
  <si>
    <t>6391320</t>
  </si>
  <si>
    <t>6391541</t>
  </si>
  <si>
    <t>6317316</t>
  </si>
  <si>
    <t>6391534</t>
  </si>
  <si>
    <t>6046971</t>
  </si>
  <si>
    <t>6390790</t>
  </si>
  <si>
    <t>6315731</t>
  </si>
  <si>
    <t>6107813</t>
  </si>
  <si>
    <t>6107267</t>
  </si>
  <si>
    <t>6107260</t>
  </si>
  <si>
    <t>6344663</t>
  </si>
  <si>
    <t>6352887</t>
  </si>
  <si>
    <t>6338056</t>
  </si>
  <si>
    <t>6392195</t>
  </si>
  <si>
    <t>6309562</t>
  </si>
  <si>
    <t>6416434</t>
  </si>
  <si>
    <t>5084917</t>
  </si>
  <si>
    <t>5084863</t>
  </si>
  <si>
    <t>5092956</t>
  </si>
  <si>
    <t>5084878</t>
  </si>
  <si>
    <t>5223748</t>
  </si>
  <si>
    <t>5362532</t>
  </si>
  <si>
    <t>5362538</t>
  </si>
  <si>
    <t>5362526</t>
  </si>
  <si>
    <t>5362528</t>
  </si>
  <si>
    <t>5362531</t>
  </si>
  <si>
    <t>6393986</t>
  </si>
  <si>
    <t>6394089</t>
  </si>
  <si>
    <t>6108634</t>
  </si>
  <si>
    <t>6317839</t>
  </si>
  <si>
    <t>6392118</t>
  </si>
  <si>
    <t>6392107</t>
  </si>
  <si>
    <t>6392108</t>
  </si>
  <si>
    <t>6392205</t>
  </si>
  <si>
    <t>5257702</t>
  </si>
  <si>
    <t>5257695</t>
  </si>
  <si>
    <t>6351631</t>
  </si>
  <si>
    <t>6352979</t>
  </si>
  <si>
    <t>6352960</t>
  </si>
  <si>
    <t>6352981</t>
  </si>
  <si>
    <t>6352972</t>
  </si>
  <si>
    <t>6352973</t>
  </si>
  <si>
    <t>6352983</t>
  </si>
  <si>
    <t>6352974</t>
  </si>
  <si>
    <t>6352984</t>
  </si>
  <si>
    <t>6352975</t>
  </si>
  <si>
    <t>6183774</t>
  </si>
  <si>
    <t>6059429</t>
  </si>
  <si>
    <t>6059435</t>
  </si>
  <si>
    <t>6020457</t>
  </si>
  <si>
    <t>6093278</t>
  </si>
  <si>
    <t>6317386</t>
  </si>
  <si>
    <t>6385002</t>
  </si>
  <si>
    <t>6385005</t>
  </si>
  <si>
    <t>6108565</t>
  </si>
  <si>
    <t>6183769</t>
  </si>
  <si>
    <t>6183760</t>
  </si>
  <si>
    <t>6108557</t>
  </si>
  <si>
    <t>6308825</t>
  </si>
  <si>
    <t>6308826</t>
  </si>
  <si>
    <t>6308786</t>
  </si>
  <si>
    <t>6085108</t>
  </si>
  <si>
    <t>6315739</t>
  </si>
  <si>
    <t>6315790</t>
  </si>
  <si>
    <t>6414040</t>
  </si>
  <si>
    <t>6362252</t>
  </si>
  <si>
    <t>6361274</t>
  </si>
  <si>
    <t>6091934</t>
  </si>
  <si>
    <t>6392574</t>
  </si>
  <si>
    <t>6350790</t>
  </si>
  <si>
    <t>6054175</t>
  </si>
  <si>
    <t>6398215</t>
  </si>
  <si>
    <t>6107902</t>
  </si>
  <si>
    <t>6430171</t>
  </si>
  <si>
    <t>6396955</t>
  </si>
  <si>
    <t>6396956</t>
  </si>
  <si>
    <t>6396960</t>
  </si>
  <si>
    <t>6396904</t>
  </si>
  <si>
    <t>6396941</t>
  </si>
  <si>
    <t>6396946</t>
  </si>
  <si>
    <t>6396953</t>
  </si>
  <si>
    <t>6402601</t>
  </si>
  <si>
    <t>6396942</t>
  </si>
  <si>
    <t>6396943</t>
  </si>
  <si>
    <t>6402025</t>
  </si>
  <si>
    <t>6380604</t>
  </si>
  <si>
    <t>6107954</t>
  </si>
  <si>
    <t>6107968</t>
  </si>
  <si>
    <t>6395683</t>
  </si>
  <si>
    <t>6107961</t>
  </si>
  <si>
    <t>6107966</t>
  </si>
  <si>
    <t>6107962</t>
  </si>
  <si>
    <t>6107950</t>
  </si>
  <si>
    <t>6391561</t>
  </si>
  <si>
    <t>6389325</t>
  </si>
  <si>
    <t>6389310</t>
  </si>
  <si>
    <t>6389298</t>
  </si>
  <si>
    <t>6389324</t>
  </si>
  <si>
    <t>6291959</t>
  </si>
  <si>
    <t>6389331</t>
  </si>
  <si>
    <t>6389536</t>
  </si>
  <si>
    <t>6090339</t>
  </si>
  <si>
    <t>6386660</t>
  </si>
  <si>
    <t>6389623</t>
  </si>
  <si>
    <t>6386664</t>
  </si>
  <si>
    <t>6389621</t>
  </si>
  <si>
    <t>6403630</t>
  </si>
  <si>
    <t>5580780</t>
  </si>
  <si>
    <t>5025582</t>
  </si>
  <si>
    <t>5085907</t>
  </si>
  <si>
    <t>5085918</t>
  </si>
  <si>
    <t>5085935</t>
  </si>
  <si>
    <t>5085977</t>
  </si>
  <si>
    <t>5085748</t>
  </si>
  <si>
    <t>5085696</t>
  </si>
  <si>
    <t>5114993</t>
  </si>
  <si>
    <t>5060367</t>
  </si>
  <si>
    <t>6107814</t>
  </si>
  <si>
    <t>6403712</t>
  </si>
  <si>
    <t>6403715</t>
  </si>
  <si>
    <t>6033960</t>
  </si>
  <si>
    <t>5222534</t>
  </si>
  <si>
    <t>5222519</t>
  </si>
  <si>
    <t>6345822</t>
  </si>
  <si>
    <t>5315681</t>
  </si>
  <si>
    <t>6391545</t>
  </si>
  <si>
    <t>6390507</t>
  </si>
  <si>
    <t>6390510</t>
  </si>
  <si>
    <t>6317864</t>
  </si>
  <si>
    <t>6390518</t>
  </si>
  <si>
    <t>6059474</t>
  </si>
  <si>
    <t>6059475</t>
  </si>
  <si>
    <t>6390505</t>
  </si>
  <si>
    <t>6059471</t>
  </si>
  <si>
    <t>6391511</t>
  </si>
  <si>
    <t>6059473</t>
  </si>
  <si>
    <t>6390508</t>
  </si>
  <si>
    <t>6390503</t>
  </si>
  <si>
    <t>6059476</t>
  </si>
  <si>
    <t>6012983</t>
  </si>
  <si>
    <t>6391490</t>
  </si>
  <si>
    <t>6059480</t>
  </si>
  <si>
    <t>6059481</t>
  </si>
  <si>
    <t>6390524</t>
  </si>
  <si>
    <t>6390512</t>
  </si>
  <si>
    <t>6390525</t>
  </si>
  <si>
    <t>6390509</t>
  </si>
  <si>
    <t>6390513</t>
  </si>
  <si>
    <t>6352828</t>
  </si>
  <si>
    <t>6352799</t>
  </si>
  <si>
    <t>6352826</t>
  </si>
  <si>
    <t>6352798</t>
  </si>
  <si>
    <t>6352830</t>
  </si>
  <si>
    <t>6352841</t>
  </si>
  <si>
    <t>6352829</t>
  </si>
  <si>
    <t>6085111</t>
  </si>
  <si>
    <t>6107876</t>
  </si>
  <si>
    <t>6403637</t>
  </si>
  <si>
    <t>6403654</t>
  </si>
  <si>
    <t>6403648</t>
  </si>
  <si>
    <t>6140633</t>
  </si>
  <si>
    <t>6140632</t>
  </si>
  <si>
    <t>6140630</t>
  </si>
  <si>
    <t>6140629</t>
  </si>
  <si>
    <t>6389155</t>
  </si>
  <si>
    <t>6291578</t>
  </si>
  <si>
    <t>6361368</t>
  </si>
  <si>
    <t>6345849</t>
  </si>
  <si>
    <t>6345859</t>
  </si>
  <si>
    <t>6345860</t>
  </si>
  <si>
    <t>6345853</t>
  </si>
  <si>
    <t>6345854</t>
  </si>
  <si>
    <t>5315854</t>
  </si>
  <si>
    <t>5315852</t>
  </si>
  <si>
    <t>5315925</t>
  </si>
  <si>
    <t>5222341</t>
  </si>
  <si>
    <t>5222321</t>
  </si>
  <si>
    <t>6394225</t>
  </si>
  <si>
    <t>6394197</t>
  </si>
  <si>
    <t>5315857</t>
  </si>
  <si>
    <t>6108960</t>
  </si>
  <si>
    <t>6108982</t>
  </si>
  <si>
    <t>6108983</t>
  </si>
  <si>
    <t>6033946</t>
  </si>
  <si>
    <t>6103933</t>
  </si>
  <si>
    <t>6403469</t>
  </si>
  <si>
    <t>6403744</t>
  </si>
  <si>
    <t>6403727</t>
  </si>
  <si>
    <t>6403738</t>
  </si>
  <si>
    <t>6403730</t>
  </si>
  <si>
    <t>6108961</t>
  </si>
  <si>
    <t>6183863</t>
  </si>
  <si>
    <t>6183876</t>
  </si>
  <si>
    <t>PLC</t>
  </si>
  <si>
    <t>Yes</t>
  </si>
  <si>
    <t>Remove</t>
  </si>
  <si>
    <t>Normal</t>
  </si>
  <si>
    <t>Pre-phase-out</t>
  </si>
  <si>
    <t>Centrally stock allocated</t>
  </si>
  <si>
    <t>Active Promo / Seasonal</t>
  </si>
  <si>
    <t>Pre-Clearance</t>
  </si>
  <si>
    <t>Phase-out</t>
  </si>
  <si>
    <t>Pre-Phase-out</t>
  </si>
  <si>
    <t>In-active Promo / out of Season</t>
  </si>
  <si>
    <t>Delete</t>
  </si>
  <si>
    <t>Current</t>
  </si>
  <si>
    <t>Armstead Trade Contract Matt Tinted Colours 10L</t>
  </si>
  <si>
    <t>Dulux Trade Fast Matt Tinted Colours 10L</t>
  </si>
  <si>
    <t>Dulux Trade Supermatt Magnolia 10L</t>
  </si>
  <si>
    <t>Dulux Trade Supermatt Tint Colours 10L</t>
  </si>
  <si>
    <t>Dulux Trade Supermatt Tint Colours 5L</t>
  </si>
  <si>
    <t>Dulux Trade Advanced Contract Matt White 10L</t>
  </si>
  <si>
    <t>Armstead Trade Vinyl MATT BLACK 5L</t>
  </si>
  <si>
    <t>Armstead Trade Vinyl MATT B/WHITE 10L</t>
  </si>
  <si>
    <t>Armstead Trade Vinyl MATT B/WHITE 5L</t>
  </si>
  <si>
    <t>Armstead Trade Vinyl MATT GARDENIA 10L</t>
  </si>
  <si>
    <t>Armstead Trade Vinyl MATT GARDENIA 5L</t>
  </si>
  <si>
    <t>Armstead Trade Vinyl MATT MAGNOLIA 10L</t>
  </si>
  <si>
    <t>Armstead Trade Vinyl MATT MAGNOLIA 5L</t>
  </si>
  <si>
    <t>Armstead Trade Vinyl Matt Tinted Colours 2.5L</t>
  </si>
  <si>
    <t>Armstead Trade Vinyl Matt Tinted Colours 5L</t>
  </si>
  <si>
    <t>Armstead Trade Vinyl MATT WHITE 10L</t>
  </si>
  <si>
    <t>Armstead Trade Vinyl MATT WHITE 5L</t>
  </si>
  <si>
    <t>Armstead Trade Vinyl MATT MAGNOLIA 2.5L</t>
  </si>
  <si>
    <t>Armstead Trade Vinyl Matt Tint Col 10L</t>
  </si>
  <si>
    <t>Armstead Trade Vinyl MATT WHITE 2.5L</t>
  </si>
  <si>
    <t>Dulux Trade Vinyl Matt L&amp;S Tinted Colours 5L</t>
  </si>
  <si>
    <t>Dulux Trade Vinyl Matt Tinted Colours 10L</t>
  </si>
  <si>
    <t>Dulux Trade Vinyl Matt Tinted Colours 1L</t>
  </si>
  <si>
    <t>Dulux Trade Vinyl Matt Tinted Colours 2.5L</t>
  </si>
  <si>
    <t>Dulux Trade Vinyl Matt Tinted Colours 5L</t>
  </si>
  <si>
    <t>Armstead Trade Dur Acrylic E/Shell Tint Colours 5L</t>
  </si>
  <si>
    <t>Armstead Trade Dur Matt Tinted Colours 2.5L</t>
  </si>
  <si>
    <t>Armstead Trade Dur Matt Tinted Colours 5L</t>
  </si>
  <si>
    <t>Armstead Trade Durable Matt Tint Col 10L</t>
  </si>
  <si>
    <t>Dulux Trade Diamond E L&amp;S Tinted Colours 5L</t>
  </si>
  <si>
    <t>Dulux Trade Diamond Eggshell Tint Colours 1L</t>
  </si>
  <si>
    <t>Dulux Trade Diamond Eggshell Tint Colours 2.5L</t>
  </si>
  <si>
    <t>Dulux Trade Diamond Eggshell Tint Colours 5L</t>
  </si>
  <si>
    <t>Dulux Trade Diamond Matt L&amp;S Tint Colours 5L</t>
  </si>
  <si>
    <t>Dulux Trade Diamond Matt Tinted Colours 10L</t>
  </si>
  <si>
    <t>Dulux Trade Diamond Matt Tinted Colours 2.5L</t>
  </si>
  <si>
    <t>Dulux Trade Diamond Matt Tinted Colours 5L</t>
  </si>
  <si>
    <t>Dulux Trade Scuffshield Matt Tinted Colour 5L</t>
  </si>
  <si>
    <t>Dulux Trade Diamond Satinwood Tint Cols 1L</t>
  </si>
  <si>
    <t>Dulux Trade Diamond Satinwood Tint Cols 2.5L</t>
  </si>
  <si>
    <t>Dulux Trade Diamond Satinwood Tint Cols 5L</t>
  </si>
  <si>
    <t>Dulux Trade Gloss Tinted Colours 1L</t>
  </si>
  <si>
    <t>Dulux Trade Gloss Tinted Colours 2.5L</t>
  </si>
  <si>
    <t>Dulux Trade Gloss Tinted Colours 5L</t>
  </si>
  <si>
    <t>Dulux Trade QD Gloss Tinted Colours 1L</t>
  </si>
  <si>
    <t>Dulux Trade QD Gloss Tinted Colours 2.5L</t>
  </si>
  <si>
    <t>Dulux Trade QD Gloss Tinted Colours 5L</t>
  </si>
  <si>
    <t>Dulux Trade QD Satinwd Tinted Colours 1L</t>
  </si>
  <si>
    <t>Dulux Trade QD Satinwd Tinted Colours 2.5L</t>
  </si>
  <si>
    <t>Dulux Trade QD Satinwd Tinted Colours 5L</t>
  </si>
  <si>
    <t>Dulux Trade Quick Dry U/Coat Tinted Colours 1L</t>
  </si>
  <si>
    <t>Dulux Trade Quick Dry U/Coat Tinted Colours 2.5L</t>
  </si>
  <si>
    <t>Dulux Trade Quick Dry U/Coat Tinted Colours 5L</t>
  </si>
  <si>
    <t>Dulux Trade Satinwood Tinted Colours 1L</t>
  </si>
  <si>
    <t>Dulux Trade Satinwood Tinted Colours 2.5L</t>
  </si>
  <si>
    <t>Dulux Trade Satinwood Tinted Colours 5L</t>
  </si>
  <si>
    <t>Dulux Trade Undercoat Tinted Colours 1L</t>
  </si>
  <si>
    <t>Dulux Trade Undercoat Tinted Colours 2.5L</t>
  </si>
  <si>
    <t>Dulux Trade Undercoat Tinted Colours 5L</t>
  </si>
  <si>
    <t>Dulux Trade W/S Ext Gloss Tinted Colours 1L</t>
  </si>
  <si>
    <t>Dulux Trade W/S Ext Gloss Tinted Colours 2.5L</t>
  </si>
  <si>
    <t>Dulux Trade W/S Ext Gloss Tinted Colours 5L</t>
  </si>
  <si>
    <t>Dulux Trade W/S Ext U/Coat Tint Colours 1L</t>
  </si>
  <si>
    <t>Dulux Trade W/S Ext U/Coat Tint Colours 2.5L</t>
  </si>
  <si>
    <t>Dulux Trade W/S Ext U/Coat Tint Colours 5L</t>
  </si>
  <si>
    <t>Dulux Trade W/S QD Ext High Gloss Tinted Colour 1L</t>
  </si>
  <si>
    <t>Dulux Trade W/S QD Ext High Gloss Tinted Colour 2.5L</t>
  </si>
  <si>
    <t>Dulux Trade W/S QD Ext High Gloss Tinted Colour 5L</t>
  </si>
  <si>
    <t>Dulux Trade W/S QD Ext Flexible U/Coat Tinted Colour 1L</t>
  </si>
  <si>
    <t>Dulux Trade W/S QD Ext Flexible U/Coat Tinted Colour 2.5L</t>
  </si>
  <si>
    <t>Dulux Trade W/S QD Ext Flexible U/Coat Tinted Colour 5L</t>
  </si>
  <si>
    <t>Dulux Trade W/S QD Sat Tinted Colours 1L</t>
  </si>
  <si>
    <t>Dulux Trade W/S QD Sat Tinted Colours 2.5L</t>
  </si>
  <si>
    <t>Dulux Trade W/S F/Text Tinted Colours 5L</t>
  </si>
  <si>
    <t>Dulux Trade W/S Max Exp Tinted Colours 5L</t>
  </si>
  <si>
    <t>Dulux Trade W/S Msnry Buttermilk 5L</t>
  </si>
  <si>
    <t>Dulux Trade W/S Msnry Cnty Cream 5L</t>
  </si>
  <si>
    <t>Dulux Trade W/S Msnry Smooth Tint Colours 10L</t>
  </si>
  <si>
    <t>Dulux Trade W/S Msnry Tinted Colours 2.5L</t>
  </si>
  <si>
    <t>Dulux Trade W/S Msnry Tinted Colours 5L</t>
  </si>
  <si>
    <t>Armstead Trade A/Mould Vinyl Matt Tint Colours 5L</t>
  </si>
  <si>
    <t>Armstead Trade ANTI-MOULD Vinyl MATT WHITE 5L</t>
  </si>
  <si>
    <t>Armstead Trade Eggshell Tinted Colours 5L</t>
  </si>
  <si>
    <t>Armstead Trade Floor Paint Tinted Colours 5L</t>
  </si>
  <si>
    <t>Armstead Trade High Gloss Black 2.5L</t>
  </si>
  <si>
    <t>Armstead Trade High Gloss Tinted Colours 1L</t>
  </si>
  <si>
    <t>Armstead Trade High Gloss Tinted Colours 2.5L</t>
  </si>
  <si>
    <t>Armstead Trade High Gloss Tinted Colours 5L</t>
  </si>
  <si>
    <t>Armstead Trade Plio Masonry Tinted Colours 5L</t>
  </si>
  <si>
    <t>Armstead Trade QD Satin Tinted Colours 2.5L</t>
  </si>
  <si>
    <t>Armstead Trade QD Tinted Gloss Colours 2.5L</t>
  </si>
  <si>
    <t>Armstead Trade QUICK DRY WOOD PRIMER U/COArmstead Trade1L</t>
  </si>
  <si>
    <t>Armstead Trade QUICK DRY WOOD PRIMER U/COArmstead Trade2.5L</t>
  </si>
  <si>
    <t>Armstead Trade QUICK DRY WOOD PRIMER U/COArmstead Trade5L</t>
  </si>
  <si>
    <t>Armstead Trade Red Oxide Metal Primer 2.5L</t>
  </si>
  <si>
    <t>Armstead Trade Satin Tinted Colours 2.5L</t>
  </si>
  <si>
    <t>Armstead Trade SMOOTH MASONRY B/WHITE 5L</t>
  </si>
  <si>
    <t>Armstead Trade Smooth Msnry Tinted Colours 5L</t>
  </si>
  <si>
    <t>Armstead Trade UNDERCOArmstead TradeDARK GREY 1L</t>
  </si>
  <si>
    <t>Armstead Trade UNDERCOArmstead TradeDARK GREY 2.5L</t>
  </si>
  <si>
    <t>Armstead Trade UNDERCOArmstead TradeDARK GREY 5L</t>
  </si>
  <si>
    <t>Armstead Trade Undercoat Tinted Colours 2.5L</t>
  </si>
  <si>
    <t>Armstead Trade Undercoat Tinted Colours 5L</t>
  </si>
  <si>
    <t>Armstead Trade UNDERCOArmstead TradeWHITE 2.5L</t>
  </si>
  <si>
    <t>Armstead Trade Undercoat White 5L</t>
  </si>
  <si>
    <t>Armstead Trade Vinyl SILK MAGNOLIA 10L</t>
  </si>
  <si>
    <t>Armstead Trade Vinyl SILK MAGNOLIA 5L</t>
  </si>
  <si>
    <t>Armstead Trade Vinyl Silk Tinted Colours 2.5L</t>
  </si>
  <si>
    <t>Armstead Trade Vinyl Silk Tinted Colours 5L</t>
  </si>
  <si>
    <t>Armstead Trade Vinyl SILK WHITE 10L</t>
  </si>
  <si>
    <t>Armstead Trade Vinyl SILK WHITE 5L</t>
  </si>
  <si>
    <t>Armstead Trade Vinyl SOFT SHEEN B/WHITE 5L</t>
  </si>
  <si>
    <t>Armstead Trade Vinyl SOFT SHEEN MAGNOLIA 5L</t>
  </si>
  <si>
    <t>Armstead Trade Vinyl Soft Sheen Tinted Colours 2.5L</t>
  </si>
  <si>
    <t>Armstead Trade Vinyl Soft Sheen Tinted Colours 5L</t>
  </si>
  <si>
    <t>Cuprinol All Purpose Wood Filler Natural 250ML</t>
  </si>
  <si>
    <t>Cuprinol All Purpose Wood Filler Natural 500ML</t>
  </si>
  <si>
    <t>Cuprinol All Purpose Wood Filler White 250ML</t>
  </si>
  <si>
    <t>Cuprinol Garden Shades Forget Me Not 5L</t>
  </si>
  <si>
    <t>Cuprinol Ultra Tough Wood Filler Natural 250G</t>
  </si>
  <si>
    <t>Cuprinol Ultra Tough Wood Filler Natural 500G</t>
  </si>
  <si>
    <t>Cuprinol Ultra Tough Wood Filler Natural 750G</t>
  </si>
  <si>
    <t>Cuprinol Ultra Tough Wood Filler White 250G</t>
  </si>
  <si>
    <t>Cuprinol Ultra Tough Wood Filler White 500G</t>
  </si>
  <si>
    <t>Cuprinol Ultra Tough Wood Filler White 750G</t>
  </si>
  <si>
    <t>Cuprinol UV Guard Decking Oil Natural Oak 5L</t>
  </si>
  <si>
    <t>Cuprinol UV Guard Decking Oil Natural 5L</t>
  </si>
  <si>
    <t>Dulux Trade Pyroshield Eggshell Light BS Tinted 5L</t>
  </si>
  <si>
    <t>Dulux Trade Pyroshield Matt Light BS Tinted 5L</t>
  </si>
  <si>
    <t>DT Anti Graffiti Clear Coat Activator 1.09L</t>
  </si>
  <si>
    <t>DT Anti Graffiti Clear Coat Base 3.9L</t>
  </si>
  <si>
    <t>DT Anti Graffiti Primer White Activator 1L</t>
  </si>
  <si>
    <t>DT Anti Graffiti Primer White Base 4L</t>
  </si>
  <si>
    <t>Dulux Trade Acrylic Gloss Tinted Colours 2.5L</t>
  </si>
  <si>
    <t>Dulux Trade Aluminium Paint 2.5L</t>
  </si>
  <si>
    <t>Dulux Trade Cladshield Tinted Colours 5L</t>
  </si>
  <si>
    <t>Dulux Trade Class W/Stain Tinted Colours 1L</t>
  </si>
  <si>
    <t>Dulux Trade Class W/Stain Tinted Colours 2.5L</t>
  </si>
  <si>
    <t>Dulux Trade Class W/Stain Tinted Colours 5L</t>
  </si>
  <si>
    <t>Dulux Trade Colour Sampler Tinted Colours 250ML</t>
  </si>
  <si>
    <t>Dulux Trade Diamond Glaze Tinted Colours 1L</t>
  </si>
  <si>
    <t>Dulux Trade Diamond Glaze Yellow Tinted Colours 2.5L</t>
  </si>
  <si>
    <t>Dulux Trade Eggshell Pure Brilliant White 2.5L</t>
  </si>
  <si>
    <t>Dulux Trade Eggshell Pure Brilliant White 5L</t>
  </si>
  <si>
    <t>Dulux Trade Eggshell Tinted Colours 1L</t>
  </si>
  <si>
    <t>Dulux Trade Eggshell Tinted Colours 2.5L</t>
  </si>
  <si>
    <t>Dulux Trade Eggshell Tinted Colours 5L</t>
  </si>
  <si>
    <t>Dulux Trade Eggshell White Bs4800 2.5L</t>
  </si>
  <si>
    <t>Dulux Trade Eggshell White Bs4800 5L</t>
  </si>
  <si>
    <t>Dulux Trade F/Shield Tinted Colours 5L</t>
  </si>
  <si>
    <t>Dulux Trade Flat Matt Tinted Colours 2.5L</t>
  </si>
  <si>
    <t>Dulux Trade Flat Matt Tinted Colours 5L</t>
  </si>
  <si>
    <t>Dulux Trade Heritage Matt Tint Col 1L</t>
  </si>
  <si>
    <t>Dulux Trade Heritage Matt Tint Col 2.5L</t>
  </si>
  <si>
    <t>Dulux Trade Heritage Matt Tint Col 5L</t>
  </si>
  <si>
    <t>Dulux Trade Mouldshield Fungicidal Eggshell PBW 5L</t>
  </si>
  <si>
    <t>Dulux Trade Mouldshield Fungicidal Matt Tint Colours 5L</t>
  </si>
  <si>
    <t>Dulux Trade M/Shield Gloss Tinted Colours 1L</t>
  </si>
  <si>
    <t>Dulux Trade M/Shield Gloss Tinted Colours 2.5L</t>
  </si>
  <si>
    <t>Dulux Trade M/Shield Gloss Tinted Colours 5L</t>
  </si>
  <si>
    <t>Dulux Trade M/Shield Satin Tinted Colours 2.5L</t>
  </si>
  <si>
    <t>Dulux Trade M/Shield Satin Tinted Colours 5L</t>
  </si>
  <si>
    <t>Dulux Trade Prot W/Sheen Tint Colours 1L</t>
  </si>
  <si>
    <t>Dulux Trade Prot W/Sheen Tint Colours 2.5L</t>
  </si>
  <si>
    <t>Dulux Trade Prot W/Sheen Tint Colours 5L</t>
  </si>
  <si>
    <t>Dulux Trade QD Opaque Tinted Colours 1L</t>
  </si>
  <si>
    <t>Dulux Trade QD Opaque Tinted Colours 2.5L</t>
  </si>
  <si>
    <t>Dulux Trade QD Opaque Tinted Colours 5L</t>
  </si>
  <si>
    <t>Dulux Trade QD Varn Tinted Colours 2.5L</t>
  </si>
  <si>
    <t>Dulux Trade QD Varnish Tinted Colours 1L</t>
  </si>
  <si>
    <t>Dulux Trade QD Woodstain Tinted Colours 1L</t>
  </si>
  <si>
    <t>Dulux Trade QD Woodstain Tinted Colours 2.5L</t>
  </si>
  <si>
    <t>Dulux Trade QD Woodstain Tinted Colours 5L</t>
  </si>
  <si>
    <t>Dulux Trade S/Sheen Tinted Colours 1L</t>
  </si>
  <si>
    <t>Dulux Trade S/Sheen Tinted Colours 2.5L</t>
  </si>
  <si>
    <t>Dulux Trade S/Sheen Tinted Colours 5L</t>
  </si>
  <si>
    <t>Dulux Trade S/Shield D/Matt Tint Colours 5L</t>
  </si>
  <si>
    <t>Dulux Trade S/Shield QD E/S Tint Colours 5L</t>
  </si>
  <si>
    <t>Dulux Trade Ultra Grip Primer White 200ML</t>
  </si>
  <si>
    <t>Dulux Trade Ultra Grip Primer White 800ML</t>
  </si>
  <si>
    <t>Dulux Trade Vinyl Silk Tinted Colours 10L</t>
  </si>
  <si>
    <t>Dulux Trade Vinyl Silk Tinted Colours 1L</t>
  </si>
  <si>
    <t>Dulux Trade Vinyl Silk Tinted Colours 2.5L</t>
  </si>
  <si>
    <t>Dulux Trade Vinyl Silk Tinted Colours 5L</t>
  </si>
  <si>
    <t>Dulux Trade Weathershield Exterior Flexible Filler 450G</t>
  </si>
  <si>
    <t>Dulux Trade Ultimate Opaque Black 1L</t>
  </si>
  <si>
    <t>Dulux Trade Ultimate Opaque Black 2.5L</t>
  </si>
  <si>
    <t>Dulux Trade Ultimate Opaque Black 5L</t>
  </si>
  <si>
    <t>Dulux Trade W/S Ult Opq Tint Colours 1L</t>
  </si>
  <si>
    <t>Dulux Trade W/S Ult Opq Tint Colours 2.5L</t>
  </si>
  <si>
    <t>Dulux Trade W/S Ult Opq Tint Colours 5L</t>
  </si>
  <si>
    <t>Dulux Trade Ultimate Opaque White 1L</t>
  </si>
  <si>
    <t>Dulux Trade Ultimate Opaque White 2.5L</t>
  </si>
  <si>
    <t>Dulux Trade Ultimate Opaque White 5L</t>
  </si>
  <si>
    <t>Dulux Trade W/S Ult W/Stn Tnt Colours 1L</t>
  </si>
  <si>
    <t>Dulux Trade W/S Ult W/Stn Tnt Colours 2.5L</t>
  </si>
  <si>
    <t>Dulux Trade W/S Ult W/Stn Tnt Colours 5L</t>
  </si>
  <si>
    <t>DU W/Shield A/W/P Smooth Muted Gold 5L</t>
  </si>
  <si>
    <t>Dulux Retail Bath+s/Sheen PBW 2.5L</t>
  </si>
  <si>
    <t>Dulux Retail Once Gloss PBW 2.5L</t>
  </si>
  <si>
    <t>Dulux Retail Once S/Wood PBW 2.5L</t>
  </si>
  <si>
    <t>Hammerite Ultima Matt Black 750ML</t>
  </si>
  <si>
    <t>Hammerite Ultima Matt White 750ML</t>
  </si>
  <si>
    <t>Hammerite Ultima Smooth Black 750ML</t>
  </si>
  <si>
    <t>Hammerite Ultima Smooth Dark Grey 750ML</t>
  </si>
  <si>
    <t>Hammerite Ultima Smooth Light Grey 750ML</t>
  </si>
  <si>
    <t>Hammerite Ultima Smooth White 750ML</t>
  </si>
  <si>
    <t>Bedec MSP Matt Black 250ML</t>
  </si>
  <si>
    <t>Bedec MSP Matt White 250ML</t>
  </si>
  <si>
    <t>Bedec MSP Satin Black 250ML</t>
  </si>
  <si>
    <t>Bedec MSP Satin White 250ML</t>
  </si>
  <si>
    <t>Blackfriar Pro Anti-slip Floor Paint Mid Grey 5L</t>
  </si>
  <si>
    <t>Blackfriar PU Floor Paint Mid Grey 5L</t>
  </si>
  <si>
    <t>Blockade White Shellac Sealer Primer 1L</t>
  </si>
  <si>
    <t>Blockade White Shellac Sealer Primer 2.5L</t>
  </si>
  <si>
    <t>Blockade White Shellac Sealer Primer 5L</t>
  </si>
  <si>
    <t>Coo-Var Dampshield Grey 00 A 05 5KG</t>
  </si>
  <si>
    <t>Polycell Trade Stain Block Aerosol 500ML</t>
  </si>
  <si>
    <t>Cuprinol 5 Year Ducksback Harvest Brown 5L</t>
  </si>
  <si>
    <t>Cuprinol 5 Year Ducksback Silver Copse 5L</t>
  </si>
  <si>
    <t>Osmo Polyx H/Wax Oil Cl Matt 2.5L</t>
  </si>
  <si>
    <t>Osmo Polyx H/Wax Oil Cl Matt 750ML</t>
  </si>
  <si>
    <t>Osmo Polyx H/Wax Oil Cl Satin 2.5L</t>
  </si>
  <si>
    <t>Osmo Polyx H/Wax Oil Cl Satin 750ML</t>
  </si>
  <si>
    <t>Osmo Polyx H/Wax Rapid Clr Satin 2.5L</t>
  </si>
  <si>
    <t>Osmo Polyx Oil Rapid Clr Satin 750ML</t>
  </si>
  <si>
    <t>Osmo Top Oil Clear Matt 500ML</t>
  </si>
  <si>
    <t>Osmo Top Oil Clear Satin 500ML</t>
  </si>
  <si>
    <t>Osmo UV Protection Oil 420 Ex Clear 750ML</t>
  </si>
  <si>
    <t>Osmo UV Protection Oil 420 Ex Clear 2.5L</t>
  </si>
  <si>
    <t>Osmo Wash And Care 1L</t>
  </si>
  <si>
    <t>Toupret Glazing Putty 1KG</t>
  </si>
  <si>
    <t>B/Line A/Purp Adhesive 30roll EACH</t>
  </si>
  <si>
    <t>B/Line One Time Filler 1L</t>
  </si>
  <si>
    <t>B/Line One Time Filler 4L</t>
  </si>
  <si>
    <t>B/Line R/Mix Vinyl Adhesive 9KG</t>
  </si>
  <si>
    <t>Brush Mate Drip Mat Service PK EACH</t>
  </si>
  <si>
    <t>Brush Mate Fluid 250ML</t>
  </si>
  <si>
    <t>Bartoline Sugar Soap Spray 500ML</t>
  </si>
  <si>
    <t>Beeline Ready To Use Wallpaper Adhesive 10KG</t>
  </si>
  <si>
    <t>Big Wipes Heavy Duty 4x4 Red cap 100 Wipes</t>
  </si>
  <si>
    <t>Gyproc Sand Paper 100G 25PK EACH</t>
  </si>
  <si>
    <t>Gyproc Sand Paper 120G 25PK EACH</t>
  </si>
  <si>
    <t>Hammerite Thin/Brush Cleaner 1L</t>
  </si>
  <si>
    <t>Indasa Rhynosoft Box of 20 Pads 115x140 MM P180</t>
  </si>
  <si>
    <t>Indasa Rhynosoft Box of 20 Pads 115x140 MM P240</t>
  </si>
  <si>
    <t>Indasa Rhynosoft Box of 20 Pads 115x140 MM P320</t>
  </si>
  <si>
    <t>Indasa Rhynosoft Rolls Dispenser P180 115x25Mts</t>
  </si>
  <si>
    <t>Microfibre All Purpose Cloth 40cmx40cm 10PK</t>
  </si>
  <si>
    <t>Mirka Gold Proflex 115MMx10M RLL P180 UK</t>
  </si>
  <si>
    <t>Mirka Gold Proflex 115MMx10M RLL P240 UK</t>
  </si>
  <si>
    <t>Mirka Goldflex Soft 115x140MM P150 10PK</t>
  </si>
  <si>
    <t>Mirka Goldflex Soft 115x140MM P240 10PK</t>
  </si>
  <si>
    <t>Mirka Hand Sanding Kit HANDY 80x230MM</t>
  </si>
  <si>
    <t>Oakey G/Purp Asstd Paper 5PK EACH</t>
  </si>
  <si>
    <t>OB1 MultiSurface Seal&amp;Adh Grey 290ML</t>
  </si>
  <si>
    <t>OB1 MultiSurface Seal&amp;Adh White 290ML</t>
  </si>
  <si>
    <t>Polycell Trade Polyfilla Decorators Caulk White 380ML</t>
  </si>
  <si>
    <t>Polycell Trade All Purpose Polyfilla Powder 10KG</t>
  </si>
  <si>
    <t>Polycell Trade All Purpose Polyfilla Powder 2KG</t>
  </si>
  <si>
    <t>Polycell Trade All Purpose Polyfilla Powder 5KG</t>
  </si>
  <si>
    <t>Polycell Trade All Purpose Polyfilla Ready Mix 1KG</t>
  </si>
  <si>
    <t>Polycell Trade Alabastine Filler 1.8KG</t>
  </si>
  <si>
    <t>Polycell Trade Easy Sand Interior Filler 2KG</t>
  </si>
  <si>
    <t>Polycell Trade Polyfilla Exterior Filler 2KG</t>
  </si>
  <si>
    <t>Polycell Trade Fine Surface Filler 1.75KG</t>
  </si>
  <si>
    <t>Polycell Trade Polyfilla Woodflex 600ML</t>
  </si>
  <si>
    <t>Polycell Trade Quick Drying Polyfilla 330G</t>
  </si>
  <si>
    <t>Solvite A/Purp Adhesive EACH</t>
  </si>
  <si>
    <t>Solvite O/Lap Border Adh Tube EACH</t>
  </si>
  <si>
    <t>Solvite R/Mix Adhesive 10KG</t>
  </si>
  <si>
    <t>Solvite R/Mix Adhesive 4.5KG</t>
  </si>
  <si>
    <t>Toupret Joint &amp; Skim Ready Mix 20KG</t>
  </si>
  <si>
    <t>Toupret Joint Skim &amp; Fill Powder 10KG</t>
  </si>
  <si>
    <t>Toupret Joint Skim &amp; Fill Powder 5KG</t>
  </si>
  <si>
    <t>Toupret Joint Skim &amp; Fill QD Powder 5KG</t>
  </si>
  <si>
    <t>Toupret Joint Skim &amp; Fill QD Pwder 10KG</t>
  </si>
  <si>
    <t>Toupret Patch &amp; Repair Quick Dry 2KG</t>
  </si>
  <si>
    <t>Toupret Patch &amp; Repair Quick Dry 5 KG</t>
  </si>
  <si>
    <t>Toupret Patch &amp; Repair Ready Mix 1.5KG</t>
  </si>
  <si>
    <t>Trimaco Masking Film 99IN 90FT</t>
  </si>
  <si>
    <t>Dulux Decorator Centre Aluminium Oxide Roll 120G 10M</t>
  </si>
  <si>
    <t>Dulux Decorator Centre Aluminium Oxide Roll 120G 50M</t>
  </si>
  <si>
    <t>Dulux Decorator Centre Aluminium Oxide Roll 40G 10M</t>
  </si>
  <si>
    <t>Dulux Decorator Centre Aluminium Oxide Roll 60G 10M</t>
  </si>
  <si>
    <t>Dulux Decorator Centre Aluminium Oxide Roll 80G 10M</t>
  </si>
  <si>
    <t>Dulux Decorator Centre Aluminium Oxide Roll 80G 50M</t>
  </si>
  <si>
    <t>Dulux Decorator Centre Anti-Crack Acrylic Caulk white 300ml</t>
  </si>
  <si>
    <t>Dulux Decorator Centre Caulker 10IN</t>
  </si>
  <si>
    <t>Dulux Decorator Centre Decorators Caulk Brown 380ML</t>
  </si>
  <si>
    <t>Dulux Decorator Centre Decorators Caulk Foil 400ml</t>
  </si>
  <si>
    <t>Dulux Decorator Centre Decorators Caulk White 380ML</t>
  </si>
  <si>
    <t>Dulux Decorator Centre Flexi Finishing Pad Extra Fine/Fine</t>
  </si>
  <si>
    <t>Dulux Decorator Centre Flexible Finishing Pad Medium/Coarse</t>
  </si>
  <si>
    <t>Dulux Decorator Centre Low Tack Masking Tape 25MM x 50M</t>
  </si>
  <si>
    <t>Dulux Decorator Centre Low Tack Masking Tape 38MM x 50M</t>
  </si>
  <si>
    <t>Dulux Decorator Centre Low Tack Masking Tape 50MM x 50M</t>
  </si>
  <si>
    <t>Dulux Decorator Centre Masking Tape 24MM x 50M</t>
  </si>
  <si>
    <t>Dulux Decorator Centre Masking Tape 36MM x 50M</t>
  </si>
  <si>
    <t>Dulux Decorator Centre Masking Tape 48MM x 50M</t>
  </si>
  <si>
    <t>Dulux Decorator Centre Masking Tape 72MM x 50M</t>
  </si>
  <si>
    <t>Dulux Decorator Centre Pole Sander</t>
  </si>
  <si>
    <t>Dulux Decorator Centre Refuse Sack 50PK</t>
  </si>
  <si>
    <t>Dulux Decorator Centre Sanitary Silicone white 300ml</t>
  </si>
  <si>
    <t>Dulux Decorator Centre Skeleton Gun 400ml</t>
  </si>
  <si>
    <t>Dulux Decorator Centre Stockinette 400G</t>
  </si>
  <si>
    <t>Dulux Decorator Centre Ultra Grip 300ml</t>
  </si>
  <si>
    <t>Dulux Decorator Centre Wet Paint Label EACH</t>
  </si>
  <si>
    <t>E/Build 125 1hr Caulk Trd Wht 380ML</t>
  </si>
  <si>
    <t>Axus Stainless Steel Wallpaper Scissors 12IN</t>
  </si>
  <si>
    <t>Filltite Cont Fllng Knves 4PK EACH</t>
  </si>
  <si>
    <t>Olfa Excel Black Blade 10PK 18MM</t>
  </si>
  <si>
    <t>Olfa Excel Black Blade 10PK 9MM</t>
  </si>
  <si>
    <t>Olfa Excel Black Blade 50PK 18MM</t>
  </si>
  <si>
    <t>Olfa Hd Scraper Blade 10PK 100MM</t>
  </si>
  <si>
    <t>Olfa X-Design HD Scraper 300MM</t>
  </si>
  <si>
    <t>Packexe Carpet 625MMx100M</t>
  </si>
  <si>
    <t>Packexe Carpet 625MMx25M</t>
  </si>
  <si>
    <t>Packexe Hardfloor 625MMx100M</t>
  </si>
  <si>
    <t>Packexe Hardfloor 625MMx25M</t>
  </si>
  <si>
    <t>Purdy Carbon Steel Joint Knife 6IN</t>
  </si>
  <si>
    <t>Advanced Scale Tang Filling Knife FSC 1IN</t>
  </si>
  <si>
    <t>Advanced Scale Tang Filling Knife FSC 2IN</t>
  </si>
  <si>
    <t>Advanced Scale Tang Filling Knife FSC 3IN</t>
  </si>
  <si>
    <t>Advanced Scale Tang Filling Knife FSC 4IN</t>
  </si>
  <si>
    <t>Advanced Scale Tang Stripping Knife FSC 2IN</t>
  </si>
  <si>
    <t>Advanced Scale Tang Stripping Knife FSC 3IN</t>
  </si>
  <si>
    <t>Dulux Decorator Centre Filling Knife Soft Grip 2IN</t>
  </si>
  <si>
    <t>Dulux Decorator Centre Filling Knife Soft Grip 3IN</t>
  </si>
  <si>
    <t>Dulux Decorator Centre Heavy Duty Polythene Roll 4Mx25M</t>
  </si>
  <si>
    <t>Dulux Decorator Centre Heavy Duty Stripper 4IN</t>
  </si>
  <si>
    <t>Dulux Decorator Centre Heavyweight Twill Dust Sheet 12x9FT</t>
  </si>
  <si>
    <t>Dulux Decorator Centre Polythene Dust Sheet 12x12FT</t>
  </si>
  <si>
    <t>Dulux Decorator Centre Polythene Dust Sheet 12x9FT</t>
  </si>
  <si>
    <t>Dulux Decorator Centre Polythene Roll 2Mx50M</t>
  </si>
  <si>
    <t>Dulux Decorator Centre Scissors 11IN</t>
  </si>
  <si>
    <t>Dulux Decorator Centre Straight Edge</t>
  </si>
  <si>
    <t>Dulux Decorator Centre Twill Dust Sheet 12x12FT</t>
  </si>
  <si>
    <t>Dulux Decorator Centre Twill Dust Sheet 12x9FT</t>
  </si>
  <si>
    <t>Dulux Decorator Centre Twill Dust Sheet 25x3FT</t>
  </si>
  <si>
    <t>Hamilton Flat Fitch Brush 5PK</t>
  </si>
  <si>
    <t>Hamilton Perfection Roll Sleeve Long 12IN</t>
  </si>
  <si>
    <t>Hamilton Perfection Roll Sleeve Long 9IN</t>
  </si>
  <si>
    <t>Hamilton Perfection Roller Sleeve Med 12IN</t>
  </si>
  <si>
    <t>Hamilton Perfection Roll Sleeve Med 9IN</t>
  </si>
  <si>
    <t>Hamilton Perfection Roll Sleeve Med Mid 4IN</t>
  </si>
  <si>
    <t>Hamilton Perfection Roll Sleeve Short 9IN</t>
  </si>
  <si>
    <t>Hamilton Perfection Roll Sleeve Shrt Mid 4IN</t>
  </si>
  <si>
    <t>Hamilton Perfection Roll Sleeve X-Long 12IN</t>
  </si>
  <si>
    <t>Hamilton Perfection Roll Sleeve X-Long 9IN</t>
  </si>
  <si>
    <t>Hamilton Prestige Syn Oval Angle Brush 25MM</t>
  </si>
  <si>
    <t>Hamilton Prestige Syn Oval Angle Brush 35MM</t>
  </si>
  <si>
    <t>Hamilton Round Fitch Brush 5PK</t>
  </si>
  <si>
    <t>Purdy Colossus 1IN Nap 12IN</t>
  </si>
  <si>
    <t>Purdy Colossus 1IN Nap 9IN</t>
  </si>
  <si>
    <t>Purdy White Dove 3/8IN Nap 9IN</t>
  </si>
  <si>
    <t>Purdy XL Cub 2IN Brush</t>
  </si>
  <si>
    <t>DDC Glosser Flock Fibre Sleeve 2PK 4IN</t>
  </si>
  <si>
    <t>DDC High Density Concave Foam Sleeve 10PK 4IN</t>
  </si>
  <si>
    <t>DDC Long Pile Padded Sleeve 9IN</t>
  </si>
  <si>
    <t>DDC Simulated Mohair Sleeve 10PK 4IN</t>
  </si>
  <si>
    <t>DDC Simulated Mohair Sleeve 9IN</t>
  </si>
  <si>
    <t>Trade Aluminium Extension Pole 4-7FT</t>
  </si>
  <si>
    <t>Dulux Decorator Centre All Purpose Cage Frame 9IN</t>
  </si>
  <si>
    <t>Dulux Decorator Centre All Purpose Paint Kettle 1L</t>
  </si>
  <si>
    <t>Dulux Decorator Centre All Purpose Paint Kettle Lid 1L</t>
  </si>
  <si>
    <t>Dulux Decorator Centre All Purpose Paint Kettle 2.5L</t>
  </si>
  <si>
    <t>Dulux Decorator Centre All Purpose Paint Kettle Lid 2.5L</t>
  </si>
  <si>
    <t>Dulux Decorator Centre All Purpose Paint Kettle 5L</t>
  </si>
  <si>
    <t>Dulux Decorator Centre All Purpose Paint Kettle Lid 5L</t>
  </si>
  <si>
    <t>Dulux Decorator Centre All Purpose Roller Tray 4IN</t>
  </si>
  <si>
    <t>Dulux Decorator Centre All Purpose Roller Tray 9IN</t>
  </si>
  <si>
    <t>Dulux Decorator Centre All Purpose Scuttle 15L</t>
  </si>
  <si>
    <t>Dulux Decorator Centre All Purpose Scuttle 25L</t>
  </si>
  <si>
    <t>Dulux Decorator Centre All Purpose Scuttle 7L</t>
  </si>
  <si>
    <t>Dulux Decorator Centre All Purpose Brush FSC 1.5"</t>
  </si>
  <si>
    <t>Dulux Decorator Centre All Purpose Brush FSC 1"</t>
  </si>
  <si>
    <t>Dulux Decorator Centre All Purpose Brush FSC 2.5"</t>
  </si>
  <si>
    <t>Dulux Decorator Centre All Purpose Brush FSC 2"</t>
  </si>
  <si>
    <t>Dulux Decorator Centre All Purpose Brush FSC 3"</t>
  </si>
  <si>
    <t>Dulux Decorator Centre All Purpose Brush FSC 4"</t>
  </si>
  <si>
    <t>Dulux Decorator Centre All Purpose FSC 6PK</t>
  </si>
  <si>
    <t>DDC Simulated Mohair Sleeve 2pk 4"</t>
  </si>
  <si>
    <t>Dulux Decorator Centre Synthetic Brush FSC 1"</t>
  </si>
  <si>
    <t>Dulux Decorator Centre Synthetic Brush FSC 1.5"</t>
  </si>
  <si>
    <t>Dulux Decorator Centre 22 Piece Mini Scuttle Kit - 4'</t>
  </si>
  <si>
    <t>DDC Sash Brush FSC 15MM</t>
  </si>
  <si>
    <t>DDC Sash Brush FSC 18MM</t>
  </si>
  <si>
    <t>DDC Sash Brush FSC 21MM</t>
  </si>
  <si>
    <t>Dulux Decorator Centre Double Arm Frame 12IN</t>
  </si>
  <si>
    <t>Dulux Decorator Centre Double Arm Frame 15IN</t>
  </si>
  <si>
    <t>Dulux Decorator Centre Emulsion Kit 2 Sleeves 4IN</t>
  </si>
  <si>
    <t>Trade Extra Long Pile Knitted Sleeve 9IN</t>
  </si>
  <si>
    <t>Dulux Decorator Centre Glosser Kit 2 Sleeves 4IN</t>
  </si>
  <si>
    <t>DDC Short Pile Microfibre Sleeve 10PK 4IN</t>
  </si>
  <si>
    <t>DDC Short Pile Microfibre Sleeve 2PK 4IN</t>
  </si>
  <si>
    <t>Dulux Decorator Centre Heavy Duty Roller Tray 15IN</t>
  </si>
  <si>
    <t>Dulux Decorator Centre Heavy Duty Roller Tray 9IN</t>
  </si>
  <si>
    <t>Dulux Decorator Centre Heavy Duty Scuttle Set 12IN</t>
  </si>
  <si>
    <t>Dulux Decorator Centre Heavy Duty Scuttle Set 9IN</t>
  </si>
  <si>
    <t>Dulux Decorator Centre Heavy Duty Woven Sleeve 12IN</t>
  </si>
  <si>
    <t>Dulux Decorator Centre Heavy Duty Woven Sleeve 15IN</t>
  </si>
  <si>
    <t>Dulux Decorator Centre Heavy Duty Woven Sleeve 2PK 4IN</t>
  </si>
  <si>
    <t>Dulux Decorator Centre Heavy Duty Woven Sleeve 9IN</t>
  </si>
  <si>
    <t>Trade High Density Foam Sleeve 10PK 4IN</t>
  </si>
  <si>
    <t>Trade High Density Foam Sleeve 2PK 4IN</t>
  </si>
  <si>
    <t>Trade High Density Foam Sleeve 9IN</t>
  </si>
  <si>
    <t>Dulux Decorator Centre Long Handle Stick Frame 4IN</t>
  </si>
  <si>
    <t>Dulux Decorator Centre Long Pile Woven Sleeve 10PK 4IN</t>
  </si>
  <si>
    <t>Dulux Decorator Centre Long Pile Woven Sleeve 2PK 4IN</t>
  </si>
  <si>
    <t>Dulux Decorator Centre Long Pile Woven Sleeve 9IN</t>
  </si>
  <si>
    <t>Dulux Decorator Centre Masonry Brush 4IN</t>
  </si>
  <si>
    <t>Trade Medium Pile Knitted Sleeve 12IN</t>
  </si>
  <si>
    <t>Trade Medium Pile Knitted Sleeve 3PK 9IN</t>
  </si>
  <si>
    <t>Dulux Decorator Centre Medium Pile Microfibre Sleeve 12IN</t>
  </si>
  <si>
    <t>Dulux Decorator Centre Medium Pile Microfibre Sleeve 9IN</t>
  </si>
  <si>
    <t>Dulux Decorator Centre Medium Pile Woven Sleeve 10PK 4IN</t>
  </si>
  <si>
    <t>Dulux Decorator Centre Medium Pile Woven Sleeve 12IN</t>
  </si>
  <si>
    <t>Dulux Decorator Centre Medium Pile Woven Sleeve 2PK 4IN</t>
  </si>
  <si>
    <t>Dulux Decorator Centre Medium Pile Woven Sleeve 9IN</t>
  </si>
  <si>
    <t>Dulux Decorator Centre Metal Paint Kettle 2L</t>
  </si>
  <si>
    <t>Trade Roller Kit 2 Sleeves 9IN</t>
  </si>
  <si>
    <t>Dulux Decorator Centre Short Handle Stick Frame 4IN</t>
  </si>
  <si>
    <t>Trade Short Pile Knitted Sleeve 12IN</t>
  </si>
  <si>
    <t>Dulux Decorator Centre Short Pile Microfibre Sleeve 9IN</t>
  </si>
  <si>
    <t>Dulux Decorator Centre Short Pile Woven Sleeve 9IN</t>
  </si>
  <si>
    <t>Dulux Decorator Centre Soft Grip Cage Frame 9IN</t>
  </si>
  <si>
    <t>Dulux Decorator Centre Soft Grip Stick Frame 4IN</t>
  </si>
  <si>
    <t>Dulux Decorator Centre Striker Brush Long Handle 2IN</t>
  </si>
  <si>
    <t>Dulux Decorator Centre Striker Brush Short Handle 2IN</t>
  </si>
  <si>
    <t>Dulux Decorator Centre Synthetic Brush FSC 2"</t>
  </si>
  <si>
    <t>Dulux Decorator Centre Synthetic Brush FSC 3"</t>
  </si>
  <si>
    <t>Dulux Decorator Centre Woven Poly Roller Kit 2 Sleeves 9'</t>
  </si>
  <si>
    <t>Dulux Decorator Centre Synthetic Brush Pack FSC 5PK</t>
  </si>
  <si>
    <t>DDC Trade Brush FSC 2IN</t>
  </si>
  <si>
    <t>DDC Trade Brush FSC 3IN</t>
  </si>
  <si>
    <t>DDC Trade Brush FSC 3PK</t>
  </si>
  <si>
    <t>QTech QT190 Airless Sprayer 110V QT190-110</t>
  </si>
  <si>
    <t>QTech QT190 Airless Sprayer 240V QT190-220</t>
  </si>
  <si>
    <t>QTech5 HVLP Turbine 5-stage 110V Suction 10-1008</t>
  </si>
  <si>
    <t>QTech5 HVLP Turbine 5-stage 240V Suction 10-1009</t>
  </si>
  <si>
    <t>Graco Low Pressure Tip LP515</t>
  </si>
  <si>
    <t>Graco Low Pressure Tip LP517</t>
  </si>
  <si>
    <t>Graco Low Pressure Tip LP519</t>
  </si>
  <si>
    <t>Graco Manifold Filter Black 60 Mesh classic/Stmax 246384</t>
  </si>
  <si>
    <t>Graco Manifold Filter Blue 100 Mesh classic/Stmax 246382</t>
  </si>
  <si>
    <t>Graco RACxBlue Tip Guard 7/8IN 246215</t>
  </si>
  <si>
    <t>Graco TSL 236ML 206994</t>
  </si>
  <si>
    <t>Mirka Abranet Deros 150MM Grip P120 10PK</t>
  </si>
  <si>
    <t>Mirka Abranet Deros 150MM Grip P180 10PK</t>
  </si>
  <si>
    <t>Mirka Abranet Deros 150MM Grip P80 10PK</t>
  </si>
  <si>
    <t>Mirka Abranet Deros 150MM Grip P120 50PK</t>
  </si>
  <si>
    <t>Mirka Abranet Deros 150MM Grip P180 50PK</t>
  </si>
  <si>
    <t>Mirka Abranet Deros 150MM Grip P80 50PK</t>
  </si>
  <si>
    <t>Mirka ABRANET 80x230MM Grip P120 10PK</t>
  </si>
  <si>
    <t>Mirka ABRANET 80x230MM Grip P180 10PK</t>
  </si>
  <si>
    <t>Mirka ABRANET 80x230MM Grip P80 10PK</t>
  </si>
  <si>
    <t>Mirka Backing Pad Deros 150MM 5/16IN Grip 48H Medium</t>
  </si>
  <si>
    <t>Mirka Pad Saver Deros 150MM 67H 5PK</t>
  </si>
  <si>
    <t>QTech Pump Wrench QP00093/12-071</t>
  </si>
  <si>
    <t>Toughflow Textile Airless Hose 3/8x15M 63815FFTD</t>
  </si>
  <si>
    <t>Gyproc Joint Tape 153Mx52MM</t>
  </si>
  <si>
    <t>Knauf Fill &amp; Finish Light 20KG</t>
  </si>
  <si>
    <t>Repair Care Scraper Blades EACH</t>
  </si>
  <si>
    <t>Dulux Decorator Centre 1000 Double Lining paper</t>
  </si>
  <si>
    <t>Dulux Decorator Centre 1000 Quad Lining Paper - 4 Rolls</t>
  </si>
  <si>
    <t>Dulux Decorator Centre 1200 Double Lining Paper</t>
  </si>
  <si>
    <t>Dulux Decorator Centre 1400 Double Lining Paper</t>
  </si>
  <si>
    <t>Dulux Decorator Centre 800 Double Lining Paper</t>
  </si>
  <si>
    <t>Dulux Decorator Centre Paintable Textured Vinyl 10-187</t>
  </si>
  <si>
    <t>Dulux Decorator Centre Paintable Textured Vinyl 10-188</t>
  </si>
  <si>
    <t>Dulux Decorator Centre Woodchip Effect 10-191</t>
  </si>
  <si>
    <t>May Price</t>
  </si>
  <si>
    <t>Sept Price</t>
  </si>
  <si>
    <t>Same</t>
  </si>
  <si>
    <t>Increase</t>
  </si>
  <si>
    <t>Decrease</t>
  </si>
  <si>
    <t>Updated PLC</t>
  </si>
  <si>
    <t>Orig</t>
  </si>
  <si>
    <t>Updated</t>
  </si>
  <si>
    <t xml:space="preserve">In-active Promo / out of </t>
  </si>
  <si>
    <t>Sundries</t>
  </si>
  <si>
    <t>Inc Sundries</t>
  </si>
  <si>
    <t>Inc Paint</t>
  </si>
  <si>
    <t>Difference</t>
  </si>
  <si>
    <t>Orig Comp</t>
  </si>
  <si>
    <t>Updated Comp</t>
  </si>
  <si>
    <t>Product Type</t>
  </si>
  <si>
    <t>Updated Sept Price</t>
  </si>
  <si>
    <t>Row Labels</t>
  </si>
  <si>
    <t>Grand Total</t>
  </si>
  <si>
    <t>Count of Product Type</t>
  </si>
  <si>
    <t>Sum of Difference</t>
  </si>
  <si>
    <t>Sundries / 3rd Party</t>
  </si>
  <si>
    <t>Updated MAT Qty</t>
  </si>
  <si>
    <t>May Val</t>
  </si>
  <si>
    <t>Sept Val</t>
  </si>
  <si>
    <t>Updated May Val</t>
  </si>
  <si>
    <t>Updated Sept Val</t>
  </si>
  <si>
    <t>Increase - Original Data</t>
  </si>
  <si>
    <t>Increase - Updated MAT</t>
  </si>
  <si>
    <t xml:space="preserve">New rate Sept 1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</si>
</sst>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quot;£&quot;* #,##0.00_-;_-&quot;£&quot;* &quot;-&quot;??_-;_-@_-"/>
    <numFmt numFmtId="43" formatCode="_-* #,##0.00_-;\-* #,##0.00_-;_-* &quot;-&quot;??_-;_-@_-"/>
    <numFmt numFmtId="164" formatCode="#,##0.00;[Red]#,##0.00"/>
    <numFmt numFmtId="165" formatCode="&quot;£&quot;#,##0.00"/>
    <numFmt numFmtId="166" formatCode="#,##0.00;\-\ #,##0.00"/>
    <numFmt numFmtId="167" formatCode="_-[$£-809]* #,##0.00_-;\-[$£-809]* #,##0.00_-;_-[$£-809]* &quot;-&quot;??_-;_-@_-"/>
    <numFmt numFmtId="168" formatCode="_-* #,##0_-;\-* #,##0_-;_-* &quot;-&quot;??_-;_-@_-"/>
    <numFmt numFmtId="169" formatCode="_-[$£-809]* #,##0_-;\-[$£-809]* #,##0_-;_-[$£-809]* &quot;-&quot;??_-;_-@_-"/>
  </numFmts>
  <fonts count="57" x14ac:knownFonts="1">
    <font>
      <sz val="11"/>
      <color theme="1"/>
      <name val="Calibri"/>
      <family val="2"/>
      <scheme val="minor"/>
    </font>
    <font>
      <sz val="11"/>
      <color theme="1"/>
      <name val="Calibri"/>
      <family val="2"/>
      <scheme val="minor"/>
    </font>
    <font>
      <sz val="10"/>
      <name val="Arial"/>
      <family val="2"/>
    </font>
    <font>
      <b/>
      <sz val="9"/>
      <color indexed="81"/>
      <name val="Tahoma"/>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1"/>
      <name val="Calibri Light"/>
      <family val="2"/>
      <scheme val="major"/>
    </font>
    <font>
      <sz val="11"/>
      <color theme="1"/>
      <name val="Calibri Light"/>
      <family val="2"/>
      <scheme val="major"/>
    </font>
    <font>
      <sz val="11"/>
      <name val="Calibri Light"/>
      <family val="2"/>
      <scheme val="major"/>
    </font>
    <font>
      <sz val="11"/>
      <name val="Calibri"/>
      <family val="2"/>
    </font>
    <font>
      <sz val="9"/>
      <color theme="1"/>
      <name val="Calibri"/>
      <family val="2"/>
      <scheme val="minor"/>
    </font>
    <font>
      <sz val="8"/>
      <name val="Arial"/>
      <family val="2"/>
    </font>
    <font>
      <b/>
      <sz val="11"/>
      <name val="Calibri"/>
      <family val="2"/>
      <scheme val="minor"/>
    </font>
    <font>
      <sz val="8"/>
      <name val="Arial"/>
      <family val="2"/>
    </font>
    <font>
      <b/>
      <sz val="8"/>
      <name val="Arial"/>
      <family val="2"/>
    </font>
    <font>
      <sz val="8"/>
      <color indexed="8"/>
      <name val="Arial"/>
      <family val="2"/>
    </font>
    <font>
      <b/>
      <sz val="8"/>
      <color indexed="8"/>
      <name val="Arial"/>
      <family val="2"/>
    </font>
    <font>
      <sz val="19"/>
      <name val="Arial"/>
      <family val="2"/>
    </font>
    <font>
      <sz val="8"/>
      <color indexed="14"/>
      <name val="Arial"/>
      <family val="2"/>
    </font>
    <font>
      <sz val="11"/>
      <color indexed="9"/>
      <name val="Calibri"/>
      <family val="2"/>
    </font>
    <font>
      <sz val="11"/>
      <color indexed="8"/>
      <name val="Calibri"/>
      <family val="2"/>
    </font>
    <font>
      <sz val="11"/>
      <color indexed="37"/>
      <name val="Calibri"/>
      <family val="2"/>
    </font>
    <font>
      <b/>
      <sz val="11"/>
      <color indexed="17"/>
      <name val="Calibri"/>
      <family val="2"/>
    </font>
    <font>
      <b/>
      <sz val="11"/>
      <color indexed="9"/>
      <name val="Calibri"/>
      <family val="2"/>
    </font>
    <font>
      <b/>
      <sz val="11"/>
      <color indexed="8"/>
      <name val="Calibri"/>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sz val="11"/>
      <color indexed="17"/>
      <name val="Calibri"/>
      <family val="2"/>
    </font>
    <font>
      <b/>
      <sz val="11"/>
      <color indexed="63"/>
      <name val="Calibri"/>
      <family val="2"/>
    </font>
    <font>
      <b/>
      <sz val="18"/>
      <color indexed="62"/>
      <name val="Cambria"/>
      <family val="2"/>
    </font>
    <font>
      <sz val="11"/>
      <color indexed="14"/>
      <name val="Calibri"/>
      <family val="2"/>
    </font>
    <font>
      <sz val="8"/>
      <color indexed="62"/>
      <name val="Arial"/>
      <family val="2"/>
    </font>
    <font>
      <sz val="11"/>
      <color rgb="FFFF0000"/>
      <name val="Calibri Light"/>
      <family val="2"/>
      <scheme val="major"/>
    </font>
    <font>
      <sz val="8"/>
      <color rgb="FF333333"/>
      <name val="Segoe UI"/>
      <family val="2"/>
    </font>
    <font>
      <sz val="11"/>
      <name val="Calibri"/>
      <family val="2"/>
    </font>
    <font>
      <b/>
      <sz val="9"/>
      <color theme="1"/>
      <name val="Calibri"/>
      <family val="2"/>
      <scheme val="minor"/>
    </font>
    <font>
      <b/>
      <sz val="11"/>
      <color theme="1"/>
      <name val="Calibri Light"/>
      <family val="2"/>
      <scheme val="major"/>
    </font>
    <font>
      <b/>
      <sz val="10"/>
      <name val="Arial"/>
      <family val="2"/>
    </font>
    <font>
      <b/>
      <sz val="11"/>
      <name val="Calibri"/>
      <family val="2"/>
    </font>
    <font>
      <sz val="11"/>
      <color rgb="FF00B050"/>
      <name val="Calibri Light"/>
      <family val="2"/>
      <scheme val="major"/>
    </font>
  </fonts>
  <fills count="90">
    <fill>
      <patternFill patternType="none"/>
    </fill>
    <fill>
      <patternFill patternType="gray125"/>
    </fill>
    <fill>
      <patternFill patternType="solid">
        <fgColor theme="4"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9"/>
      </patternFill>
    </fill>
    <fill>
      <patternFill patternType="solid">
        <fgColor indexed="54"/>
      </patternFill>
    </fill>
    <fill>
      <patternFill patternType="solid">
        <fgColor rgb="FFC0C0C0"/>
        <bgColor indexed="64"/>
      </patternFill>
    </fill>
    <fill>
      <patternFill patternType="solid">
        <fgColor theme="9" tint="0.39997558519241921"/>
        <bgColor indexed="64"/>
      </patternFill>
    </fill>
    <fill>
      <patternFill patternType="solid">
        <fgColor indexed="60"/>
      </patternFill>
    </fill>
    <fill>
      <patternFill patternType="solid">
        <fgColor indexed="48"/>
        <bgColor indexed="48"/>
      </patternFill>
    </fill>
    <fill>
      <patternFill patternType="solid">
        <fgColor indexed="61"/>
        <bgColor indexed="61"/>
      </patternFill>
    </fill>
    <fill>
      <patternFill patternType="solid">
        <fgColor indexed="22"/>
        <bgColor indexed="22"/>
      </patternFill>
    </fill>
    <fill>
      <patternFill patternType="solid">
        <fgColor indexed="58"/>
        <bgColor indexed="58"/>
      </patternFill>
    </fill>
    <fill>
      <patternFill patternType="solid">
        <fgColor indexed="25"/>
        <bgColor indexed="25"/>
      </patternFill>
    </fill>
    <fill>
      <patternFill patternType="solid">
        <fgColor indexed="31"/>
        <bgColor indexed="31"/>
      </patternFill>
    </fill>
    <fill>
      <patternFill patternType="solid">
        <fgColor indexed="40"/>
        <bgColor indexed="40"/>
      </patternFill>
    </fill>
    <fill>
      <patternFill patternType="solid">
        <fgColor indexed="45"/>
        <bgColor indexed="45"/>
      </patternFill>
    </fill>
    <fill>
      <patternFill patternType="solid">
        <fgColor indexed="57"/>
        <bgColor indexed="57"/>
      </patternFill>
    </fill>
    <fill>
      <patternFill patternType="solid">
        <fgColor indexed="60"/>
        <bgColor indexed="60"/>
      </patternFill>
    </fill>
    <fill>
      <patternFill patternType="solid">
        <fgColor indexed="11"/>
        <bgColor indexed="11"/>
      </patternFill>
    </fill>
    <fill>
      <patternFill patternType="solid">
        <fgColor indexed="50"/>
        <bgColor indexed="50"/>
      </patternFill>
    </fill>
    <fill>
      <patternFill patternType="solid">
        <fgColor indexed="18"/>
        <bgColor indexed="18"/>
      </patternFill>
    </fill>
    <fill>
      <patternFill patternType="solid">
        <fgColor indexed="55"/>
        <bgColor indexed="55"/>
      </patternFill>
    </fill>
    <fill>
      <patternFill patternType="solid">
        <fgColor indexed="41"/>
        <bgColor indexed="41"/>
      </patternFill>
    </fill>
    <fill>
      <patternFill patternType="solid">
        <fgColor indexed="54"/>
        <bgColor indexed="54"/>
      </patternFill>
    </fill>
    <fill>
      <patternFill patternType="solid">
        <fgColor indexed="53"/>
        <bgColor indexed="53"/>
      </patternFill>
    </fill>
    <fill>
      <patternFill patternType="solid">
        <fgColor indexed="26"/>
        <bgColor indexed="26"/>
      </patternFill>
    </fill>
    <fill>
      <patternFill patternType="solid">
        <fgColor indexed="47"/>
        <bgColor indexed="47"/>
      </patternFill>
    </fill>
    <fill>
      <patternFill patternType="solid">
        <fgColor indexed="51"/>
        <bgColor indexed="51"/>
      </patternFill>
    </fill>
    <fill>
      <patternFill patternType="solid">
        <fgColor indexed="35"/>
        <bgColor indexed="35"/>
      </patternFill>
    </fill>
    <fill>
      <patternFill patternType="lightUp">
        <fgColor indexed="9"/>
        <bgColor indexed="24"/>
      </patternFill>
    </fill>
    <fill>
      <patternFill patternType="lightUp">
        <fgColor indexed="9"/>
        <bgColor indexed="12"/>
      </patternFill>
    </fill>
    <fill>
      <patternFill patternType="lightUp">
        <fgColor indexed="9"/>
        <bgColor indexed="57"/>
      </patternFill>
    </fill>
    <fill>
      <patternFill patternType="solid">
        <fgColor indexed="43"/>
      </patternFill>
    </fill>
    <fill>
      <patternFill patternType="solid">
        <fgColor indexed="43"/>
        <bgColor indexed="64"/>
      </patternFill>
    </fill>
    <fill>
      <patternFill patternType="solid">
        <fgColor indexed="45"/>
      </patternFill>
    </fill>
    <fill>
      <patternFill patternType="solid">
        <fgColor indexed="12"/>
      </patternFill>
    </fill>
    <fill>
      <patternFill patternType="solid">
        <fgColor indexed="10"/>
      </patternFill>
    </fill>
    <fill>
      <patternFill patternType="solid">
        <fgColor indexed="51"/>
      </patternFill>
    </fill>
    <fill>
      <patternFill patternType="solid">
        <fgColor indexed="52"/>
      </patternFill>
    </fill>
    <fill>
      <patternFill patternType="solid">
        <fgColor indexed="53"/>
      </patternFill>
    </fill>
    <fill>
      <patternFill patternType="solid">
        <fgColor indexed="57"/>
      </patternFill>
    </fill>
    <fill>
      <patternFill patternType="solid">
        <fgColor indexed="50"/>
      </patternFill>
    </fill>
    <fill>
      <patternFill patternType="solid">
        <fgColor indexed="11"/>
      </patternFill>
    </fill>
    <fill>
      <patternFill patternType="lightUp">
        <fgColor indexed="48"/>
        <bgColor indexed="41"/>
      </patternFill>
    </fill>
    <fill>
      <patternFill patternType="solid">
        <fgColor indexed="40"/>
      </patternFill>
    </fill>
    <fill>
      <patternFill patternType="solid">
        <fgColor indexed="41"/>
      </patternFill>
    </fill>
    <fill>
      <patternFill patternType="solid">
        <fgColor indexed="22"/>
      </patternFill>
    </fill>
    <fill>
      <patternFill patternType="solid">
        <fgColor indexed="23"/>
      </patternFill>
    </fill>
    <fill>
      <patternFill patternType="solid">
        <fgColor indexed="44"/>
      </patternFill>
    </fill>
    <fill>
      <patternFill patternType="solid">
        <fgColor indexed="9"/>
      </patternFill>
    </fill>
    <fill>
      <patternFill patternType="solid">
        <fgColor indexed="26"/>
      </patternFill>
    </fill>
    <fill>
      <patternFill patternType="solid">
        <fgColor indexed="26"/>
        <bgColor indexed="64"/>
      </patternFill>
    </fill>
    <fill>
      <patternFill patternType="solid">
        <fgColor indexed="9"/>
        <bgColor indexed="64"/>
      </patternFill>
    </fill>
    <fill>
      <patternFill patternType="solid">
        <fgColor indexed="15"/>
      </patternFill>
    </fill>
    <fill>
      <patternFill patternType="solid">
        <fgColor indexed="20"/>
      </patternFill>
    </fill>
    <fill>
      <patternFill patternType="solid">
        <fgColor rgb="FFFF9FFF"/>
        <bgColor indexed="64"/>
      </patternFill>
    </fill>
    <fill>
      <patternFill patternType="solid">
        <fgColor rgb="FFFFFF00"/>
        <bgColor indexed="64"/>
      </patternFill>
    </fill>
    <fill>
      <patternFill patternType="solid">
        <fgColor rgb="FFFFFFFF"/>
        <bgColor rgb="FFFFFFFF"/>
      </patternFill>
    </fill>
    <fill>
      <patternFill patternType="solid">
        <fgColor theme="4" tint="0.59999389629810485"/>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style="thin">
        <color indexed="18"/>
      </left>
      <right style="thin">
        <color indexed="18"/>
      </right>
      <top style="thin">
        <color indexed="18"/>
      </top>
      <bottom style="thin">
        <color indexed="18"/>
      </bottom>
      <diagonal/>
    </border>
    <border>
      <left style="thin">
        <color indexed="48"/>
      </left>
      <right style="thin">
        <color indexed="48"/>
      </right>
      <top style="thin">
        <color indexed="48"/>
      </top>
      <bottom style="thin">
        <color indexed="48"/>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58"/>
      </bottom>
      <diagonal/>
    </border>
    <border>
      <left/>
      <right/>
      <top/>
      <bottom style="medium">
        <color indexed="58"/>
      </bottom>
      <diagonal/>
    </border>
    <border>
      <left/>
      <right/>
      <top/>
      <bottom style="double">
        <color indexed="17"/>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
      <left style="thin">
        <color indexed="58"/>
      </left>
      <right style="medium">
        <color indexed="58"/>
      </right>
      <top style="medium">
        <color indexed="58"/>
      </top>
      <bottom style="thin">
        <color indexed="58"/>
      </bottom>
      <diagonal/>
    </border>
    <border>
      <left style="thin">
        <color indexed="54"/>
      </left>
      <right/>
      <top style="thin">
        <color indexed="54"/>
      </top>
      <bottom/>
      <diagonal/>
    </border>
    <border>
      <left style="thin">
        <color indexed="64"/>
      </left>
      <right style="thin">
        <color indexed="64"/>
      </right>
      <top style="thin">
        <color indexed="64"/>
      </top>
      <bottom style="thin">
        <color indexed="64"/>
      </bottom>
      <diagonal/>
    </border>
    <border>
      <left/>
      <right/>
      <top style="thin">
        <color indexed="48"/>
      </top>
      <bottom style="double">
        <color indexed="48"/>
      </bottom>
      <diagonal/>
    </border>
  </borders>
  <cellStyleXfs count="140">
    <xf numFmtId="0" fontId="0" fillId="0" borderId="0"/>
    <xf numFmtId="43" fontId="1" fillId="0" borderId="0" applyFont="0" applyFill="0" applyBorder="0" applyAlignment="0" applyProtection="0"/>
    <xf numFmtId="0" fontId="2"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4" applyNumberFormat="0" applyAlignment="0" applyProtection="0"/>
    <xf numFmtId="0" fontId="12" fillId="7" borderId="5" applyNumberFormat="0" applyAlignment="0" applyProtection="0"/>
    <xf numFmtId="0" fontId="13" fillId="7" borderId="4" applyNumberFormat="0" applyAlignment="0" applyProtection="0"/>
    <xf numFmtId="0" fontId="14" fillId="0" borderId="6" applyNumberFormat="0" applyFill="0" applyAlignment="0" applyProtection="0"/>
    <xf numFmtId="0" fontId="15" fillId="8" borderId="7" applyNumberFormat="0" applyAlignment="0" applyProtection="0"/>
    <xf numFmtId="0" fontId="16" fillId="0" borderId="0" applyNumberFormat="0" applyFill="0" applyBorder="0" applyAlignment="0" applyProtection="0"/>
    <xf numFmtId="0" fontId="1" fillId="9"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9"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9"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9"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9"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9"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4"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4" fontId="26" fillId="34" borderId="11" applyNumberFormat="0" applyProtection="0">
      <alignment horizontal="left" vertical="center" indent="1"/>
    </xf>
    <xf numFmtId="0" fontId="26" fillId="35" borderId="12" applyNumberFormat="0" applyProtection="0">
      <alignment horizontal="left" vertical="top" indent="1"/>
    </xf>
    <xf numFmtId="4" fontId="26" fillId="34" borderId="11" applyNumberFormat="0" applyProtection="0">
      <alignment horizontal="left" vertical="center" indent="1"/>
    </xf>
    <xf numFmtId="4" fontId="26" fillId="0" borderId="11" applyNumberFormat="0" applyProtection="0">
      <alignment horizontal="right" vertical="center"/>
    </xf>
    <xf numFmtId="0" fontId="28" fillId="38" borderId="0"/>
    <xf numFmtId="0" fontId="34" fillId="39" borderId="0" applyNumberFormat="0" applyBorder="0" applyAlignment="0" applyProtection="0"/>
    <xf numFmtId="0" fontId="35" fillId="40" borderId="0" applyNumberFormat="0" applyBorder="0" applyAlignment="0" applyProtection="0"/>
    <xf numFmtId="0" fontId="35" fillId="41" borderId="0" applyNumberFormat="0" applyBorder="0" applyAlignment="0" applyProtection="0"/>
    <xf numFmtId="0" fontId="34" fillId="42" borderId="0" applyNumberFormat="0" applyBorder="0" applyAlignment="0" applyProtection="0"/>
    <xf numFmtId="0" fontId="34" fillId="43" borderId="0" applyNumberFormat="0" applyBorder="0" applyAlignment="0" applyProtection="0"/>
    <xf numFmtId="0" fontId="35" fillId="44" borderId="0" applyNumberFormat="0" applyBorder="0" applyAlignment="0" applyProtection="0"/>
    <xf numFmtId="0" fontId="35" fillId="45"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5" fillId="48" borderId="0" applyNumberFormat="0" applyBorder="0" applyAlignment="0" applyProtection="0"/>
    <xf numFmtId="0" fontId="35" fillId="49" borderId="0" applyNumberFormat="0" applyBorder="0" applyAlignment="0" applyProtection="0"/>
    <xf numFmtId="0" fontId="34" fillId="50" borderId="0" applyNumberFormat="0" applyBorder="0" applyAlignment="0" applyProtection="0"/>
    <xf numFmtId="0" fontId="34" fillId="51" borderId="0" applyNumberFormat="0" applyBorder="0" applyAlignment="0" applyProtection="0"/>
    <xf numFmtId="0" fontId="35" fillId="44" borderId="0" applyNumberFormat="0" applyBorder="0" applyAlignment="0" applyProtection="0"/>
    <xf numFmtId="0" fontId="35" fillId="52" borderId="0" applyNumberFormat="0" applyBorder="0" applyAlignment="0" applyProtection="0"/>
    <xf numFmtId="0" fontId="34" fillId="45" borderId="0" applyNumberFormat="0" applyBorder="0" applyAlignment="0" applyProtection="0"/>
    <xf numFmtId="0" fontId="34" fillId="42" borderId="0" applyNumberFormat="0" applyBorder="0" applyAlignment="0" applyProtection="0"/>
    <xf numFmtId="0" fontId="35" fillId="53" borderId="0" applyNumberFormat="0" applyBorder="0" applyAlignment="0" applyProtection="0"/>
    <xf numFmtId="0" fontId="35" fillId="54" borderId="0" applyNumberFormat="0" applyBorder="0" applyAlignment="0" applyProtection="0"/>
    <xf numFmtId="0" fontId="34" fillId="42" borderId="0" applyNumberFormat="0" applyBorder="0" applyAlignment="0" applyProtection="0"/>
    <xf numFmtId="0" fontId="34" fillId="55" borderId="0" applyNumberFormat="0" applyBorder="0" applyAlignment="0" applyProtection="0"/>
    <xf numFmtId="0" fontId="35" fillId="56" borderId="0" applyNumberFormat="0" applyBorder="0" applyAlignment="0" applyProtection="0"/>
    <xf numFmtId="0" fontId="35" fillId="57" borderId="0" applyNumberFormat="0" applyBorder="0" applyAlignment="0" applyProtection="0"/>
    <xf numFmtId="0" fontId="34" fillId="58" borderId="0" applyNumberFormat="0" applyBorder="0" applyAlignment="0" applyProtection="0"/>
    <xf numFmtId="0" fontId="36" fillId="56" borderId="0" applyNumberFormat="0" applyBorder="0" applyAlignment="0" applyProtection="0"/>
    <xf numFmtId="0" fontId="37" fillId="59" borderId="11" applyNumberFormat="0" applyAlignment="0" applyProtection="0"/>
    <xf numFmtId="0" fontId="38" fillId="51" borderId="13" applyNumberFormat="0" applyAlignment="0" applyProtection="0"/>
    <xf numFmtId="0" fontId="39" fillId="60" borderId="0" applyNumberFormat="0" applyBorder="0" applyAlignment="0" applyProtection="0"/>
    <xf numFmtId="0" fontId="39" fillId="61" borderId="0" applyNumberFormat="0" applyBorder="0" applyAlignment="0" applyProtection="0"/>
    <xf numFmtId="0" fontId="39" fillId="62" borderId="0" applyNumberFormat="0" applyBorder="0" applyAlignment="0" applyProtection="0"/>
    <xf numFmtId="0" fontId="35" fillId="49" borderId="0" applyNumberFormat="0" applyBorder="0" applyAlignment="0" applyProtection="0"/>
    <xf numFmtId="0" fontId="40" fillId="0" borderId="14" applyNumberFormat="0" applyFill="0" applyAlignment="0" applyProtection="0"/>
    <xf numFmtId="0" fontId="41" fillId="0" borderId="15" applyNumberFormat="0" applyFill="0" applyAlignment="0" applyProtection="0"/>
    <xf numFmtId="0" fontId="42" fillId="0" borderId="16" applyNumberFormat="0" applyFill="0" applyAlignment="0" applyProtection="0"/>
    <xf numFmtId="0" fontId="42" fillId="0" borderId="0" applyNumberFormat="0" applyFill="0" applyBorder="0" applyAlignment="0" applyProtection="0"/>
    <xf numFmtId="0" fontId="43" fillId="57" borderId="11" applyNumberFormat="0" applyAlignment="0" applyProtection="0"/>
    <xf numFmtId="0" fontId="44" fillId="0" borderId="17" applyNumberFormat="0" applyFill="0" applyAlignment="0" applyProtection="0"/>
    <xf numFmtId="0" fontId="44" fillId="57" borderId="0" applyNumberFormat="0" applyBorder="0" applyAlignment="0" applyProtection="0"/>
    <xf numFmtId="0" fontId="26" fillId="56" borderId="11" applyNumberFormat="0" applyFont="0" applyAlignment="0" applyProtection="0"/>
    <xf numFmtId="0" fontId="45" fillId="59" borderId="18" applyNumberFormat="0" applyAlignment="0" applyProtection="0"/>
    <xf numFmtId="4" fontId="26" fillId="63" borderId="11" applyNumberFormat="0" applyProtection="0">
      <alignment vertical="center"/>
    </xf>
    <xf numFmtId="4" fontId="48" fillId="64" borderId="11" applyNumberFormat="0" applyProtection="0">
      <alignment vertical="center"/>
    </xf>
    <xf numFmtId="4" fontId="26" fillId="64" borderId="11" applyNumberFormat="0" applyProtection="0">
      <alignment horizontal="left" vertical="center" indent="1"/>
    </xf>
    <xf numFmtId="0" fontId="31" fillId="63" borderId="12" applyNumberFormat="0" applyProtection="0">
      <alignment horizontal="left" vertical="top" indent="1"/>
    </xf>
    <xf numFmtId="4" fontId="26" fillId="65" borderId="11" applyNumberFormat="0" applyProtection="0">
      <alignment horizontal="right" vertical="center"/>
    </xf>
    <xf numFmtId="4" fontId="26" fillId="66" borderId="11" applyNumberFormat="0" applyProtection="0">
      <alignment horizontal="right" vertical="center"/>
    </xf>
    <xf numFmtId="4" fontId="26" fillId="67" borderId="19" applyNumberFormat="0" applyProtection="0">
      <alignment horizontal="right" vertical="center"/>
    </xf>
    <xf numFmtId="4" fontId="26" fillId="68" borderId="11" applyNumberFormat="0" applyProtection="0">
      <alignment horizontal="right" vertical="center"/>
    </xf>
    <xf numFmtId="4" fontId="26" fillId="69" borderId="11" applyNumberFormat="0" applyProtection="0">
      <alignment horizontal="right" vertical="center"/>
    </xf>
    <xf numFmtId="4" fontId="26" fillId="70" borderId="11" applyNumberFormat="0" applyProtection="0">
      <alignment horizontal="right" vertical="center"/>
    </xf>
    <xf numFmtId="4" fontId="26" fillId="71" borderId="11" applyNumberFormat="0" applyProtection="0">
      <alignment horizontal="right" vertical="center"/>
    </xf>
    <xf numFmtId="4" fontId="26" fillId="72" borderId="11" applyNumberFormat="0" applyProtection="0">
      <alignment horizontal="right" vertical="center"/>
    </xf>
    <xf numFmtId="4" fontId="26" fillId="73" borderId="11" applyNumberFormat="0" applyProtection="0">
      <alignment horizontal="right" vertical="center"/>
    </xf>
    <xf numFmtId="4" fontId="26" fillId="74" borderId="19" applyNumberFormat="0" applyProtection="0">
      <alignment horizontal="left" vertical="center" indent="1"/>
    </xf>
    <xf numFmtId="4" fontId="2" fillId="35" borderId="19" applyNumberFormat="0" applyProtection="0">
      <alignment horizontal="left" vertical="center" indent="1"/>
    </xf>
    <xf numFmtId="4" fontId="2" fillId="35" borderId="19" applyNumberFormat="0" applyProtection="0">
      <alignment horizontal="left" vertical="center" indent="1"/>
    </xf>
    <xf numFmtId="4" fontId="26" fillId="75" borderId="11" applyNumberFormat="0" applyProtection="0">
      <alignment horizontal="right" vertical="center"/>
    </xf>
    <xf numFmtId="4" fontId="26" fillId="76" borderId="19" applyNumberFormat="0" applyProtection="0">
      <alignment horizontal="left" vertical="center" indent="1"/>
    </xf>
    <xf numFmtId="4" fontId="26" fillId="75" borderId="19" applyNumberFormat="0" applyProtection="0">
      <alignment horizontal="left" vertical="center" indent="1"/>
    </xf>
    <xf numFmtId="0" fontId="26" fillId="77" borderId="11" applyNumberFormat="0" applyProtection="0">
      <alignment horizontal="left" vertical="center" indent="1"/>
    </xf>
    <xf numFmtId="0" fontId="26" fillId="78" borderId="11" applyNumberFormat="0" applyProtection="0">
      <alignment horizontal="left" vertical="center" indent="1"/>
    </xf>
    <xf numFmtId="0" fontId="26" fillId="75" borderId="12" applyNumberFormat="0" applyProtection="0">
      <alignment horizontal="left" vertical="top" indent="1"/>
    </xf>
    <xf numFmtId="0" fontId="26" fillId="79" borderId="11" applyNumberFormat="0" applyProtection="0">
      <alignment horizontal="left" vertical="center" indent="1"/>
    </xf>
    <xf numFmtId="0" fontId="26" fillId="79" borderId="12" applyNumberFormat="0" applyProtection="0">
      <alignment horizontal="left" vertical="top" indent="1"/>
    </xf>
    <xf numFmtId="0" fontId="26" fillId="76" borderId="11" applyNumberFormat="0" applyProtection="0">
      <alignment horizontal="left" vertical="center" indent="1"/>
    </xf>
    <xf numFmtId="0" fontId="26" fillId="76" borderId="12" applyNumberFormat="0" applyProtection="0">
      <alignment horizontal="left" vertical="top" indent="1"/>
    </xf>
    <xf numFmtId="0" fontId="26" fillId="80" borderId="20" applyNumberFormat="0">
      <protection locked="0"/>
    </xf>
    <xf numFmtId="0" fontId="29" fillId="35" borderId="21" applyBorder="0"/>
    <xf numFmtId="4" fontId="30" fillId="81" borderId="12" applyNumberFormat="0" applyProtection="0">
      <alignment vertical="center"/>
    </xf>
    <xf numFmtId="4" fontId="48" fillId="82" borderId="22" applyNumberFormat="0" applyProtection="0">
      <alignment vertical="center"/>
    </xf>
    <xf numFmtId="4" fontId="30" fillId="77" borderId="12" applyNumberFormat="0" applyProtection="0">
      <alignment horizontal="left" vertical="center" indent="1"/>
    </xf>
    <xf numFmtId="0" fontId="30" fillId="81" borderId="12" applyNumberFormat="0" applyProtection="0">
      <alignment horizontal="left" vertical="top" indent="1"/>
    </xf>
    <xf numFmtId="4" fontId="48" fillId="83" borderId="11" applyNumberFormat="0" applyProtection="0">
      <alignment horizontal="right" vertical="center"/>
    </xf>
    <xf numFmtId="0" fontId="30" fillId="75" borderId="12" applyNumberFormat="0" applyProtection="0">
      <alignment horizontal="left" vertical="top" indent="1"/>
    </xf>
    <xf numFmtId="4" fontId="32" fillId="84" borderId="19" applyNumberFormat="0" applyProtection="0">
      <alignment horizontal="left" vertical="center" indent="1"/>
    </xf>
    <xf numFmtId="0" fontId="26" fillId="85" borderId="22"/>
    <xf numFmtId="4" fontId="33" fillId="80" borderId="11" applyNumberFormat="0" applyProtection="0">
      <alignment horizontal="right" vertical="center"/>
    </xf>
    <xf numFmtId="0" fontId="46" fillId="0" borderId="0" applyNumberFormat="0" applyFill="0" applyBorder="0" applyAlignment="0" applyProtection="0"/>
    <xf numFmtId="0" fontId="39" fillId="0" borderId="23" applyNumberFormat="0" applyFill="0" applyAlignment="0" applyProtection="0"/>
    <xf numFmtId="0" fontId="47" fillId="0" borderId="0" applyNumberForma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90">
    <xf numFmtId="0" fontId="0" fillId="0" borderId="0" xfId="0"/>
    <xf numFmtId="49" fontId="21" fillId="2" borderId="0" xfId="0" applyNumberFormat="1" applyFont="1" applyFill="1" applyAlignment="1">
      <alignment horizontal="center" vertical="center" wrapText="1"/>
    </xf>
    <xf numFmtId="0" fontId="22" fillId="0" borderId="0" xfId="0" applyFont="1" applyAlignment="1">
      <alignment horizontal="center"/>
    </xf>
    <xf numFmtId="0" fontId="22" fillId="0" borderId="0" xfId="0" applyFont="1" applyAlignment="1">
      <alignment horizontal="center" vertical="center" wrapText="1"/>
    </xf>
    <xf numFmtId="49" fontId="23" fillId="2" borderId="0" xfId="0" applyNumberFormat="1" applyFont="1" applyFill="1" applyAlignment="1">
      <alignment horizontal="center" vertical="center" wrapText="1"/>
    </xf>
    <xf numFmtId="0" fontId="22" fillId="0" borderId="0" xfId="0" applyFont="1"/>
    <xf numFmtId="0" fontId="22" fillId="0" borderId="0" xfId="0" applyFont="1" applyAlignment="1">
      <alignment horizontal="left"/>
    </xf>
    <xf numFmtId="0" fontId="0" fillId="0" borderId="0" xfId="0" applyAlignment="1">
      <alignment horizontal="left"/>
    </xf>
    <xf numFmtId="0" fontId="22" fillId="0" borderId="0" xfId="0" applyFont="1" applyAlignment="1">
      <alignment horizontal="left" vertical="center" wrapText="1"/>
    </xf>
    <xf numFmtId="49" fontId="21" fillId="2" borderId="0" xfId="0" applyNumberFormat="1" applyFont="1" applyFill="1" applyAlignment="1">
      <alignment horizontal="left" vertical="center" wrapText="1"/>
    </xf>
    <xf numFmtId="49" fontId="21" fillId="0" borderId="0" xfId="0" applyNumberFormat="1" applyFont="1" applyAlignment="1">
      <alignment horizontal="center" vertical="center" wrapText="1"/>
    </xf>
    <xf numFmtId="0" fontId="2" fillId="0" borderId="0" xfId="0" applyFont="1" applyAlignment="1">
      <alignment horizontal="center"/>
    </xf>
    <xf numFmtId="0" fontId="22" fillId="0" borderId="0" xfId="0" applyFont="1" applyAlignment="1">
      <alignment vertical="center" wrapText="1"/>
    </xf>
    <xf numFmtId="49" fontId="21" fillId="0" borderId="0" xfId="0" applyNumberFormat="1" applyFont="1" applyAlignment="1">
      <alignment vertical="center" wrapText="1"/>
    </xf>
    <xf numFmtId="49" fontId="21" fillId="2" borderId="0" xfId="0" applyNumberFormat="1" applyFont="1" applyFill="1" applyAlignment="1">
      <alignment vertical="center" wrapText="1"/>
    </xf>
    <xf numFmtId="49" fontId="0" fillId="0" borderId="0" xfId="0" applyNumberFormat="1"/>
    <xf numFmtId="0" fontId="25" fillId="0" borderId="10" xfId="0" applyFont="1" applyBorder="1" applyAlignment="1">
      <alignment horizontal="center"/>
    </xf>
    <xf numFmtId="164" fontId="22" fillId="0" borderId="0" xfId="0" applyNumberFormat="1" applyFont="1" applyAlignment="1">
      <alignment horizontal="left"/>
    </xf>
    <xf numFmtId="0" fontId="1" fillId="0" borderId="0" xfId="52"/>
    <xf numFmtId="165" fontId="24" fillId="0" borderId="0" xfId="0" applyNumberFormat="1" applyFont="1"/>
    <xf numFmtId="17" fontId="22" fillId="0" borderId="0" xfId="0" applyNumberFormat="1" applyFont="1" applyAlignment="1">
      <alignment horizontal="center" vertical="center" wrapText="1"/>
    </xf>
    <xf numFmtId="0" fontId="26" fillId="34" borderId="11" xfId="53" quotePrefix="1" applyNumberFormat="1">
      <alignment horizontal="left" vertical="center" indent="1"/>
    </xf>
    <xf numFmtId="0" fontId="26" fillId="35" borderId="12" xfId="54" quotePrefix="1" applyAlignment="1">
      <alignment horizontal="left" vertical="top" wrapText="1" indent="1"/>
    </xf>
    <xf numFmtId="0" fontId="26" fillId="34" borderId="11" xfId="55" quotePrefix="1" applyNumberFormat="1">
      <alignment horizontal="left" vertical="center" indent="1"/>
    </xf>
    <xf numFmtId="4" fontId="26" fillId="0" borderId="11" xfId="56" applyNumberFormat="1">
      <alignment horizontal="right" vertical="center"/>
    </xf>
    <xf numFmtId="166" fontId="26" fillId="0" borderId="11" xfId="56" applyNumberFormat="1">
      <alignment horizontal="right" vertical="center"/>
    </xf>
    <xf numFmtId="0" fontId="26" fillId="34" borderId="11" xfId="55" quotePrefix="1" applyNumberFormat="1" applyAlignment="1">
      <alignment horizontal="left" vertical="center" wrapText="1" indent="1"/>
    </xf>
    <xf numFmtId="49" fontId="27" fillId="36" borderId="0" xfId="0" applyNumberFormat="1" applyFont="1" applyFill="1"/>
    <xf numFmtId="0" fontId="27" fillId="36" borderId="0" xfId="0" applyFont="1" applyFill="1" applyAlignment="1">
      <alignment horizontal="left"/>
    </xf>
    <xf numFmtId="165" fontId="22" fillId="0" borderId="0" xfId="0" applyNumberFormat="1" applyFont="1" applyAlignment="1">
      <alignment horizontal="center"/>
    </xf>
    <xf numFmtId="165" fontId="24" fillId="0" borderId="0" xfId="0" applyNumberFormat="1" applyFont="1" applyAlignment="1">
      <alignment horizontal="center"/>
    </xf>
    <xf numFmtId="165" fontId="0" fillId="0" borderId="0" xfId="0" applyNumberFormat="1" applyAlignment="1">
      <alignment horizontal="center"/>
    </xf>
    <xf numFmtId="165" fontId="22" fillId="0" borderId="0" xfId="0" applyNumberFormat="1" applyFont="1" applyAlignment="1">
      <alignment horizontal="left"/>
    </xf>
    <xf numFmtId="44" fontId="22" fillId="37" borderId="0" xfId="0" applyNumberFormat="1" applyFont="1" applyFill="1" applyAlignment="1">
      <alignment horizontal="center" vertical="center" wrapText="1"/>
    </xf>
    <xf numFmtId="44" fontId="23" fillId="37" borderId="0" xfId="1" applyNumberFormat="1" applyFont="1" applyFill="1" applyBorder="1" applyAlignment="1">
      <alignment horizontal="center" vertical="center" wrapText="1"/>
    </xf>
    <xf numFmtId="165" fontId="0" fillId="37" borderId="0" xfId="0" applyNumberFormat="1" applyFill="1"/>
    <xf numFmtId="44" fontId="22" fillId="37" borderId="0" xfId="0" applyNumberFormat="1" applyFont="1" applyFill="1" applyAlignment="1">
      <alignment horizontal="center"/>
    </xf>
    <xf numFmtId="165" fontId="22" fillId="86" borderId="0" xfId="0" applyNumberFormat="1" applyFont="1" applyFill="1" applyAlignment="1">
      <alignment horizontal="left"/>
    </xf>
    <xf numFmtId="0" fontId="22" fillId="86" borderId="0" xfId="0" applyFont="1" applyFill="1" applyAlignment="1">
      <alignment horizontal="left"/>
    </xf>
    <xf numFmtId="165" fontId="26" fillId="35" borderId="12" xfId="54" quotePrefix="1" applyNumberFormat="1" applyAlignment="1">
      <alignment horizontal="left" vertical="top" wrapText="1" indent="1"/>
    </xf>
    <xf numFmtId="165" fontId="26" fillId="0" borderId="11" xfId="56" applyNumberFormat="1">
      <alignment horizontal="right" vertical="center"/>
    </xf>
    <xf numFmtId="165" fontId="0" fillId="0" borderId="0" xfId="0" applyNumberFormat="1"/>
    <xf numFmtId="0" fontId="0" fillId="87" borderId="0" xfId="0" applyFill="1"/>
    <xf numFmtId="44" fontId="23" fillId="37" borderId="0" xfId="1" applyNumberFormat="1" applyFont="1" applyFill="1" applyBorder="1" applyAlignment="1">
      <alignment vertical="center" wrapText="1"/>
    </xf>
    <xf numFmtId="165" fontId="49" fillId="0" borderId="0" xfId="0" applyNumberFormat="1" applyFont="1"/>
    <xf numFmtId="165" fontId="16" fillId="37" borderId="0" xfId="0" applyNumberFormat="1" applyFont="1" applyFill="1"/>
    <xf numFmtId="165" fontId="22" fillId="0" borderId="0" xfId="0" applyNumberFormat="1" applyFont="1"/>
    <xf numFmtId="44" fontId="22" fillId="37" borderId="0" xfId="0" applyNumberFormat="1" applyFont="1" applyFill="1"/>
    <xf numFmtId="165" fontId="0" fillId="37" borderId="0" xfId="0" applyNumberFormat="1" applyFill="1" applyAlignment="1">
      <alignment horizontal="center"/>
    </xf>
    <xf numFmtId="0" fontId="50" fillId="88" borderId="0" xfId="0" applyFont="1" applyFill="1" applyAlignment="1">
      <alignment vertical="top" readingOrder="1"/>
    </xf>
    <xf numFmtId="0" fontId="51" fillId="0" borderId="0" xfId="0" applyFont="1"/>
    <xf numFmtId="1" fontId="50" fillId="88" borderId="0" xfId="0" applyNumberFormat="1" applyFont="1" applyFill="1" applyAlignment="1">
      <alignment vertical="top" readingOrder="1"/>
    </xf>
    <xf numFmtId="1" fontId="0" fillId="0" borderId="0" xfId="0" applyNumberFormat="1"/>
    <xf numFmtId="1" fontId="50" fillId="88" borderId="0" xfId="0" applyNumberFormat="1" applyFont="1" applyFill="1" applyAlignment="1">
      <alignment vertical="top" wrapText="1" readingOrder="1"/>
    </xf>
    <xf numFmtId="44" fontId="22" fillId="0" borderId="0" xfId="0" applyNumberFormat="1" applyFont="1" applyAlignment="1">
      <alignment horizontal="center"/>
    </xf>
    <xf numFmtId="167" fontId="22" fillId="0" borderId="0" xfId="0" applyNumberFormat="1" applyFont="1" applyAlignment="1">
      <alignment horizontal="center" vertical="center" wrapText="1"/>
    </xf>
    <xf numFmtId="167" fontId="22" fillId="0" borderId="0" xfId="0" applyNumberFormat="1" applyFont="1" applyAlignment="1">
      <alignment horizontal="left"/>
    </xf>
    <xf numFmtId="167" fontId="22" fillId="0" borderId="0" xfId="138" applyNumberFormat="1" applyFont="1" applyAlignment="1">
      <alignment vertical="center" wrapText="1"/>
    </xf>
    <xf numFmtId="167" fontId="22" fillId="0" borderId="0" xfId="138" applyNumberFormat="1" applyFont="1" applyAlignment="1"/>
    <xf numFmtId="49" fontId="18" fillId="0" borderId="0" xfId="52" applyNumberFormat="1" applyFont="1"/>
    <xf numFmtId="0" fontId="52" fillId="0" borderId="10" xfId="0" applyFont="1" applyBorder="1" applyAlignment="1">
      <alignment horizontal="center"/>
    </xf>
    <xf numFmtId="0" fontId="53" fillId="0" borderId="0" xfId="0" applyFont="1" applyAlignment="1">
      <alignment horizontal="left"/>
    </xf>
    <xf numFmtId="0" fontId="54" fillId="0" borderId="0" xfId="0" applyFont="1" applyAlignment="1">
      <alignment horizontal="center"/>
    </xf>
    <xf numFmtId="0" fontId="18" fillId="0" borderId="0" xfId="0" applyFont="1"/>
    <xf numFmtId="165" fontId="55" fillId="37" borderId="0" xfId="0" applyNumberFormat="1" applyFont="1" applyFill="1" applyAlignment="1">
      <alignment horizontal="center"/>
    </xf>
    <xf numFmtId="0" fontId="53" fillId="0" borderId="0" xfId="0" applyFont="1"/>
    <xf numFmtId="0" fontId="18" fillId="0" borderId="0" xfId="52" applyFont="1"/>
    <xf numFmtId="164" fontId="53" fillId="0" borderId="0" xfId="0" applyNumberFormat="1" applyFont="1" applyAlignment="1">
      <alignment horizontal="left"/>
    </xf>
    <xf numFmtId="0" fontId="53" fillId="0" borderId="0" xfId="0" applyFont="1" applyAlignment="1">
      <alignment horizontal="center"/>
    </xf>
    <xf numFmtId="165" fontId="55" fillId="37" borderId="0" xfId="0" applyNumberFormat="1" applyFont="1" applyFill="1"/>
    <xf numFmtId="167" fontId="53" fillId="0" borderId="0" xfId="0" applyNumberFormat="1" applyFont="1" applyAlignment="1">
      <alignment horizontal="left"/>
    </xf>
    <xf numFmtId="167" fontId="53" fillId="0" borderId="0" xfId="0" applyNumberFormat="1" applyFont="1" applyAlignment="1">
      <alignment horizontal="center"/>
    </xf>
    <xf numFmtId="167" fontId="53" fillId="0" borderId="0" xfId="138" applyNumberFormat="1" applyFont="1" applyAlignment="1"/>
    <xf numFmtId="167" fontId="53" fillId="87" borderId="0" xfId="138" applyNumberFormat="1" applyFont="1" applyFill="1" applyAlignment="1"/>
    <xf numFmtId="0" fontId="53" fillId="87" borderId="0" xfId="0" applyFont="1" applyFill="1" applyAlignment="1">
      <alignment horizontal="left"/>
    </xf>
    <xf numFmtId="168" fontId="22" fillId="0" borderId="0" xfId="1" applyNumberFormat="1" applyFont="1" applyAlignment="1"/>
    <xf numFmtId="0" fontId="53" fillId="0" borderId="0" xfId="0" applyFont="1" applyAlignment="1">
      <alignment horizontal="center" vertical="center" wrapText="1"/>
    </xf>
    <xf numFmtId="44" fontId="53" fillId="0" borderId="0" xfId="138" applyFont="1" applyAlignment="1">
      <alignment horizontal="left"/>
    </xf>
    <xf numFmtId="10" fontId="22" fillId="0" borderId="0" xfId="139" applyNumberFormat="1" applyFont="1" applyAlignment="1">
      <alignment horizontal="left"/>
    </xf>
    <xf numFmtId="167" fontId="53" fillId="0" borderId="0" xfId="138" applyNumberFormat="1" applyFont="1" applyAlignment="1">
      <alignment vertical="center" wrapText="1"/>
    </xf>
    <xf numFmtId="168" fontId="53" fillId="0" borderId="0" xfId="1" applyNumberFormat="1" applyFont="1" applyAlignment="1"/>
    <xf numFmtId="169" fontId="22" fillId="0" borderId="0" xfId="0" applyNumberFormat="1" applyFont="1" applyAlignment="1">
      <alignment horizontal="left"/>
    </xf>
    <xf numFmtId="169" fontId="49" fillId="0" borderId="0" xfId="0" applyNumberFormat="1" applyFont="1" applyAlignment="1">
      <alignment horizontal="left"/>
    </xf>
    <xf numFmtId="169" fontId="56" fillId="0" borderId="0" xfId="0" applyNumberFormat="1" applyFont="1" applyAlignment="1">
      <alignment horizontal="left"/>
    </xf>
    <xf numFmtId="0" fontId="0" fillId="0" borderId="0" xfId="0" pivotButton="1"/>
    <xf numFmtId="169" fontId="0" fillId="0" borderId="0" xfId="0" applyNumberFormat="1"/>
    <xf numFmtId="0" fontId="0" fillId="0" borderId="0" xfId="0" applyAlignment="1">
      <alignment horizontal="left" indent="1"/>
    </xf>
    <xf numFmtId="0" fontId="22" fillId="89" borderId="0" xfId="0" applyFont="1" applyFill="1" applyAlignment="1">
      <alignment horizontal="center" vertical="center" wrapText="1"/>
    </xf>
    <xf numFmtId="167" fontId="22" fillId="89" borderId="0" xfId="138" applyNumberFormat="1" applyFont="1" applyFill="1" applyAlignment="1"/>
    <xf numFmtId="167" fontId="53" fillId="89" borderId="0" xfId="138" applyNumberFormat="1" applyFont="1" applyFill="1" applyAlignment="1"/>
  </cellXfs>
  <cellStyles count="140">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1 - 20%" xfId="59" xr:uid="{7CA26221-8007-4E3D-B395-C7171E333B0B}"/>
    <cellStyle name="Accent1 - 40%" xfId="60" xr:uid="{25163F8B-31AD-437E-9702-5666F06137A5}"/>
    <cellStyle name="Accent1 - 60%" xfId="61" xr:uid="{113EFEE9-0392-4C79-93FA-53C3108E7835}"/>
    <cellStyle name="Accent1 2" xfId="58" xr:uid="{5FFD8DCB-31EF-48ED-B32A-3DB8B1B56DD6}"/>
    <cellStyle name="Accent2" xfId="24" builtinId="33" customBuiltin="1"/>
    <cellStyle name="Accent2 - 20%" xfId="63" xr:uid="{E7585D1F-D826-43DD-93EC-799E9F775E53}"/>
    <cellStyle name="Accent2 - 40%" xfId="64" xr:uid="{18A6BE71-4AA8-4DD9-8D8C-2CD26B3EC319}"/>
    <cellStyle name="Accent2 - 60%" xfId="65" xr:uid="{7DA21D4F-1C1C-4193-98B5-61112CCCA0A6}"/>
    <cellStyle name="Accent2 2" xfId="62" xr:uid="{3757011F-85C6-4F20-96D8-0FE18AB22A5E}"/>
    <cellStyle name="Accent3" xfId="28" builtinId="37" customBuiltin="1"/>
    <cellStyle name="Accent3 - 20%" xfId="67" xr:uid="{F4CE860A-DB70-4BF2-8A81-1121BA71957B}"/>
    <cellStyle name="Accent3 - 40%" xfId="68" xr:uid="{6A03C8B4-C644-4794-AC8F-B20260CCC299}"/>
    <cellStyle name="Accent3 - 60%" xfId="69" xr:uid="{0008E378-2802-4E54-8EA3-FF1B1B5BA516}"/>
    <cellStyle name="Accent3 2" xfId="66" xr:uid="{C4C747B2-5099-498F-A903-6F1361B6B5FA}"/>
    <cellStyle name="Accent4" xfId="32" builtinId="41" customBuiltin="1"/>
    <cellStyle name="Accent4 - 20%" xfId="71" xr:uid="{B379BFA9-F5FC-4F23-89C7-8AFA7DF49D16}"/>
    <cellStyle name="Accent4 - 40%" xfId="72" xr:uid="{B3FEF87B-C290-4F17-BCCF-53FB93176B70}"/>
    <cellStyle name="Accent4 - 60%" xfId="73" xr:uid="{7E72D201-B7A8-4009-8640-696FB580E33D}"/>
    <cellStyle name="Accent4 2" xfId="70" xr:uid="{944C4699-3F48-4A10-9682-54CAF95E41B9}"/>
    <cellStyle name="Accent5" xfId="36" builtinId="45" customBuiltin="1"/>
    <cellStyle name="Accent5 - 20%" xfId="75" xr:uid="{AB7026DD-0246-4F8D-A357-68A52DDA16B3}"/>
    <cellStyle name="Accent5 - 40%" xfId="76" xr:uid="{1A790DA8-5921-4806-9D37-43D99696DF02}"/>
    <cellStyle name="Accent5 - 60%" xfId="77" xr:uid="{00D680DE-911C-4B25-8658-1A7D4A1D8645}"/>
    <cellStyle name="Accent5 2" xfId="74" xr:uid="{F2451807-2294-4CBA-B65F-7350BDD2D6A3}"/>
    <cellStyle name="Accent6" xfId="40" builtinId="49" customBuiltin="1"/>
    <cellStyle name="Accent6 - 20%" xfId="79" xr:uid="{1A4EB2D7-1378-421E-970E-91A6C2BF16B3}"/>
    <cellStyle name="Accent6 - 40%" xfId="80" xr:uid="{C3B538DF-7539-451A-B530-01366D8398D5}"/>
    <cellStyle name="Accent6 - 60%" xfId="81" xr:uid="{1FD81DC6-21D6-4B08-97F4-F3FB70331356}"/>
    <cellStyle name="Accent6 2" xfId="78" xr:uid="{2CA9F923-5412-4929-8022-F23649321DD6}"/>
    <cellStyle name="Bad" xfId="9" builtinId="27" customBuiltin="1"/>
    <cellStyle name="Bad 2" xfId="82" xr:uid="{EE61F9CC-3975-471B-8882-CDC3D0D47FF3}"/>
    <cellStyle name="Calculation" xfId="13" builtinId="22" customBuiltin="1"/>
    <cellStyle name="Calculation 2" xfId="83" xr:uid="{F287D880-4A1D-48A2-B253-8882EEF91247}"/>
    <cellStyle name="Check Cell" xfId="15" builtinId="23" customBuiltin="1"/>
    <cellStyle name="Check Cell 2" xfId="84" xr:uid="{8051A72E-D1B2-4E3C-A006-49EF7179B4D2}"/>
    <cellStyle name="Comma" xfId="1" builtinId="3"/>
    <cellStyle name="Comma 2" xfId="48" xr:uid="{70A57CB0-B564-453F-8560-F3EA3BA14A33}"/>
    <cellStyle name="Currency" xfId="138" builtinId="4"/>
    <cellStyle name="Currency 2" xfId="45" xr:uid="{6FDB3B12-4748-44C2-BF82-851128BE8856}"/>
    <cellStyle name="Currency 2 2" xfId="49" xr:uid="{4F5FBA61-3231-4055-9FE8-4D151FACBCC5}"/>
    <cellStyle name="Currency 3" xfId="46" xr:uid="{2F30B519-A8DF-423F-ADD0-8AD18598D9C5}"/>
    <cellStyle name="Currency 3 2" xfId="50" xr:uid="{B542A3D7-1899-4567-A112-14C68D471098}"/>
    <cellStyle name="Currency 4" xfId="47" xr:uid="{A1E08A66-2BD4-42D8-9A33-46D31F57CA3F}"/>
    <cellStyle name="Currency 4 2" xfId="51" xr:uid="{71433BEC-A7C2-40FE-AE55-F93941FECBF6}"/>
    <cellStyle name="Emphasis 1" xfId="85" xr:uid="{E1DF04BE-1E2A-4744-A187-AE25CCD8C65F}"/>
    <cellStyle name="Emphasis 2" xfId="86" xr:uid="{5D9699C3-70EB-4CBC-9E71-3E9AC730A763}"/>
    <cellStyle name="Emphasis 3" xfId="87" xr:uid="{14C62303-AAB6-4AD4-ABB7-1F39A4333C3F}"/>
    <cellStyle name="Explanatory Text" xfId="18" builtinId="53" customBuiltin="1"/>
    <cellStyle name="Good" xfId="8" builtinId="26" customBuiltin="1"/>
    <cellStyle name="Good 2" xfId="88" xr:uid="{D2F24DA1-5588-489C-95BC-211F814B3991}"/>
    <cellStyle name="Heading 1" xfId="4" builtinId="16" customBuiltin="1"/>
    <cellStyle name="Heading 1 2" xfId="89" xr:uid="{9BF14D16-9DD3-4FAB-8C4A-0B40B8A67561}"/>
    <cellStyle name="Heading 2" xfId="5" builtinId="17" customBuiltin="1"/>
    <cellStyle name="Heading 2 2" xfId="90" xr:uid="{6231BFAD-2CC0-4B6F-8CAA-5B12AA476440}"/>
    <cellStyle name="Heading 3" xfId="6" builtinId="18" customBuiltin="1"/>
    <cellStyle name="Heading 3 2" xfId="91" xr:uid="{DC873EDF-C4B8-4AE2-B73A-037233D08CFD}"/>
    <cellStyle name="Heading 4" xfId="7" builtinId="19" customBuiltin="1"/>
    <cellStyle name="Heading 4 2" xfId="92" xr:uid="{6B2FF738-397F-44C6-BFDF-0005A4B2FAD0}"/>
    <cellStyle name="Input" xfId="11" builtinId="20" customBuiltin="1"/>
    <cellStyle name="Input 2" xfId="93" xr:uid="{F96BD541-FBBD-4501-9578-603D4F464072}"/>
    <cellStyle name="Linked Cell" xfId="14" builtinId="24" customBuiltin="1"/>
    <cellStyle name="Linked Cell 2" xfId="94" xr:uid="{EDB11BA4-5DFC-477D-A6F7-D201EC7C9012}"/>
    <cellStyle name="Neutral" xfId="10" builtinId="28" customBuiltin="1"/>
    <cellStyle name="Neutral 2" xfId="95" xr:uid="{5F03E940-0A27-4AAF-9628-27070EEE19EC}"/>
    <cellStyle name="Normal" xfId="0" builtinId="0"/>
    <cellStyle name="Normal 18" xfId="52" xr:uid="{73F7A442-ED3B-4476-A9CD-8443AC8E1C8E}"/>
    <cellStyle name="Normal 2" xfId="44" xr:uid="{97745E91-9DB2-4556-BCC0-55572FFBC5F9}"/>
    <cellStyle name="Normal 3" xfId="57" xr:uid="{F3AB5909-C403-4A67-9057-60E7EB6B46D5}"/>
    <cellStyle name="Normal 5" xfId="2" xr:uid="{00000000-0005-0000-0000-000002000000}"/>
    <cellStyle name="Note" xfId="17" builtinId="10" customBuiltin="1"/>
    <cellStyle name="Note 2" xfId="96" xr:uid="{F07BBEA1-AEF3-4DA4-B287-B9F36441DB67}"/>
    <cellStyle name="Output" xfId="12" builtinId="21" customBuiltin="1"/>
    <cellStyle name="Output 2" xfId="97" xr:uid="{66ABF946-A1D4-4B27-B456-10741F73D18F}"/>
    <cellStyle name="Percent" xfId="139" builtinId="5"/>
    <cellStyle name="SAPBEXaggData" xfId="98" xr:uid="{E083786A-8D77-44FB-AD6D-E4326D2919D5}"/>
    <cellStyle name="SAPBEXaggDataEmph" xfId="99" xr:uid="{FAB47387-37B0-4082-BB08-1C62FDC004B7}"/>
    <cellStyle name="SAPBEXaggItem" xfId="100" xr:uid="{15678304-DC9B-438C-8746-A6B0EE4276AF}"/>
    <cellStyle name="SAPBEXaggItemX" xfId="101" xr:uid="{E30B73AC-9702-4DED-82CC-26851F131012}"/>
    <cellStyle name="SAPBEXchaText" xfId="53" xr:uid="{4433ECF7-18CE-495E-A81F-FA1199852F42}"/>
    <cellStyle name="SAPBEXexcBad7" xfId="102" xr:uid="{F67BBEB1-C9B3-4432-9009-CF521B9D371E}"/>
    <cellStyle name="SAPBEXexcBad8" xfId="103" xr:uid="{9142D751-ACF0-45D6-92F8-48CF21565FF0}"/>
    <cellStyle name="SAPBEXexcBad9" xfId="104" xr:uid="{134AB9AE-1235-44B3-B43A-4CC322EE0C8A}"/>
    <cellStyle name="SAPBEXexcCritical4" xfId="105" xr:uid="{F9FA502A-5B00-436E-8FA3-EC5590EDD8BD}"/>
    <cellStyle name="SAPBEXexcCritical5" xfId="106" xr:uid="{2751D834-480F-4AFC-9EBF-B05EB84A1B09}"/>
    <cellStyle name="SAPBEXexcCritical6" xfId="107" xr:uid="{2C9F1897-D0F9-4233-8AC8-F0C147D1EA6F}"/>
    <cellStyle name="SAPBEXexcGood1" xfId="108" xr:uid="{AFFAE0F6-A78F-45C1-BE7A-67DD02FFBF42}"/>
    <cellStyle name="SAPBEXexcGood2" xfId="109" xr:uid="{01D6C5F9-13D1-446C-B919-313B5E912AA4}"/>
    <cellStyle name="SAPBEXexcGood3" xfId="110" xr:uid="{C65094BF-7219-4222-A79B-7FF520ACA493}"/>
    <cellStyle name="SAPBEXfilterDrill" xfId="111" xr:uid="{ABD51607-34C5-43D6-AF16-751243CF3FC3}"/>
    <cellStyle name="SAPBEXfilterItem" xfId="112" xr:uid="{53943481-0D80-4D5C-9B4E-34B32C828705}"/>
    <cellStyle name="SAPBEXfilterText" xfId="113" xr:uid="{4EAF4308-489C-44DE-B995-10188BFA8D3F}"/>
    <cellStyle name="SAPBEXformats" xfId="114" xr:uid="{3818C8D0-BA2C-400C-BC0E-3B6C7A0E27FC}"/>
    <cellStyle name="SAPBEXheaderItem" xfId="115" xr:uid="{7EDDB19B-26FD-4873-B2AB-4339E3E87434}"/>
    <cellStyle name="SAPBEXheaderText" xfId="116" xr:uid="{A1BEDA21-D603-4B59-A250-EA748E2403CD}"/>
    <cellStyle name="SAPBEXHLevel0" xfId="117" xr:uid="{6445C385-63D1-40DA-93E9-57B6DC737127}"/>
    <cellStyle name="SAPBEXHLevel0X" xfId="54" xr:uid="{D4CDFE54-F81F-49F5-956B-55B1F0077A20}"/>
    <cellStyle name="SAPBEXHLevel1" xfId="118" xr:uid="{508DA9BA-639A-46A2-86BA-785DCDE6DBD3}"/>
    <cellStyle name="SAPBEXHLevel1X" xfId="119" xr:uid="{87D303C9-0112-4712-858F-E873390AB292}"/>
    <cellStyle name="SAPBEXHLevel2" xfId="120" xr:uid="{AD38EC5D-9353-4877-AF3F-5CADC1DE3CB1}"/>
    <cellStyle name="SAPBEXHLevel2X" xfId="121" xr:uid="{C8930102-3D1A-49D6-99E5-CB8F531F06F8}"/>
    <cellStyle name="SAPBEXHLevel3" xfId="122" xr:uid="{9F94296F-9798-4A16-B628-2E3CB59ED9EF}"/>
    <cellStyle name="SAPBEXHLevel3X" xfId="123" xr:uid="{9B261BE3-A235-4476-9400-288AA70C22EA}"/>
    <cellStyle name="SAPBEXinputData" xfId="124" xr:uid="{C401EB6B-1470-4CF5-9AFB-E664796E9A4C}"/>
    <cellStyle name="SAPBEXItemHeader" xfId="125" xr:uid="{9CAF4590-41EA-40DE-B368-D0961E918D2F}"/>
    <cellStyle name="SAPBEXresData" xfId="126" xr:uid="{1EF43C8D-CFE6-43C2-BABB-6A46DFD622D3}"/>
    <cellStyle name="SAPBEXresDataEmph" xfId="127" xr:uid="{6CFDBC33-ADE7-4D19-810A-7587AB35E177}"/>
    <cellStyle name="SAPBEXresItem" xfId="128" xr:uid="{E92E8056-DD7A-4762-9BCB-D6FF2E60E3CD}"/>
    <cellStyle name="SAPBEXresItemX" xfId="129" xr:uid="{650AD08E-C9BC-4249-A91E-BD30FFB0EEBA}"/>
    <cellStyle name="SAPBEXstdData" xfId="56" xr:uid="{8C2CC620-323C-4106-9EA0-D802E9DC0B95}"/>
    <cellStyle name="SAPBEXstdDataEmph" xfId="130" xr:uid="{19E11A5A-746E-417C-8D5B-ADED39E73BAD}"/>
    <cellStyle name="SAPBEXstdItem" xfId="55" xr:uid="{CEA5A79F-A121-4F2C-A841-55F4EC7980B1}"/>
    <cellStyle name="SAPBEXstdItemX" xfId="131" xr:uid="{94F42EEF-0830-4729-A548-51244ECDF220}"/>
    <cellStyle name="SAPBEXtitle" xfId="132" xr:uid="{E167ED24-03B5-420A-9C4E-A94251312C47}"/>
    <cellStyle name="SAPBEXunassignedItem" xfId="133" xr:uid="{DC45C3BE-F150-424A-881B-C54B6412950B}"/>
    <cellStyle name="SAPBEXundefined" xfId="134" xr:uid="{BC974EC5-2033-4A26-9DB9-E853F5FC9118}"/>
    <cellStyle name="Sheet Title" xfId="135" xr:uid="{562D97F5-49EF-48FA-A6F4-97A0C89D847C}"/>
    <cellStyle name="Title" xfId="3" builtinId="15" customBuiltin="1"/>
    <cellStyle name="Total" xfId="19" builtinId="25" customBuiltin="1"/>
    <cellStyle name="Total 2" xfId="136" xr:uid="{0AA57F6D-A0A2-42A6-93C3-725063C919FB}"/>
    <cellStyle name="Warning Text" xfId="16" builtinId="11" customBuiltin="1"/>
    <cellStyle name="Warning Text 2" xfId="137" xr:uid="{B5DF40D3-0C59-46CF-ABD5-6043EDBA2CF6}"/>
  </cellStyles>
  <dxfs count="1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FFFF00"/>
        </patternFill>
      </fill>
    </dxf>
    <dxf>
      <fill>
        <patternFill>
          <bgColor rgb="FF002060"/>
        </patternFill>
      </fill>
    </dxf>
    <dxf>
      <font>
        <color rgb="FF9C0006"/>
      </font>
      <fill>
        <patternFill>
          <bgColor rgb="FFFFC7CE"/>
        </patternFill>
      </fill>
    </dxf>
    <dxf>
      <font>
        <color rgb="FF9C0006"/>
      </font>
      <fill>
        <patternFill>
          <bgColor rgb="FFFFC7CE"/>
        </patternFill>
      </fill>
    </dxf>
    <dxf>
      <fill>
        <patternFill>
          <bgColor rgb="FF002060"/>
        </patternFill>
      </fill>
    </dxf>
  </dxfs>
  <tableStyles count="0" defaultTableStyle="TableStyleMedium2" defaultPivotStyle="PivotStyleLight16"/>
  <colors>
    <mruColors>
      <color rgb="FFFF9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earcet\AppData\Local\Microsoft\Windows\INetCache\Content.Outlook\QQ511UO3\Book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ery (5)"/>
    </sheetNames>
    <sheetDataSet>
      <sheetData sheetId="0">
        <row r="1">
          <cell r="A1" t="str">
            <v>Title</v>
          </cell>
          <cell r="C1" t="str">
            <v>Item Code</v>
          </cell>
        </row>
        <row r="2">
          <cell r="A2" t="str">
            <v>5086740</v>
          </cell>
          <cell r="C2">
            <v>5086740</v>
          </cell>
        </row>
        <row r="3">
          <cell r="A3" t="str">
            <v>5086740</v>
          </cell>
          <cell r="C3">
            <v>5095153</v>
          </cell>
        </row>
        <row r="4">
          <cell r="A4" t="str">
            <v>5090571</v>
          </cell>
          <cell r="C4">
            <v>5090571</v>
          </cell>
        </row>
        <row r="5">
          <cell r="A5" t="str">
            <v>5090574</v>
          </cell>
          <cell r="C5">
            <v>5090574</v>
          </cell>
        </row>
        <row r="6">
          <cell r="A6" t="str">
            <v>5090574</v>
          </cell>
          <cell r="C6">
            <v>5095162</v>
          </cell>
        </row>
        <row r="7">
          <cell r="A7" t="str">
            <v>5090574</v>
          </cell>
          <cell r="C7">
            <v>5095159</v>
          </cell>
        </row>
        <row r="8">
          <cell r="A8" t="str">
            <v>5090575</v>
          </cell>
          <cell r="C8">
            <v>5090575</v>
          </cell>
        </row>
        <row r="9">
          <cell r="A9" t="str">
            <v>5090575</v>
          </cell>
          <cell r="C9">
            <v>5095163</v>
          </cell>
        </row>
        <row r="10">
          <cell r="A10" t="str">
            <v>5090575</v>
          </cell>
          <cell r="C10">
            <v>5095160</v>
          </cell>
        </row>
        <row r="11">
          <cell r="A11" t="str">
            <v>5090576</v>
          </cell>
          <cell r="C11">
            <v>5090576</v>
          </cell>
        </row>
        <row r="12">
          <cell r="A12" t="str">
            <v>5090576</v>
          </cell>
          <cell r="C12">
            <v>5095164</v>
          </cell>
        </row>
        <row r="13">
          <cell r="A13" t="str">
            <v>5090576</v>
          </cell>
          <cell r="C13">
            <v>5095161</v>
          </cell>
        </row>
        <row r="14">
          <cell r="A14" t="str">
            <v>5090590</v>
          </cell>
          <cell r="C14">
            <v>5090590</v>
          </cell>
        </row>
        <row r="15">
          <cell r="A15" t="str">
            <v>5090590</v>
          </cell>
          <cell r="C15">
            <v>5095165</v>
          </cell>
        </row>
        <row r="16">
          <cell r="A16" t="str">
            <v>5090592</v>
          </cell>
          <cell r="C16">
            <v>5090592</v>
          </cell>
        </row>
        <row r="17">
          <cell r="A17" t="str">
            <v>5090592</v>
          </cell>
          <cell r="C17">
            <v>5095166</v>
          </cell>
        </row>
        <row r="18">
          <cell r="A18" t="str">
            <v>5090709</v>
          </cell>
          <cell r="C18">
            <v>5094780</v>
          </cell>
        </row>
        <row r="19">
          <cell r="A19" t="str">
            <v>5090710</v>
          </cell>
          <cell r="C19">
            <v>5094784</v>
          </cell>
        </row>
        <row r="20">
          <cell r="A20" t="str">
            <v>5090717</v>
          </cell>
          <cell r="C20">
            <v>5090717</v>
          </cell>
        </row>
        <row r="21">
          <cell r="A21" t="str">
            <v>5090717</v>
          </cell>
          <cell r="C21">
            <v>5094789</v>
          </cell>
        </row>
        <row r="22">
          <cell r="A22" t="str">
            <v>5090718</v>
          </cell>
          <cell r="C22">
            <v>5090718</v>
          </cell>
        </row>
        <row r="23">
          <cell r="A23" t="str">
            <v>5090718</v>
          </cell>
          <cell r="C23">
            <v>5094794</v>
          </cell>
        </row>
        <row r="24">
          <cell r="A24" t="str">
            <v>5090718</v>
          </cell>
          <cell r="C24">
            <v>5094790</v>
          </cell>
        </row>
        <row r="25">
          <cell r="A25" t="str">
            <v>5090718</v>
          </cell>
          <cell r="C25">
            <v>5094792</v>
          </cell>
        </row>
        <row r="26">
          <cell r="A26" t="str">
            <v>5090721</v>
          </cell>
          <cell r="C26">
            <v>5184984</v>
          </cell>
        </row>
        <row r="27">
          <cell r="A27" t="str">
            <v>5090721</v>
          </cell>
          <cell r="C27">
            <v>5090721</v>
          </cell>
        </row>
        <row r="28">
          <cell r="A28" t="str">
            <v>5090721</v>
          </cell>
          <cell r="C28">
            <v>5185090</v>
          </cell>
        </row>
        <row r="29">
          <cell r="A29" t="str">
            <v>5090721</v>
          </cell>
          <cell r="C29">
            <v>5195736</v>
          </cell>
        </row>
        <row r="30">
          <cell r="A30" t="str">
            <v>5090722</v>
          </cell>
          <cell r="C30">
            <v>5184986</v>
          </cell>
        </row>
        <row r="31">
          <cell r="A31" t="str">
            <v>5090722</v>
          </cell>
          <cell r="C31">
            <v>5090722</v>
          </cell>
        </row>
        <row r="32">
          <cell r="A32" t="str">
            <v>5090722</v>
          </cell>
          <cell r="C32">
            <v>5185091</v>
          </cell>
        </row>
        <row r="33">
          <cell r="A33" t="str">
            <v>5090722</v>
          </cell>
          <cell r="C33">
            <v>5185094</v>
          </cell>
        </row>
        <row r="34">
          <cell r="A34" t="str">
            <v>5090726</v>
          </cell>
          <cell r="C34">
            <v>5090726</v>
          </cell>
        </row>
        <row r="35">
          <cell r="A35" t="str">
            <v>5090726</v>
          </cell>
          <cell r="C35">
            <v>5185109</v>
          </cell>
        </row>
        <row r="36">
          <cell r="A36" t="str">
            <v>5090726</v>
          </cell>
          <cell r="C36">
            <v>5185112</v>
          </cell>
        </row>
        <row r="37">
          <cell r="A37" t="str">
            <v>5090726</v>
          </cell>
          <cell r="C37">
            <v>5185115</v>
          </cell>
        </row>
        <row r="38">
          <cell r="A38" t="str">
            <v>5090726</v>
          </cell>
          <cell r="C38">
            <v>5185118</v>
          </cell>
        </row>
        <row r="39">
          <cell r="A39" t="str">
            <v>5090727</v>
          </cell>
          <cell r="C39">
            <v>5090727</v>
          </cell>
        </row>
        <row r="40">
          <cell r="A40" t="str">
            <v>5090727</v>
          </cell>
          <cell r="C40">
            <v>5185110</v>
          </cell>
        </row>
        <row r="41">
          <cell r="A41" t="str">
            <v>5090727</v>
          </cell>
          <cell r="C41">
            <v>5185113</v>
          </cell>
        </row>
        <row r="42">
          <cell r="A42" t="str">
            <v>5090727</v>
          </cell>
          <cell r="C42">
            <v>5185116</v>
          </cell>
        </row>
        <row r="43">
          <cell r="A43" t="str">
            <v>5090727</v>
          </cell>
          <cell r="C43">
            <v>5094830</v>
          </cell>
        </row>
        <row r="44">
          <cell r="A44" t="str">
            <v>5090728</v>
          </cell>
          <cell r="C44">
            <v>5090728</v>
          </cell>
        </row>
        <row r="45">
          <cell r="A45" t="str">
            <v>5090728</v>
          </cell>
          <cell r="C45">
            <v>5185111</v>
          </cell>
        </row>
        <row r="46">
          <cell r="A46" t="str">
            <v>5090728</v>
          </cell>
          <cell r="C46">
            <v>5185114</v>
          </cell>
        </row>
        <row r="47">
          <cell r="A47" t="str">
            <v>5090728</v>
          </cell>
          <cell r="C47">
            <v>5185117</v>
          </cell>
        </row>
        <row r="48">
          <cell r="A48" t="str">
            <v>5090728</v>
          </cell>
          <cell r="C48">
            <v>5185119</v>
          </cell>
        </row>
        <row r="49">
          <cell r="A49" t="str">
            <v>5090729</v>
          </cell>
          <cell r="C49">
            <v>5090729</v>
          </cell>
        </row>
        <row r="50">
          <cell r="A50" t="str">
            <v>5090729</v>
          </cell>
          <cell r="C50">
            <v>5185151</v>
          </cell>
        </row>
        <row r="51">
          <cell r="A51" t="str">
            <v>5090729</v>
          </cell>
          <cell r="C51">
            <v>5185154</v>
          </cell>
        </row>
        <row r="52">
          <cell r="A52" t="str">
            <v>5090729</v>
          </cell>
          <cell r="C52">
            <v>5185157</v>
          </cell>
        </row>
        <row r="53">
          <cell r="A53" t="str">
            <v>5090732</v>
          </cell>
          <cell r="C53">
            <v>5090732</v>
          </cell>
        </row>
        <row r="54">
          <cell r="A54" t="str">
            <v>5090732</v>
          </cell>
          <cell r="C54">
            <v>5185223</v>
          </cell>
        </row>
        <row r="55">
          <cell r="A55" t="str">
            <v>5090732</v>
          </cell>
          <cell r="C55">
            <v>5185226</v>
          </cell>
        </row>
        <row r="56">
          <cell r="A56" t="str">
            <v>5090732</v>
          </cell>
          <cell r="C56">
            <v>5185229</v>
          </cell>
        </row>
        <row r="57">
          <cell r="A57" t="str">
            <v>5090733</v>
          </cell>
          <cell r="C57">
            <v>5090733</v>
          </cell>
        </row>
        <row r="58">
          <cell r="A58" t="str">
            <v>5090733</v>
          </cell>
          <cell r="C58">
            <v>5185224</v>
          </cell>
        </row>
        <row r="59">
          <cell r="A59" t="str">
            <v>5090733</v>
          </cell>
          <cell r="C59">
            <v>5185227</v>
          </cell>
        </row>
        <row r="60">
          <cell r="A60" t="str">
            <v>5090733</v>
          </cell>
          <cell r="C60">
            <v>5185240</v>
          </cell>
        </row>
        <row r="61">
          <cell r="A61" t="str">
            <v>5090734</v>
          </cell>
          <cell r="C61">
            <v>5090734</v>
          </cell>
        </row>
        <row r="62">
          <cell r="A62" t="str">
            <v>5090734</v>
          </cell>
          <cell r="C62">
            <v>5185225</v>
          </cell>
        </row>
        <row r="63">
          <cell r="A63" t="str">
            <v>5090734</v>
          </cell>
          <cell r="C63">
            <v>5185228</v>
          </cell>
        </row>
        <row r="64">
          <cell r="A64" t="str">
            <v>5090734</v>
          </cell>
          <cell r="C64">
            <v>5185241</v>
          </cell>
        </row>
        <row r="65">
          <cell r="A65" t="str">
            <v>5090735</v>
          </cell>
          <cell r="C65">
            <v>5185222</v>
          </cell>
        </row>
        <row r="66">
          <cell r="A66" t="str">
            <v>5090736</v>
          </cell>
          <cell r="C66">
            <v>5185143</v>
          </cell>
        </row>
        <row r="67">
          <cell r="A67" t="str">
            <v>5090736</v>
          </cell>
          <cell r="C67">
            <v>5090736</v>
          </cell>
        </row>
        <row r="68">
          <cell r="A68" t="str">
            <v>5090736</v>
          </cell>
          <cell r="C68">
            <v>5185145</v>
          </cell>
        </row>
        <row r="69">
          <cell r="A69" t="str">
            <v>5090736</v>
          </cell>
          <cell r="C69">
            <v>5185148</v>
          </cell>
        </row>
        <row r="70">
          <cell r="A70" t="str">
            <v>5090737</v>
          </cell>
          <cell r="C70">
            <v>5185144</v>
          </cell>
        </row>
        <row r="71">
          <cell r="A71" t="str">
            <v>5090737</v>
          </cell>
          <cell r="C71">
            <v>5090737</v>
          </cell>
        </row>
        <row r="72">
          <cell r="A72" t="str">
            <v>5090737</v>
          </cell>
          <cell r="C72">
            <v>5185146</v>
          </cell>
        </row>
        <row r="73">
          <cell r="A73" t="str">
            <v>5090737</v>
          </cell>
          <cell r="C73">
            <v>5185149</v>
          </cell>
        </row>
        <row r="74">
          <cell r="A74" t="str">
            <v>5090738</v>
          </cell>
          <cell r="C74">
            <v>5090738</v>
          </cell>
        </row>
        <row r="75">
          <cell r="A75" t="str">
            <v>5090738</v>
          </cell>
          <cell r="C75">
            <v>5185147</v>
          </cell>
        </row>
        <row r="76">
          <cell r="A76" t="str">
            <v>5090738</v>
          </cell>
          <cell r="C76">
            <v>5185150</v>
          </cell>
        </row>
        <row r="77">
          <cell r="A77" t="str">
            <v>5090739</v>
          </cell>
          <cell r="C77">
            <v>5090739</v>
          </cell>
        </row>
        <row r="78">
          <cell r="A78" t="str">
            <v>5090739</v>
          </cell>
          <cell r="C78">
            <v>5185242</v>
          </cell>
        </row>
        <row r="79">
          <cell r="A79" t="str">
            <v>5090739</v>
          </cell>
          <cell r="C79">
            <v>5185245</v>
          </cell>
        </row>
        <row r="80">
          <cell r="A80" t="str">
            <v>5090739</v>
          </cell>
          <cell r="C80">
            <v>5094890</v>
          </cell>
        </row>
        <row r="81">
          <cell r="A81" t="str">
            <v>5090739</v>
          </cell>
          <cell r="C81">
            <v>5094887</v>
          </cell>
        </row>
        <row r="82">
          <cell r="A82" t="str">
            <v>5090740</v>
          </cell>
          <cell r="C82">
            <v>5090740</v>
          </cell>
        </row>
        <row r="83">
          <cell r="A83" t="str">
            <v>5090740</v>
          </cell>
          <cell r="C83">
            <v>5185243</v>
          </cell>
        </row>
        <row r="84">
          <cell r="A84" t="str">
            <v>5090740</v>
          </cell>
          <cell r="C84">
            <v>5185246</v>
          </cell>
        </row>
        <row r="85">
          <cell r="A85" t="str">
            <v>5090741</v>
          </cell>
          <cell r="C85">
            <v>5090741</v>
          </cell>
        </row>
        <row r="86">
          <cell r="A86" t="str">
            <v>5090741</v>
          </cell>
          <cell r="C86">
            <v>5185244</v>
          </cell>
        </row>
        <row r="87">
          <cell r="A87" t="str">
            <v>5090741</v>
          </cell>
          <cell r="C87">
            <v>5185247</v>
          </cell>
        </row>
        <row r="88">
          <cell r="A88" t="str">
            <v>5090742</v>
          </cell>
          <cell r="C88">
            <v>5090742</v>
          </cell>
        </row>
        <row r="89">
          <cell r="A89" t="str">
            <v>5090742</v>
          </cell>
          <cell r="C89">
            <v>5094895</v>
          </cell>
        </row>
        <row r="90">
          <cell r="A90" t="str">
            <v>5090742</v>
          </cell>
          <cell r="C90">
            <v>5094893</v>
          </cell>
        </row>
        <row r="91">
          <cell r="A91" t="str">
            <v>5090742</v>
          </cell>
          <cell r="C91">
            <v>5094894</v>
          </cell>
        </row>
        <row r="92">
          <cell r="A92" t="str">
            <v>5090743</v>
          </cell>
          <cell r="C92">
            <v>5090743</v>
          </cell>
        </row>
        <row r="93">
          <cell r="A93" t="str">
            <v>5090743</v>
          </cell>
          <cell r="C93">
            <v>5185120</v>
          </cell>
        </row>
        <row r="94">
          <cell r="A94" t="str">
            <v>5090743</v>
          </cell>
          <cell r="C94">
            <v>5185123</v>
          </cell>
        </row>
        <row r="95">
          <cell r="A95" t="str">
            <v>5090746</v>
          </cell>
          <cell r="C95">
            <v>5090746</v>
          </cell>
        </row>
        <row r="96">
          <cell r="A96" t="str">
            <v>5090746</v>
          </cell>
          <cell r="C96">
            <v>5185107</v>
          </cell>
        </row>
        <row r="97">
          <cell r="A97" t="str">
            <v>5090746</v>
          </cell>
          <cell r="C97">
            <v>5185108</v>
          </cell>
        </row>
        <row r="98">
          <cell r="A98" t="str">
            <v>5090750</v>
          </cell>
          <cell r="C98">
            <v>5090750</v>
          </cell>
        </row>
        <row r="99">
          <cell r="A99" t="str">
            <v>5090750</v>
          </cell>
          <cell r="C99">
            <v>5094914</v>
          </cell>
        </row>
        <row r="100">
          <cell r="A100" t="str">
            <v>5090750</v>
          </cell>
          <cell r="C100">
            <v>5207933</v>
          </cell>
        </row>
        <row r="101">
          <cell r="A101" t="str">
            <v>5090750</v>
          </cell>
          <cell r="C101">
            <v>5207936</v>
          </cell>
        </row>
        <row r="102">
          <cell r="A102" t="str">
            <v>5090751</v>
          </cell>
          <cell r="C102">
            <v>5090751</v>
          </cell>
        </row>
        <row r="103">
          <cell r="A103" t="str">
            <v>5090751</v>
          </cell>
          <cell r="C103">
            <v>5094915</v>
          </cell>
        </row>
        <row r="104">
          <cell r="A104" t="str">
            <v>5090751</v>
          </cell>
          <cell r="C104">
            <v>5207934</v>
          </cell>
        </row>
        <row r="105">
          <cell r="A105" t="str">
            <v>5090751</v>
          </cell>
          <cell r="C105">
            <v>5207937</v>
          </cell>
        </row>
        <row r="106">
          <cell r="A106" t="str">
            <v>5090752</v>
          </cell>
          <cell r="C106">
            <v>5090752</v>
          </cell>
        </row>
        <row r="107">
          <cell r="A107" t="str">
            <v>5090752</v>
          </cell>
          <cell r="C107">
            <v>5185095</v>
          </cell>
        </row>
        <row r="108">
          <cell r="A108" t="str">
            <v>5090752</v>
          </cell>
          <cell r="C108">
            <v>5185098</v>
          </cell>
        </row>
        <row r="109">
          <cell r="A109" t="str">
            <v>5090752</v>
          </cell>
          <cell r="C109">
            <v>5185104</v>
          </cell>
        </row>
        <row r="110">
          <cell r="A110" t="str">
            <v>5090753</v>
          </cell>
          <cell r="C110">
            <v>5090753</v>
          </cell>
        </row>
        <row r="111">
          <cell r="A111" t="str">
            <v>5090753</v>
          </cell>
          <cell r="C111">
            <v>5185096</v>
          </cell>
        </row>
        <row r="112">
          <cell r="A112" t="str">
            <v>5090753</v>
          </cell>
          <cell r="C112">
            <v>5185102</v>
          </cell>
        </row>
        <row r="113">
          <cell r="A113" t="str">
            <v>5090753</v>
          </cell>
          <cell r="C113">
            <v>5185105</v>
          </cell>
        </row>
        <row r="114">
          <cell r="A114" t="str">
            <v>5090754</v>
          </cell>
          <cell r="C114">
            <v>5090754</v>
          </cell>
        </row>
        <row r="115">
          <cell r="A115" t="str">
            <v>5090754</v>
          </cell>
          <cell r="C115">
            <v>5185097</v>
          </cell>
        </row>
        <row r="116">
          <cell r="A116" t="str">
            <v>5090754</v>
          </cell>
          <cell r="C116">
            <v>5185103</v>
          </cell>
        </row>
        <row r="117">
          <cell r="A117" t="str">
            <v>5090754</v>
          </cell>
          <cell r="C117">
            <v>5185106</v>
          </cell>
        </row>
        <row r="118">
          <cell r="A118" t="str">
            <v>5090755</v>
          </cell>
          <cell r="C118">
            <v>5090755</v>
          </cell>
        </row>
        <row r="119">
          <cell r="A119" t="str">
            <v>5090755</v>
          </cell>
          <cell r="C119">
            <v>5185186</v>
          </cell>
        </row>
        <row r="120">
          <cell r="A120" t="str">
            <v>5090755</v>
          </cell>
          <cell r="C120">
            <v>5185189</v>
          </cell>
        </row>
        <row r="121">
          <cell r="A121" t="str">
            <v>5090756</v>
          </cell>
          <cell r="C121">
            <v>5090756</v>
          </cell>
        </row>
        <row r="122">
          <cell r="A122" t="str">
            <v>5090756</v>
          </cell>
          <cell r="C122">
            <v>5185187</v>
          </cell>
        </row>
        <row r="123">
          <cell r="A123" t="str">
            <v>5090756</v>
          </cell>
          <cell r="C123">
            <v>5185220</v>
          </cell>
        </row>
        <row r="124">
          <cell r="A124" t="str">
            <v>5090757</v>
          </cell>
          <cell r="C124">
            <v>5090757</v>
          </cell>
        </row>
        <row r="125">
          <cell r="A125" t="str">
            <v>5090757</v>
          </cell>
          <cell r="C125">
            <v>5185188</v>
          </cell>
        </row>
        <row r="126">
          <cell r="A126" t="str">
            <v>5090757</v>
          </cell>
          <cell r="C126">
            <v>5185221</v>
          </cell>
        </row>
        <row r="127">
          <cell r="A127" t="str">
            <v>5090758</v>
          </cell>
          <cell r="C127">
            <v>5090758</v>
          </cell>
        </row>
        <row r="128">
          <cell r="A128" t="str">
            <v>5090758</v>
          </cell>
          <cell r="C128">
            <v>5094931</v>
          </cell>
        </row>
        <row r="129">
          <cell r="A129" t="str">
            <v>5090759</v>
          </cell>
          <cell r="C129">
            <v>5090759</v>
          </cell>
        </row>
        <row r="130">
          <cell r="A130" t="str">
            <v>5090759</v>
          </cell>
          <cell r="C130">
            <v>5094939</v>
          </cell>
        </row>
        <row r="131">
          <cell r="A131" t="str">
            <v>5090759</v>
          </cell>
          <cell r="C131">
            <v>5094932</v>
          </cell>
        </row>
        <row r="132">
          <cell r="A132" t="str">
            <v>5090759</v>
          </cell>
          <cell r="C132">
            <v>5094936</v>
          </cell>
        </row>
        <row r="133">
          <cell r="A133" t="str">
            <v>5090760</v>
          </cell>
          <cell r="C133">
            <v>5090760</v>
          </cell>
        </row>
        <row r="134">
          <cell r="A134" t="str">
            <v>5090760</v>
          </cell>
          <cell r="C134">
            <v>5094940</v>
          </cell>
        </row>
        <row r="135">
          <cell r="A135" t="str">
            <v>5090760</v>
          </cell>
          <cell r="C135">
            <v>5094933</v>
          </cell>
        </row>
        <row r="136">
          <cell r="A136" t="str">
            <v>5090760</v>
          </cell>
          <cell r="C136">
            <v>5094937</v>
          </cell>
        </row>
        <row r="137">
          <cell r="A137" t="str">
            <v>5090761</v>
          </cell>
          <cell r="C137">
            <v>5090761</v>
          </cell>
        </row>
        <row r="138">
          <cell r="A138" t="str">
            <v>5090761</v>
          </cell>
          <cell r="C138">
            <v>5094934</v>
          </cell>
        </row>
        <row r="139">
          <cell r="A139" t="str">
            <v>5090767</v>
          </cell>
          <cell r="C139">
            <v>5094950</v>
          </cell>
        </row>
        <row r="140">
          <cell r="A140" t="str">
            <v>5090767</v>
          </cell>
          <cell r="C140">
            <v>5090767</v>
          </cell>
        </row>
        <row r="141">
          <cell r="A141" t="str">
            <v>5090769</v>
          </cell>
          <cell r="C141">
            <v>5090769</v>
          </cell>
        </row>
        <row r="142">
          <cell r="A142" t="str">
            <v>5090769</v>
          </cell>
          <cell r="C142">
            <v>5094952</v>
          </cell>
        </row>
        <row r="143">
          <cell r="A143" t="str">
            <v>5090778</v>
          </cell>
          <cell r="C143">
            <v>5090778</v>
          </cell>
        </row>
        <row r="144">
          <cell r="A144" t="str">
            <v>5090778</v>
          </cell>
          <cell r="C144">
            <v>5094982</v>
          </cell>
        </row>
        <row r="145">
          <cell r="A145" t="str">
            <v>5090778</v>
          </cell>
          <cell r="C145">
            <v>5094985</v>
          </cell>
        </row>
        <row r="146">
          <cell r="A146" t="str">
            <v>5090779</v>
          </cell>
          <cell r="C146">
            <v>5090779</v>
          </cell>
        </row>
        <row r="147">
          <cell r="A147" t="str">
            <v>5090779</v>
          </cell>
          <cell r="C147">
            <v>5094983</v>
          </cell>
        </row>
        <row r="148">
          <cell r="A148" t="str">
            <v>5090779</v>
          </cell>
          <cell r="C148">
            <v>5094986</v>
          </cell>
        </row>
        <row r="149">
          <cell r="A149" t="str">
            <v>5090780</v>
          </cell>
          <cell r="C149">
            <v>5090780</v>
          </cell>
        </row>
        <row r="150">
          <cell r="A150" t="str">
            <v>5090780</v>
          </cell>
          <cell r="C150">
            <v>5094984</v>
          </cell>
        </row>
        <row r="151">
          <cell r="A151" t="str">
            <v>5090780</v>
          </cell>
          <cell r="C151">
            <v>5094987</v>
          </cell>
        </row>
        <row r="152">
          <cell r="A152" t="str">
            <v>5090781</v>
          </cell>
          <cell r="C152">
            <v>5090781</v>
          </cell>
        </row>
        <row r="153">
          <cell r="A153" t="str">
            <v>5090781</v>
          </cell>
          <cell r="C153">
            <v>5094988</v>
          </cell>
        </row>
        <row r="154">
          <cell r="A154" t="str">
            <v>5090781</v>
          </cell>
          <cell r="C154">
            <v>5094991</v>
          </cell>
        </row>
        <row r="155">
          <cell r="A155" t="str">
            <v>5090782</v>
          </cell>
          <cell r="C155">
            <v>5090782</v>
          </cell>
        </row>
        <row r="156">
          <cell r="A156" t="str">
            <v>5090782</v>
          </cell>
          <cell r="C156">
            <v>5094989</v>
          </cell>
        </row>
        <row r="157">
          <cell r="A157" t="str">
            <v>5090782</v>
          </cell>
          <cell r="C157">
            <v>5094992</v>
          </cell>
        </row>
        <row r="158">
          <cell r="A158" t="str">
            <v>5090783</v>
          </cell>
          <cell r="C158">
            <v>5090783</v>
          </cell>
        </row>
        <row r="159">
          <cell r="A159" t="str">
            <v>5090783</v>
          </cell>
          <cell r="C159">
            <v>5094990</v>
          </cell>
        </row>
        <row r="160">
          <cell r="A160" t="str">
            <v>5090783</v>
          </cell>
          <cell r="C160">
            <v>5094993</v>
          </cell>
        </row>
        <row r="161">
          <cell r="A161" t="str">
            <v>5090784</v>
          </cell>
          <cell r="C161">
            <v>5090784</v>
          </cell>
        </row>
        <row r="162">
          <cell r="A162" t="str">
            <v>5090784</v>
          </cell>
          <cell r="C162">
            <v>5094998</v>
          </cell>
        </row>
        <row r="163">
          <cell r="A163" t="str">
            <v>5090784</v>
          </cell>
          <cell r="C163">
            <v>5094996</v>
          </cell>
        </row>
        <row r="164">
          <cell r="A164" t="str">
            <v>5090785</v>
          </cell>
          <cell r="C164">
            <v>5094995</v>
          </cell>
        </row>
        <row r="165">
          <cell r="A165" t="str">
            <v>5090785</v>
          </cell>
          <cell r="C165">
            <v>5094999</v>
          </cell>
        </row>
        <row r="166">
          <cell r="A166" t="str">
            <v>5090785</v>
          </cell>
          <cell r="C166">
            <v>5090785</v>
          </cell>
        </row>
        <row r="167">
          <cell r="A167" t="str">
            <v>5090785</v>
          </cell>
          <cell r="C167">
            <v>5094997</v>
          </cell>
        </row>
        <row r="168">
          <cell r="A168" t="str">
            <v>5090786</v>
          </cell>
          <cell r="C168">
            <v>5090786</v>
          </cell>
        </row>
        <row r="169">
          <cell r="A169" t="str">
            <v>5090786</v>
          </cell>
          <cell r="C169">
            <v>5095002</v>
          </cell>
        </row>
        <row r="170">
          <cell r="A170" t="str">
            <v>5090786</v>
          </cell>
          <cell r="C170">
            <v>5095000</v>
          </cell>
        </row>
        <row r="171">
          <cell r="A171" t="str">
            <v>5090787</v>
          </cell>
          <cell r="C171">
            <v>5090787</v>
          </cell>
        </row>
        <row r="172">
          <cell r="A172" t="str">
            <v>5090787</v>
          </cell>
          <cell r="C172">
            <v>5095003</v>
          </cell>
        </row>
        <row r="173">
          <cell r="A173" t="str">
            <v>5090787</v>
          </cell>
          <cell r="C173">
            <v>5095001</v>
          </cell>
        </row>
        <row r="174">
          <cell r="A174" t="str">
            <v>5090790</v>
          </cell>
          <cell r="C174">
            <v>5090790</v>
          </cell>
        </row>
        <row r="175">
          <cell r="A175" t="str">
            <v>5090790</v>
          </cell>
          <cell r="C175">
            <v>5095014</v>
          </cell>
        </row>
        <row r="176">
          <cell r="A176" t="str">
            <v>5090790</v>
          </cell>
          <cell r="C176">
            <v>5095012</v>
          </cell>
        </row>
        <row r="177">
          <cell r="A177" t="str">
            <v>5090790</v>
          </cell>
          <cell r="C177">
            <v>5095013</v>
          </cell>
        </row>
        <row r="178">
          <cell r="A178" t="str">
            <v>5090791</v>
          </cell>
          <cell r="C178">
            <v>5090791</v>
          </cell>
        </row>
        <row r="179">
          <cell r="A179" t="str">
            <v>5090791</v>
          </cell>
          <cell r="C179">
            <v>5095015</v>
          </cell>
        </row>
        <row r="180">
          <cell r="A180" t="str">
            <v>5090791</v>
          </cell>
          <cell r="C180">
            <v>5095016</v>
          </cell>
        </row>
        <row r="181">
          <cell r="A181" t="str">
            <v>5090792</v>
          </cell>
          <cell r="C181">
            <v>5095017</v>
          </cell>
        </row>
        <row r="182">
          <cell r="A182" t="str">
            <v>5090792</v>
          </cell>
          <cell r="C182">
            <v>5090792</v>
          </cell>
        </row>
        <row r="183">
          <cell r="A183" t="str">
            <v>5090792</v>
          </cell>
          <cell r="C183">
            <v>5095018</v>
          </cell>
        </row>
        <row r="184">
          <cell r="A184" t="str">
            <v>5090795</v>
          </cell>
          <cell r="C184">
            <v>5090795</v>
          </cell>
        </row>
        <row r="185">
          <cell r="A185" t="str">
            <v>5090795</v>
          </cell>
          <cell r="C185">
            <v>5115146</v>
          </cell>
        </row>
        <row r="186">
          <cell r="A186" t="str">
            <v>5090795</v>
          </cell>
          <cell r="C186">
            <v>5115445</v>
          </cell>
        </row>
        <row r="187">
          <cell r="A187" t="str">
            <v>5090796</v>
          </cell>
          <cell r="C187">
            <v>5090796</v>
          </cell>
        </row>
        <row r="188">
          <cell r="A188" t="str">
            <v>5090796</v>
          </cell>
          <cell r="C188">
            <v>5095023</v>
          </cell>
        </row>
        <row r="189">
          <cell r="A189" t="str">
            <v>5090797</v>
          </cell>
          <cell r="C189">
            <v>5090797</v>
          </cell>
        </row>
        <row r="190">
          <cell r="A190" t="str">
            <v>5090797</v>
          </cell>
          <cell r="C190">
            <v>5095026</v>
          </cell>
        </row>
        <row r="191">
          <cell r="A191" t="str">
            <v>5090797</v>
          </cell>
          <cell r="C191">
            <v>5095024</v>
          </cell>
        </row>
        <row r="192">
          <cell r="A192" t="str">
            <v>5090797</v>
          </cell>
          <cell r="C192">
            <v>5095025</v>
          </cell>
        </row>
        <row r="193">
          <cell r="A193" t="str">
            <v>5090798</v>
          </cell>
          <cell r="C193">
            <v>5095029</v>
          </cell>
        </row>
        <row r="194">
          <cell r="A194" t="str">
            <v>5090798</v>
          </cell>
          <cell r="C194">
            <v>5090798</v>
          </cell>
        </row>
        <row r="195">
          <cell r="A195" t="str">
            <v>5090798</v>
          </cell>
          <cell r="C195">
            <v>5095027</v>
          </cell>
        </row>
        <row r="196">
          <cell r="A196" t="str">
            <v>5090798</v>
          </cell>
          <cell r="C196">
            <v>5095028</v>
          </cell>
        </row>
        <row r="197">
          <cell r="A197" t="str">
            <v>5090799</v>
          </cell>
          <cell r="C197">
            <v>5090799</v>
          </cell>
        </row>
        <row r="198">
          <cell r="A198" t="str">
            <v>5090799</v>
          </cell>
          <cell r="C198">
            <v>5095042</v>
          </cell>
        </row>
        <row r="199">
          <cell r="A199" t="str">
            <v>5090799</v>
          </cell>
          <cell r="C199">
            <v>5095045</v>
          </cell>
        </row>
        <row r="200">
          <cell r="A200" t="str">
            <v>5090799</v>
          </cell>
          <cell r="C200">
            <v>5095039</v>
          </cell>
        </row>
        <row r="201">
          <cell r="A201" t="str">
            <v>5090800</v>
          </cell>
          <cell r="C201">
            <v>5090800</v>
          </cell>
        </row>
        <row r="202">
          <cell r="A202" t="str">
            <v>5090800</v>
          </cell>
          <cell r="C202">
            <v>5095043</v>
          </cell>
        </row>
        <row r="203">
          <cell r="A203" t="str">
            <v>5090800</v>
          </cell>
          <cell r="C203">
            <v>5095046</v>
          </cell>
        </row>
        <row r="204">
          <cell r="A204" t="str">
            <v>5090800</v>
          </cell>
          <cell r="C204">
            <v>5095040</v>
          </cell>
        </row>
        <row r="205">
          <cell r="A205" t="str">
            <v>5090801</v>
          </cell>
          <cell r="C205">
            <v>5090801</v>
          </cell>
        </row>
        <row r="206">
          <cell r="A206" t="str">
            <v>5090801</v>
          </cell>
          <cell r="C206">
            <v>5095044</v>
          </cell>
        </row>
        <row r="207">
          <cell r="A207" t="str">
            <v>5090801</v>
          </cell>
          <cell r="C207">
            <v>5095047</v>
          </cell>
        </row>
        <row r="208">
          <cell r="A208" t="str">
            <v>5090801</v>
          </cell>
          <cell r="C208">
            <v>5095041</v>
          </cell>
        </row>
        <row r="209">
          <cell r="A209" t="str">
            <v>5090802</v>
          </cell>
          <cell r="C209">
            <v>5090802</v>
          </cell>
        </row>
        <row r="210">
          <cell r="A210" t="str">
            <v>5090802</v>
          </cell>
          <cell r="C210">
            <v>5095048</v>
          </cell>
        </row>
        <row r="211">
          <cell r="A211" t="str">
            <v>5090803</v>
          </cell>
          <cell r="C211">
            <v>5090803</v>
          </cell>
        </row>
        <row r="212">
          <cell r="A212" t="str">
            <v>5090803</v>
          </cell>
          <cell r="C212">
            <v>5095061</v>
          </cell>
        </row>
        <row r="213">
          <cell r="A213" t="str">
            <v>5090803</v>
          </cell>
          <cell r="C213">
            <v>5095059</v>
          </cell>
        </row>
        <row r="214">
          <cell r="A214" t="str">
            <v>5090803</v>
          </cell>
          <cell r="C214">
            <v>5095060</v>
          </cell>
        </row>
        <row r="215">
          <cell r="A215" t="str">
            <v>5090804</v>
          </cell>
          <cell r="C215">
            <v>5090804</v>
          </cell>
        </row>
        <row r="216">
          <cell r="A216" t="str">
            <v>5090804</v>
          </cell>
          <cell r="C216">
            <v>5095057</v>
          </cell>
        </row>
        <row r="217">
          <cell r="A217" t="str">
            <v>5090804</v>
          </cell>
          <cell r="C217">
            <v>5095052</v>
          </cell>
        </row>
        <row r="218">
          <cell r="A218" t="str">
            <v>5090804</v>
          </cell>
          <cell r="C218">
            <v>5095055</v>
          </cell>
        </row>
        <row r="219">
          <cell r="A219" t="str">
            <v>5090804</v>
          </cell>
          <cell r="C219">
            <v>5623398</v>
          </cell>
        </row>
        <row r="220">
          <cell r="A220" t="str">
            <v>5090804</v>
          </cell>
          <cell r="C220">
            <v>5623400</v>
          </cell>
        </row>
        <row r="221">
          <cell r="A221" t="str">
            <v>5090804</v>
          </cell>
          <cell r="C221">
            <v>5623395</v>
          </cell>
        </row>
        <row r="222">
          <cell r="A222" t="str">
            <v>5090805</v>
          </cell>
          <cell r="C222">
            <v>5095053</v>
          </cell>
        </row>
        <row r="223">
          <cell r="A223" t="str">
            <v>5090805</v>
          </cell>
          <cell r="C223">
            <v>5090805</v>
          </cell>
        </row>
        <row r="224">
          <cell r="A224" t="str">
            <v>5090805</v>
          </cell>
          <cell r="C224">
            <v>5095058</v>
          </cell>
        </row>
        <row r="225">
          <cell r="A225" t="str">
            <v>5090805</v>
          </cell>
          <cell r="C225">
            <v>5095056</v>
          </cell>
        </row>
        <row r="226">
          <cell r="A226" t="str">
            <v>5090805</v>
          </cell>
          <cell r="C226">
            <v>5623399</v>
          </cell>
        </row>
        <row r="227">
          <cell r="A227" t="str">
            <v>5090805</v>
          </cell>
          <cell r="C227">
            <v>5623401</v>
          </cell>
        </row>
        <row r="228">
          <cell r="A228" t="str">
            <v>5090805</v>
          </cell>
          <cell r="C228">
            <v>5623396</v>
          </cell>
        </row>
        <row r="229">
          <cell r="A229" t="str">
            <v>5090806</v>
          </cell>
          <cell r="C229">
            <v>5090806</v>
          </cell>
        </row>
        <row r="230">
          <cell r="A230" t="str">
            <v>5090806</v>
          </cell>
          <cell r="C230">
            <v>5095054</v>
          </cell>
        </row>
        <row r="231">
          <cell r="A231" t="str">
            <v>5090806</v>
          </cell>
          <cell r="C231">
            <v>5623397</v>
          </cell>
        </row>
        <row r="232">
          <cell r="A232" t="str">
            <v>5090807</v>
          </cell>
          <cell r="C232">
            <v>5095036</v>
          </cell>
        </row>
        <row r="233">
          <cell r="A233" t="str">
            <v>5090807</v>
          </cell>
          <cell r="C233">
            <v>5090807</v>
          </cell>
        </row>
        <row r="234">
          <cell r="A234" t="str">
            <v>5090807</v>
          </cell>
          <cell r="C234">
            <v>5095030</v>
          </cell>
        </row>
        <row r="235">
          <cell r="A235" t="str">
            <v>5090807</v>
          </cell>
          <cell r="C235">
            <v>5095033</v>
          </cell>
        </row>
        <row r="236">
          <cell r="A236" t="str">
            <v>5090808</v>
          </cell>
          <cell r="C236">
            <v>5090808</v>
          </cell>
        </row>
        <row r="237">
          <cell r="A237" t="str">
            <v>5090808</v>
          </cell>
          <cell r="C237">
            <v>5095037</v>
          </cell>
        </row>
        <row r="238">
          <cell r="A238" t="str">
            <v>5090808</v>
          </cell>
          <cell r="C238">
            <v>5095031</v>
          </cell>
        </row>
        <row r="239">
          <cell r="A239" t="str">
            <v>5090808</v>
          </cell>
          <cell r="C239">
            <v>5095034</v>
          </cell>
        </row>
        <row r="240">
          <cell r="A240" t="str">
            <v>5090809</v>
          </cell>
          <cell r="C240">
            <v>5090809</v>
          </cell>
        </row>
        <row r="241">
          <cell r="A241" t="str">
            <v>5090809</v>
          </cell>
          <cell r="C241">
            <v>5095038</v>
          </cell>
        </row>
        <row r="242">
          <cell r="A242" t="str">
            <v>5090809</v>
          </cell>
          <cell r="C242">
            <v>5095032</v>
          </cell>
        </row>
        <row r="243">
          <cell r="A243" t="str">
            <v>5090809</v>
          </cell>
          <cell r="C243">
            <v>5095035</v>
          </cell>
        </row>
        <row r="244">
          <cell r="A244" t="str">
            <v>5090810</v>
          </cell>
          <cell r="C244">
            <v>5090810</v>
          </cell>
        </row>
        <row r="245">
          <cell r="A245" t="str">
            <v>5090810</v>
          </cell>
          <cell r="C245">
            <v>5095049</v>
          </cell>
        </row>
        <row r="246">
          <cell r="A246" t="str">
            <v>5090810</v>
          </cell>
          <cell r="C246">
            <v>5095050</v>
          </cell>
        </row>
        <row r="247">
          <cell r="A247" t="str">
            <v>5090810</v>
          </cell>
          <cell r="C247">
            <v>5095051</v>
          </cell>
        </row>
        <row r="248">
          <cell r="A248" t="str">
            <v>5090811</v>
          </cell>
          <cell r="C248">
            <v>5090811</v>
          </cell>
        </row>
        <row r="249">
          <cell r="A249" t="str">
            <v>5090811</v>
          </cell>
          <cell r="C249">
            <v>5095062</v>
          </cell>
        </row>
        <row r="250">
          <cell r="A250" t="str">
            <v>5090812</v>
          </cell>
          <cell r="C250">
            <v>5090812</v>
          </cell>
        </row>
        <row r="251">
          <cell r="A251" t="str">
            <v>5090812</v>
          </cell>
          <cell r="C251">
            <v>5095069</v>
          </cell>
        </row>
        <row r="252">
          <cell r="A252" t="str">
            <v>5090812</v>
          </cell>
          <cell r="C252">
            <v>5095063</v>
          </cell>
        </row>
        <row r="253">
          <cell r="A253" t="str">
            <v>5090812</v>
          </cell>
          <cell r="C253">
            <v>5095066</v>
          </cell>
        </row>
        <row r="254">
          <cell r="A254" t="str">
            <v>5090813</v>
          </cell>
          <cell r="C254">
            <v>5090813</v>
          </cell>
        </row>
        <row r="255">
          <cell r="A255" t="str">
            <v>5090813</v>
          </cell>
          <cell r="C255">
            <v>5095070</v>
          </cell>
        </row>
        <row r="256">
          <cell r="A256" t="str">
            <v>5090813</v>
          </cell>
          <cell r="C256">
            <v>5095064</v>
          </cell>
        </row>
        <row r="257">
          <cell r="A257" t="str">
            <v>5090813</v>
          </cell>
          <cell r="C257">
            <v>5095067</v>
          </cell>
        </row>
        <row r="258">
          <cell r="A258" t="str">
            <v>5090814</v>
          </cell>
          <cell r="C258">
            <v>5090814</v>
          </cell>
        </row>
        <row r="259">
          <cell r="A259" t="str">
            <v>5090814</v>
          </cell>
          <cell r="C259">
            <v>5095122</v>
          </cell>
        </row>
        <row r="260">
          <cell r="A260" t="str">
            <v>5090814</v>
          </cell>
          <cell r="C260">
            <v>5095120</v>
          </cell>
        </row>
        <row r="261">
          <cell r="A261" t="str">
            <v>5090815</v>
          </cell>
          <cell r="C261">
            <v>5090815</v>
          </cell>
        </row>
        <row r="262">
          <cell r="A262" t="str">
            <v>5090815</v>
          </cell>
          <cell r="C262">
            <v>5095123</v>
          </cell>
        </row>
        <row r="263">
          <cell r="A263" t="str">
            <v>5090815</v>
          </cell>
          <cell r="C263">
            <v>5095121</v>
          </cell>
        </row>
        <row r="264">
          <cell r="A264" t="str">
            <v>5090816</v>
          </cell>
          <cell r="C264">
            <v>5090816</v>
          </cell>
        </row>
        <row r="265">
          <cell r="A265" t="str">
            <v>5090817</v>
          </cell>
          <cell r="C265">
            <v>5095142</v>
          </cell>
        </row>
        <row r="266">
          <cell r="A266" t="str">
            <v>5090817</v>
          </cell>
          <cell r="C266">
            <v>5095140</v>
          </cell>
        </row>
        <row r="267">
          <cell r="A267" t="str">
            <v>5090817</v>
          </cell>
          <cell r="C267">
            <v>5090817</v>
          </cell>
        </row>
        <row r="268">
          <cell r="A268" t="str">
            <v>5090818</v>
          </cell>
          <cell r="C268">
            <v>5090818</v>
          </cell>
        </row>
        <row r="269">
          <cell r="A269" t="str">
            <v>5090818</v>
          </cell>
          <cell r="C269">
            <v>5095143</v>
          </cell>
        </row>
        <row r="270">
          <cell r="A270" t="str">
            <v>5090818</v>
          </cell>
          <cell r="C270">
            <v>5095141</v>
          </cell>
        </row>
        <row r="271">
          <cell r="A271" t="str">
            <v>5090819</v>
          </cell>
          <cell r="C271">
            <v>5090819</v>
          </cell>
        </row>
        <row r="272">
          <cell r="A272" t="str">
            <v>5090819</v>
          </cell>
          <cell r="C272">
            <v>5095145</v>
          </cell>
        </row>
        <row r="273">
          <cell r="A273" t="str">
            <v>5090819</v>
          </cell>
          <cell r="C273">
            <v>5095144</v>
          </cell>
        </row>
        <row r="274">
          <cell r="A274" t="str">
            <v>5091663</v>
          </cell>
          <cell r="C274">
            <v>5293175</v>
          </cell>
        </row>
        <row r="275">
          <cell r="A275" t="str">
            <v>5096810</v>
          </cell>
          <cell r="C275">
            <v>5184976</v>
          </cell>
        </row>
        <row r="276">
          <cell r="A276" t="str">
            <v>5096810</v>
          </cell>
          <cell r="C276">
            <v>5096810</v>
          </cell>
        </row>
        <row r="277">
          <cell r="A277" t="str">
            <v>5096810</v>
          </cell>
          <cell r="C277">
            <v>5184989</v>
          </cell>
        </row>
        <row r="278">
          <cell r="A278" t="str">
            <v>5096810</v>
          </cell>
          <cell r="C278">
            <v>5185092</v>
          </cell>
        </row>
        <row r="279">
          <cell r="A279" t="str">
            <v>5097225</v>
          </cell>
          <cell r="C279">
            <v>5090744</v>
          </cell>
        </row>
        <row r="280">
          <cell r="A280" t="str">
            <v>5097225</v>
          </cell>
          <cell r="C280">
            <v>5097225</v>
          </cell>
        </row>
        <row r="281">
          <cell r="A281" t="str">
            <v>5097225</v>
          </cell>
          <cell r="C281">
            <v>5185121</v>
          </cell>
        </row>
        <row r="282">
          <cell r="A282" t="str">
            <v>5097225</v>
          </cell>
          <cell r="C282">
            <v>5185124</v>
          </cell>
        </row>
        <row r="283">
          <cell r="A283" t="str">
            <v>5097225</v>
          </cell>
          <cell r="C283">
            <v>5185126</v>
          </cell>
        </row>
        <row r="284">
          <cell r="A284" t="str">
            <v>5097225</v>
          </cell>
          <cell r="C284">
            <v>5185141</v>
          </cell>
        </row>
        <row r="285">
          <cell r="A285" t="str">
            <v>5097226</v>
          </cell>
          <cell r="C285">
            <v>5090745</v>
          </cell>
        </row>
        <row r="286">
          <cell r="A286" t="str">
            <v>5097226</v>
          </cell>
          <cell r="C286">
            <v>5097226</v>
          </cell>
        </row>
        <row r="287">
          <cell r="A287" t="str">
            <v>5097226</v>
          </cell>
          <cell r="C287">
            <v>5185122</v>
          </cell>
        </row>
        <row r="288">
          <cell r="A288" t="str">
            <v>5097226</v>
          </cell>
          <cell r="C288">
            <v>5185125</v>
          </cell>
        </row>
        <row r="289">
          <cell r="A289" t="str">
            <v>5097226</v>
          </cell>
          <cell r="C289">
            <v>5185127</v>
          </cell>
        </row>
        <row r="290">
          <cell r="A290" t="str">
            <v>5097226</v>
          </cell>
          <cell r="C290">
            <v>5185142</v>
          </cell>
        </row>
        <row r="291">
          <cell r="A291" t="str">
            <v>5110651</v>
          </cell>
          <cell r="C291">
            <v>5110651</v>
          </cell>
        </row>
        <row r="292">
          <cell r="A292" t="str">
            <v>5110651</v>
          </cell>
          <cell r="C292">
            <v>5185175</v>
          </cell>
        </row>
        <row r="293">
          <cell r="A293" t="str">
            <v>5110651</v>
          </cell>
          <cell r="C293">
            <v>5185176</v>
          </cell>
        </row>
        <row r="294">
          <cell r="A294" t="str">
            <v>5110652</v>
          </cell>
          <cell r="C294">
            <v>5185173</v>
          </cell>
        </row>
        <row r="295">
          <cell r="A295" t="str">
            <v>5110652</v>
          </cell>
          <cell r="C295">
            <v>5110652</v>
          </cell>
        </row>
        <row r="296">
          <cell r="A296" t="str">
            <v>5110652</v>
          </cell>
          <cell r="C296">
            <v>5185177</v>
          </cell>
        </row>
        <row r="297">
          <cell r="A297" t="str">
            <v>5110653</v>
          </cell>
          <cell r="C297">
            <v>5110653</v>
          </cell>
        </row>
        <row r="298">
          <cell r="A298" t="str">
            <v>5110653</v>
          </cell>
          <cell r="C298">
            <v>5185174</v>
          </cell>
        </row>
        <row r="299">
          <cell r="A299" t="str">
            <v>5110653</v>
          </cell>
          <cell r="C299">
            <v>5185178</v>
          </cell>
        </row>
        <row r="300">
          <cell r="A300" t="str">
            <v>5110678</v>
          </cell>
          <cell r="C300">
            <v>5090712</v>
          </cell>
        </row>
        <row r="301">
          <cell r="A301" t="str">
            <v>5110678</v>
          </cell>
          <cell r="C301">
            <v>5110678</v>
          </cell>
        </row>
        <row r="302">
          <cell r="A302" t="str">
            <v>5110678</v>
          </cell>
          <cell r="C302">
            <v>5185163</v>
          </cell>
        </row>
        <row r="303">
          <cell r="A303" t="str">
            <v>5110678</v>
          </cell>
          <cell r="C303">
            <v>5185170</v>
          </cell>
        </row>
        <row r="304">
          <cell r="A304" t="str">
            <v>5110679</v>
          </cell>
          <cell r="C304">
            <v>5090713</v>
          </cell>
        </row>
        <row r="305">
          <cell r="A305" t="str">
            <v>5110679</v>
          </cell>
          <cell r="C305">
            <v>5094775</v>
          </cell>
        </row>
        <row r="306">
          <cell r="A306" t="str">
            <v>5110679</v>
          </cell>
          <cell r="C306">
            <v>5110679</v>
          </cell>
        </row>
        <row r="307">
          <cell r="A307" t="str">
            <v>5110679</v>
          </cell>
          <cell r="C307">
            <v>5185164</v>
          </cell>
        </row>
        <row r="308">
          <cell r="A308" t="str">
            <v>5110679</v>
          </cell>
          <cell r="C308">
            <v>5185171</v>
          </cell>
        </row>
        <row r="309">
          <cell r="A309" t="str">
            <v>5110680</v>
          </cell>
          <cell r="C309">
            <v>5094776</v>
          </cell>
        </row>
        <row r="310">
          <cell r="A310" t="str">
            <v>5110680</v>
          </cell>
          <cell r="C310">
            <v>5094779</v>
          </cell>
        </row>
        <row r="311">
          <cell r="A311" t="str">
            <v>5110680</v>
          </cell>
          <cell r="C311">
            <v>5110680</v>
          </cell>
        </row>
        <row r="312">
          <cell r="A312" t="str">
            <v>5110680</v>
          </cell>
          <cell r="C312">
            <v>5185167</v>
          </cell>
        </row>
        <row r="313">
          <cell r="A313" t="str">
            <v>5110680</v>
          </cell>
          <cell r="C313">
            <v>5185172</v>
          </cell>
        </row>
        <row r="314">
          <cell r="A314" t="str">
            <v>5116033</v>
          </cell>
          <cell r="C314">
            <v>5116033</v>
          </cell>
        </row>
        <row r="315">
          <cell r="A315" t="str">
            <v>5116033</v>
          </cell>
          <cell r="C315">
            <v>5207745</v>
          </cell>
        </row>
        <row r="316">
          <cell r="A316" t="str">
            <v>5152588</v>
          </cell>
          <cell r="C316">
            <v>5152592</v>
          </cell>
        </row>
        <row r="317">
          <cell r="A317" t="str">
            <v>5152588</v>
          </cell>
          <cell r="C317">
            <v>5152588</v>
          </cell>
        </row>
        <row r="318">
          <cell r="A318" t="str">
            <v>5217513</v>
          </cell>
          <cell r="C318">
            <v>5090730</v>
          </cell>
        </row>
        <row r="319">
          <cell r="A319" t="str">
            <v>5217513</v>
          </cell>
          <cell r="C319">
            <v>5185155</v>
          </cell>
        </row>
        <row r="320">
          <cell r="A320" t="str">
            <v>5217513</v>
          </cell>
          <cell r="C320">
            <v>5185159</v>
          </cell>
        </row>
        <row r="321">
          <cell r="A321" t="str">
            <v>5217513</v>
          </cell>
          <cell r="C321">
            <v>5217513</v>
          </cell>
        </row>
        <row r="322">
          <cell r="A322" t="str">
            <v>5217513</v>
          </cell>
          <cell r="C322">
            <v>5185152</v>
          </cell>
        </row>
        <row r="323">
          <cell r="A323" t="str">
            <v>5217517</v>
          </cell>
          <cell r="C323">
            <v>5090731</v>
          </cell>
        </row>
        <row r="324">
          <cell r="A324" t="str">
            <v>5217517</v>
          </cell>
          <cell r="C324">
            <v>5185153</v>
          </cell>
        </row>
        <row r="325">
          <cell r="A325" t="str">
            <v>5217517</v>
          </cell>
          <cell r="C325">
            <v>5185156</v>
          </cell>
        </row>
        <row r="326">
          <cell r="A326" t="str">
            <v>5217517</v>
          </cell>
          <cell r="C326">
            <v>5185160</v>
          </cell>
        </row>
        <row r="327">
          <cell r="A327" t="str">
            <v>5217517</v>
          </cell>
          <cell r="C327">
            <v>5217517</v>
          </cell>
        </row>
        <row r="328">
          <cell r="A328" t="str">
            <v>5219306</v>
          </cell>
          <cell r="C328">
            <v>5219306</v>
          </cell>
        </row>
        <row r="329">
          <cell r="A329" t="str">
            <v>5219306</v>
          </cell>
          <cell r="C329">
            <v>5218776</v>
          </cell>
        </row>
        <row r="330">
          <cell r="A330" t="str">
            <v>5219306</v>
          </cell>
          <cell r="C330">
            <v>5218777</v>
          </cell>
        </row>
        <row r="331">
          <cell r="A331" t="str">
            <v>5219307</v>
          </cell>
          <cell r="C331">
            <v>5219307</v>
          </cell>
        </row>
        <row r="332">
          <cell r="A332" t="str">
            <v>5219307</v>
          </cell>
          <cell r="C332">
            <v>5218780</v>
          </cell>
        </row>
        <row r="333">
          <cell r="A333" t="str">
            <v>5219307</v>
          </cell>
          <cell r="C333">
            <v>5218778</v>
          </cell>
        </row>
        <row r="334">
          <cell r="A334" t="str">
            <v>5219307</v>
          </cell>
          <cell r="C334">
            <v>5218779</v>
          </cell>
        </row>
        <row r="335">
          <cell r="A335" t="str">
            <v>5219308</v>
          </cell>
          <cell r="C335">
            <v>5219308</v>
          </cell>
        </row>
        <row r="336">
          <cell r="A336" t="str">
            <v>5219308</v>
          </cell>
          <cell r="C336">
            <v>5218763</v>
          </cell>
        </row>
        <row r="337">
          <cell r="A337" t="str">
            <v>5219308</v>
          </cell>
          <cell r="C337">
            <v>5218770</v>
          </cell>
        </row>
        <row r="338">
          <cell r="A338" t="str">
            <v>5219308</v>
          </cell>
          <cell r="C338">
            <v>5218709</v>
          </cell>
        </row>
        <row r="339">
          <cell r="A339" t="str">
            <v>5219309</v>
          </cell>
          <cell r="C339">
            <v>5219309</v>
          </cell>
        </row>
        <row r="340">
          <cell r="A340" t="str">
            <v>5219309</v>
          </cell>
          <cell r="C340">
            <v>5218882</v>
          </cell>
        </row>
        <row r="341">
          <cell r="A341" t="str">
            <v>5219309</v>
          </cell>
          <cell r="C341">
            <v>5218988</v>
          </cell>
        </row>
        <row r="342">
          <cell r="A342" t="str">
            <v>5219310</v>
          </cell>
          <cell r="C342">
            <v>5219310</v>
          </cell>
        </row>
        <row r="343">
          <cell r="A343" t="str">
            <v>5219310</v>
          </cell>
          <cell r="C343">
            <v>5218989</v>
          </cell>
        </row>
        <row r="344">
          <cell r="A344" t="str">
            <v>5219310</v>
          </cell>
          <cell r="C344">
            <v>5219149</v>
          </cell>
        </row>
        <row r="345">
          <cell r="A345" t="str">
            <v>5219311</v>
          </cell>
          <cell r="C345">
            <v>5219311</v>
          </cell>
        </row>
        <row r="346">
          <cell r="A346" t="str">
            <v>5219311</v>
          </cell>
          <cell r="C346">
            <v>5218760</v>
          </cell>
        </row>
        <row r="347">
          <cell r="A347" t="str">
            <v>5219312</v>
          </cell>
          <cell r="C347">
            <v>5219312</v>
          </cell>
        </row>
        <row r="348">
          <cell r="A348" t="str">
            <v>5219312</v>
          </cell>
          <cell r="C348">
            <v>5218761</v>
          </cell>
        </row>
        <row r="349">
          <cell r="A349" t="str">
            <v>5219314</v>
          </cell>
          <cell r="C349">
            <v>5219314</v>
          </cell>
        </row>
        <row r="350">
          <cell r="A350" t="str">
            <v>5219314</v>
          </cell>
          <cell r="C350">
            <v>5218771</v>
          </cell>
        </row>
        <row r="351">
          <cell r="A351" t="str">
            <v>5219315</v>
          </cell>
          <cell r="C351">
            <v>5219315</v>
          </cell>
        </row>
        <row r="352">
          <cell r="A352" t="str">
            <v>5219315</v>
          </cell>
          <cell r="C352">
            <v>5219303</v>
          </cell>
        </row>
        <row r="353">
          <cell r="A353" t="str">
            <v>5219315</v>
          </cell>
          <cell r="C353">
            <v>5218772</v>
          </cell>
        </row>
        <row r="354">
          <cell r="A354" t="str">
            <v>5219315</v>
          </cell>
          <cell r="C354">
            <v>5219304</v>
          </cell>
        </row>
        <row r="355">
          <cell r="A355" t="str">
            <v>5219316</v>
          </cell>
          <cell r="C355">
            <v>5219316</v>
          </cell>
        </row>
        <row r="356">
          <cell r="A356" t="str">
            <v>5219316</v>
          </cell>
          <cell r="C356">
            <v>5218773</v>
          </cell>
        </row>
        <row r="357">
          <cell r="A357" t="str">
            <v>5219316</v>
          </cell>
          <cell r="C357">
            <v>5218774</v>
          </cell>
        </row>
        <row r="358">
          <cell r="A358" t="str">
            <v>5219316</v>
          </cell>
          <cell r="C358">
            <v>5218775</v>
          </cell>
        </row>
        <row r="359">
          <cell r="A359" t="str">
            <v>5219317</v>
          </cell>
          <cell r="C359">
            <v>5219317</v>
          </cell>
        </row>
        <row r="360">
          <cell r="A360" t="str">
            <v>5219317</v>
          </cell>
          <cell r="C360">
            <v>5218781</v>
          </cell>
        </row>
        <row r="361">
          <cell r="A361" t="str">
            <v>5219317</v>
          </cell>
          <cell r="C361">
            <v>5218782</v>
          </cell>
        </row>
        <row r="362">
          <cell r="A362" t="str">
            <v>5219318</v>
          </cell>
          <cell r="C362">
            <v>5219318</v>
          </cell>
        </row>
        <row r="363">
          <cell r="A363" t="str">
            <v>5219318</v>
          </cell>
          <cell r="C363">
            <v>5218783</v>
          </cell>
        </row>
        <row r="364">
          <cell r="A364" t="str">
            <v>5219318</v>
          </cell>
          <cell r="C364">
            <v>5218786</v>
          </cell>
        </row>
        <row r="365">
          <cell r="A365" t="str">
            <v>5219318</v>
          </cell>
          <cell r="C365">
            <v>5218789</v>
          </cell>
        </row>
        <row r="366">
          <cell r="A366" t="str">
            <v>5219319</v>
          </cell>
          <cell r="C366">
            <v>5219319</v>
          </cell>
        </row>
        <row r="367">
          <cell r="A367" t="str">
            <v>5219319</v>
          </cell>
          <cell r="C367">
            <v>5218784</v>
          </cell>
        </row>
        <row r="368">
          <cell r="A368" t="str">
            <v>5219319</v>
          </cell>
          <cell r="C368">
            <v>5218787</v>
          </cell>
        </row>
        <row r="369">
          <cell r="A369" t="str">
            <v>5219319</v>
          </cell>
          <cell r="C369">
            <v>5218790</v>
          </cell>
        </row>
        <row r="370">
          <cell r="A370" t="str">
            <v>5219320</v>
          </cell>
          <cell r="C370">
            <v>5219320</v>
          </cell>
        </row>
        <row r="371">
          <cell r="A371" t="str">
            <v>5219320</v>
          </cell>
          <cell r="C371">
            <v>5218785</v>
          </cell>
        </row>
        <row r="372">
          <cell r="A372" t="str">
            <v>5219320</v>
          </cell>
          <cell r="C372">
            <v>5218788</v>
          </cell>
        </row>
        <row r="373">
          <cell r="A373" t="str">
            <v>5219320</v>
          </cell>
          <cell r="C373">
            <v>5218880</v>
          </cell>
        </row>
        <row r="374">
          <cell r="A374" t="str">
            <v>5219321</v>
          </cell>
          <cell r="C374">
            <v>5219321</v>
          </cell>
        </row>
        <row r="375">
          <cell r="A375" t="str">
            <v>5219321</v>
          </cell>
          <cell r="C375">
            <v>5219176</v>
          </cell>
        </row>
        <row r="376">
          <cell r="A376" t="str">
            <v>5219321</v>
          </cell>
          <cell r="C376">
            <v>5219177</v>
          </cell>
        </row>
        <row r="377">
          <cell r="A377" t="str">
            <v>5219321</v>
          </cell>
          <cell r="C377">
            <v>5219181</v>
          </cell>
        </row>
        <row r="378">
          <cell r="A378" t="str">
            <v>5219322</v>
          </cell>
          <cell r="C378">
            <v>5219322</v>
          </cell>
        </row>
        <row r="379">
          <cell r="A379" t="str">
            <v>5219322</v>
          </cell>
          <cell r="C379">
            <v>5219183</v>
          </cell>
        </row>
        <row r="380">
          <cell r="A380" t="str">
            <v>5219322</v>
          </cell>
          <cell r="C380">
            <v>5219188</v>
          </cell>
        </row>
        <row r="381">
          <cell r="A381" t="str">
            <v>5219323</v>
          </cell>
          <cell r="C381">
            <v>5219323</v>
          </cell>
        </row>
        <row r="382">
          <cell r="A382" t="str">
            <v>5219323</v>
          </cell>
          <cell r="C382">
            <v>5219186</v>
          </cell>
        </row>
        <row r="383">
          <cell r="A383" t="str">
            <v>5219323</v>
          </cell>
          <cell r="C383">
            <v>5219191</v>
          </cell>
        </row>
        <row r="384">
          <cell r="A384" t="str">
            <v>5219324</v>
          </cell>
          <cell r="C384">
            <v>5219324</v>
          </cell>
        </row>
        <row r="385">
          <cell r="A385" t="str">
            <v>5219324</v>
          </cell>
          <cell r="C385">
            <v>5219193</v>
          </cell>
        </row>
        <row r="386">
          <cell r="A386" t="str">
            <v>5219324</v>
          </cell>
          <cell r="C386">
            <v>5219196</v>
          </cell>
        </row>
        <row r="387">
          <cell r="A387" t="str">
            <v>5219324</v>
          </cell>
          <cell r="C387">
            <v>5219209</v>
          </cell>
        </row>
        <row r="388">
          <cell r="A388" t="str">
            <v>5219325</v>
          </cell>
          <cell r="C388">
            <v>5219325</v>
          </cell>
        </row>
        <row r="389">
          <cell r="A389" t="str">
            <v>5219325</v>
          </cell>
          <cell r="C389">
            <v>5219194</v>
          </cell>
        </row>
        <row r="390">
          <cell r="A390" t="str">
            <v>5219325</v>
          </cell>
          <cell r="C390">
            <v>5219199</v>
          </cell>
        </row>
        <row r="391">
          <cell r="A391" t="str">
            <v>5219325</v>
          </cell>
          <cell r="C391">
            <v>5219210</v>
          </cell>
        </row>
        <row r="392">
          <cell r="A392" t="str">
            <v>5219326</v>
          </cell>
          <cell r="C392">
            <v>5219326</v>
          </cell>
        </row>
        <row r="393">
          <cell r="A393" t="str">
            <v>5219326</v>
          </cell>
          <cell r="C393">
            <v>5219166</v>
          </cell>
        </row>
        <row r="394">
          <cell r="A394" t="str">
            <v>5219327</v>
          </cell>
          <cell r="C394">
            <v>5219327</v>
          </cell>
        </row>
        <row r="395">
          <cell r="A395" t="str">
            <v>5219327</v>
          </cell>
          <cell r="C395">
            <v>5221384</v>
          </cell>
        </row>
        <row r="396">
          <cell r="A396" t="str">
            <v>5219327</v>
          </cell>
          <cell r="C396">
            <v>5219167</v>
          </cell>
        </row>
        <row r="397">
          <cell r="A397" t="str">
            <v>5219327</v>
          </cell>
          <cell r="C397">
            <v>5219168</v>
          </cell>
        </row>
        <row r="398">
          <cell r="A398" t="str">
            <v>5219328</v>
          </cell>
          <cell r="C398">
            <v>5219328</v>
          </cell>
        </row>
        <row r="399">
          <cell r="A399" t="str">
            <v>5219328</v>
          </cell>
          <cell r="C399">
            <v>5219300</v>
          </cell>
        </row>
        <row r="400">
          <cell r="A400" t="str">
            <v>5219329</v>
          </cell>
          <cell r="C400">
            <v>5219329</v>
          </cell>
        </row>
        <row r="401">
          <cell r="A401" t="str">
            <v>5219329</v>
          </cell>
          <cell r="C401">
            <v>5219169</v>
          </cell>
        </row>
        <row r="402">
          <cell r="A402" t="str">
            <v>5219329</v>
          </cell>
          <cell r="C402">
            <v>5219301</v>
          </cell>
        </row>
        <row r="403">
          <cell r="A403" t="str">
            <v>5219329</v>
          </cell>
          <cell r="C403">
            <v>5219302</v>
          </cell>
        </row>
        <row r="404">
          <cell r="A404" t="str">
            <v>5220395</v>
          </cell>
          <cell r="C404">
            <v>5220294</v>
          </cell>
        </row>
        <row r="405">
          <cell r="A405" t="str">
            <v>5220395</v>
          </cell>
          <cell r="C405">
            <v>5220257</v>
          </cell>
        </row>
        <row r="406">
          <cell r="A406" t="str">
            <v>5220395</v>
          </cell>
          <cell r="C406">
            <v>5220290</v>
          </cell>
        </row>
        <row r="407">
          <cell r="A407" t="str">
            <v>5220395</v>
          </cell>
          <cell r="C407">
            <v>5220395</v>
          </cell>
        </row>
        <row r="408">
          <cell r="A408" t="str">
            <v>5220396</v>
          </cell>
          <cell r="C408">
            <v>5220396</v>
          </cell>
        </row>
        <row r="409">
          <cell r="A409" t="str">
            <v>5220396</v>
          </cell>
          <cell r="C409">
            <v>5220296</v>
          </cell>
        </row>
        <row r="410">
          <cell r="A410" t="str">
            <v>5220396</v>
          </cell>
          <cell r="C410">
            <v>5220258</v>
          </cell>
        </row>
        <row r="411">
          <cell r="A411" t="str">
            <v>5220396</v>
          </cell>
          <cell r="C411">
            <v>5220291</v>
          </cell>
        </row>
        <row r="412">
          <cell r="A412" t="str">
            <v>5220397</v>
          </cell>
          <cell r="C412">
            <v>5220397</v>
          </cell>
        </row>
        <row r="413">
          <cell r="A413" t="str">
            <v>5220397</v>
          </cell>
          <cell r="C413">
            <v>5220297</v>
          </cell>
        </row>
        <row r="414">
          <cell r="A414" t="str">
            <v>5220397</v>
          </cell>
          <cell r="C414">
            <v>5220259</v>
          </cell>
        </row>
        <row r="415">
          <cell r="A415" t="str">
            <v>5220397</v>
          </cell>
          <cell r="C415">
            <v>5220293</v>
          </cell>
        </row>
        <row r="416">
          <cell r="A416" t="str">
            <v>5220398</v>
          </cell>
          <cell r="C416">
            <v>5220398</v>
          </cell>
        </row>
        <row r="417">
          <cell r="A417" t="str">
            <v>5220398</v>
          </cell>
          <cell r="C417">
            <v>5220329</v>
          </cell>
        </row>
        <row r="418">
          <cell r="A418" t="str">
            <v>5220398</v>
          </cell>
          <cell r="C418">
            <v>5220323</v>
          </cell>
        </row>
        <row r="419">
          <cell r="A419" t="str">
            <v>5220398</v>
          </cell>
          <cell r="C419">
            <v>5220326</v>
          </cell>
        </row>
        <row r="420">
          <cell r="A420" t="str">
            <v>5220399</v>
          </cell>
          <cell r="C420">
            <v>5220399</v>
          </cell>
        </row>
        <row r="421">
          <cell r="A421" t="str">
            <v>5220399</v>
          </cell>
          <cell r="C421">
            <v>5220330</v>
          </cell>
        </row>
        <row r="422">
          <cell r="A422" t="str">
            <v>5220399</v>
          </cell>
          <cell r="C422">
            <v>5220324</v>
          </cell>
        </row>
        <row r="423">
          <cell r="A423" t="str">
            <v>5220399</v>
          </cell>
          <cell r="C423">
            <v>5220327</v>
          </cell>
        </row>
        <row r="424">
          <cell r="A424" t="str">
            <v>5220433</v>
          </cell>
          <cell r="C424">
            <v>5220433</v>
          </cell>
        </row>
        <row r="425">
          <cell r="A425" t="str">
            <v>5220433</v>
          </cell>
          <cell r="C425">
            <v>5220331</v>
          </cell>
        </row>
        <row r="426">
          <cell r="A426" t="str">
            <v>5220433</v>
          </cell>
          <cell r="C426">
            <v>5220325</v>
          </cell>
        </row>
        <row r="427">
          <cell r="A427" t="str">
            <v>5220433</v>
          </cell>
          <cell r="C427">
            <v>5220328</v>
          </cell>
        </row>
        <row r="428">
          <cell r="A428" t="str">
            <v>5224812</v>
          </cell>
          <cell r="C428">
            <v>5224812</v>
          </cell>
        </row>
        <row r="429">
          <cell r="A429" t="str">
            <v>5224812</v>
          </cell>
          <cell r="C429">
            <v>5224811</v>
          </cell>
        </row>
        <row r="430">
          <cell r="A430" t="str">
            <v>5236726</v>
          </cell>
          <cell r="C430">
            <v>5236726</v>
          </cell>
        </row>
        <row r="431">
          <cell r="A431" t="str">
            <v>5236726</v>
          </cell>
          <cell r="C431">
            <v>5236724</v>
          </cell>
        </row>
        <row r="432">
          <cell r="A432" t="str">
            <v>5236727</v>
          </cell>
          <cell r="C432">
            <v>5236727</v>
          </cell>
        </row>
        <row r="433">
          <cell r="A433" t="str">
            <v>5236727</v>
          </cell>
          <cell r="C433">
            <v>5236725</v>
          </cell>
        </row>
        <row r="434">
          <cell r="A434" t="str">
            <v>5242767</v>
          </cell>
          <cell r="C434">
            <v>5242767</v>
          </cell>
        </row>
        <row r="435">
          <cell r="A435" t="str">
            <v>5242767</v>
          </cell>
          <cell r="C435">
            <v>5242769</v>
          </cell>
        </row>
        <row r="436">
          <cell r="A436" t="str">
            <v>5242767</v>
          </cell>
          <cell r="C436">
            <v>5242770</v>
          </cell>
        </row>
        <row r="437">
          <cell r="A437" t="str">
            <v>5242767</v>
          </cell>
          <cell r="C437">
            <v>5242768</v>
          </cell>
        </row>
        <row r="438">
          <cell r="A438" t="str">
            <v>5242783</v>
          </cell>
          <cell r="C438">
            <v>5242783</v>
          </cell>
        </row>
        <row r="439">
          <cell r="A439" t="str">
            <v>5242783</v>
          </cell>
          <cell r="C439">
            <v>5242785</v>
          </cell>
        </row>
        <row r="440">
          <cell r="A440" t="str">
            <v>5242783</v>
          </cell>
          <cell r="C440">
            <v>5245438</v>
          </cell>
        </row>
        <row r="441">
          <cell r="A441" t="str">
            <v>5242783</v>
          </cell>
          <cell r="C441">
            <v>5242784</v>
          </cell>
        </row>
        <row r="442">
          <cell r="A442" t="str">
            <v>5242791</v>
          </cell>
          <cell r="C442">
            <v>5242791</v>
          </cell>
        </row>
        <row r="443">
          <cell r="A443" t="str">
            <v>5242791</v>
          </cell>
          <cell r="C443">
            <v>5242793</v>
          </cell>
        </row>
        <row r="444">
          <cell r="A444" t="str">
            <v>5242791</v>
          </cell>
          <cell r="C444">
            <v>5242794</v>
          </cell>
        </row>
        <row r="445">
          <cell r="A445" t="str">
            <v>5242791</v>
          </cell>
          <cell r="C445">
            <v>5242792</v>
          </cell>
        </row>
        <row r="446">
          <cell r="A446" t="str">
            <v>5293175</v>
          </cell>
          <cell r="C446">
            <v>5091663</v>
          </cell>
        </row>
        <row r="447">
          <cell r="A447" t="str">
            <v>5313745</v>
          </cell>
          <cell r="C447">
            <v>5313745</v>
          </cell>
        </row>
        <row r="448">
          <cell r="A448" t="str">
            <v>5313745</v>
          </cell>
          <cell r="C448">
            <v>5282518</v>
          </cell>
        </row>
        <row r="449">
          <cell r="A449" t="str">
            <v>5313745</v>
          </cell>
          <cell r="C449">
            <v>5186591</v>
          </cell>
        </row>
        <row r="450">
          <cell r="A450" t="str">
            <v>5313746</v>
          </cell>
          <cell r="C450">
            <v>5313746</v>
          </cell>
        </row>
        <row r="451">
          <cell r="A451" t="str">
            <v>5313746</v>
          </cell>
          <cell r="C451">
            <v>5282517</v>
          </cell>
        </row>
        <row r="452">
          <cell r="A452" t="str">
            <v>5313746</v>
          </cell>
          <cell r="C452">
            <v>5225942</v>
          </cell>
        </row>
        <row r="453">
          <cell r="A453" t="str">
            <v>5326056</v>
          </cell>
          <cell r="C453">
            <v>5326056</v>
          </cell>
        </row>
        <row r="454">
          <cell r="A454" t="str">
            <v>5326056</v>
          </cell>
          <cell r="C454">
            <v>5355470</v>
          </cell>
        </row>
        <row r="455">
          <cell r="A455" t="str">
            <v>5326056</v>
          </cell>
          <cell r="C455">
            <v>5287993</v>
          </cell>
        </row>
        <row r="456">
          <cell r="A456" t="str">
            <v>5326056</v>
          </cell>
          <cell r="C456">
            <v>5288070</v>
          </cell>
        </row>
        <row r="457">
          <cell r="A457" t="str">
            <v>5326057</v>
          </cell>
          <cell r="C457">
            <v>5326057</v>
          </cell>
        </row>
        <row r="458">
          <cell r="A458" t="str">
            <v>5326057</v>
          </cell>
          <cell r="C458">
            <v>5355471</v>
          </cell>
        </row>
        <row r="459">
          <cell r="A459" t="str">
            <v>5326057</v>
          </cell>
          <cell r="C459">
            <v>5287998</v>
          </cell>
        </row>
        <row r="460">
          <cell r="A460" t="str">
            <v>5326057</v>
          </cell>
          <cell r="C460">
            <v>5288071</v>
          </cell>
        </row>
        <row r="461">
          <cell r="A461" t="str">
            <v>5326058</v>
          </cell>
          <cell r="C461">
            <v>5326058</v>
          </cell>
        </row>
        <row r="462">
          <cell r="A462" t="str">
            <v>5326058</v>
          </cell>
          <cell r="C462">
            <v>5355472</v>
          </cell>
        </row>
        <row r="463">
          <cell r="A463" t="str">
            <v>5326058</v>
          </cell>
          <cell r="C463">
            <v>5288069</v>
          </cell>
        </row>
        <row r="464">
          <cell r="A464" t="str">
            <v>5326058</v>
          </cell>
          <cell r="C464">
            <v>5288073</v>
          </cell>
        </row>
        <row r="465">
          <cell r="A465" t="str">
            <v>5480752</v>
          </cell>
          <cell r="C465">
            <v>5480752</v>
          </cell>
        </row>
        <row r="466">
          <cell r="A466" t="str">
            <v>5480752</v>
          </cell>
          <cell r="C466">
            <v>5480720</v>
          </cell>
        </row>
        <row r="467">
          <cell r="A467" t="str">
            <v>5480752</v>
          </cell>
          <cell r="C467">
            <v>5480539</v>
          </cell>
        </row>
        <row r="468">
          <cell r="A468" t="str">
            <v>5480752</v>
          </cell>
          <cell r="C468">
            <v>5480545</v>
          </cell>
        </row>
        <row r="469">
          <cell r="A469" t="str">
            <v>5480753</v>
          </cell>
          <cell r="C469">
            <v>5480753</v>
          </cell>
        </row>
        <row r="470">
          <cell r="A470" t="str">
            <v>5480753</v>
          </cell>
          <cell r="C470">
            <v>5480746</v>
          </cell>
        </row>
        <row r="471">
          <cell r="A471" t="str">
            <v>5480753</v>
          </cell>
          <cell r="C471">
            <v>5480543</v>
          </cell>
        </row>
        <row r="472">
          <cell r="A472" t="str">
            <v>5480753</v>
          </cell>
          <cell r="C472">
            <v>5480718</v>
          </cell>
        </row>
        <row r="473">
          <cell r="A473" t="str">
            <v>5480936</v>
          </cell>
          <cell r="C473">
            <v>5480936</v>
          </cell>
        </row>
        <row r="474">
          <cell r="A474" t="str">
            <v>5480936</v>
          </cell>
          <cell r="C474">
            <v>5480931</v>
          </cell>
        </row>
        <row r="475">
          <cell r="A475" t="str">
            <v>5480936</v>
          </cell>
          <cell r="C475">
            <v>5480770</v>
          </cell>
        </row>
        <row r="476">
          <cell r="A476" t="str">
            <v>5480936</v>
          </cell>
          <cell r="C476">
            <v>5480926</v>
          </cell>
        </row>
        <row r="477">
          <cell r="A477" t="str">
            <v>5480938</v>
          </cell>
          <cell r="C477">
            <v>5480938</v>
          </cell>
        </row>
        <row r="478">
          <cell r="A478" t="str">
            <v>5480938</v>
          </cell>
          <cell r="C478">
            <v>5480932</v>
          </cell>
        </row>
        <row r="479">
          <cell r="A479" t="str">
            <v>5480938</v>
          </cell>
          <cell r="C479">
            <v>5480907</v>
          </cell>
        </row>
        <row r="480">
          <cell r="A480" t="str">
            <v>5480938</v>
          </cell>
          <cell r="C480">
            <v>5480927</v>
          </cell>
        </row>
        <row r="481">
          <cell r="A481" t="str">
            <v>5480940</v>
          </cell>
          <cell r="C481">
            <v>5480940</v>
          </cell>
        </row>
        <row r="482">
          <cell r="A482" t="str">
            <v>5480940</v>
          </cell>
          <cell r="C482">
            <v>5480933</v>
          </cell>
        </row>
        <row r="483">
          <cell r="A483" t="str">
            <v>5480940</v>
          </cell>
          <cell r="C483">
            <v>5480925</v>
          </cell>
        </row>
        <row r="484">
          <cell r="A484" t="str">
            <v>5480940</v>
          </cell>
          <cell r="C484">
            <v>5480930</v>
          </cell>
        </row>
        <row r="485">
          <cell r="A485" t="str">
            <v>5572017</v>
          </cell>
          <cell r="C485">
            <v>5572017</v>
          </cell>
        </row>
        <row r="486">
          <cell r="A486" t="str">
            <v>5572017</v>
          </cell>
          <cell r="C486">
            <v>5572016</v>
          </cell>
        </row>
        <row r="487">
          <cell r="A487" t="str">
            <v>5572017</v>
          </cell>
          <cell r="C487">
            <v>5572013</v>
          </cell>
        </row>
        <row r="488">
          <cell r="A488" t="str">
            <v>5572017</v>
          </cell>
          <cell r="C488">
            <v>5572015</v>
          </cell>
        </row>
        <row r="489">
          <cell r="A489" t="str">
            <v>5580759</v>
          </cell>
          <cell r="C489">
            <v>5580759</v>
          </cell>
        </row>
        <row r="490">
          <cell r="A490" t="str">
            <v>5580759</v>
          </cell>
          <cell r="C490">
            <v>5580741</v>
          </cell>
        </row>
        <row r="491">
          <cell r="A491" t="str">
            <v>5580759</v>
          </cell>
          <cell r="C491">
            <v>5580739</v>
          </cell>
        </row>
        <row r="492">
          <cell r="A492" t="str">
            <v>5580759</v>
          </cell>
          <cell r="C492">
            <v>5580740</v>
          </cell>
        </row>
        <row r="493">
          <cell r="A493" t="str">
            <v>5580778</v>
          </cell>
          <cell r="C493">
            <v>5580778</v>
          </cell>
        </row>
        <row r="494">
          <cell r="A494" t="str">
            <v>5580778</v>
          </cell>
          <cell r="C494">
            <v>5580779</v>
          </cell>
        </row>
        <row r="495">
          <cell r="A495" t="str">
            <v>5580778</v>
          </cell>
          <cell r="C495">
            <v>5580780</v>
          </cell>
        </row>
        <row r="496">
          <cell r="A496" t="str">
            <v>5698158</v>
          </cell>
          <cell r="C496">
            <v>5698158</v>
          </cell>
        </row>
        <row r="497">
          <cell r="A497" t="str">
            <v>5745112</v>
          </cell>
          <cell r="C497">
            <v>5677497</v>
          </cell>
        </row>
        <row r="498">
          <cell r="A498" t="str">
            <v>5745112</v>
          </cell>
          <cell r="C498">
            <v>5677505</v>
          </cell>
        </row>
        <row r="499">
          <cell r="A499" t="str">
            <v>5745112</v>
          </cell>
          <cell r="C499">
            <v>5677510</v>
          </cell>
        </row>
        <row r="500">
          <cell r="A500" t="str">
            <v>5745112</v>
          </cell>
          <cell r="C500">
            <v>5745112</v>
          </cell>
        </row>
        <row r="501">
          <cell r="A501" t="str">
            <v>5745131</v>
          </cell>
          <cell r="C501">
            <v>5677500</v>
          </cell>
        </row>
        <row r="502">
          <cell r="A502" t="str">
            <v>5745131</v>
          </cell>
          <cell r="C502">
            <v>5677506</v>
          </cell>
        </row>
        <row r="503">
          <cell r="A503" t="str">
            <v>5745131</v>
          </cell>
          <cell r="C503">
            <v>5677511</v>
          </cell>
        </row>
        <row r="504">
          <cell r="A504" t="str">
            <v>5745131</v>
          </cell>
          <cell r="C504">
            <v>5745131</v>
          </cell>
        </row>
        <row r="505">
          <cell r="A505" t="str">
            <v>5745136</v>
          </cell>
          <cell r="C505">
            <v>5677502</v>
          </cell>
        </row>
        <row r="506">
          <cell r="A506" t="str">
            <v>5745136</v>
          </cell>
          <cell r="C506">
            <v>5677508</v>
          </cell>
        </row>
        <row r="507">
          <cell r="A507" t="str">
            <v>5745136</v>
          </cell>
          <cell r="C507">
            <v>5677512</v>
          </cell>
        </row>
        <row r="508">
          <cell r="A508" t="str">
            <v>5745136</v>
          </cell>
          <cell r="C508">
            <v>5745136</v>
          </cell>
        </row>
        <row r="509">
          <cell r="A509" t="str">
            <v>5745138</v>
          </cell>
          <cell r="C509">
            <v>5677514</v>
          </cell>
        </row>
        <row r="510">
          <cell r="A510" t="str">
            <v>5745138</v>
          </cell>
          <cell r="C510">
            <v>5677520</v>
          </cell>
        </row>
        <row r="511">
          <cell r="A511" t="str">
            <v>5745138</v>
          </cell>
          <cell r="C511">
            <v>5745138</v>
          </cell>
        </row>
        <row r="512">
          <cell r="A512" t="str">
            <v>5745139</v>
          </cell>
          <cell r="C512">
            <v>5677517</v>
          </cell>
        </row>
        <row r="513">
          <cell r="A513" t="str">
            <v>5745139</v>
          </cell>
          <cell r="C513">
            <v>5677521</v>
          </cell>
        </row>
        <row r="514">
          <cell r="A514" t="str">
            <v>5745139</v>
          </cell>
          <cell r="C514">
            <v>5745139</v>
          </cell>
        </row>
        <row r="515">
          <cell r="A515" t="str">
            <v>5745140</v>
          </cell>
          <cell r="C515">
            <v>5677519</v>
          </cell>
        </row>
        <row r="516">
          <cell r="A516" t="str">
            <v>5745140</v>
          </cell>
          <cell r="C516">
            <v>5677522</v>
          </cell>
        </row>
        <row r="517">
          <cell r="A517" t="str">
            <v>5745140</v>
          </cell>
          <cell r="C517">
            <v>5745140</v>
          </cell>
        </row>
        <row r="518">
          <cell r="A518" t="str">
            <v>5748556</v>
          </cell>
          <cell r="C518">
            <v>5748556</v>
          </cell>
        </row>
        <row r="519">
          <cell r="A519" t="str">
            <v>5748556</v>
          </cell>
          <cell r="C519">
            <v>5748571</v>
          </cell>
        </row>
        <row r="520">
          <cell r="A520" t="str">
            <v>5748556</v>
          </cell>
          <cell r="C520">
            <v>5748572</v>
          </cell>
        </row>
        <row r="521">
          <cell r="A521" t="str">
            <v>5748568</v>
          </cell>
          <cell r="C521">
            <v>5748568</v>
          </cell>
        </row>
        <row r="522">
          <cell r="A522" t="str">
            <v>5748568</v>
          </cell>
          <cell r="C522">
            <v>5745314</v>
          </cell>
        </row>
        <row r="523">
          <cell r="A523" t="str">
            <v>5748568</v>
          </cell>
          <cell r="C523">
            <v>5745312</v>
          </cell>
        </row>
        <row r="524">
          <cell r="A524" t="str">
            <v>5748568</v>
          </cell>
          <cell r="C524">
            <v>5745313</v>
          </cell>
        </row>
        <row r="525">
          <cell r="A525" t="str">
            <v>6412815</v>
          </cell>
          <cell r="C525">
            <v>6412815</v>
          </cell>
        </row>
        <row r="526">
          <cell r="A526" t="str">
            <v>6412815</v>
          </cell>
          <cell r="C526">
            <v>5381309</v>
          </cell>
        </row>
        <row r="527">
          <cell r="A527" t="str">
            <v>6412815</v>
          </cell>
          <cell r="C527">
            <v>5381308</v>
          </cell>
        </row>
        <row r="528">
          <cell r="A528" t="str">
            <v>6412815</v>
          </cell>
          <cell r="C528">
            <v>5381307</v>
          </cell>
        </row>
        <row r="529">
          <cell r="A529" t="str">
            <v>6412815</v>
          </cell>
          <cell r="C529">
            <v>5381306</v>
          </cell>
        </row>
        <row r="530">
          <cell r="A530" t="str">
            <v>6412815</v>
          </cell>
          <cell r="C530">
            <v>5381305</v>
          </cell>
        </row>
        <row r="531">
          <cell r="A531" t="str">
            <v>6412815</v>
          </cell>
          <cell r="C531">
            <v>5381304</v>
          </cell>
        </row>
        <row r="532">
          <cell r="A532" t="str">
            <v>6412815</v>
          </cell>
          <cell r="C532">
            <v>5381303</v>
          </cell>
        </row>
        <row r="533">
          <cell r="A533" t="str">
            <v>6412815</v>
          </cell>
          <cell r="C533">
            <v>5381302</v>
          </cell>
        </row>
        <row r="534">
          <cell r="A534" t="str">
            <v>6412815</v>
          </cell>
          <cell r="C534">
            <v>5381301</v>
          </cell>
        </row>
        <row r="535">
          <cell r="A535" t="str">
            <v>6412815</v>
          </cell>
          <cell r="C535">
            <v>5381300</v>
          </cell>
        </row>
        <row r="536">
          <cell r="A536" t="str">
            <v>6412815</v>
          </cell>
          <cell r="C536">
            <v>5381299</v>
          </cell>
        </row>
        <row r="537">
          <cell r="A537" t="str">
            <v>6412815</v>
          </cell>
          <cell r="C537">
            <v>5381298</v>
          </cell>
        </row>
        <row r="538">
          <cell r="A538" t="str">
            <v>6412815</v>
          </cell>
          <cell r="C538">
            <v>5381297</v>
          </cell>
        </row>
        <row r="539">
          <cell r="A539" t="str">
            <v>6412815</v>
          </cell>
          <cell r="C539">
            <v>5381296</v>
          </cell>
        </row>
        <row r="540">
          <cell r="A540" t="str">
            <v>6412815</v>
          </cell>
          <cell r="C540">
            <v>5381295</v>
          </cell>
        </row>
        <row r="541">
          <cell r="A541" t="str">
            <v>6412815</v>
          </cell>
          <cell r="C541">
            <v>5381294</v>
          </cell>
        </row>
        <row r="542">
          <cell r="A542" t="str">
            <v>6412815</v>
          </cell>
          <cell r="C542">
            <v>5381293</v>
          </cell>
        </row>
        <row r="543">
          <cell r="A543" t="str">
            <v>6412815</v>
          </cell>
          <cell r="C543">
            <v>5381292</v>
          </cell>
        </row>
        <row r="544">
          <cell r="A544" t="str">
            <v>6412815</v>
          </cell>
          <cell r="C544">
            <v>5381291</v>
          </cell>
        </row>
        <row r="545">
          <cell r="A545" t="str">
            <v>6412815</v>
          </cell>
          <cell r="C545">
            <v>5381290</v>
          </cell>
        </row>
        <row r="546">
          <cell r="A546" t="str">
            <v>6412815</v>
          </cell>
          <cell r="C546">
            <v>5381289</v>
          </cell>
        </row>
        <row r="547">
          <cell r="A547" t="str">
            <v>6412815</v>
          </cell>
          <cell r="C547">
            <v>5381288</v>
          </cell>
        </row>
        <row r="548">
          <cell r="A548" t="str">
            <v>6412815</v>
          </cell>
          <cell r="C548">
            <v>5381287</v>
          </cell>
        </row>
        <row r="549">
          <cell r="A549" t="str">
            <v>6412815</v>
          </cell>
          <cell r="C549">
            <v>5381286</v>
          </cell>
        </row>
        <row r="550">
          <cell r="A550" t="str">
            <v>6412815</v>
          </cell>
          <cell r="C550">
            <v>5381285</v>
          </cell>
        </row>
        <row r="551">
          <cell r="A551" t="str">
            <v>6412815</v>
          </cell>
          <cell r="C551">
            <v>5381284</v>
          </cell>
        </row>
        <row r="552">
          <cell r="A552" t="str">
            <v>6412815</v>
          </cell>
          <cell r="C552">
            <v>5381283</v>
          </cell>
        </row>
        <row r="553">
          <cell r="A553" t="str">
            <v>6412815</v>
          </cell>
          <cell r="C553">
            <v>5381282</v>
          </cell>
        </row>
        <row r="554">
          <cell r="A554" t="str">
            <v>6412815</v>
          </cell>
          <cell r="C554">
            <v>5381281</v>
          </cell>
        </row>
        <row r="555">
          <cell r="A555" t="str">
            <v>6412815</v>
          </cell>
          <cell r="C555">
            <v>5381280</v>
          </cell>
        </row>
        <row r="556">
          <cell r="A556" t="str">
            <v>6412815</v>
          </cell>
          <cell r="C556">
            <v>5381279</v>
          </cell>
        </row>
        <row r="557">
          <cell r="A557" t="str">
            <v>6412815</v>
          </cell>
          <cell r="C557">
            <v>5381278</v>
          </cell>
        </row>
        <row r="558">
          <cell r="A558" t="str">
            <v>6412815</v>
          </cell>
          <cell r="C558">
            <v>5381277</v>
          </cell>
        </row>
        <row r="559">
          <cell r="A559" t="str">
            <v>6412815</v>
          </cell>
          <cell r="C559">
            <v>5381276</v>
          </cell>
        </row>
        <row r="560">
          <cell r="A560" t="str">
            <v>6412815</v>
          </cell>
          <cell r="C560">
            <v>5381275</v>
          </cell>
        </row>
        <row r="561">
          <cell r="A561" t="str">
            <v>6412815</v>
          </cell>
          <cell r="C561">
            <v>5381274</v>
          </cell>
        </row>
        <row r="562">
          <cell r="A562" t="str">
            <v>6412815</v>
          </cell>
          <cell r="C562">
            <v>5381273</v>
          </cell>
        </row>
        <row r="563">
          <cell r="A563" t="str">
            <v>6412815</v>
          </cell>
          <cell r="C563">
            <v>5381272</v>
          </cell>
        </row>
        <row r="564">
          <cell r="A564" t="str">
            <v>6412815</v>
          </cell>
          <cell r="C564">
            <v>5381271</v>
          </cell>
        </row>
        <row r="565">
          <cell r="A565" t="str">
            <v>6412815</v>
          </cell>
          <cell r="C565">
            <v>5381270</v>
          </cell>
        </row>
        <row r="566">
          <cell r="A566" t="str">
            <v>6412815</v>
          </cell>
          <cell r="C566">
            <v>5381269</v>
          </cell>
        </row>
        <row r="567">
          <cell r="A567" t="str">
            <v>6412815</v>
          </cell>
          <cell r="C567">
            <v>5381268</v>
          </cell>
        </row>
        <row r="568">
          <cell r="A568" t="str">
            <v>6412815</v>
          </cell>
          <cell r="C568">
            <v>5381267</v>
          </cell>
        </row>
        <row r="569">
          <cell r="A569" t="str">
            <v>6412815</v>
          </cell>
          <cell r="C569">
            <v>5381266</v>
          </cell>
        </row>
        <row r="570">
          <cell r="A570" t="str">
            <v>6412815</v>
          </cell>
          <cell r="C570">
            <v>5381265</v>
          </cell>
        </row>
        <row r="571">
          <cell r="A571" t="str">
            <v>6412815</v>
          </cell>
          <cell r="C571">
            <v>5381264</v>
          </cell>
        </row>
        <row r="572">
          <cell r="A572" t="str">
            <v>6412815</v>
          </cell>
          <cell r="C572">
            <v>5381263</v>
          </cell>
        </row>
        <row r="573">
          <cell r="A573" t="str">
            <v>6412815</v>
          </cell>
          <cell r="C573">
            <v>5381262</v>
          </cell>
        </row>
        <row r="574">
          <cell r="A574" t="str">
            <v>6412815</v>
          </cell>
          <cell r="C574">
            <v>5381261</v>
          </cell>
        </row>
        <row r="575">
          <cell r="A575" t="str">
            <v>6412815</v>
          </cell>
          <cell r="C575">
            <v>5381260</v>
          </cell>
        </row>
        <row r="576">
          <cell r="A576" t="str">
            <v>6412815</v>
          </cell>
          <cell r="C576">
            <v>5381259</v>
          </cell>
        </row>
        <row r="577">
          <cell r="A577" t="str">
            <v>6412815</v>
          </cell>
          <cell r="C577">
            <v>5381258</v>
          </cell>
        </row>
        <row r="578">
          <cell r="A578" t="str">
            <v>6412815</v>
          </cell>
          <cell r="C578">
            <v>5381257</v>
          </cell>
        </row>
        <row r="579">
          <cell r="A579" t="str">
            <v>6412815</v>
          </cell>
          <cell r="C579">
            <v>5381256</v>
          </cell>
        </row>
        <row r="580">
          <cell r="A580" t="str">
            <v>6412815</v>
          </cell>
          <cell r="C580">
            <v>5381255</v>
          </cell>
        </row>
        <row r="581">
          <cell r="A581" t="str">
            <v>6412815</v>
          </cell>
          <cell r="C581">
            <v>5381254</v>
          </cell>
        </row>
        <row r="582">
          <cell r="A582" t="str">
            <v>6412815</v>
          </cell>
          <cell r="C582">
            <v>5381253</v>
          </cell>
        </row>
        <row r="583">
          <cell r="A583" t="str">
            <v>6412815</v>
          </cell>
          <cell r="C583">
            <v>5381252</v>
          </cell>
        </row>
        <row r="584">
          <cell r="A584" t="str">
            <v>6412815</v>
          </cell>
          <cell r="C584">
            <v>5381251</v>
          </cell>
        </row>
        <row r="585">
          <cell r="A585" t="str">
            <v>6412815</v>
          </cell>
          <cell r="C585">
            <v>5381250</v>
          </cell>
        </row>
        <row r="586">
          <cell r="A586" t="str">
            <v>6412815</v>
          </cell>
          <cell r="C586">
            <v>5381249</v>
          </cell>
        </row>
        <row r="587">
          <cell r="A587" t="str">
            <v>6412815</v>
          </cell>
          <cell r="C587">
            <v>5381248</v>
          </cell>
        </row>
        <row r="588">
          <cell r="A588" t="str">
            <v>6412815</v>
          </cell>
          <cell r="C588">
            <v>5381247</v>
          </cell>
        </row>
        <row r="589">
          <cell r="A589" t="str">
            <v>6412815</v>
          </cell>
          <cell r="C589">
            <v>5381246</v>
          </cell>
        </row>
        <row r="590">
          <cell r="A590" t="str">
            <v>6412815</v>
          </cell>
          <cell r="C590">
            <v>5381245</v>
          </cell>
        </row>
        <row r="591">
          <cell r="A591" t="str">
            <v>6412815</v>
          </cell>
          <cell r="C591">
            <v>5381244</v>
          </cell>
        </row>
        <row r="592">
          <cell r="A592" t="str">
            <v>6412815</v>
          </cell>
          <cell r="C592">
            <v>5381243</v>
          </cell>
        </row>
        <row r="593">
          <cell r="A593" t="str">
            <v>6412815</v>
          </cell>
          <cell r="C593">
            <v>5381242</v>
          </cell>
        </row>
        <row r="594">
          <cell r="A594" t="str">
            <v>6412815</v>
          </cell>
          <cell r="C594">
            <v>5381241</v>
          </cell>
        </row>
        <row r="595">
          <cell r="A595" t="str">
            <v>6412815</v>
          </cell>
          <cell r="C595">
            <v>5381240</v>
          </cell>
        </row>
        <row r="596">
          <cell r="A596" t="str">
            <v>6412815</v>
          </cell>
          <cell r="C596">
            <v>5381239</v>
          </cell>
        </row>
        <row r="597">
          <cell r="A597" t="str">
            <v>6412815</v>
          </cell>
          <cell r="C597">
            <v>5381238</v>
          </cell>
        </row>
        <row r="598">
          <cell r="A598" t="str">
            <v>6412815</v>
          </cell>
          <cell r="C598">
            <v>5381237</v>
          </cell>
        </row>
        <row r="599">
          <cell r="A599" t="str">
            <v>6412815</v>
          </cell>
          <cell r="C599">
            <v>5381236</v>
          </cell>
        </row>
        <row r="600">
          <cell r="A600" t="str">
            <v>6412815</v>
          </cell>
          <cell r="C600">
            <v>5381235</v>
          </cell>
        </row>
        <row r="601">
          <cell r="A601" t="str">
            <v>6412815</v>
          </cell>
          <cell r="C601">
            <v>5381234</v>
          </cell>
        </row>
        <row r="602">
          <cell r="A602" t="str">
            <v>6412815</v>
          </cell>
          <cell r="C602">
            <v>5381233</v>
          </cell>
        </row>
        <row r="603">
          <cell r="A603" t="str">
            <v>6412815</v>
          </cell>
          <cell r="C603">
            <v>5381232</v>
          </cell>
        </row>
        <row r="604">
          <cell r="A604" t="str">
            <v>6412815</v>
          </cell>
          <cell r="C604">
            <v>5381230</v>
          </cell>
        </row>
        <row r="605">
          <cell r="A605" t="str">
            <v>6412815</v>
          </cell>
          <cell r="C605">
            <v>5381229</v>
          </cell>
        </row>
        <row r="606">
          <cell r="A606" t="str">
            <v>6412815</v>
          </cell>
          <cell r="C606">
            <v>5381228</v>
          </cell>
        </row>
        <row r="607">
          <cell r="A607" t="str">
            <v>6412815</v>
          </cell>
          <cell r="C607">
            <v>5381227</v>
          </cell>
        </row>
        <row r="608">
          <cell r="A608" t="str">
            <v>6412815</v>
          </cell>
          <cell r="C608">
            <v>5381226</v>
          </cell>
        </row>
        <row r="609">
          <cell r="A609" t="str">
            <v>6412815</v>
          </cell>
          <cell r="C609">
            <v>5381225</v>
          </cell>
        </row>
        <row r="610">
          <cell r="A610" t="str">
            <v>6412815</v>
          </cell>
          <cell r="C610">
            <v>5381224</v>
          </cell>
        </row>
        <row r="611">
          <cell r="A611" t="str">
            <v>6412815</v>
          </cell>
          <cell r="C611">
            <v>5381223</v>
          </cell>
        </row>
        <row r="612">
          <cell r="A612" t="str">
            <v>6412815</v>
          </cell>
          <cell r="C612">
            <v>5381222</v>
          </cell>
        </row>
        <row r="613">
          <cell r="A613" t="str">
            <v>6412815</v>
          </cell>
          <cell r="C613">
            <v>5381221</v>
          </cell>
        </row>
        <row r="614">
          <cell r="A614" t="str">
            <v>6412815</v>
          </cell>
          <cell r="C614">
            <v>5381220</v>
          </cell>
        </row>
        <row r="615">
          <cell r="A615" t="str">
            <v>6412815</v>
          </cell>
          <cell r="C615">
            <v>5381219</v>
          </cell>
        </row>
        <row r="616">
          <cell r="A616" t="str">
            <v>6412815</v>
          </cell>
          <cell r="C616">
            <v>5381218</v>
          </cell>
        </row>
        <row r="617">
          <cell r="A617" t="str">
            <v>6412815</v>
          </cell>
          <cell r="C617">
            <v>5381217</v>
          </cell>
        </row>
        <row r="618">
          <cell r="A618" t="str">
            <v>6412815</v>
          </cell>
          <cell r="C618">
            <v>5381216</v>
          </cell>
        </row>
        <row r="619">
          <cell r="A619" t="str">
            <v>6412815</v>
          </cell>
          <cell r="C619">
            <v>5381215</v>
          </cell>
        </row>
        <row r="620">
          <cell r="A620" t="str">
            <v>6412815</v>
          </cell>
          <cell r="C620">
            <v>5381214</v>
          </cell>
        </row>
        <row r="621">
          <cell r="A621" t="str">
            <v>6412815</v>
          </cell>
          <cell r="C621">
            <v>5381213</v>
          </cell>
        </row>
        <row r="622">
          <cell r="A622" t="str">
            <v>6412815</v>
          </cell>
          <cell r="C622">
            <v>5381212</v>
          </cell>
        </row>
        <row r="623">
          <cell r="A623" t="str">
            <v>6412815</v>
          </cell>
          <cell r="C623">
            <v>5381211</v>
          </cell>
        </row>
        <row r="624">
          <cell r="A624" t="str">
            <v>6412815</v>
          </cell>
          <cell r="C624">
            <v>5381210</v>
          </cell>
        </row>
        <row r="625">
          <cell r="A625" t="str">
            <v>6412815</v>
          </cell>
          <cell r="C625">
            <v>5381209</v>
          </cell>
        </row>
        <row r="626">
          <cell r="A626" t="str">
            <v>6412815</v>
          </cell>
          <cell r="C626">
            <v>5381208</v>
          </cell>
        </row>
        <row r="627">
          <cell r="A627" t="str">
            <v>6412815</v>
          </cell>
          <cell r="C627">
            <v>5381207</v>
          </cell>
        </row>
        <row r="628">
          <cell r="A628" t="str">
            <v>6412815</v>
          </cell>
          <cell r="C628">
            <v>5381206</v>
          </cell>
        </row>
        <row r="629">
          <cell r="A629" t="str">
            <v>6412815</v>
          </cell>
          <cell r="C629">
            <v>5381205</v>
          </cell>
        </row>
        <row r="630">
          <cell r="A630" t="str">
            <v>6412815</v>
          </cell>
          <cell r="C630">
            <v>5381203</v>
          </cell>
        </row>
        <row r="631">
          <cell r="A631" t="str">
            <v>6412815</v>
          </cell>
          <cell r="C631">
            <v>5381202</v>
          </cell>
        </row>
        <row r="632">
          <cell r="A632" t="str">
            <v>6412815</v>
          </cell>
          <cell r="C632">
            <v>5381201</v>
          </cell>
        </row>
        <row r="633">
          <cell r="A633" t="str">
            <v>6412815</v>
          </cell>
          <cell r="C633">
            <v>5381200</v>
          </cell>
        </row>
        <row r="634">
          <cell r="A634" t="str">
            <v>6412815</v>
          </cell>
          <cell r="C634">
            <v>5381199</v>
          </cell>
        </row>
        <row r="635">
          <cell r="A635" t="str">
            <v>6412815</v>
          </cell>
          <cell r="C635">
            <v>5381198</v>
          </cell>
        </row>
        <row r="636">
          <cell r="A636" t="str">
            <v>6412815</v>
          </cell>
          <cell r="C636">
            <v>5381197</v>
          </cell>
        </row>
        <row r="637">
          <cell r="A637" t="str">
            <v>6412815</v>
          </cell>
          <cell r="C637">
            <v>5381194</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Ingram" refreshedDate="45890.505406828706" createdVersion="8" refreshedVersion="8" minRefreshableVersion="3" recordCount="1358" xr:uid="{71C10ACE-5A0F-4E4D-950E-34C2A2047E8B}">
  <cacheSource type="worksheet">
    <worksheetSource ref="AL5:AS1363" sheet="Akzo Sept 01 25  "/>
  </cacheSource>
  <cacheFields count="7">
    <cacheField name="Product Type" numFmtId="167">
      <sharedItems count="2">
        <s v="Sundries"/>
        <s v="Paint"/>
      </sharedItems>
    </cacheField>
    <cacheField name="Updated PLC" numFmtId="167">
      <sharedItems/>
    </cacheField>
    <cacheField name="Updated Sept Price" numFmtId="167">
      <sharedItems containsSemiMixedTypes="0" containsString="0" containsNumber="1" minValue="0.35" maxValue="5248.24"/>
    </cacheField>
    <cacheField name="Updated Comp" numFmtId="0">
      <sharedItems count="4">
        <s v="Same"/>
        <s v="Increase"/>
        <s v="Decrease"/>
        <s v="Delete"/>
      </sharedItems>
    </cacheField>
    <cacheField name="Old Val" numFmtId="169">
      <sharedItems containsSemiMixedTypes="0" containsString="0" containsNumber="1" minValue="0" maxValue="142160.48000000001"/>
    </cacheField>
    <cacheField name="New Val" numFmtId="169">
      <sharedItems containsSemiMixedTypes="0" containsString="0" containsNumber="1" minValue="0" maxValue="142160.48000000001"/>
    </cacheField>
    <cacheField name="Difference" numFmtId="169">
      <sharedItems containsSemiMixedTypes="0" containsString="0" containsNumber="1" minValue="-12604.480000000003" maxValue="3634.440000000002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8">
  <r>
    <x v="0"/>
    <s v="Normal"/>
    <n v="1.1399999999999999"/>
    <x v="0"/>
    <n v="24360.659999999996"/>
    <n v="24360.659999999996"/>
    <n v="0"/>
  </r>
  <r>
    <x v="0"/>
    <s v="Normal"/>
    <n v="1.24"/>
    <x v="1"/>
    <n v="10420.02"/>
    <n v="10590.84"/>
    <n v="170.81999999999971"/>
  </r>
  <r>
    <x v="1"/>
    <s v="Normal"/>
    <n v="29.61"/>
    <x v="0"/>
    <n v="126582.75"/>
    <n v="126582.75"/>
    <n v="0"/>
  </r>
  <r>
    <x v="1"/>
    <s v="Normal"/>
    <n v="33.880000000000003"/>
    <x v="0"/>
    <n v="142160.48000000001"/>
    <n v="142160.48000000001"/>
    <n v="0"/>
  </r>
  <r>
    <x v="1"/>
    <s v="Normal"/>
    <n v="29.14"/>
    <x v="0"/>
    <n v="78444.88"/>
    <n v="78444.88"/>
    <n v="0"/>
  </r>
  <r>
    <x v="1"/>
    <s v="Pre-phase-out"/>
    <n v="30"/>
    <x v="0"/>
    <n v="80760"/>
    <n v="80760"/>
    <n v="0"/>
  </r>
  <r>
    <x v="1"/>
    <s v="Normal"/>
    <n v="12.5"/>
    <x v="0"/>
    <n v="30625"/>
    <n v="30625"/>
    <n v="0"/>
  </r>
  <r>
    <x v="1"/>
    <s v="Normal"/>
    <n v="26.7"/>
    <x v="0"/>
    <n v="54468"/>
    <n v="54468"/>
    <n v="0"/>
  </r>
  <r>
    <x v="1"/>
    <s v="Centrally stock allocated"/>
    <n v="63.74"/>
    <x v="1"/>
    <n v="120913.52"/>
    <n v="124547.96"/>
    <n v="3634.4400000000023"/>
  </r>
  <r>
    <x v="1"/>
    <s v="Normal"/>
    <n v="54.63"/>
    <x v="0"/>
    <n v="104998.86"/>
    <n v="104998.86"/>
    <n v="0"/>
  </r>
  <r>
    <x v="1"/>
    <s v="Normal"/>
    <n v="29.82"/>
    <x v="0"/>
    <n v="55673.94"/>
    <n v="55673.94"/>
    <n v="0"/>
  </r>
  <r>
    <x v="0"/>
    <s v="Active Promo / Seasonal"/>
    <n v="17.46"/>
    <x v="2"/>
    <n v="32712.1"/>
    <n v="32562.9"/>
    <n v="-149.19999999999709"/>
  </r>
  <r>
    <x v="1"/>
    <s v="Normal"/>
    <n v="24.55"/>
    <x v="0"/>
    <n v="43158.9"/>
    <n v="43158.9"/>
    <n v="0"/>
  </r>
  <r>
    <x v="0"/>
    <s v="Normal"/>
    <n v="0.79"/>
    <x v="1"/>
    <n v="1326"/>
    <n v="1343"/>
    <n v="17"/>
  </r>
  <r>
    <x v="1"/>
    <s v="Normal"/>
    <n v="25.5"/>
    <x v="0"/>
    <n v="40545"/>
    <n v="40545"/>
    <n v="0"/>
  </r>
  <r>
    <x v="1"/>
    <s v="Normal"/>
    <n v="30.61"/>
    <x v="0"/>
    <n v="43160.1"/>
    <n v="43160.1"/>
    <n v="0"/>
  </r>
  <r>
    <x v="0"/>
    <s v="Active Promo / Seasonal"/>
    <n v="17.46"/>
    <x v="2"/>
    <n v="23461.200000000001"/>
    <n v="23221.800000000003"/>
    <n v="-239.39999999999782"/>
  </r>
  <r>
    <x v="1"/>
    <s v="Normal"/>
    <n v="57.41"/>
    <x v="1"/>
    <n v="70678.320000000007"/>
    <n v="72795.87999999999"/>
    <n v="2117.5599999999831"/>
  </r>
  <r>
    <x v="1"/>
    <s v="Normal"/>
    <n v="34.15"/>
    <x v="0"/>
    <n v="42346"/>
    <n v="42346"/>
    <n v="0"/>
  </r>
  <r>
    <x v="0"/>
    <s v="Normal"/>
    <n v="35.5"/>
    <x v="0"/>
    <n v="43132.5"/>
    <n v="43132.5"/>
    <n v="0"/>
  </r>
  <r>
    <x v="1"/>
    <s v="Normal"/>
    <n v="33.25"/>
    <x v="0"/>
    <n v="34979"/>
    <n v="34979"/>
    <n v="0"/>
  </r>
  <r>
    <x v="1"/>
    <s v="Normal"/>
    <n v="38.340000000000003"/>
    <x v="0"/>
    <n v="38340"/>
    <n v="38340"/>
    <n v="0"/>
  </r>
  <r>
    <x v="1"/>
    <s v="Normal"/>
    <n v="37.46"/>
    <x v="0"/>
    <n v="36673.340000000004"/>
    <n v="36673.340000000004"/>
    <n v="0"/>
  </r>
  <r>
    <x v="0"/>
    <s v="Normal"/>
    <n v="3.78"/>
    <x v="1"/>
    <n v="3628.38"/>
    <n v="3696.8399999999997"/>
    <n v="68.459999999999582"/>
  </r>
  <r>
    <x v="1"/>
    <s v="Normal"/>
    <n v="21.79"/>
    <x v="1"/>
    <n v="20494.349999999999"/>
    <n v="21114.51"/>
    <n v="620.15999999999985"/>
  </r>
  <r>
    <x v="1"/>
    <s v="Normal"/>
    <n v="43.75"/>
    <x v="2"/>
    <n v="54254.48"/>
    <n v="41650"/>
    <n v="-12604.480000000003"/>
  </r>
  <r>
    <x v="1"/>
    <s v="Normal"/>
    <n v="38.79"/>
    <x v="1"/>
    <n v="35099.119999999995"/>
    <n v="36152.28"/>
    <n v="1053.1600000000035"/>
  </r>
  <r>
    <x v="1"/>
    <s v="Normal"/>
    <n v="42.31"/>
    <x v="1"/>
    <n v="37054.159999999996"/>
    <n v="38163.620000000003"/>
    <n v="1109.4600000000064"/>
  </r>
  <r>
    <x v="1"/>
    <s v="Normal"/>
    <n v="15.03"/>
    <x v="1"/>
    <n v="13014.28"/>
    <n v="13406.76"/>
    <n v="392.47999999999956"/>
  </r>
  <r>
    <x v="1"/>
    <s v="Normal"/>
    <n v="17.13"/>
    <x v="0"/>
    <n v="14766.06"/>
    <n v="14766.06"/>
    <n v="0"/>
  </r>
  <r>
    <x v="1"/>
    <s v="Normal"/>
    <n v="70.87"/>
    <x v="1"/>
    <n v="58892.799999999996"/>
    <n v="60664.72"/>
    <n v="1771.9200000000055"/>
  </r>
  <r>
    <x v="0"/>
    <s v="Normal"/>
    <n v="3.93"/>
    <x v="1"/>
    <n v="3281"/>
    <n v="3340.5"/>
    <n v="59.5"/>
  </r>
  <r>
    <x v="1"/>
    <s v="Normal"/>
    <n v="20.02"/>
    <x v="0"/>
    <n v="16196.18"/>
    <n v="16196.18"/>
    <n v="0"/>
  </r>
  <r>
    <x v="1"/>
    <s v="Normal"/>
    <n v="19.75"/>
    <x v="0"/>
    <n v="15523.5"/>
    <n v="15523.5"/>
    <n v="0"/>
  </r>
  <r>
    <x v="0"/>
    <s v="Normal"/>
    <n v="1.44"/>
    <x v="1"/>
    <n v="1091.3399999999999"/>
    <n v="1114.56"/>
    <n v="23.220000000000027"/>
  </r>
  <r>
    <x v="1"/>
    <s v="Phase-out"/>
    <n v="37.22"/>
    <x v="0"/>
    <n v="28473.3"/>
    <n v="28473.3"/>
    <n v="0"/>
  </r>
  <r>
    <x v="1"/>
    <s v="Normal"/>
    <n v="24.52"/>
    <x v="0"/>
    <n v="17875.079999999998"/>
    <n v="17875.079999999998"/>
    <n v="0"/>
  </r>
  <r>
    <x v="1"/>
    <s v="Normal"/>
    <n v="19.32"/>
    <x v="0"/>
    <n v="13871.76"/>
    <n v="13871.76"/>
    <n v="0"/>
  </r>
  <r>
    <x v="1"/>
    <s v="Normal"/>
    <n v="40.03"/>
    <x v="0"/>
    <n v="28381.27"/>
    <n v="28381.27"/>
    <n v="0"/>
  </r>
  <r>
    <x v="1"/>
    <s v="Normal"/>
    <n v="27.67"/>
    <x v="1"/>
    <n v="18721.419999999998"/>
    <n v="19285.990000000002"/>
    <n v="564.57000000000335"/>
  </r>
  <r>
    <x v="1"/>
    <s v="Normal"/>
    <n v="36.44"/>
    <x v="0"/>
    <n v="25362.239999999998"/>
    <n v="25362.239999999998"/>
    <n v="0"/>
  </r>
  <r>
    <x v="1"/>
    <s v="Normal"/>
    <n v="68.78"/>
    <x v="1"/>
    <n v="46211.76"/>
    <n v="47595.76"/>
    <n v="1384"/>
  </r>
  <r>
    <x v="0"/>
    <s v="Normal"/>
    <n v="1.97"/>
    <x v="1"/>
    <n v="1183.0899999999999"/>
    <n v="1207.6099999999999"/>
    <n v="24.519999999999982"/>
  </r>
  <r>
    <x v="0"/>
    <s v="Normal"/>
    <n v="0.79"/>
    <x v="1"/>
    <n v="475.8"/>
    <n v="481.90000000000003"/>
    <n v="6.1000000000000227"/>
  </r>
  <r>
    <x v="1"/>
    <s v="Centrally stock allocated"/>
    <n v="44.99"/>
    <x v="0"/>
    <n v="27218.95"/>
    <n v="27218.95"/>
    <n v="0"/>
  </r>
  <r>
    <x v="1"/>
    <s v="Normal"/>
    <n v="35.340000000000003"/>
    <x v="0"/>
    <n v="21345.360000000001"/>
    <n v="21345.360000000001"/>
    <n v="0"/>
  </r>
  <r>
    <x v="1"/>
    <s v="Normal"/>
    <n v="21.13"/>
    <x v="0"/>
    <n v="12551.22"/>
    <n v="12551.22"/>
    <n v="0"/>
  </r>
  <r>
    <x v="0"/>
    <s v="Normal"/>
    <n v="8.82"/>
    <x v="1"/>
    <n v="4930.5"/>
    <n v="5027.4000000000005"/>
    <n v="96.900000000000546"/>
  </r>
  <r>
    <x v="0"/>
    <s v="Normal"/>
    <n v="5.8"/>
    <x v="1"/>
    <n v="3129.5"/>
    <n v="3190"/>
    <n v="60.5"/>
  </r>
  <r>
    <x v="1"/>
    <s v="Normal"/>
    <n v="36.44"/>
    <x v="0"/>
    <n v="19823.36"/>
    <n v="19823.36"/>
    <n v="0"/>
  </r>
  <r>
    <x v="0"/>
    <s v="Normal"/>
    <n v="1.75"/>
    <x v="1"/>
    <n v="932.24"/>
    <n v="948.5"/>
    <n v="16.259999999999991"/>
  </r>
  <r>
    <x v="0"/>
    <s v="Normal"/>
    <n v="2.09"/>
    <x v="1"/>
    <n v="1107"/>
    <n v="1128.5999999999999"/>
    <n v="21.599999999999909"/>
  </r>
  <r>
    <x v="1"/>
    <s v="Normal"/>
    <n v="26.59"/>
    <x v="0"/>
    <n v="13693.85"/>
    <n v="13693.85"/>
    <n v="0"/>
  </r>
  <r>
    <x v="1"/>
    <s v="Normal"/>
    <n v="68.78"/>
    <x v="1"/>
    <n v="34191.360000000001"/>
    <n v="35215.360000000001"/>
    <n v="1024"/>
  </r>
  <r>
    <x v="1"/>
    <s v="Normal"/>
    <n v="35.33"/>
    <x v="0"/>
    <n v="18088.96"/>
    <n v="18088.96"/>
    <n v="0"/>
  </r>
  <r>
    <x v="1"/>
    <s v="Normal"/>
    <n v="24.22"/>
    <x v="0"/>
    <n v="12182.66"/>
    <n v="12182.66"/>
    <n v="0"/>
  </r>
  <r>
    <x v="0"/>
    <s v="Normal"/>
    <n v="3.26"/>
    <x v="1"/>
    <n v="1593.6000000000001"/>
    <n v="1623.4799999999998"/>
    <n v="29.879999999999654"/>
  </r>
  <r>
    <x v="1"/>
    <s v="Normal"/>
    <n v="34.159999999999997"/>
    <x v="0"/>
    <n v="15781.919999999998"/>
    <n v="15781.919999999998"/>
    <n v="0"/>
  </r>
  <r>
    <x v="0"/>
    <s v="Normal"/>
    <n v="4.17"/>
    <x v="1"/>
    <n v="1864.56"/>
    <n v="1905.69"/>
    <n v="41.130000000000109"/>
  </r>
  <r>
    <x v="1"/>
    <s v="Normal"/>
    <n v="31.01"/>
    <x v="0"/>
    <n v="14016.52"/>
    <n v="14016.52"/>
    <n v="0"/>
  </r>
  <r>
    <x v="1"/>
    <s v="Normal"/>
    <n v="66.959999999999994"/>
    <x v="1"/>
    <n v="28019.31"/>
    <n v="28859.759999999998"/>
    <n v="840.44999999999709"/>
  </r>
  <r>
    <x v="1"/>
    <s v="Normal"/>
    <n v="33.9"/>
    <x v="1"/>
    <n v="13953.839999999998"/>
    <n v="14373.599999999999"/>
    <n v="419.76000000000022"/>
  </r>
  <r>
    <x v="1"/>
    <s v="Normal"/>
    <n v="40.36"/>
    <x v="1"/>
    <n v="16263.849999999999"/>
    <n v="16749.400000000001"/>
    <n v="485.55000000000291"/>
  </r>
  <r>
    <x v="1"/>
    <s v="Normal"/>
    <n v="22.33"/>
    <x v="0"/>
    <n v="9222.2899999999991"/>
    <n v="9222.2899999999991"/>
    <n v="0"/>
  </r>
  <r>
    <x v="0"/>
    <s v="Normal"/>
    <n v="56.84"/>
    <x v="0"/>
    <n v="23077.040000000001"/>
    <n v="23077.040000000001"/>
    <n v="0"/>
  </r>
  <r>
    <x v="1"/>
    <s v="Normal"/>
    <n v="44.77"/>
    <x v="0"/>
    <n v="18042.310000000001"/>
    <n v="18042.310000000001"/>
    <n v="0"/>
  </r>
  <r>
    <x v="0"/>
    <s v="Normal"/>
    <n v="3.61"/>
    <x v="1"/>
    <n v="1366.44"/>
    <n v="1393.46"/>
    <n v="27.019999999999982"/>
  </r>
  <r>
    <x v="1"/>
    <s v="Normal"/>
    <n v="27.15"/>
    <x v="0"/>
    <n v="10289.85"/>
    <n v="10289.85"/>
    <n v="0"/>
  </r>
  <r>
    <x v="0"/>
    <s v="Normal"/>
    <n v="2.56"/>
    <x v="1"/>
    <n v="941.24999999999989"/>
    <n v="960"/>
    <n v="18.750000000000114"/>
  </r>
  <r>
    <x v="1"/>
    <s v="Normal"/>
    <n v="40.090000000000003"/>
    <x v="0"/>
    <n v="15033.750000000002"/>
    <n v="15033.750000000002"/>
    <n v="0"/>
  </r>
  <r>
    <x v="1"/>
    <s v="Normal"/>
    <n v="24.22"/>
    <x v="0"/>
    <n v="9034.06"/>
    <n v="9034.06"/>
    <n v="0"/>
  </r>
  <r>
    <x v="1"/>
    <s v="Normal"/>
    <n v="59.13"/>
    <x v="0"/>
    <n v="21582.45"/>
    <n v="21582.45"/>
    <n v="0"/>
  </r>
  <r>
    <x v="0"/>
    <s v="Normal"/>
    <n v="3.84"/>
    <x v="1"/>
    <n v="1342.32"/>
    <n v="1370.8799999999999"/>
    <n v="28.559999999999945"/>
  </r>
  <r>
    <x v="1"/>
    <s v="Normal"/>
    <n v="21.82"/>
    <x v="0"/>
    <n v="7658.82"/>
    <n v="7658.82"/>
    <n v="0"/>
  </r>
  <r>
    <x v="0"/>
    <s v="Normal"/>
    <n v="10.01"/>
    <x v="1"/>
    <n v="3413.88"/>
    <n v="3483.48"/>
    <n v="69.599999999999909"/>
  </r>
  <r>
    <x v="1"/>
    <s v="Normal"/>
    <n v="21.82"/>
    <x v="0"/>
    <n v="7418.8"/>
    <n v="7418.8"/>
    <n v="0"/>
  </r>
  <r>
    <x v="1"/>
    <s v="Normal"/>
    <n v="33.26"/>
    <x v="0"/>
    <n v="11241.88"/>
    <n v="11241.88"/>
    <n v="0"/>
  </r>
  <r>
    <x v="0"/>
    <s v="Normal"/>
    <n v="10.16"/>
    <x v="1"/>
    <n v="3276.84"/>
    <n v="3342.64"/>
    <n v="65.799999999999727"/>
  </r>
  <r>
    <x v="0"/>
    <s v="Normal"/>
    <n v="24.69"/>
    <x v="1"/>
    <n v="7916.67"/>
    <n v="8073.63"/>
    <n v="156.96000000000004"/>
  </r>
  <r>
    <x v="0"/>
    <s v="Normal"/>
    <n v="12.02"/>
    <x v="0"/>
    <n v="3834.3799999999997"/>
    <n v="3834.3799999999997"/>
    <n v="0"/>
  </r>
  <r>
    <x v="1"/>
    <s v="Normal"/>
    <n v="18"/>
    <x v="0"/>
    <n v="5688"/>
    <n v="5688"/>
    <n v="0"/>
  </r>
  <r>
    <x v="0"/>
    <s v="Normal"/>
    <n v="11.65"/>
    <x v="1"/>
    <n v="3540.2"/>
    <n v="3611.5"/>
    <n v="71.300000000000182"/>
  </r>
  <r>
    <x v="1"/>
    <s v="Normal"/>
    <n v="38.409999999999997"/>
    <x v="0"/>
    <n v="11753.46"/>
    <n v="11753.46"/>
    <n v="0"/>
  </r>
  <r>
    <x v="0"/>
    <s v="Normal"/>
    <n v="10.89"/>
    <x v="1"/>
    <n v="3236.04"/>
    <n v="3299.67"/>
    <n v="63.630000000000109"/>
  </r>
  <r>
    <x v="0"/>
    <s v="Normal"/>
    <n v="2.36"/>
    <x v="1"/>
    <n v="660.66"/>
    <n v="674.95999999999992"/>
    <n v="14.299999999999955"/>
  </r>
  <r>
    <x v="1"/>
    <s v="Normal"/>
    <n v="15.48"/>
    <x v="1"/>
    <n v="4255.68"/>
    <n v="4427.28"/>
    <n v="171.59999999999945"/>
  </r>
  <r>
    <x v="1"/>
    <s v="Normal"/>
    <n v="17.47"/>
    <x v="0"/>
    <n v="4909.07"/>
    <n v="4909.07"/>
    <n v="0"/>
  </r>
  <r>
    <x v="1"/>
    <s v="Normal"/>
    <n v="26.59"/>
    <x v="0"/>
    <n v="7365.43"/>
    <n v="7365.43"/>
    <n v="0"/>
  </r>
  <r>
    <x v="0"/>
    <s v="Normal"/>
    <n v="2.66"/>
    <x v="0"/>
    <n v="734.16000000000008"/>
    <n v="734.16000000000008"/>
    <n v="0"/>
  </r>
  <r>
    <x v="1"/>
    <s v="Centrally stock allocated"/>
    <n v="65"/>
    <x v="1"/>
    <n v="17229.03"/>
    <n v="17745"/>
    <n v="515.97000000000116"/>
  </r>
  <r>
    <x v="0"/>
    <s v="Normal"/>
    <n v="7.92"/>
    <x v="1"/>
    <n v="2118.48"/>
    <n v="2162.16"/>
    <n v="43.679999999999836"/>
  </r>
  <r>
    <x v="1"/>
    <s v="Normal"/>
    <n v="57.54"/>
    <x v="0"/>
    <n v="15650.88"/>
    <n v="15650.88"/>
    <n v="0"/>
  </r>
  <r>
    <x v="1"/>
    <s v="Normal"/>
    <n v="28.37"/>
    <x v="1"/>
    <n v="7380.7199999999993"/>
    <n v="7603.16"/>
    <n v="222.44000000000051"/>
  </r>
  <r>
    <x v="1"/>
    <s v="Normal"/>
    <n v="37.9"/>
    <x v="0"/>
    <n v="10119.299999999999"/>
    <n v="10119.299999999999"/>
    <n v="0"/>
  </r>
  <r>
    <x v="1"/>
    <s v="Normal"/>
    <n v="29.82"/>
    <x v="1"/>
    <n v="7613.8499999999995"/>
    <n v="7842.66"/>
    <n v="228.8100000000004"/>
  </r>
  <r>
    <x v="0"/>
    <s v="Normal"/>
    <n v="7.22"/>
    <x v="1"/>
    <n v="1840.8"/>
    <n v="1877.2"/>
    <n v="36.400000000000091"/>
  </r>
  <r>
    <x v="0"/>
    <s v="Normal"/>
    <n v="9.4700000000000006"/>
    <x v="1"/>
    <n v="2396.8199999999997"/>
    <n v="2443.2600000000002"/>
    <n v="46.440000000000509"/>
  </r>
  <r>
    <x v="1"/>
    <s v="Normal"/>
    <n v="26.16"/>
    <x v="1"/>
    <n v="6477"/>
    <n v="6670.8"/>
    <n v="193.80000000000018"/>
  </r>
  <r>
    <x v="1"/>
    <s v="Normal"/>
    <n v="19.37"/>
    <x v="1"/>
    <n v="4758.9299999999994"/>
    <n v="4900.6100000000006"/>
    <n v="141.6800000000012"/>
  </r>
  <r>
    <x v="0"/>
    <s v="Normal"/>
    <n v="21.51"/>
    <x v="1"/>
    <n v="5251.41"/>
    <n v="5355.9900000000007"/>
    <n v="104.58000000000084"/>
  </r>
  <r>
    <x v="1"/>
    <s v="Normal"/>
    <n v="27.68"/>
    <x v="0"/>
    <n v="6809.28"/>
    <n v="6809.28"/>
    <n v="0"/>
  </r>
  <r>
    <x v="1"/>
    <s v="Normal"/>
    <n v="33.58"/>
    <x v="0"/>
    <n v="8159.94"/>
    <n v="8159.94"/>
    <n v="0"/>
  </r>
  <r>
    <x v="0"/>
    <s v="Normal"/>
    <n v="17.71"/>
    <x v="1"/>
    <n v="4166.3999999999996"/>
    <n v="4250.4000000000005"/>
    <n v="84.000000000000909"/>
  </r>
  <r>
    <x v="0"/>
    <s v="Phase-out"/>
    <n v="6.01"/>
    <x v="0"/>
    <n v="1430.3799999999999"/>
    <n v="1430.3799999999999"/>
    <n v="0"/>
  </r>
  <r>
    <x v="1"/>
    <s v="Normal"/>
    <n v="67.63"/>
    <x v="1"/>
    <n v="15430.099999999999"/>
    <n v="15893.05"/>
    <n v="462.95000000000073"/>
  </r>
  <r>
    <x v="0"/>
    <s v="Normal"/>
    <n v="6.52"/>
    <x v="1"/>
    <n v="1476.09"/>
    <n v="1506.12"/>
    <n v="30.029999999999973"/>
  </r>
  <r>
    <x v="0"/>
    <s v="Normal"/>
    <n v="3.62"/>
    <x v="1"/>
    <n v="812.94999999999993"/>
    <n v="828.98"/>
    <n v="16.030000000000086"/>
  </r>
  <r>
    <x v="1"/>
    <s v="Normal"/>
    <n v="59.14"/>
    <x v="0"/>
    <n v="13543.06"/>
    <n v="13543.06"/>
    <n v="0"/>
  </r>
  <r>
    <x v="1"/>
    <s v="Normal"/>
    <n v="14.7"/>
    <x v="0"/>
    <n v="3351.6"/>
    <n v="3351.6"/>
    <n v="0"/>
  </r>
  <r>
    <x v="1"/>
    <s v="Normal"/>
    <n v="37.25"/>
    <x v="0"/>
    <n v="8306.75"/>
    <n v="8306.75"/>
    <n v="0"/>
  </r>
  <r>
    <x v="1"/>
    <s v="Normal"/>
    <n v="49"/>
    <x v="0"/>
    <n v="10633"/>
    <n v="10633"/>
    <n v="0"/>
  </r>
  <r>
    <x v="1"/>
    <s v="Normal"/>
    <n v="23.84"/>
    <x v="0"/>
    <n v="5149.4399999999996"/>
    <n v="5149.4399999999996"/>
    <n v="0"/>
  </r>
  <r>
    <x v="1"/>
    <s v="Normal"/>
    <n v="21.8"/>
    <x v="0"/>
    <n v="4599.8"/>
    <n v="4599.8"/>
    <n v="0"/>
  </r>
  <r>
    <x v="1"/>
    <s v="Normal"/>
    <n v="47.18"/>
    <x v="0"/>
    <n v="9719.08"/>
    <n v="9719.08"/>
    <n v="0"/>
  </r>
  <r>
    <x v="1"/>
    <s v="Normal"/>
    <n v="20.41"/>
    <x v="0"/>
    <n v="4082"/>
    <n v="4082"/>
    <n v="0"/>
  </r>
  <r>
    <x v="0"/>
    <s v="Normal"/>
    <n v="82.74"/>
    <x v="0"/>
    <n v="16465.259999999998"/>
    <n v="16465.259999999998"/>
    <n v="0"/>
  </r>
  <r>
    <x v="1"/>
    <s v="Normal"/>
    <n v="22.58"/>
    <x v="1"/>
    <n v="4318.2400000000007"/>
    <n v="4448.2599999999993"/>
    <n v="130.01999999999862"/>
  </r>
  <r>
    <x v="1"/>
    <s v="Phase-out"/>
    <n v="37.21"/>
    <x v="0"/>
    <n v="7255.95"/>
    <n v="7255.95"/>
    <n v="0"/>
  </r>
  <r>
    <x v="1"/>
    <s v="Normal"/>
    <n v="21.13"/>
    <x v="0"/>
    <n v="4099.22"/>
    <n v="4099.22"/>
    <n v="0"/>
  </r>
  <r>
    <x v="1"/>
    <s v="Normal"/>
    <n v="19.13"/>
    <x v="0"/>
    <n v="3711.22"/>
    <n v="3711.22"/>
    <n v="0"/>
  </r>
  <r>
    <x v="0"/>
    <s v="Normal"/>
    <n v="2.14"/>
    <x v="1"/>
    <n v="392.91999999999996"/>
    <n v="402.32000000000005"/>
    <n v="9.4000000000000909"/>
  </r>
  <r>
    <x v="1"/>
    <s v="Normal"/>
    <n v="40.46"/>
    <x v="0"/>
    <n v="7404.18"/>
    <n v="7404.18"/>
    <n v="0"/>
  </r>
  <r>
    <x v="0"/>
    <s v="Normal"/>
    <n v="6.34"/>
    <x v="1"/>
    <n v="1088.5"/>
    <n v="1109.5"/>
    <n v="21"/>
  </r>
  <r>
    <x v="0"/>
    <s v="Normal"/>
    <n v="3.86"/>
    <x v="1"/>
    <n v="659.46"/>
    <n v="671.64"/>
    <n v="12.17999999999995"/>
  </r>
  <r>
    <x v="1"/>
    <s v="Normal"/>
    <n v="17.690000000000001"/>
    <x v="1"/>
    <n v="2884.5600000000004"/>
    <n v="2971.92"/>
    <n v="87.359999999999673"/>
  </r>
  <r>
    <x v="0"/>
    <s v="Normal"/>
    <n v="10.99"/>
    <x v="1"/>
    <n v="1809.36"/>
    <n v="1846.32"/>
    <n v="36.960000000000036"/>
  </r>
  <r>
    <x v="0"/>
    <s v="Normal"/>
    <n v="13.76"/>
    <x v="1"/>
    <n v="2252.83"/>
    <n v="2297.92"/>
    <n v="45.090000000000146"/>
  </r>
  <r>
    <x v="1"/>
    <s v="Phase-out"/>
    <n v="30.37"/>
    <x v="1"/>
    <n v="4835.58"/>
    <n v="5041.42"/>
    <n v="205.84000000000015"/>
  </r>
  <r>
    <x v="1"/>
    <s v="Normal"/>
    <n v="44.1"/>
    <x v="0"/>
    <n v="7320.6"/>
    <n v="7320.6"/>
    <n v="0"/>
  </r>
  <r>
    <x v="1"/>
    <s v="Phase-out"/>
    <n v="15.34"/>
    <x v="0"/>
    <n v="2500.42"/>
    <n v="2500.42"/>
    <n v="0"/>
  </r>
  <r>
    <x v="0"/>
    <s v="Phase-out"/>
    <n v="32.53"/>
    <x v="0"/>
    <n v="5302.39"/>
    <n v="5302.39"/>
    <n v="0"/>
  </r>
  <r>
    <x v="1"/>
    <s v="Normal"/>
    <n v="70.17"/>
    <x v="1"/>
    <n v="11105.189999999999"/>
    <n v="11437.710000000001"/>
    <n v="332.52000000000226"/>
  </r>
  <r>
    <x v="1"/>
    <s v="Normal"/>
    <n v="30.6"/>
    <x v="0"/>
    <n v="4865.4000000000005"/>
    <n v="4865.4000000000005"/>
    <n v="0"/>
  </r>
  <r>
    <x v="1"/>
    <s v="Normal"/>
    <n v="15.92"/>
    <x v="0"/>
    <n v="2515.36"/>
    <n v="2515.36"/>
    <n v="0"/>
  </r>
  <r>
    <x v="1"/>
    <s v="Normal"/>
    <n v="20.239999999999998"/>
    <x v="0"/>
    <n v="3177.68"/>
    <n v="3177.68"/>
    <n v="0"/>
  </r>
  <r>
    <x v="0"/>
    <s v="Phase-out"/>
    <n v="2.39"/>
    <x v="0"/>
    <n v="375.23"/>
    <n v="375.23"/>
    <n v="0"/>
  </r>
  <r>
    <x v="1"/>
    <s v="Normal"/>
    <n v="38.42"/>
    <x v="0"/>
    <n v="5993.52"/>
    <n v="5993.52"/>
    <n v="0"/>
  </r>
  <r>
    <x v="1"/>
    <s v="Normal"/>
    <n v="17.04"/>
    <x v="0"/>
    <n v="2624.16"/>
    <n v="2624.16"/>
    <n v="0"/>
  </r>
  <r>
    <x v="1"/>
    <s v="Normal"/>
    <n v="27.43"/>
    <x v="1"/>
    <n v="4047.7599999999998"/>
    <n v="4169.3599999999997"/>
    <n v="121.59999999999991"/>
  </r>
  <r>
    <x v="1"/>
    <s v="Normal"/>
    <n v="26.57"/>
    <x v="1"/>
    <n v="3895.8"/>
    <n v="4012.07"/>
    <n v="116.26999999999998"/>
  </r>
  <r>
    <x v="1"/>
    <s v="Normal"/>
    <n v="18.43"/>
    <x v="0"/>
    <n v="2746.07"/>
    <n v="2746.07"/>
    <n v="0"/>
  </r>
  <r>
    <x v="0"/>
    <s v="Normal"/>
    <n v="3.48"/>
    <x v="1"/>
    <n v="501.27000000000004"/>
    <n v="511.56"/>
    <n v="10.289999999999964"/>
  </r>
  <r>
    <x v="0"/>
    <s v="Normal"/>
    <n v="4.3499999999999996"/>
    <x v="1"/>
    <n v="621.95999999999992"/>
    <n v="635.09999999999991"/>
    <n v="13.139999999999986"/>
  </r>
  <r>
    <x v="1"/>
    <s v="Normal"/>
    <n v="70.17"/>
    <x v="1"/>
    <n v="9946.98"/>
    <n v="10244.82"/>
    <n v="297.84000000000015"/>
  </r>
  <r>
    <x v="1"/>
    <s v="Normal"/>
    <n v="17.690000000000001"/>
    <x v="1"/>
    <n v="2472.4800000000005"/>
    <n v="2547.36"/>
    <n v="74.879999999999654"/>
  </r>
  <r>
    <x v="1"/>
    <s v="Normal"/>
    <n v="35.33"/>
    <x v="0"/>
    <n v="5052.1899999999996"/>
    <n v="5052.1899999999996"/>
    <n v="0"/>
  </r>
  <r>
    <x v="1"/>
    <s v="Normal"/>
    <n v="59.14"/>
    <x v="0"/>
    <n v="8457.02"/>
    <n v="8457.02"/>
    <n v="0"/>
  </r>
  <r>
    <x v="0"/>
    <s v="Normal"/>
    <n v="5.05"/>
    <x v="1"/>
    <n v="702.9"/>
    <n v="717.1"/>
    <n v="14.200000000000045"/>
  </r>
  <r>
    <x v="0"/>
    <s v="Normal"/>
    <n v="17.649999999999999"/>
    <x v="0"/>
    <n v="2471"/>
    <n v="2471"/>
    <n v="0"/>
  </r>
  <r>
    <x v="1"/>
    <s v="Normal"/>
    <n v="59.95"/>
    <x v="0"/>
    <n v="8333.0500000000011"/>
    <n v="8333.0500000000011"/>
    <n v="0"/>
  </r>
  <r>
    <x v="1"/>
    <s v="Normal"/>
    <n v="35.979999999999997"/>
    <x v="0"/>
    <n v="4965.24"/>
    <n v="4965.24"/>
    <n v="0"/>
  </r>
  <r>
    <x v="1"/>
    <s v="Normal"/>
    <n v="46.39"/>
    <x v="1"/>
    <n v="6035.36"/>
    <n v="6216.26"/>
    <n v="180.90000000000055"/>
  </r>
  <r>
    <x v="1"/>
    <s v="Normal"/>
    <n v="23.16"/>
    <x v="0"/>
    <n v="3057.12"/>
    <n v="3057.12"/>
    <n v="0"/>
  </r>
  <r>
    <x v="0"/>
    <s v="Normal"/>
    <n v="6.49"/>
    <x v="1"/>
    <n v="833.16000000000008"/>
    <n v="850.19"/>
    <n v="17.029999999999973"/>
  </r>
  <r>
    <x v="0"/>
    <s v="Normal"/>
    <n v="8.2899999999999991"/>
    <x v="1"/>
    <n v="1065.0300000000002"/>
    <n v="1085.9899999999998"/>
    <n v="20.959999999999582"/>
  </r>
  <r>
    <x v="0"/>
    <s v="Phase-out"/>
    <n v="3.49"/>
    <x v="2"/>
    <n v="786.5"/>
    <n v="453.70000000000005"/>
    <n v="-332.79999999999995"/>
  </r>
  <r>
    <x v="1"/>
    <s v="Normal"/>
    <n v="36.74"/>
    <x v="0"/>
    <n v="4776.2"/>
    <n v="4776.2"/>
    <n v="0"/>
  </r>
  <r>
    <x v="1"/>
    <s v="Normal"/>
    <n v="3"/>
    <x v="1"/>
    <n v="378.3"/>
    <n v="390"/>
    <n v="11.699999999999989"/>
  </r>
  <r>
    <x v="1"/>
    <s v="Normal"/>
    <n v="9.6199999999999992"/>
    <x v="1"/>
    <n v="1204.8599999999999"/>
    <n v="1240.9799999999998"/>
    <n v="36.119999999999891"/>
  </r>
  <r>
    <x v="0"/>
    <s v="Normal"/>
    <n v="21.12"/>
    <x v="1"/>
    <n v="2671.59"/>
    <n v="2724.48"/>
    <n v="52.889999999999873"/>
  </r>
  <r>
    <x v="1"/>
    <s v="Normal"/>
    <n v="29.21"/>
    <x v="0"/>
    <n v="3738.88"/>
    <n v="3738.88"/>
    <n v="0"/>
  </r>
  <r>
    <x v="0"/>
    <s v="Normal"/>
    <n v="19.52"/>
    <x v="0"/>
    <n v="2420.48"/>
    <n v="2420.48"/>
    <n v="0"/>
  </r>
  <r>
    <x v="1"/>
    <s v="Normal"/>
    <n v="18.47"/>
    <x v="0"/>
    <n v="2271.81"/>
    <n v="2271.81"/>
    <n v="0"/>
  </r>
  <r>
    <x v="1"/>
    <s v="Normal"/>
    <n v="68.78"/>
    <x v="1"/>
    <n v="8147.16"/>
    <n v="8391.16"/>
    <n v="244"/>
  </r>
  <r>
    <x v="0"/>
    <s v="Normal"/>
    <n v="44.12"/>
    <x v="0"/>
    <n v="5382.6399999999994"/>
    <n v="5382.6399999999994"/>
    <n v="0"/>
  </r>
  <r>
    <x v="0"/>
    <s v="Phase-out"/>
    <n v="12.43"/>
    <x v="0"/>
    <n v="1516.46"/>
    <n v="1516.46"/>
    <n v="0"/>
  </r>
  <r>
    <x v="0"/>
    <s v="Pre-phase-out"/>
    <n v="19.18"/>
    <x v="0"/>
    <n v="2320.7799999999997"/>
    <n v="2320.7799999999997"/>
    <n v="0"/>
  </r>
  <r>
    <x v="0"/>
    <s v="Normal"/>
    <n v="1.74"/>
    <x v="0"/>
    <n v="208.8"/>
    <n v="208.8"/>
    <n v="0"/>
  </r>
  <r>
    <x v="1"/>
    <s v="Normal"/>
    <n v="47.72"/>
    <x v="1"/>
    <n v="5559.5999999999995"/>
    <n v="5726.4"/>
    <n v="166.80000000000018"/>
  </r>
  <r>
    <x v="0"/>
    <s v="Normal"/>
    <n v="4.12"/>
    <x v="1"/>
    <n v="484.8"/>
    <n v="494.40000000000003"/>
    <n v="9.6000000000000227"/>
  </r>
  <r>
    <x v="1"/>
    <s v="Normal"/>
    <n v="12.31"/>
    <x v="0"/>
    <n v="1477.2"/>
    <n v="1477.2"/>
    <n v="0"/>
  </r>
  <r>
    <x v="1"/>
    <s v="Normal"/>
    <n v="15.62"/>
    <x v="1"/>
    <n v="1805.23"/>
    <n v="1858.78"/>
    <n v="53.549999999999955"/>
  </r>
  <r>
    <x v="0"/>
    <s v="Normal"/>
    <n v="3.96"/>
    <x v="1"/>
    <n v="459.02000000000004"/>
    <n v="467.28"/>
    <n v="8.2599999999999341"/>
  </r>
  <r>
    <x v="1"/>
    <s v="Normal"/>
    <n v="67.63"/>
    <x v="1"/>
    <n v="7747.8799999999992"/>
    <n v="7980.3399999999992"/>
    <n v="232.46000000000004"/>
  </r>
  <r>
    <x v="1"/>
    <s v="Normal"/>
    <n v="66.959999999999994"/>
    <x v="1"/>
    <n v="7476.1500000000005"/>
    <n v="7700.4"/>
    <n v="224.24999999999909"/>
  </r>
  <r>
    <x v="0"/>
    <s v="Normal"/>
    <n v="2.11"/>
    <x v="1"/>
    <n v="238.04999999999998"/>
    <n v="242.64999999999998"/>
    <n v="4.5999999999999943"/>
  </r>
  <r>
    <x v="0"/>
    <s v="Normal"/>
    <n v="5.46"/>
    <x v="1"/>
    <n v="615.25"/>
    <n v="627.9"/>
    <n v="12.649999999999977"/>
  </r>
  <r>
    <x v="1"/>
    <s v="Normal"/>
    <n v="18.22"/>
    <x v="0"/>
    <n v="2077.08"/>
    <n v="2077.08"/>
    <n v="0"/>
  </r>
  <r>
    <x v="1"/>
    <s v="Normal"/>
    <n v="37.08"/>
    <x v="1"/>
    <n v="4104"/>
    <n v="4227.12"/>
    <n v="123.11999999999989"/>
  </r>
  <r>
    <x v="0"/>
    <s v="Pre-phase-out"/>
    <n v="5.85"/>
    <x v="0"/>
    <n v="649.34999999999991"/>
    <n v="649.34999999999991"/>
    <n v="0"/>
  </r>
  <r>
    <x v="0"/>
    <s v="Normal"/>
    <n v="47.8"/>
    <x v="0"/>
    <n v="5305.7999999999993"/>
    <n v="5305.7999999999993"/>
    <n v="0"/>
  </r>
  <r>
    <x v="0"/>
    <s v="Normal"/>
    <n v="4.55"/>
    <x v="1"/>
    <n v="490.6"/>
    <n v="500.5"/>
    <n v="9.8999999999999773"/>
  </r>
  <r>
    <x v="1"/>
    <s v="Normal"/>
    <n v="14.7"/>
    <x v="0"/>
    <n v="1617"/>
    <n v="1617"/>
    <n v="0"/>
  </r>
  <r>
    <x v="1"/>
    <s v="Normal"/>
    <n v="23.16"/>
    <x v="1"/>
    <n v="2451.41"/>
    <n v="2524.44"/>
    <n v="73.0300000000002"/>
  </r>
  <r>
    <x v="1"/>
    <s v="Normal"/>
    <n v="27.19"/>
    <x v="0"/>
    <n v="2963.71"/>
    <n v="2963.71"/>
    <n v="0"/>
  </r>
  <r>
    <x v="0"/>
    <s v="Normal"/>
    <n v="2.02"/>
    <x v="1"/>
    <n v="213.84"/>
    <n v="218.16"/>
    <n v="4.3199999999999932"/>
  </r>
  <r>
    <x v="0"/>
    <s v="Phase-out"/>
    <n v="6.26"/>
    <x v="0"/>
    <n v="663.56"/>
    <n v="663.56"/>
    <n v="0"/>
  </r>
  <r>
    <x v="1"/>
    <s v="Phase-out"/>
    <n v="36.86"/>
    <x v="0"/>
    <n v="3870.2999999999997"/>
    <n v="3870.2999999999997"/>
    <n v="0"/>
  </r>
  <r>
    <x v="1"/>
    <s v="Normal"/>
    <n v="19.8"/>
    <x v="0"/>
    <n v="2059.2000000000003"/>
    <n v="2059.2000000000003"/>
    <n v="0"/>
  </r>
  <r>
    <x v="1"/>
    <s v="Normal"/>
    <n v="25.96"/>
    <x v="1"/>
    <n v="2595.6"/>
    <n v="2673.88"/>
    <n v="78.2800000000002"/>
  </r>
  <r>
    <x v="1"/>
    <s v="Normal"/>
    <n v="47.32"/>
    <x v="0"/>
    <n v="4873.96"/>
    <n v="4873.96"/>
    <n v="0"/>
  </r>
  <r>
    <x v="0"/>
    <s v="Normal"/>
    <n v="3"/>
    <x v="1"/>
    <n v="302.82"/>
    <n v="309"/>
    <n v="6.1800000000000068"/>
  </r>
  <r>
    <x v="0"/>
    <s v="Normal"/>
    <n v="24.82"/>
    <x v="0"/>
    <n v="2556.46"/>
    <n v="2556.46"/>
    <n v="0"/>
  </r>
  <r>
    <x v="1"/>
    <s v="Normal"/>
    <n v="33.9"/>
    <x v="1"/>
    <n v="3356.8199999999997"/>
    <n v="3457.7999999999997"/>
    <n v="100.98000000000002"/>
  </r>
  <r>
    <x v="1"/>
    <s v="Normal"/>
    <n v="19.38"/>
    <x v="0"/>
    <n v="1976.76"/>
    <n v="1976.76"/>
    <n v="0"/>
  </r>
  <r>
    <x v="0"/>
    <s v="Normal"/>
    <n v="10.56"/>
    <x v="1"/>
    <n v="1055.7"/>
    <n v="1077.1200000000001"/>
    <n v="21.420000000000073"/>
  </r>
  <r>
    <x v="1"/>
    <s v="Normal"/>
    <n v="26.58"/>
    <x v="0"/>
    <n v="2711.16"/>
    <n v="2711.16"/>
    <n v="0"/>
  </r>
  <r>
    <x v="1"/>
    <s v="Normal"/>
    <n v="13.2"/>
    <x v="1"/>
    <n v="1293.81"/>
    <n v="1333.1999999999998"/>
    <n v="39.389999999999873"/>
  </r>
  <r>
    <x v="1"/>
    <s v="Normal"/>
    <n v="15.9"/>
    <x v="0"/>
    <n v="1590"/>
    <n v="1590"/>
    <n v="0"/>
  </r>
  <r>
    <x v="0"/>
    <s v="Normal"/>
    <n v="3.99"/>
    <x v="1"/>
    <n v="383.18"/>
    <n v="391.02000000000004"/>
    <n v="7.8400000000000318"/>
  </r>
  <r>
    <x v="1"/>
    <s v="Normal"/>
    <n v="40.369999999999997"/>
    <x v="1"/>
    <n v="3841.6000000000004"/>
    <n v="3956.2599999999998"/>
    <n v="114.6599999999994"/>
  </r>
  <r>
    <x v="0"/>
    <s v="Normal"/>
    <n v="1.3"/>
    <x v="1"/>
    <n v="123.19"/>
    <n v="126.10000000000001"/>
    <n v="2.9100000000000108"/>
  </r>
  <r>
    <x v="1"/>
    <s v="Normal"/>
    <n v="41.5"/>
    <x v="0"/>
    <n v="4025.5"/>
    <n v="4025.5"/>
    <n v="0"/>
  </r>
  <r>
    <x v="1"/>
    <s v="Normal"/>
    <n v="47.72"/>
    <x v="1"/>
    <n v="4494.01"/>
    <n v="4628.84"/>
    <n v="134.82999999999993"/>
  </r>
  <r>
    <x v="1"/>
    <s v="Normal"/>
    <n v="34.619999999999997"/>
    <x v="0"/>
    <n v="3323.5199999999995"/>
    <n v="3323.5199999999995"/>
    <n v="0"/>
  </r>
  <r>
    <x v="1"/>
    <s v="Normal"/>
    <n v="37.54"/>
    <x v="1"/>
    <n v="3462.7500000000005"/>
    <n v="3566.2999999999997"/>
    <n v="103.54999999999927"/>
  </r>
  <r>
    <x v="0"/>
    <s v="Normal"/>
    <n v="4.66"/>
    <x v="1"/>
    <n v="429.58000000000004"/>
    <n v="438.04"/>
    <n v="8.4599999999999795"/>
  </r>
  <r>
    <x v="0"/>
    <s v="Normal"/>
    <n v="5.41"/>
    <x v="1"/>
    <n v="493.83"/>
    <n v="503.13"/>
    <n v="9.3000000000000114"/>
  </r>
  <r>
    <x v="1"/>
    <s v="Normal"/>
    <n v="31.72"/>
    <x v="0"/>
    <n v="2886.52"/>
    <n v="2886.52"/>
    <n v="0"/>
  </r>
  <r>
    <x v="1"/>
    <s v="Normal"/>
    <n v="15.62"/>
    <x v="1"/>
    <n v="1380.47"/>
    <n v="1421.4199999999998"/>
    <n v="40.949999999999818"/>
  </r>
  <r>
    <x v="1"/>
    <s v="Normal"/>
    <n v="42.74"/>
    <x v="0"/>
    <n v="3889.34"/>
    <n v="3889.34"/>
    <n v="0"/>
  </r>
  <r>
    <x v="0"/>
    <s v="Normal"/>
    <n v="6.56"/>
    <x v="1"/>
    <n v="578.69999999999993"/>
    <n v="590.4"/>
    <n v="11.700000000000045"/>
  </r>
  <r>
    <x v="0"/>
    <s v="Normal"/>
    <n v="9.42"/>
    <x v="1"/>
    <n v="803.01"/>
    <n v="819.54"/>
    <n v="16.529999999999973"/>
  </r>
  <r>
    <x v="1"/>
    <s v="Normal"/>
    <n v="36.71"/>
    <x v="1"/>
    <n v="3065.04"/>
    <n v="3157.06"/>
    <n v="92.019999999999982"/>
  </r>
  <r>
    <x v="0"/>
    <s v="Normal"/>
    <n v="3.19"/>
    <x v="1"/>
    <n v="262.92"/>
    <n v="267.95999999999998"/>
    <n v="5.0399999999999636"/>
  </r>
  <r>
    <x v="0"/>
    <s v="Normal"/>
    <n v="2.61"/>
    <x v="1"/>
    <n v="215.04"/>
    <n v="219.23999999999998"/>
    <n v="4.1999999999999886"/>
  </r>
  <r>
    <x v="0"/>
    <s v="Normal"/>
    <n v="29.65"/>
    <x v="1"/>
    <n v="2411.98"/>
    <n v="2460.9499999999998"/>
    <n v="48.9699999999998"/>
  </r>
  <r>
    <x v="1"/>
    <s v="Normal"/>
    <n v="17.41"/>
    <x v="0"/>
    <n v="1445.03"/>
    <n v="1445.03"/>
    <n v="0"/>
  </r>
  <r>
    <x v="0"/>
    <s v="Normal"/>
    <n v="5.78"/>
    <x v="1"/>
    <n v="469.78000000000003"/>
    <n v="479.74"/>
    <n v="9.9599999999999795"/>
  </r>
  <r>
    <x v="1"/>
    <s v="Normal"/>
    <n v="20.27"/>
    <x v="0"/>
    <n v="1682.4099999999999"/>
    <n v="1682.4099999999999"/>
    <n v="0"/>
  </r>
  <r>
    <x v="0"/>
    <s v="Normal"/>
    <n v="7.23"/>
    <x v="1"/>
    <n v="581.38"/>
    <n v="592.86"/>
    <n v="11.480000000000018"/>
  </r>
  <r>
    <x v="0"/>
    <s v="Normal"/>
    <n v="6.13"/>
    <x v="1"/>
    <n v="492.82"/>
    <n v="502.65999999999997"/>
    <n v="9.839999999999975"/>
  </r>
  <r>
    <x v="0"/>
    <s v="Normal"/>
    <n v="4.66"/>
    <x v="1"/>
    <n v="370.17"/>
    <n v="377.46000000000004"/>
    <n v="7.2900000000000205"/>
  </r>
  <r>
    <x v="0"/>
    <s v="Normal"/>
    <n v="4.58"/>
    <x v="1"/>
    <n v="350.22"/>
    <n v="357.24"/>
    <n v="7.0199999999999818"/>
  </r>
  <r>
    <x v="1"/>
    <s v="Normal"/>
    <n v="18.940000000000001"/>
    <x v="0"/>
    <n v="1477.3200000000002"/>
    <n v="1477.3200000000002"/>
    <n v="0"/>
  </r>
  <r>
    <x v="1"/>
    <s v="Normal"/>
    <n v="24.1"/>
    <x v="1"/>
    <n v="1801.8"/>
    <n v="1855.7"/>
    <n v="53.900000000000091"/>
  </r>
  <r>
    <x v="1"/>
    <s v="Normal"/>
    <n v="45.35"/>
    <x v="0"/>
    <n v="3401.25"/>
    <n v="3401.25"/>
    <n v="0"/>
  </r>
  <r>
    <x v="0"/>
    <s v="Normal"/>
    <n v="3.99"/>
    <x v="1"/>
    <n v="293.25"/>
    <n v="299.25"/>
    <n v="6"/>
  </r>
  <r>
    <x v="0"/>
    <s v="Normal"/>
    <n v="24.68"/>
    <x v="0"/>
    <n v="1826.32"/>
    <n v="1826.32"/>
    <n v="0"/>
  </r>
  <r>
    <x v="1"/>
    <s v="Normal"/>
    <n v="17.420000000000002"/>
    <x v="0"/>
    <n v="1289.0800000000002"/>
    <n v="1289.0800000000002"/>
    <n v="0"/>
  </r>
  <r>
    <x v="1"/>
    <s v="Normal"/>
    <n v="25.34"/>
    <x v="0"/>
    <n v="1875.16"/>
    <n v="1875.16"/>
    <n v="0"/>
  </r>
  <r>
    <x v="1"/>
    <s v="Normal"/>
    <n v="17.739999999999998"/>
    <x v="1"/>
    <n v="1257.06"/>
    <n v="1295.02"/>
    <n v="37.960000000000036"/>
  </r>
  <r>
    <x v="0"/>
    <s v="Normal"/>
    <n v="7.98"/>
    <x v="0"/>
    <n v="582.54000000000008"/>
    <n v="582.54000000000008"/>
    <n v="0"/>
  </r>
  <r>
    <x v="1"/>
    <s v="Normal"/>
    <n v="35.270000000000003"/>
    <x v="1"/>
    <n v="2499.52"/>
    <n v="2574.71"/>
    <n v="75.190000000000055"/>
  </r>
  <r>
    <x v="0"/>
    <s v="Pre-phase-out"/>
    <n v="5.4"/>
    <x v="0"/>
    <n v="388.8"/>
    <n v="388.8"/>
    <n v="0"/>
  </r>
  <r>
    <x v="0"/>
    <s v="Normal"/>
    <n v="5.41"/>
    <x v="1"/>
    <n v="376.3"/>
    <n v="384.11"/>
    <n v="7.8100000000000023"/>
  </r>
  <r>
    <x v="0"/>
    <s v="Normal"/>
    <n v="5.16"/>
    <x v="1"/>
    <n v="354.2"/>
    <n v="361.2"/>
    <n v="7"/>
  </r>
  <r>
    <x v="0"/>
    <s v="Normal"/>
    <n v="4.5599999999999996"/>
    <x v="1"/>
    <n v="312.89999999999998"/>
    <n v="319.2"/>
    <n v="6.3000000000000114"/>
  </r>
  <r>
    <x v="0"/>
    <s v="Normal"/>
    <n v="8.92"/>
    <x v="1"/>
    <n v="603.75"/>
    <n v="615.48"/>
    <n v="11.730000000000018"/>
  </r>
  <r>
    <x v="1"/>
    <s v="Normal"/>
    <n v="19.54"/>
    <x v="1"/>
    <n v="1308.9299999999998"/>
    <n v="1348.26"/>
    <n v="39.330000000000155"/>
  </r>
  <r>
    <x v="0"/>
    <s v="Pre-phase-out"/>
    <n v="12.36"/>
    <x v="0"/>
    <n v="852.83999999999992"/>
    <n v="852.83999999999992"/>
    <n v="0"/>
  </r>
  <r>
    <x v="0"/>
    <s v="Normal"/>
    <n v="16.41"/>
    <x v="0"/>
    <n v="1099.47"/>
    <n v="1099.47"/>
    <n v="0"/>
  </r>
  <r>
    <x v="0"/>
    <s v="Normal"/>
    <n v="9.19"/>
    <x v="1"/>
    <n v="603.66999999999996"/>
    <n v="615.73"/>
    <n v="12.060000000000059"/>
  </r>
  <r>
    <x v="0"/>
    <s v="Phase-out"/>
    <n v="3.84"/>
    <x v="2"/>
    <n v="430.32"/>
    <n v="253.44"/>
    <n v="-176.88"/>
  </r>
  <r>
    <x v="1"/>
    <s v="Normal"/>
    <n v="24.81"/>
    <x v="1"/>
    <n v="1589.28"/>
    <n v="1637.4599999999998"/>
    <n v="48.179999999999836"/>
  </r>
  <r>
    <x v="0"/>
    <s v="Normal"/>
    <n v="1.17"/>
    <x v="1"/>
    <n v="74.75"/>
    <n v="76.05"/>
    <n v="1.2999999999999972"/>
  </r>
  <r>
    <x v="1"/>
    <s v="Normal"/>
    <n v="41.29"/>
    <x v="1"/>
    <n v="2605.8500000000004"/>
    <n v="2683.85"/>
    <n v="77.999999999999545"/>
  </r>
  <r>
    <x v="1"/>
    <s v="Normal"/>
    <n v="28.46"/>
    <x v="1"/>
    <n v="1795.95"/>
    <n v="1849.9"/>
    <n v="53.950000000000045"/>
  </r>
  <r>
    <x v="1"/>
    <s v="Normal"/>
    <n v="36.71"/>
    <x v="1"/>
    <n v="2316.6"/>
    <n v="2386.15"/>
    <n v="69.550000000000182"/>
  </r>
  <r>
    <x v="0"/>
    <s v="Normal"/>
    <n v="12.35"/>
    <x v="0"/>
    <n v="790.4"/>
    <n v="790.4"/>
    <n v="0"/>
  </r>
  <r>
    <x v="1"/>
    <s v="Centrally stock allocated"/>
    <n v="56.11"/>
    <x v="0"/>
    <n v="3591.04"/>
    <n v="3591.04"/>
    <n v="0"/>
  </r>
  <r>
    <x v="1"/>
    <s v="Normal"/>
    <n v="68.78"/>
    <x v="1"/>
    <n v="4273.92"/>
    <n v="4401.92"/>
    <n v="128"/>
  </r>
  <r>
    <x v="0"/>
    <s v="Normal"/>
    <n v="12.57"/>
    <x v="0"/>
    <n v="791.91"/>
    <n v="791.91"/>
    <n v="0"/>
  </r>
  <r>
    <x v="0"/>
    <s v="Normal"/>
    <n v="6.21"/>
    <x v="1"/>
    <n v="383.67"/>
    <n v="391.23"/>
    <n v="7.5600000000000023"/>
  </r>
  <r>
    <x v="0"/>
    <s v="Normal"/>
    <n v="24.39"/>
    <x v="1"/>
    <n v="1506.33"/>
    <n v="1536.57"/>
    <n v="30.240000000000009"/>
  </r>
  <r>
    <x v="0"/>
    <s v="Normal"/>
    <n v="12.25"/>
    <x v="1"/>
    <n v="744.62"/>
    <n v="759.5"/>
    <n v="14.879999999999995"/>
  </r>
  <r>
    <x v="1"/>
    <s v="Normal"/>
    <n v="36.89"/>
    <x v="0"/>
    <n v="2287.1799999999998"/>
    <n v="2287.1799999999998"/>
    <n v="0"/>
  </r>
  <r>
    <x v="0"/>
    <s v="Phase-out"/>
    <n v="15.97"/>
    <x v="0"/>
    <n v="990.14"/>
    <n v="990.14"/>
    <n v="0"/>
  </r>
  <r>
    <x v="1"/>
    <s v="Normal"/>
    <n v="23.84"/>
    <x v="0"/>
    <n v="1478.08"/>
    <n v="1478.08"/>
    <n v="0"/>
  </r>
  <r>
    <x v="0"/>
    <s v="Normal"/>
    <n v="2.2200000000000002"/>
    <x v="1"/>
    <n v="132.98000000000002"/>
    <n v="135.42000000000002"/>
    <n v="2.4399999999999977"/>
  </r>
  <r>
    <x v="0"/>
    <s v="Normal"/>
    <n v="9.42"/>
    <x v="1"/>
    <n v="563.03"/>
    <n v="574.62"/>
    <n v="11.590000000000032"/>
  </r>
  <r>
    <x v="0"/>
    <s v="Normal"/>
    <n v="8.82"/>
    <x v="1"/>
    <n v="527.65"/>
    <n v="538.02"/>
    <n v="10.370000000000005"/>
  </r>
  <r>
    <x v="1"/>
    <s v="Normal"/>
    <n v="15.29"/>
    <x v="0"/>
    <n v="932.68999999999994"/>
    <n v="932.68999999999994"/>
    <n v="0"/>
  </r>
  <r>
    <x v="0"/>
    <s v="Normal"/>
    <n v="20.55"/>
    <x v="0"/>
    <n v="1233"/>
    <n v="1233"/>
    <n v="0"/>
  </r>
  <r>
    <x v="0"/>
    <s v="Normal"/>
    <n v="30.58"/>
    <x v="1"/>
    <n v="1798.8"/>
    <n v="1834.8"/>
    <n v="36"/>
  </r>
  <r>
    <x v="0"/>
    <s v="Normal"/>
    <n v="6.91"/>
    <x v="1"/>
    <n v="406.8"/>
    <n v="414.6"/>
    <n v="7.8000000000000114"/>
  </r>
  <r>
    <x v="0"/>
    <s v="Normal"/>
    <n v="11.43"/>
    <x v="1"/>
    <n v="672.6"/>
    <n v="685.8"/>
    <n v="13.199999999999932"/>
  </r>
  <r>
    <x v="0"/>
    <s v="Normal"/>
    <n v="21.14"/>
    <x v="0"/>
    <n v="1268.4000000000001"/>
    <n v="1268.4000000000001"/>
    <n v="0"/>
  </r>
  <r>
    <x v="1"/>
    <s v="Normal"/>
    <n v="17.54"/>
    <x v="0"/>
    <n v="1052.3999999999999"/>
    <n v="1052.3999999999999"/>
    <n v="0"/>
  </r>
  <r>
    <x v="0"/>
    <s v="Normal"/>
    <n v="2.58"/>
    <x v="1"/>
    <n v="149.26999999999998"/>
    <n v="152.22"/>
    <n v="2.9500000000000171"/>
  </r>
  <r>
    <x v="1"/>
    <s v="Normal"/>
    <n v="70.489999999999995"/>
    <x v="1"/>
    <n v="4037.96"/>
    <n v="4158.91"/>
    <n v="120.94999999999982"/>
  </r>
  <r>
    <x v="0"/>
    <s v="Normal"/>
    <n v="5.17"/>
    <x v="1"/>
    <n v="299.13"/>
    <n v="305.02999999999997"/>
    <n v="5.8999999999999773"/>
  </r>
  <r>
    <x v="1"/>
    <s v="Normal"/>
    <n v="10.94"/>
    <x v="0"/>
    <n v="645.45999999999992"/>
    <n v="645.45999999999992"/>
    <n v="0"/>
  </r>
  <r>
    <x v="1"/>
    <s v="Normal"/>
    <n v="60.99"/>
    <x v="1"/>
    <n v="3493.39"/>
    <n v="3598.4100000000003"/>
    <n v="105.02000000000044"/>
  </r>
  <r>
    <x v="1"/>
    <s v="Normal"/>
    <n v="71.209999999999994"/>
    <x v="0"/>
    <n v="4201.3899999999994"/>
    <n v="4201.3899999999994"/>
    <n v="0"/>
  </r>
  <r>
    <x v="0"/>
    <s v="In-active Promo / out of "/>
    <n v="16.5"/>
    <x v="0"/>
    <n v="957"/>
    <n v="957"/>
    <n v="0"/>
  </r>
  <r>
    <x v="0"/>
    <s v="Normal"/>
    <n v="5.65"/>
    <x v="1"/>
    <n v="321.32"/>
    <n v="327.70000000000005"/>
    <n v="6.3800000000000523"/>
  </r>
  <r>
    <x v="1"/>
    <s v="Phase-out"/>
    <n v="51.13"/>
    <x v="0"/>
    <n v="2965.54"/>
    <n v="2965.54"/>
    <n v="0"/>
  </r>
  <r>
    <x v="0"/>
    <s v="Normal"/>
    <n v="30.58"/>
    <x v="1"/>
    <n v="1708.8600000000001"/>
    <n v="1743.06"/>
    <n v="34.199999999999818"/>
  </r>
  <r>
    <x v="0"/>
    <s v="Normal"/>
    <n v="11.15"/>
    <x v="1"/>
    <n v="623.01"/>
    <n v="635.55000000000007"/>
    <n v="12.540000000000077"/>
  </r>
  <r>
    <x v="1"/>
    <s v="Normal"/>
    <n v="35.270000000000003"/>
    <x v="1"/>
    <n v="1951.68"/>
    <n v="2010.39"/>
    <n v="58.710000000000036"/>
  </r>
  <r>
    <x v="1"/>
    <s v="Normal"/>
    <n v="17.13"/>
    <x v="0"/>
    <n v="976.41"/>
    <n v="976.41"/>
    <n v="0"/>
  </r>
  <r>
    <x v="1"/>
    <s v="Normal"/>
    <n v="23.29"/>
    <x v="0"/>
    <n v="1304.24"/>
    <n v="1304.24"/>
    <n v="0"/>
  </r>
  <r>
    <x v="1"/>
    <s v="Normal"/>
    <n v="18.22"/>
    <x v="0"/>
    <n v="1020.3199999999999"/>
    <n v="1020.3199999999999"/>
    <n v="0"/>
  </r>
  <r>
    <x v="1"/>
    <s v="Normal"/>
    <n v="11.3"/>
    <x v="0"/>
    <n v="621.5"/>
    <n v="621.5"/>
    <n v="0"/>
  </r>
  <r>
    <x v="1"/>
    <s v="Normal"/>
    <n v="37.96"/>
    <x v="0"/>
    <n v="2087.8000000000002"/>
    <n v="2087.8000000000002"/>
    <n v="0"/>
  </r>
  <r>
    <x v="1"/>
    <s v="Normal"/>
    <n v="23.97"/>
    <x v="1"/>
    <n v="1257.1200000000001"/>
    <n v="1294.3799999999999"/>
    <n v="37.259999999999764"/>
  </r>
  <r>
    <x v="0"/>
    <s v="Normal"/>
    <n v="9.83"/>
    <x v="0"/>
    <n v="530.82000000000005"/>
    <n v="530.82000000000005"/>
    <n v="0"/>
  </r>
  <r>
    <x v="0"/>
    <s v="Normal"/>
    <n v="12.74"/>
    <x v="0"/>
    <n v="687.96"/>
    <n v="687.96"/>
    <n v="0"/>
  </r>
  <r>
    <x v="0"/>
    <s v="Normal"/>
    <n v="3.45"/>
    <x v="1"/>
    <n v="183.06"/>
    <n v="186.3"/>
    <n v="3.2400000000000091"/>
  </r>
  <r>
    <x v="0"/>
    <s v="Normal"/>
    <n v="12.79"/>
    <x v="1"/>
    <n v="664.62"/>
    <n v="677.87"/>
    <n v="13.25"/>
  </r>
  <r>
    <x v="1"/>
    <s v="Normal"/>
    <n v="22.11"/>
    <x v="1"/>
    <n v="1137.9099999999999"/>
    <n v="1171.83"/>
    <n v="33.920000000000073"/>
  </r>
  <r>
    <x v="0"/>
    <s v="Normal"/>
    <n v="3.6"/>
    <x v="0"/>
    <n v="190.8"/>
    <n v="190.8"/>
    <n v="0"/>
  </r>
  <r>
    <x v="1"/>
    <s v="Normal"/>
    <n v="7.82"/>
    <x v="1"/>
    <n v="398.56"/>
    <n v="414.46000000000004"/>
    <n v="15.900000000000034"/>
  </r>
  <r>
    <x v="0"/>
    <s v="Normal"/>
    <n v="3.15"/>
    <x v="1"/>
    <n v="160.68"/>
    <n v="163.79999999999998"/>
    <n v="3.1199999999999761"/>
  </r>
  <r>
    <x v="0"/>
    <s v="Normal"/>
    <n v="8.9"/>
    <x v="1"/>
    <n v="453.44000000000005"/>
    <n v="462.8"/>
    <n v="9.3599999999999568"/>
  </r>
  <r>
    <x v="1"/>
    <s v="Normal"/>
    <n v="5.68"/>
    <x v="1"/>
    <n v="286.52"/>
    <n v="295.36"/>
    <n v="8.8400000000000318"/>
  </r>
  <r>
    <x v="0"/>
    <s v="Normal"/>
    <n v="2.83"/>
    <x v="1"/>
    <n v="144.56"/>
    <n v="147.16"/>
    <n v="2.5999999999999943"/>
  </r>
  <r>
    <x v="1"/>
    <s v="Normal"/>
    <n v="16.23"/>
    <x v="1"/>
    <n v="819.52"/>
    <n v="843.96"/>
    <n v="24.440000000000055"/>
  </r>
  <r>
    <x v="0"/>
    <s v="Normal"/>
    <n v="54.71"/>
    <x v="0"/>
    <n v="2844.92"/>
    <n v="2844.92"/>
    <n v="0"/>
  </r>
  <r>
    <x v="1"/>
    <s v="Normal"/>
    <n v="47.72"/>
    <x v="1"/>
    <n v="2362.83"/>
    <n v="2433.7199999999998"/>
    <n v="70.889999999999873"/>
  </r>
  <r>
    <x v="0"/>
    <s v="Normal"/>
    <n v="13.45"/>
    <x v="1"/>
    <n v="672.68999999999994"/>
    <n v="685.94999999999993"/>
    <n v="13.259999999999991"/>
  </r>
  <r>
    <x v="1"/>
    <s v="Normal"/>
    <n v="42.74"/>
    <x v="0"/>
    <n v="2179.7400000000002"/>
    <n v="2179.7400000000002"/>
    <n v="0"/>
  </r>
  <r>
    <x v="1"/>
    <s v="Normal"/>
    <n v="71.209999999999994"/>
    <x v="0"/>
    <n v="3631.7099999999996"/>
    <n v="3631.7099999999996"/>
    <n v="0"/>
  </r>
  <r>
    <x v="0"/>
    <s v="Normal"/>
    <n v="15.91"/>
    <x v="1"/>
    <n v="780"/>
    <n v="795.5"/>
    <n v="15.5"/>
  </r>
  <r>
    <x v="0"/>
    <s v="Normal"/>
    <n v="3.35"/>
    <x v="1"/>
    <n v="164"/>
    <n v="167.5"/>
    <n v="3.5"/>
  </r>
  <r>
    <x v="1"/>
    <s v="Normal"/>
    <n v="35.33"/>
    <x v="0"/>
    <n v="1766.5"/>
    <n v="1766.5"/>
    <n v="0"/>
  </r>
  <r>
    <x v="0"/>
    <s v="Normal"/>
    <n v="10.46"/>
    <x v="1"/>
    <n v="502.74"/>
    <n v="512.54000000000008"/>
    <n v="9.8000000000000682"/>
  </r>
  <r>
    <x v="0"/>
    <s v="Normal"/>
    <n v="5.8"/>
    <x v="1"/>
    <n v="278.32"/>
    <n v="284.2"/>
    <n v="5.8799999999999955"/>
  </r>
  <r>
    <x v="1"/>
    <s v="Normal"/>
    <n v="27.32"/>
    <x v="1"/>
    <n v="1273.44"/>
    <n v="1311.3600000000001"/>
    <n v="37.920000000000073"/>
  </r>
  <r>
    <x v="0"/>
    <s v="Normal"/>
    <n v="11.1"/>
    <x v="1"/>
    <n v="522.24"/>
    <n v="532.79999999999995"/>
    <n v="10.559999999999945"/>
  </r>
  <r>
    <x v="1"/>
    <s v="Normal"/>
    <n v="16.39"/>
    <x v="1"/>
    <n v="764.16"/>
    <n v="786.72"/>
    <n v="22.560000000000059"/>
  </r>
  <r>
    <x v="1"/>
    <s v="Normal"/>
    <n v="28.26"/>
    <x v="0"/>
    <n v="1328.22"/>
    <n v="1328.22"/>
    <n v="0"/>
  </r>
  <r>
    <x v="0"/>
    <s v="Normal"/>
    <n v="3.22"/>
    <x v="1"/>
    <n v="148.52000000000001"/>
    <n v="151.34"/>
    <n v="2.8199999999999932"/>
  </r>
  <r>
    <x v="0"/>
    <s v="Normal"/>
    <n v="25.45"/>
    <x v="1"/>
    <n v="1172.6499999999999"/>
    <n v="1196.1499999999999"/>
    <n v="23.5"/>
  </r>
  <r>
    <x v="0"/>
    <s v="Normal"/>
    <n v="3.11"/>
    <x v="1"/>
    <n v="140.29999999999998"/>
    <n v="143.06"/>
    <n v="2.7600000000000193"/>
  </r>
  <r>
    <x v="1"/>
    <s v="Normal"/>
    <n v="47.34"/>
    <x v="0"/>
    <n v="2177.6400000000003"/>
    <n v="2177.6400000000003"/>
    <n v="0"/>
  </r>
  <r>
    <x v="0"/>
    <s v="Normal"/>
    <n v="17.649999999999999"/>
    <x v="0"/>
    <n v="811.9"/>
    <n v="811.9"/>
    <n v="0"/>
  </r>
  <r>
    <x v="0"/>
    <s v="Normal"/>
    <n v="6.75"/>
    <x v="1"/>
    <n v="304.52"/>
    <n v="310.5"/>
    <n v="5.9800000000000182"/>
  </r>
  <r>
    <x v="0"/>
    <s v="Normal"/>
    <n v="21.74"/>
    <x v="1"/>
    <n v="980.26"/>
    <n v="1000.04"/>
    <n v="19.779999999999973"/>
  </r>
  <r>
    <x v="1"/>
    <s v="Normal"/>
    <n v="19.37"/>
    <x v="1"/>
    <n v="864.80000000000007"/>
    <n v="891.0200000000001"/>
    <n v="26.220000000000027"/>
  </r>
  <r>
    <x v="1"/>
    <s v="Normal"/>
    <n v="16.23"/>
    <x v="1"/>
    <n v="724.96"/>
    <n v="746.58"/>
    <n v="21.620000000000005"/>
  </r>
  <r>
    <x v="1"/>
    <s v="Normal"/>
    <n v="33.9"/>
    <x v="1"/>
    <n v="1480.9499999999998"/>
    <n v="1525.5"/>
    <n v="44.550000000000182"/>
  </r>
  <r>
    <x v="1"/>
    <s v="Normal"/>
    <n v="67.67"/>
    <x v="0"/>
    <n v="3045.15"/>
    <n v="3045.15"/>
    <n v="0"/>
  </r>
  <r>
    <x v="1"/>
    <s v="Normal"/>
    <n v="55.47"/>
    <x v="0"/>
    <n v="2496.15"/>
    <n v="2496.15"/>
    <n v="0"/>
  </r>
  <r>
    <x v="1"/>
    <s v="Normal"/>
    <n v="20.68"/>
    <x v="1"/>
    <n v="883.52"/>
    <n v="909.92"/>
    <n v="26.399999999999977"/>
  </r>
  <r>
    <x v="1"/>
    <s v="Normal"/>
    <n v="16.920000000000002"/>
    <x v="0"/>
    <n v="744.48"/>
    <n v="744.48"/>
    <n v="0"/>
  </r>
  <r>
    <x v="0"/>
    <s v="Normal"/>
    <n v="21.23"/>
    <x v="1"/>
    <n v="915.64"/>
    <n v="934.12"/>
    <n v="18.480000000000018"/>
  </r>
  <r>
    <x v="0"/>
    <s v="Phase-out"/>
    <n v="8.6300000000000008"/>
    <x v="0"/>
    <n v="371.09000000000003"/>
    <n v="371.09000000000003"/>
    <n v="0"/>
  </r>
  <r>
    <x v="1"/>
    <s v="Normal"/>
    <n v="13.2"/>
    <x v="1"/>
    <n v="550.83000000000004"/>
    <n v="567.6"/>
    <n v="16.769999999999982"/>
  </r>
  <r>
    <x v="1"/>
    <s v="Normal"/>
    <n v="70.489999999999995"/>
    <x v="1"/>
    <n v="2942.92"/>
    <n v="3031.0699999999997"/>
    <n v="88.149999999999636"/>
  </r>
  <r>
    <x v="0"/>
    <s v="Normal"/>
    <n v="6.14"/>
    <x v="0"/>
    <n v="264.02"/>
    <n v="264.02"/>
    <n v="0"/>
  </r>
  <r>
    <x v="0"/>
    <s v="Normal"/>
    <n v="9.51"/>
    <x v="1"/>
    <n v="400.76"/>
    <n v="408.93"/>
    <n v="8.1700000000000159"/>
  </r>
  <r>
    <x v="0"/>
    <s v="Normal"/>
    <n v="6.26"/>
    <x v="0"/>
    <n v="269.18"/>
    <n v="269.18"/>
    <n v="0"/>
  </r>
  <r>
    <x v="1"/>
    <s v="Normal"/>
    <n v="17.98"/>
    <x v="0"/>
    <n v="773.14"/>
    <n v="773.14"/>
    <n v="0"/>
  </r>
  <r>
    <x v="0"/>
    <s v="Normal"/>
    <n v="6.54"/>
    <x v="1"/>
    <n v="269.22000000000003"/>
    <n v="274.68"/>
    <n v="5.4599999999999795"/>
  </r>
  <r>
    <x v="0"/>
    <s v="Normal"/>
    <n v="10.45"/>
    <x v="1"/>
    <n v="430.5"/>
    <n v="438.9"/>
    <n v="8.3999999999999773"/>
  </r>
  <r>
    <x v="1"/>
    <s v="Normal"/>
    <n v="93.56"/>
    <x v="1"/>
    <n v="3814.86"/>
    <n v="3929.52"/>
    <n v="114.65999999999985"/>
  </r>
  <r>
    <x v="0"/>
    <s v="Normal"/>
    <n v="9.68"/>
    <x v="1"/>
    <n v="398.58"/>
    <n v="406.56"/>
    <n v="7.9800000000000182"/>
  </r>
  <r>
    <x v="1"/>
    <s v="Normal"/>
    <n v="15.79"/>
    <x v="1"/>
    <n v="628.53"/>
    <n v="647.39"/>
    <n v="18.860000000000014"/>
  </r>
  <r>
    <x v="1"/>
    <s v="Normal"/>
    <n v="20.66"/>
    <x v="1"/>
    <n v="822.45999999999992"/>
    <n v="847.06000000000006"/>
    <n v="24.600000000000136"/>
  </r>
  <r>
    <x v="1"/>
    <s v="Normal"/>
    <n v="18.29"/>
    <x v="0"/>
    <n v="749.89"/>
    <n v="749.89"/>
    <n v="0"/>
  </r>
  <r>
    <x v="1"/>
    <s v="Normal"/>
    <n v="26.16"/>
    <x v="1"/>
    <n v="1016"/>
    <n v="1046.4000000000001"/>
    <n v="30.400000000000091"/>
  </r>
  <r>
    <x v="1"/>
    <s v="Normal"/>
    <n v="35.22"/>
    <x v="1"/>
    <n v="1368"/>
    <n v="1408.8"/>
    <n v="40.799999999999955"/>
  </r>
  <r>
    <x v="1"/>
    <s v="Normal"/>
    <n v="30.28"/>
    <x v="0"/>
    <n v="1211.2"/>
    <n v="1211.2"/>
    <n v="0"/>
  </r>
  <r>
    <x v="0"/>
    <s v="Normal"/>
    <n v="3.28"/>
    <x v="1"/>
    <n v="128.80000000000001"/>
    <n v="131.19999999999999"/>
    <n v="2.3999999999999773"/>
  </r>
  <r>
    <x v="0"/>
    <s v="Phase-out"/>
    <n v="1.55"/>
    <x v="0"/>
    <n v="62"/>
    <n v="62"/>
    <n v="0"/>
  </r>
  <r>
    <x v="1"/>
    <s v="Normal"/>
    <n v="15.13"/>
    <x v="0"/>
    <n v="590.07000000000005"/>
    <n v="590.07000000000005"/>
    <n v="0"/>
  </r>
  <r>
    <x v="0"/>
    <s v="Normal"/>
    <n v="56.15"/>
    <x v="0"/>
    <n v="2189.85"/>
    <n v="2189.85"/>
    <n v="0"/>
  </r>
  <r>
    <x v="0"/>
    <s v="Normal"/>
    <n v="7.58"/>
    <x v="1"/>
    <n v="289.77"/>
    <n v="295.62"/>
    <n v="5.8500000000000227"/>
  </r>
  <r>
    <x v="1"/>
    <s v="Normal"/>
    <n v="34.869999999999997"/>
    <x v="1"/>
    <n v="1320.15"/>
    <n v="1359.9299999999998"/>
    <n v="39.779999999999745"/>
  </r>
  <r>
    <x v="1"/>
    <s v="Centrally stock allocated"/>
    <n v="163.31"/>
    <x v="1"/>
    <n v="6183.4500000000007"/>
    <n v="6369.09"/>
    <n v="185.63999999999942"/>
  </r>
  <r>
    <x v="1"/>
    <s v="Normal"/>
    <n v="34.200000000000003"/>
    <x v="1"/>
    <n v="1295.19"/>
    <n v="1333.8000000000002"/>
    <n v="38.610000000000127"/>
  </r>
  <r>
    <x v="0"/>
    <s v="Normal"/>
    <n v="20.2"/>
    <x v="0"/>
    <n v="767.6"/>
    <n v="767.6"/>
    <n v="0"/>
  </r>
  <r>
    <x v="0"/>
    <s v="Normal"/>
    <n v="17.649999999999999"/>
    <x v="0"/>
    <n v="670.69999999999993"/>
    <n v="670.69999999999993"/>
    <n v="0"/>
  </r>
  <r>
    <x v="1"/>
    <s v="Normal"/>
    <n v="35.020000000000003"/>
    <x v="0"/>
    <n v="1330.7600000000002"/>
    <n v="1330.7600000000002"/>
    <n v="0"/>
  </r>
  <r>
    <x v="0"/>
    <s v="Normal"/>
    <n v="4.8600000000000003"/>
    <x v="1"/>
    <n v="176.12"/>
    <n v="179.82000000000002"/>
    <n v="3.7000000000000171"/>
  </r>
  <r>
    <x v="1"/>
    <s v="Normal"/>
    <n v="59.16"/>
    <x v="1"/>
    <n v="2125.2799999999997"/>
    <n v="2188.92"/>
    <n v="63.640000000000327"/>
  </r>
  <r>
    <x v="0"/>
    <s v="Delete"/>
    <n v="4.8600000000000003"/>
    <x v="3"/>
    <n v="179.82000000000002"/>
    <n v="179.82000000000002"/>
    <n v="0"/>
  </r>
  <r>
    <x v="0"/>
    <s v="Normal"/>
    <n v="13.15"/>
    <x v="1"/>
    <n v="476.93"/>
    <n v="486.55"/>
    <n v="9.6200000000000045"/>
  </r>
  <r>
    <x v="1"/>
    <s v="Normal"/>
    <n v="18.84"/>
    <x v="1"/>
    <n v="676.73"/>
    <n v="697.08"/>
    <n v="20.350000000000023"/>
  </r>
  <r>
    <x v="1"/>
    <s v="Normal"/>
    <n v="13.9"/>
    <x v="0"/>
    <n v="514.30000000000007"/>
    <n v="514.30000000000007"/>
    <n v="0"/>
  </r>
  <r>
    <x v="0"/>
    <s v="Phase-out"/>
    <n v="11.82"/>
    <x v="0"/>
    <n v="425.52"/>
    <n v="425.52"/>
    <n v="0"/>
  </r>
  <r>
    <x v="1"/>
    <s v="Normal"/>
    <n v="21.92"/>
    <x v="1"/>
    <n v="766.08"/>
    <n v="789.12000000000012"/>
    <n v="23.040000000000077"/>
  </r>
  <r>
    <x v="0"/>
    <s v="Normal"/>
    <n v="2.19"/>
    <x v="1"/>
    <n v="74.900000000000006"/>
    <n v="76.649999999999991"/>
    <n v="1.7499999999999858"/>
  </r>
  <r>
    <x v="1"/>
    <s v="Normal"/>
    <n v="36.700000000000003"/>
    <x v="1"/>
    <n v="1247.4000000000001"/>
    <n v="1284.5"/>
    <n v="37.099999999999909"/>
  </r>
  <r>
    <x v="0"/>
    <s v="Delete"/>
    <n v="4.29"/>
    <x v="3"/>
    <n v="150.15"/>
    <n v="150.15"/>
    <n v="0"/>
  </r>
  <r>
    <x v="1"/>
    <s v="Normal"/>
    <n v="18.989999999999998"/>
    <x v="1"/>
    <n v="645.40000000000009"/>
    <n v="664.65"/>
    <n v="19.249999999999886"/>
  </r>
  <r>
    <x v="1"/>
    <s v="Centrally stock allocated"/>
    <n v="45.41"/>
    <x v="1"/>
    <n v="1543.15"/>
    <n v="1589.35"/>
    <n v="46.199999999999818"/>
  </r>
  <r>
    <x v="1"/>
    <s v="Normal"/>
    <n v="25.25"/>
    <x v="1"/>
    <n v="857.85"/>
    <n v="883.75"/>
    <n v="25.899999999999977"/>
  </r>
  <r>
    <x v="1"/>
    <s v="Normal"/>
    <n v="14.98"/>
    <x v="1"/>
    <n v="494.35999999999996"/>
    <n v="509.32"/>
    <n v="14.960000000000036"/>
  </r>
  <r>
    <x v="0"/>
    <s v="Normal"/>
    <n v="3.13"/>
    <x v="1"/>
    <n v="104.38"/>
    <n v="106.42"/>
    <n v="2.0400000000000063"/>
  </r>
  <r>
    <x v="0"/>
    <s v="Normal"/>
    <n v="6.9"/>
    <x v="0"/>
    <n v="234.60000000000002"/>
    <n v="234.60000000000002"/>
    <n v="0"/>
  </r>
  <r>
    <x v="0"/>
    <s v="Normal"/>
    <n v="21.08"/>
    <x v="1"/>
    <n v="702.78000000000009"/>
    <n v="716.71999999999991"/>
    <n v="13.939999999999827"/>
  </r>
  <r>
    <x v="0"/>
    <s v="Normal"/>
    <n v="5.92"/>
    <x v="0"/>
    <n v="201.28"/>
    <n v="201.28"/>
    <n v="0"/>
  </r>
  <r>
    <x v="0"/>
    <s v="Phase-out"/>
    <n v="10.98"/>
    <x v="0"/>
    <n v="362.34000000000003"/>
    <n v="362.34000000000003"/>
    <n v="0"/>
  </r>
  <r>
    <x v="0"/>
    <s v="Normal"/>
    <n v="11.92"/>
    <x v="0"/>
    <n v="393.36"/>
    <n v="393.36"/>
    <n v="0"/>
  </r>
  <r>
    <x v="0"/>
    <s v="Normal"/>
    <n v="7.64"/>
    <x v="1"/>
    <n v="247.17000000000002"/>
    <n v="252.11999999999998"/>
    <n v="4.9499999999999602"/>
  </r>
  <r>
    <x v="1"/>
    <s v="Normal"/>
    <n v="60.47"/>
    <x v="0"/>
    <n v="1995.51"/>
    <n v="1995.51"/>
    <n v="0"/>
  </r>
  <r>
    <x v="0"/>
    <s v="Normal"/>
    <n v="29.78"/>
    <x v="1"/>
    <n v="934.4"/>
    <n v="952.96"/>
    <n v="18.560000000000059"/>
  </r>
  <r>
    <x v="1"/>
    <s v="Normal"/>
    <n v="31.43"/>
    <x v="0"/>
    <n v="1005.76"/>
    <n v="1005.76"/>
    <n v="0"/>
  </r>
  <r>
    <x v="0"/>
    <s v="Normal"/>
    <n v="10.18"/>
    <x v="0"/>
    <n v="325.76"/>
    <n v="325.76"/>
    <n v="0"/>
  </r>
  <r>
    <x v="1"/>
    <s v="Normal"/>
    <n v="36.700000000000003"/>
    <x v="1"/>
    <n v="1140.48"/>
    <n v="1174.4000000000001"/>
    <n v="33.920000000000073"/>
  </r>
  <r>
    <x v="0"/>
    <s v="Normal"/>
    <n v="8.3800000000000008"/>
    <x v="1"/>
    <n v="263.04000000000002"/>
    <n v="268.16000000000003"/>
    <n v="5.1200000000000045"/>
  </r>
  <r>
    <x v="1"/>
    <s v="Phase-out"/>
    <n v="42.62"/>
    <x v="0"/>
    <n v="1363.84"/>
    <n v="1363.84"/>
    <n v="0"/>
  </r>
  <r>
    <x v="1"/>
    <s v="Normal"/>
    <n v="36.71"/>
    <x v="1"/>
    <n v="1140.48"/>
    <n v="1174.72"/>
    <n v="34.240000000000009"/>
  </r>
  <r>
    <x v="0"/>
    <s v="Normal"/>
    <n v="54.12"/>
    <x v="1"/>
    <n v="1644.8600000000001"/>
    <n v="1677.72"/>
    <n v="32.8599999999999"/>
  </r>
  <r>
    <x v="0"/>
    <s v="Normal"/>
    <n v="3.65"/>
    <x v="1"/>
    <n v="110.98"/>
    <n v="113.14999999999999"/>
    <n v="2.1699999999999875"/>
  </r>
  <r>
    <x v="0"/>
    <s v="Normal"/>
    <n v="21.12"/>
    <x v="1"/>
    <n v="642.01"/>
    <n v="654.72"/>
    <n v="12.710000000000036"/>
  </r>
  <r>
    <x v="0"/>
    <s v="Normal"/>
    <n v="1.55"/>
    <x v="1"/>
    <n v="45.6"/>
    <n v="46.5"/>
    <n v="0.89999999999999858"/>
  </r>
  <r>
    <x v="0"/>
    <s v="Normal"/>
    <n v="28.13"/>
    <x v="0"/>
    <n v="843.9"/>
    <n v="843.9"/>
    <n v="0"/>
  </r>
  <r>
    <x v="0"/>
    <s v="Normal"/>
    <n v="38.090000000000003"/>
    <x v="0"/>
    <n v="1142.7"/>
    <n v="1142.7"/>
    <n v="0"/>
  </r>
  <r>
    <x v="1"/>
    <s v="Normal"/>
    <n v="24.2"/>
    <x v="0"/>
    <n v="726"/>
    <n v="726"/>
    <n v="0"/>
  </r>
  <r>
    <x v="1"/>
    <s v="Normal"/>
    <n v="20.39"/>
    <x v="0"/>
    <n v="591.31000000000006"/>
    <n v="591.31000000000006"/>
    <n v="0"/>
  </r>
  <r>
    <x v="0"/>
    <s v="Normal"/>
    <n v="10.119999999999999"/>
    <x v="0"/>
    <n v="293.47999999999996"/>
    <n v="293.47999999999996"/>
    <n v="0"/>
  </r>
  <r>
    <x v="0"/>
    <s v="Phase-out"/>
    <n v="23.06"/>
    <x v="0"/>
    <n v="668.74"/>
    <n v="668.74"/>
    <n v="0"/>
  </r>
  <r>
    <x v="0"/>
    <s v="Normal"/>
    <n v="8.2799999999999994"/>
    <x v="1"/>
    <n v="235.48"/>
    <n v="240.11999999999998"/>
    <n v="4.6399999999999864"/>
  </r>
  <r>
    <x v="1"/>
    <s v="Normal"/>
    <n v="18.02"/>
    <x v="1"/>
    <n v="507.21"/>
    <n v="522.58000000000004"/>
    <n v="15.370000000000061"/>
  </r>
  <r>
    <x v="1"/>
    <s v="Normal"/>
    <n v="27.92"/>
    <x v="1"/>
    <n v="759.07999999999993"/>
    <n v="781.76"/>
    <n v="22.680000000000064"/>
  </r>
  <r>
    <x v="1"/>
    <s v="Normal"/>
    <n v="12.38"/>
    <x v="0"/>
    <n v="346.64000000000004"/>
    <n v="346.64000000000004"/>
    <n v="0"/>
  </r>
  <r>
    <x v="0"/>
    <s v="Normal"/>
    <n v="18.5"/>
    <x v="1"/>
    <n v="507.92"/>
    <n v="518"/>
    <n v="10.079999999999984"/>
  </r>
  <r>
    <x v="0"/>
    <s v="Normal"/>
    <n v="3.94"/>
    <x v="1"/>
    <n v="108.36"/>
    <n v="110.32"/>
    <n v="1.9599999999999937"/>
  </r>
  <r>
    <x v="0"/>
    <s v="Normal"/>
    <n v="5.3"/>
    <x v="1"/>
    <n v="145.6"/>
    <n v="148.4"/>
    <n v="2.8000000000000114"/>
  </r>
  <r>
    <x v="0"/>
    <s v="Normal"/>
    <n v="1.37"/>
    <x v="1"/>
    <n v="37.520000000000003"/>
    <n v="38.36"/>
    <n v="0.83999999999999631"/>
  </r>
  <r>
    <x v="1"/>
    <s v="Phase-out"/>
    <n v="37.22"/>
    <x v="0"/>
    <n v="1042.1599999999999"/>
    <n v="1042.1599999999999"/>
    <n v="0"/>
  </r>
  <r>
    <x v="1"/>
    <s v="Normal"/>
    <n v="68.78"/>
    <x v="1"/>
    <n v="1869.8400000000001"/>
    <n v="1925.8400000000001"/>
    <n v="56"/>
  </r>
  <r>
    <x v="0"/>
    <s v="Normal"/>
    <n v="19.05"/>
    <x v="1"/>
    <n v="504.09000000000003"/>
    <n v="514.35"/>
    <n v="10.259999999999991"/>
  </r>
  <r>
    <x v="1"/>
    <s v="Normal"/>
    <n v="24.81"/>
    <x v="1"/>
    <n v="650.42999999999995"/>
    <n v="669.87"/>
    <n v="19.440000000000055"/>
  </r>
  <r>
    <x v="0"/>
    <s v="Normal"/>
    <n v="15.9"/>
    <x v="0"/>
    <n v="429.3"/>
    <n v="429.3"/>
    <n v="0"/>
  </r>
  <r>
    <x v="0"/>
    <s v="Normal"/>
    <n v="6.95"/>
    <x v="0"/>
    <n v="187.65"/>
    <n v="187.65"/>
    <n v="0"/>
  </r>
  <r>
    <x v="0"/>
    <s v="Normal"/>
    <n v="6.65"/>
    <x v="1"/>
    <n v="176.04"/>
    <n v="179.55"/>
    <n v="3.5100000000000193"/>
  </r>
  <r>
    <x v="0"/>
    <s v="Normal"/>
    <n v="13.72"/>
    <x v="1"/>
    <n v="349.7"/>
    <n v="356.72"/>
    <n v="7.0200000000000387"/>
  </r>
  <r>
    <x v="0"/>
    <s v="Normal"/>
    <n v="5.48"/>
    <x v="1"/>
    <n v="139.62"/>
    <n v="142.48000000000002"/>
    <n v="2.8600000000000136"/>
  </r>
  <r>
    <x v="0"/>
    <s v="Phase-out"/>
    <n v="8.59"/>
    <x v="0"/>
    <n v="223.34"/>
    <n v="223.34"/>
    <n v="0"/>
  </r>
  <r>
    <x v="0"/>
    <s v="Normal"/>
    <n v="1.05"/>
    <x v="1"/>
    <n v="26.78"/>
    <n v="27.3"/>
    <n v="0.51999999999999957"/>
  </r>
  <r>
    <x v="1"/>
    <s v="Normal"/>
    <n v="34.97"/>
    <x v="0"/>
    <n v="874.25"/>
    <n v="874.25"/>
    <n v="0"/>
  </r>
  <r>
    <x v="0"/>
    <s v="Normal"/>
    <n v="61.4"/>
    <x v="1"/>
    <n v="1504.75"/>
    <n v="1535"/>
    <n v="30.25"/>
  </r>
  <r>
    <x v="0"/>
    <s v="Normal"/>
    <n v="10.43"/>
    <x v="0"/>
    <n v="260.75"/>
    <n v="260.75"/>
    <n v="0"/>
  </r>
  <r>
    <x v="0"/>
    <s v="Phase-out"/>
    <n v="39.42"/>
    <x v="0"/>
    <n v="985.5"/>
    <n v="985.5"/>
    <n v="0"/>
  </r>
  <r>
    <x v="0"/>
    <s v="Normal"/>
    <n v="5.25"/>
    <x v="1"/>
    <n v="128.75"/>
    <n v="131.25"/>
    <n v="2.5"/>
  </r>
  <r>
    <x v="1"/>
    <s v="Normal"/>
    <n v="33.5"/>
    <x v="1"/>
    <n v="813.25"/>
    <n v="837.5"/>
    <n v="24.25"/>
  </r>
  <r>
    <x v="0"/>
    <s v="Normal"/>
    <n v="3"/>
    <x v="1"/>
    <n v="73.75"/>
    <n v="75"/>
    <n v="1.25"/>
  </r>
  <r>
    <x v="0"/>
    <s v="Normal"/>
    <n v="7.36"/>
    <x v="1"/>
    <n v="180.5"/>
    <n v="184"/>
    <n v="3.5"/>
  </r>
  <r>
    <x v="1"/>
    <s v="Normal"/>
    <n v="41.29"/>
    <x v="1"/>
    <n v="1002.2500000000001"/>
    <n v="1032.25"/>
    <n v="29.999999999999886"/>
  </r>
  <r>
    <x v="0"/>
    <s v="Normal"/>
    <n v="5.48"/>
    <x v="1"/>
    <n v="134.25"/>
    <n v="137"/>
    <n v="2.75"/>
  </r>
  <r>
    <x v="1"/>
    <s v="Normal"/>
    <n v="29.54"/>
    <x v="1"/>
    <n v="688.31999999999994"/>
    <n v="708.96"/>
    <n v="20.6400000000001"/>
  </r>
  <r>
    <x v="0"/>
    <s v="Normal"/>
    <n v="6.54"/>
    <x v="1"/>
    <n v="153.84"/>
    <n v="156.96"/>
    <n v="3.1200000000000045"/>
  </r>
  <r>
    <x v="0"/>
    <s v="Normal"/>
    <n v="4.45"/>
    <x v="1"/>
    <n v="104.88"/>
    <n v="106.80000000000001"/>
    <n v="1.9200000000000159"/>
  </r>
  <r>
    <x v="0"/>
    <s v="Normal"/>
    <n v="4.08"/>
    <x v="1"/>
    <n v="96"/>
    <n v="97.92"/>
    <n v="1.9200000000000017"/>
  </r>
  <r>
    <x v="1"/>
    <s v="Normal"/>
    <n v="13.08"/>
    <x v="1"/>
    <n v="304.79999999999995"/>
    <n v="313.92"/>
    <n v="9.1200000000000614"/>
  </r>
  <r>
    <x v="0"/>
    <s v="Normal"/>
    <n v="24.7"/>
    <x v="1"/>
    <n v="581.04"/>
    <n v="592.79999999999995"/>
    <n v="11.759999999999991"/>
  </r>
  <r>
    <x v="0"/>
    <s v="Normal"/>
    <n v="4.3499999999999996"/>
    <x v="1"/>
    <n v="98.21"/>
    <n v="100.05"/>
    <n v="1.8400000000000034"/>
  </r>
  <r>
    <x v="0"/>
    <s v="Phase-out"/>
    <n v="3.14"/>
    <x v="2"/>
    <n v="125.35000000000001"/>
    <n v="72.22"/>
    <n v="-53.13000000000001"/>
  </r>
  <r>
    <x v="1"/>
    <s v="Normal"/>
    <n v="27.09"/>
    <x v="1"/>
    <n v="604.9"/>
    <n v="623.07000000000005"/>
    <n v="18.170000000000073"/>
  </r>
  <r>
    <x v="0"/>
    <s v="Normal"/>
    <n v="8.18"/>
    <x v="1"/>
    <n v="184.45999999999998"/>
    <n v="188.14"/>
    <n v="3.6800000000000068"/>
  </r>
  <r>
    <x v="0"/>
    <s v="Phase-out"/>
    <n v="22.61"/>
    <x v="0"/>
    <n v="520.03"/>
    <n v="520.03"/>
    <n v="0"/>
  </r>
  <r>
    <x v="0"/>
    <s v="Normal"/>
    <n v="9.7100000000000009"/>
    <x v="1"/>
    <n v="218.95999999999998"/>
    <n v="223.33"/>
    <n v="4.370000000000033"/>
  </r>
  <r>
    <x v="1"/>
    <s v="Normal"/>
    <n v="9.6199999999999992"/>
    <x v="1"/>
    <n v="214.82"/>
    <n v="221.26"/>
    <n v="6.4399999999999977"/>
  </r>
  <r>
    <x v="1"/>
    <s v="Normal"/>
    <n v="20.34"/>
    <x v="1"/>
    <n v="434.5"/>
    <n v="447.48"/>
    <n v="12.980000000000018"/>
  </r>
  <r>
    <x v="1"/>
    <s v="Normal"/>
    <n v="20.45"/>
    <x v="1"/>
    <n v="436.91999999999996"/>
    <n v="449.9"/>
    <n v="12.980000000000018"/>
  </r>
  <r>
    <x v="1"/>
    <s v="Normal"/>
    <n v="36.700000000000003"/>
    <x v="1"/>
    <n v="784.08"/>
    <n v="807.40000000000009"/>
    <n v="23.32000000000005"/>
  </r>
  <r>
    <x v="0"/>
    <s v="Normal"/>
    <n v="1.93"/>
    <x v="1"/>
    <n v="41.58"/>
    <n v="42.46"/>
    <n v="0.88000000000000256"/>
  </r>
  <r>
    <x v="0"/>
    <s v="Normal"/>
    <n v="5.31"/>
    <x v="1"/>
    <n v="114.4"/>
    <n v="116.82"/>
    <n v="2.4199999999999875"/>
  </r>
  <r>
    <x v="0"/>
    <s v="Normal"/>
    <n v="18.62"/>
    <x v="1"/>
    <n v="401.5"/>
    <n v="409.64000000000004"/>
    <n v="8.1400000000000432"/>
  </r>
  <r>
    <x v="1"/>
    <s v="Normal"/>
    <n v="21.93"/>
    <x v="1"/>
    <n v="468.6"/>
    <n v="482.46"/>
    <n v="13.859999999999957"/>
  </r>
  <r>
    <x v="0"/>
    <s v="Normal"/>
    <n v="0.75"/>
    <x v="1"/>
    <n v="15.54"/>
    <n v="15.75"/>
    <n v="0.21000000000000085"/>
  </r>
  <r>
    <x v="1"/>
    <s v="Phase-out"/>
    <n v="37.22"/>
    <x v="0"/>
    <n v="781.62"/>
    <n v="781.62"/>
    <n v="0"/>
  </r>
  <r>
    <x v="0"/>
    <s v="Normal"/>
    <n v="5.79"/>
    <x v="1"/>
    <n v="119.28"/>
    <n v="121.59"/>
    <n v="2.3100000000000023"/>
  </r>
  <r>
    <x v="0"/>
    <s v="Normal"/>
    <n v="2.15"/>
    <x v="1"/>
    <n v="44.309999999999995"/>
    <n v="45.15"/>
    <n v="0.84000000000000341"/>
  </r>
  <r>
    <x v="1"/>
    <s v="Normal"/>
    <n v="34.72"/>
    <x v="0"/>
    <n v="729.12"/>
    <n v="729.12"/>
    <n v="0"/>
  </r>
  <r>
    <x v="0"/>
    <s v="Normal"/>
    <n v="9.91"/>
    <x v="0"/>
    <n v="208.11"/>
    <n v="208.11"/>
    <n v="0"/>
  </r>
  <r>
    <x v="0"/>
    <s v="Normal"/>
    <n v="4.88"/>
    <x v="1"/>
    <n v="100.59"/>
    <n v="102.48"/>
    <n v="1.8900000000000006"/>
  </r>
  <r>
    <x v="1"/>
    <s v="Normal"/>
    <n v="22.26"/>
    <x v="0"/>
    <n v="467.46000000000004"/>
    <n v="467.46000000000004"/>
    <n v="0"/>
  </r>
  <r>
    <x v="0"/>
    <s v="Normal"/>
    <n v="2.58"/>
    <x v="1"/>
    <n v="50.599999999999994"/>
    <n v="51.6"/>
    <n v="1.0000000000000071"/>
  </r>
  <r>
    <x v="1"/>
    <s v="Normal"/>
    <n v="24.77"/>
    <x v="0"/>
    <n v="495.4"/>
    <n v="495.4"/>
    <n v="0"/>
  </r>
  <r>
    <x v="0"/>
    <s v="Normal"/>
    <n v="9.65"/>
    <x v="1"/>
    <n v="189.20000000000002"/>
    <n v="193"/>
    <n v="3.7999999999999829"/>
  </r>
  <r>
    <x v="0"/>
    <s v="Normal"/>
    <n v="11.18"/>
    <x v="1"/>
    <n v="219.20000000000002"/>
    <n v="223.6"/>
    <n v="4.3999999999999773"/>
  </r>
  <r>
    <x v="1"/>
    <s v="Normal"/>
    <n v="24.41"/>
    <x v="1"/>
    <n v="474"/>
    <n v="488.2"/>
    <n v="14.199999999999989"/>
  </r>
  <r>
    <x v="1"/>
    <s v="Normal"/>
    <n v="58.78"/>
    <x v="0"/>
    <n v="1175.5999999999999"/>
    <n v="1175.5999999999999"/>
    <n v="0"/>
  </r>
  <r>
    <x v="0"/>
    <s v="Normal"/>
    <n v="6.91"/>
    <x v="1"/>
    <n v="135.6"/>
    <n v="138.19999999999999"/>
    <n v="2.5999999999999943"/>
  </r>
  <r>
    <x v="1"/>
    <s v="Normal"/>
    <n v="9.49"/>
    <x v="1"/>
    <n v="184.20000000000002"/>
    <n v="189.8"/>
    <n v="5.5999999999999943"/>
  </r>
  <r>
    <x v="1"/>
    <s v="Normal"/>
    <n v="25"/>
    <x v="1"/>
    <n v="485.4"/>
    <n v="500"/>
    <n v="14.600000000000023"/>
  </r>
  <r>
    <x v="0"/>
    <s v="Normal"/>
    <n v="3.93"/>
    <x v="1"/>
    <n v="73.34"/>
    <n v="74.67"/>
    <n v="1.3299999999999983"/>
  </r>
  <r>
    <x v="0"/>
    <s v="Normal"/>
    <n v="2.16"/>
    <x v="1"/>
    <n v="40.28"/>
    <n v="41.040000000000006"/>
    <n v="0.76000000000000512"/>
  </r>
  <r>
    <x v="1"/>
    <s v="Normal"/>
    <n v="30.75"/>
    <x v="1"/>
    <n v="567.34"/>
    <n v="584.25"/>
    <n v="16.909999999999968"/>
  </r>
  <r>
    <x v="1"/>
    <s v="Normal"/>
    <n v="37.630000000000003"/>
    <x v="1"/>
    <n v="694.07"/>
    <n v="714.97"/>
    <n v="20.899999999999977"/>
  </r>
  <r>
    <x v="0"/>
    <s v="Normal"/>
    <n v="2.0499999999999998"/>
    <x v="1"/>
    <n v="38.19"/>
    <n v="38.949999999999996"/>
    <n v="0.75999999999999801"/>
  </r>
  <r>
    <x v="0"/>
    <s v="Normal"/>
    <n v="7.2"/>
    <x v="1"/>
    <n v="134.13999999999999"/>
    <n v="136.80000000000001"/>
    <n v="2.660000000000025"/>
  </r>
  <r>
    <x v="0"/>
    <s v="Normal"/>
    <n v="17.77"/>
    <x v="1"/>
    <n v="330.98"/>
    <n v="337.63"/>
    <n v="6.6499999999999773"/>
  </r>
  <r>
    <x v="0"/>
    <s v="Normal"/>
    <n v="9.42"/>
    <x v="1"/>
    <n v="175.37"/>
    <n v="178.98"/>
    <n v="3.6099999999999852"/>
  </r>
  <r>
    <x v="1"/>
    <s v="Normal"/>
    <n v="38.54"/>
    <x v="1"/>
    <n v="710.98"/>
    <n v="732.26"/>
    <n v="21.279999999999973"/>
  </r>
  <r>
    <x v="0"/>
    <s v="Normal"/>
    <n v="5.19"/>
    <x v="1"/>
    <n v="91.44"/>
    <n v="93.42"/>
    <n v="1.980000000000004"/>
  </r>
  <r>
    <x v="0"/>
    <s v="Normal"/>
    <n v="4.7300000000000004"/>
    <x v="1"/>
    <n v="83.52"/>
    <n v="85.140000000000015"/>
    <n v="1.6200000000000188"/>
  </r>
  <r>
    <x v="0"/>
    <s v="Phase-out"/>
    <n v="22.25"/>
    <x v="0"/>
    <n v="400.5"/>
    <n v="400.5"/>
    <n v="0"/>
  </r>
  <r>
    <x v="0"/>
    <s v="Normal"/>
    <n v="3.62"/>
    <x v="1"/>
    <n v="63.9"/>
    <n v="65.16"/>
    <n v="1.259999999999998"/>
  </r>
  <r>
    <x v="0"/>
    <s v="Normal"/>
    <n v="37.33"/>
    <x v="0"/>
    <n v="671.93999999999994"/>
    <n v="671.93999999999994"/>
    <n v="0"/>
  </r>
  <r>
    <x v="1"/>
    <s v="Normal"/>
    <n v="92.05"/>
    <x v="1"/>
    <n v="1608.66"/>
    <n v="1656.8999999999999"/>
    <n v="48.239999999999782"/>
  </r>
  <r>
    <x v="1"/>
    <s v="Normal"/>
    <n v="8.59"/>
    <x v="1"/>
    <n v="149.94"/>
    <n v="154.62"/>
    <n v="4.6800000000000068"/>
  </r>
  <r>
    <x v="0"/>
    <s v="Normal"/>
    <n v="6.53"/>
    <x v="1"/>
    <n v="115.2"/>
    <n v="117.54"/>
    <n v="2.3400000000000034"/>
  </r>
  <r>
    <x v="1"/>
    <s v="Normal"/>
    <n v="27.92"/>
    <x v="1"/>
    <n v="487.98"/>
    <n v="502.56000000000006"/>
    <n v="14.580000000000041"/>
  </r>
  <r>
    <x v="1"/>
    <s v="Normal"/>
    <n v="16.010000000000002"/>
    <x v="0"/>
    <n v="288.18"/>
    <n v="288.18"/>
    <n v="0"/>
  </r>
  <r>
    <x v="1"/>
    <s v="Normal"/>
    <n v="10.62"/>
    <x v="0"/>
    <n v="191.16"/>
    <n v="191.16"/>
    <n v="0"/>
  </r>
  <r>
    <x v="1"/>
    <s v="Normal"/>
    <n v="34.86"/>
    <x v="1"/>
    <n v="575.45000000000005"/>
    <n v="592.62"/>
    <n v="17.169999999999959"/>
  </r>
  <r>
    <x v="0"/>
    <s v="Normal"/>
    <n v="4.2300000000000004"/>
    <x v="1"/>
    <n v="70.550000000000011"/>
    <n v="71.910000000000011"/>
    <n v="1.3599999999999994"/>
  </r>
  <r>
    <x v="0"/>
    <s v="Normal"/>
    <n v="43.05"/>
    <x v="0"/>
    <n v="731.84999999999991"/>
    <n v="731.84999999999991"/>
    <n v="0"/>
  </r>
  <r>
    <x v="0"/>
    <s v="Normal"/>
    <n v="11.17"/>
    <x v="1"/>
    <n v="186.14999999999998"/>
    <n v="189.89"/>
    <n v="3.7400000000000091"/>
  </r>
  <r>
    <x v="0"/>
    <s v="Normal"/>
    <n v="9.19"/>
    <x v="1"/>
    <n v="153.16999999999999"/>
    <n v="156.22999999999999"/>
    <n v="3.0600000000000023"/>
  </r>
  <r>
    <x v="1"/>
    <s v="Normal"/>
    <n v="41.29"/>
    <x v="1"/>
    <n v="681.53000000000009"/>
    <n v="701.93"/>
    <n v="20.399999999999864"/>
  </r>
  <r>
    <x v="1"/>
    <s v="Normal"/>
    <n v="33.5"/>
    <x v="1"/>
    <n v="553.01"/>
    <n v="569.5"/>
    <n v="16.490000000000009"/>
  </r>
  <r>
    <x v="1"/>
    <s v="Normal"/>
    <n v="20.66"/>
    <x v="1"/>
    <n v="341.02"/>
    <n v="351.22"/>
    <n v="10.200000000000045"/>
  </r>
  <r>
    <x v="1"/>
    <s v="Normal"/>
    <n v="16.09"/>
    <x v="1"/>
    <n v="265.53999999999996"/>
    <n v="273.52999999999997"/>
    <n v="7.9900000000000091"/>
  </r>
  <r>
    <x v="1"/>
    <s v="Normal"/>
    <n v="54.13"/>
    <x v="0"/>
    <n v="920.21"/>
    <n v="920.21"/>
    <n v="0"/>
  </r>
  <r>
    <x v="0"/>
    <s v="Normal"/>
    <n v="14.08"/>
    <x v="1"/>
    <n v="220.96"/>
    <n v="225.28"/>
    <n v="4.3199999999999932"/>
  </r>
  <r>
    <x v="1"/>
    <s v="Normal"/>
    <n v="17.739999999999998"/>
    <x v="1"/>
    <n v="275.52"/>
    <n v="283.83999999999997"/>
    <n v="8.3199999999999932"/>
  </r>
  <r>
    <x v="1"/>
    <s v="Normal"/>
    <n v="33.9"/>
    <x v="1"/>
    <n v="526.55999999999995"/>
    <n v="542.4"/>
    <n v="15.840000000000032"/>
  </r>
  <r>
    <x v="0"/>
    <s v="Phase-out"/>
    <n v="4.58"/>
    <x v="0"/>
    <n v="73.28"/>
    <n v="73.28"/>
    <n v="0"/>
  </r>
  <r>
    <x v="1"/>
    <s v="Normal"/>
    <n v="35.22"/>
    <x v="1"/>
    <n v="547.20000000000005"/>
    <n v="563.52"/>
    <n v="16.319999999999936"/>
  </r>
  <r>
    <x v="1"/>
    <s v="Normal"/>
    <n v="17.48"/>
    <x v="0"/>
    <n v="279.68"/>
    <n v="279.68"/>
    <n v="0"/>
  </r>
  <r>
    <x v="0"/>
    <s v="Normal"/>
    <n v="7.57"/>
    <x v="1"/>
    <n v="118.72"/>
    <n v="121.12"/>
    <n v="2.4000000000000057"/>
  </r>
  <r>
    <x v="1"/>
    <s v="Normal"/>
    <n v="9.39"/>
    <x v="0"/>
    <n v="150.24"/>
    <n v="150.24"/>
    <n v="0"/>
  </r>
  <r>
    <x v="1"/>
    <s v="Normal"/>
    <n v="17.46"/>
    <x v="1"/>
    <n v="271.2"/>
    <n v="279.36"/>
    <n v="8.160000000000025"/>
  </r>
  <r>
    <x v="0"/>
    <s v="Normal"/>
    <n v="7.53"/>
    <x v="0"/>
    <n v="120.48"/>
    <n v="120.48"/>
    <n v="0"/>
  </r>
  <r>
    <x v="1"/>
    <s v="Normal"/>
    <n v="22.26"/>
    <x v="0"/>
    <n v="356.16"/>
    <n v="356.16"/>
    <n v="0"/>
  </r>
  <r>
    <x v="1"/>
    <s v="Normal"/>
    <n v="16.079999999999998"/>
    <x v="1"/>
    <n v="249.76"/>
    <n v="257.27999999999997"/>
    <n v="7.5199999999999818"/>
  </r>
  <r>
    <x v="1"/>
    <s v="Normal"/>
    <n v="13.08"/>
    <x v="1"/>
    <n v="190.5"/>
    <n v="196.2"/>
    <n v="5.6999999999999886"/>
  </r>
  <r>
    <x v="0"/>
    <s v="Normal"/>
    <n v="13.43"/>
    <x v="1"/>
    <n v="197.4"/>
    <n v="201.45"/>
    <n v="4.0499999999999829"/>
  </r>
  <r>
    <x v="1"/>
    <s v="Normal"/>
    <n v="37.81"/>
    <x v="1"/>
    <n v="550.65"/>
    <n v="567.15000000000009"/>
    <n v="16.500000000000114"/>
  </r>
  <r>
    <x v="1"/>
    <s v="Normal"/>
    <n v="10.8"/>
    <x v="0"/>
    <n v="162"/>
    <n v="162"/>
    <n v="0"/>
  </r>
  <r>
    <x v="0"/>
    <s v="Normal"/>
    <n v="9.61"/>
    <x v="1"/>
    <n v="141.30000000000001"/>
    <n v="144.14999999999998"/>
    <n v="2.8499999999999659"/>
  </r>
  <r>
    <x v="0"/>
    <s v="Normal"/>
    <n v="3.95"/>
    <x v="1"/>
    <n v="58.050000000000004"/>
    <n v="59.25"/>
    <n v="1.1999999999999957"/>
  </r>
  <r>
    <x v="0"/>
    <s v="Phase-out"/>
    <n v="18.55"/>
    <x v="0"/>
    <n v="278.25"/>
    <n v="278.25"/>
    <n v="0"/>
  </r>
  <r>
    <x v="0"/>
    <s v="Normal"/>
    <n v="9.44"/>
    <x v="1"/>
    <n v="138.9"/>
    <n v="141.6"/>
    <n v="2.6999999999999886"/>
  </r>
  <r>
    <x v="0"/>
    <s v="Normal"/>
    <n v="4.45"/>
    <x v="1"/>
    <n v="65.400000000000006"/>
    <n v="66.75"/>
    <n v="1.3499999999999943"/>
  </r>
  <r>
    <x v="1"/>
    <s v="Normal"/>
    <n v="70.489999999999995"/>
    <x v="1"/>
    <n v="1026.5999999999999"/>
    <n v="1057.3499999999999"/>
    <n v="30.75"/>
  </r>
  <r>
    <x v="1"/>
    <s v="Normal"/>
    <n v="17.59"/>
    <x v="1"/>
    <n v="256.05"/>
    <n v="263.85000000000002"/>
    <n v="7.8000000000000114"/>
  </r>
  <r>
    <x v="1"/>
    <s v="Normal"/>
    <n v="32.61"/>
    <x v="0"/>
    <n v="489.15"/>
    <n v="489.15"/>
    <n v="0"/>
  </r>
  <r>
    <x v="1"/>
    <s v="Normal"/>
    <n v="14.03"/>
    <x v="1"/>
    <n v="190.67999999999998"/>
    <n v="196.42"/>
    <n v="5.7400000000000091"/>
  </r>
  <r>
    <x v="0"/>
    <s v="Pre-phase-out"/>
    <n v="5.42"/>
    <x v="0"/>
    <n v="75.88"/>
    <n v="75.88"/>
    <n v="0"/>
  </r>
  <r>
    <x v="1"/>
    <s v="Normal"/>
    <n v="6.8"/>
    <x v="1"/>
    <n v="92.399999999999991"/>
    <n v="95.2"/>
    <n v="2.8000000000000114"/>
  </r>
  <r>
    <x v="0"/>
    <s v="Normal"/>
    <n v="8.23"/>
    <x v="1"/>
    <n v="112.98"/>
    <n v="115.22"/>
    <n v="2.2399999999999949"/>
  </r>
  <r>
    <x v="1"/>
    <s v="Normal"/>
    <n v="34.25"/>
    <x v="1"/>
    <n v="465.5"/>
    <n v="479.5"/>
    <n v="14"/>
  </r>
  <r>
    <x v="0"/>
    <s v="Normal"/>
    <n v="12.71"/>
    <x v="0"/>
    <n v="177.94"/>
    <n v="177.94"/>
    <n v="0"/>
  </r>
  <r>
    <x v="0"/>
    <s v="Normal"/>
    <n v="6.48"/>
    <x v="1"/>
    <n v="88.899999999999991"/>
    <n v="90.72"/>
    <n v="1.8200000000000074"/>
  </r>
  <r>
    <x v="0"/>
    <s v="Phase-out"/>
    <n v="25.9"/>
    <x v="0"/>
    <n v="362.59999999999997"/>
    <n v="362.59999999999997"/>
    <n v="0"/>
  </r>
  <r>
    <x v="1"/>
    <s v="Normal"/>
    <n v="27.54"/>
    <x v="1"/>
    <n v="374.35999999999996"/>
    <n v="385.56"/>
    <n v="11.200000000000045"/>
  </r>
  <r>
    <x v="0"/>
    <s v="Normal"/>
    <n v="2.63"/>
    <x v="1"/>
    <n v="36.120000000000005"/>
    <n v="36.82"/>
    <n v="0.69999999999999574"/>
  </r>
  <r>
    <x v="0"/>
    <s v="Normal"/>
    <n v="69.48"/>
    <x v="0"/>
    <n v="972.72"/>
    <n v="972.72"/>
    <n v="0"/>
  </r>
  <r>
    <x v="1"/>
    <s v="Centrally stock allocated"/>
    <n v="76.77"/>
    <x v="1"/>
    <n v="1043.5600000000002"/>
    <n v="1074.78"/>
    <n v="31.2199999999998"/>
  </r>
  <r>
    <x v="1"/>
    <s v="Normal"/>
    <n v="52.86"/>
    <x v="1"/>
    <n v="718.48"/>
    <n v="740.04"/>
    <n v="21.559999999999945"/>
  </r>
  <r>
    <x v="1"/>
    <s v="Normal"/>
    <n v="13.53"/>
    <x v="0"/>
    <n v="189.42"/>
    <n v="189.42"/>
    <n v="0"/>
  </r>
  <r>
    <x v="1"/>
    <s v="Normal"/>
    <n v="14.7"/>
    <x v="0"/>
    <n v="205.79999999999998"/>
    <n v="205.79999999999998"/>
    <n v="0"/>
  </r>
  <r>
    <x v="1"/>
    <s v="Normal"/>
    <n v="14.44"/>
    <x v="1"/>
    <n v="182.39"/>
    <n v="187.72"/>
    <n v="5.3300000000000125"/>
  </r>
  <r>
    <x v="1"/>
    <s v="Phase-out"/>
    <n v="5.9"/>
    <x v="0"/>
    <n v="76.7"/>
    <n v="76.7"/>
    <n v="0"/>
  </r>
  <r>
    <x v="1"/>
    <s v="Normal"/>
    <n v="33.9"/>
    <x v="1"/>
    <n v="427.82999999999993"/>
    <n v="440.7"/>
    <n v="12.870000000000061"/>
  </r>
  <r>
    <x v="0"/>
    <s v="Normal"/>
    <n v="1.79"/>
    <x v="0"/>
    <n v="23.27"/>
    <n v="23.27"/>
    <n v="0"/>
  </r>
  <r>
    <x v="1"/>
    <s v="Centrally stock allocated"/>
    <n v="184.81"/>
    <x v="0"/>
    <n v="2402.5300000000002"/>
    <n v="2402.5300000000002"/>
    <n v="0"/>
  </r>
  <r>
    <x v="1"/>
    <s v="Normal"/>
    <n v="52.54"/>
    <x v="0"/>
    <n v="683.02"/>
    <n v="683.02"/>
    <n v="0"/>
  </r>
  <r>
    <x v="1"/>
    <s v="Normal"/>
    <n v="21.82"/>
    <x v="0"/>
    <n v="283.66000000000003"/>
    <n v="283.66000000000003"/>
    <n v="0"/>
  </r>
  <r>
    <x v="0"/>
    <s v="Phase-out"/>
    <n v="14.85"/>
    <x v="0"/>
    <n v="193.04999999999998"/>
    <n v="193.04999999999998"/>
    <n v="0"/>
  </r>
  <r>
    <x v="0"/>
    <s v="Normal"/>
    <n v="28.89"/>
    <x v="0"/>
    <n v="375.57"/>
    <n v="375.57"/>
    <n v="0"/>
  </r>
  <r>
    <x v="0"/>
    <s v="Phase-out"/>
    <n v="22.49"/>
    <x v="0"/>
    <n v="292.37"/>
    <n v="292.37"/>
    <n v="0"/>
  </r>
  <r>
    <x v="0"/>
    <s v="Normal"/>
    <n v="62.38"/>
    <x v="0"/>
    <n v="810.94"/>
    <n v="810.94"/>
    <n v="0"/>
  </r>
  <r>
    <x v="0"/>
    <s v="Normal"/>
    <n v="24.62"/>
    <x v="0"/>
    <n v="320.06"/>
    <n v="320.06"/>
    <n v="0"/>
  </r>
  <r>
    <x v="0"/>
    <s v="Normal"/>
    <n v="6.27"/>
    <x v="0"/>
    <n v="81.509999999999991"/>
    <n v="81.509999999999991"/>
    <n v="0"/>
  </r>
  <r>
    <x v="1"/>
    <s v="Normal"/>
    <n v="6.94"/>
    <x v="1"/>
    <n v="87.490000000000009"/>
    <n v="90.22"/>
    <n v="2.7299999999999898"/>
  </r>
  <r>
    <x v="1"/>
    <s v="Delete"/>
    <n v="2.2400000000000002"/>
    <x v="3"/>
    <n v="29.120000000000005"/>
    <n v="29.120000000000005"/>
    <n v="0"/>
  </r>
  <r>
    <x v="1"/>
    <s v="Normal"/>
    <n v="11.08"/>
    <x v="0"/>
    <n v="144.04"/>
    <n v="144.04"/>
    <n v="0"/>
  </r>
  <r>
    <x v="1"/>
    <s v="Normal"/>
    <n v="73.13"/>
    <x v="1"/>
    <n v="923"/>
    <n v="950.68999999999994"/>
    <n v="27.689999999999941"/>
  </r>
  <r>
    <x v="1"/>
    <s v="Phase-out"/>
    <n v="20.190000000000001"/>
    <x v="0"/>
    <n v="242.28000000000003"/>
    <n v="242.28000000000003"/>
    <n v="0"/>
  </r>
  <r>
    <x v="1"/>
    <s v="Normal"/>
    <n v="27.4"/>
    <x v="1"/>
    <n v="319.20000000000005"/>
    <n v="328.79999999999995"/>
    <n v="9.5999999999999091"/>
  </r>
  <r>
    <x v="1"/>
    <s v="Normal"/>
    <n v="12.23"/>
    <x v="0"/>
    <n v="146.76"/>
    <n v="146.76"/>
    <n v="0"/>
  </r>
  <r>
    <x v="1"/>
    <s v="Normal"/>
    <n v="13.42"/>
    <x v="0"/>
    <n v="161.04"/>
    <n v="161.04"/>
    <n v="0"/>
  </r>
  <r>
    <x v="1"/>
    <s v="Normal"/>
    <n v="29.51"/>
    <x v="1"/>
    <n v="343.79999999999995"/>
    <n v="354.12"/>
    <n v="10.32000000000005"/>
  </r>
  <r>
    <x v="0"/>
    <s v="In-active Promo / out of "/>
    <n v="24.91"/>
    <x v="0"/>
    <n v="298.92"/>
    <n v="298.92"/>
    <n v="0"/>
  </r>
  <r>
    <x v="0"/>
    <s v="Pre-phase-out"/>
    <n v="33.380000000000003"/>
    <x v="0"/>
    <n v="400.56000000000006"/>
    <n v="400.56000000000006"/>
    <n v="0"/>
  </r>
  <r>
    <x v="0"/>
    <s v="Pre-phase-out"/>
    <n v="5.17"/>
    <x v="0"/>
    <n v="62.04"/>
    <n v="62.04"/>
    <n v="0"/>
  </r>
  <r>
    <x v="0"/>
    <s v="Normal"/>
    <n v="58.94"/>
    <x v="0"/>
    <n v="707.28"/>
    <n v="707.28"/>
    <n v="0"/>
  </r>
  <r>
    <x v="1"/>
    <s v="Normal"/>
    <n v="49.99"/>
    <x v="1"/>
    <n v="582.48"/>
    <n v="599.88"/>
    <n v="17.399999999999977"/>
  </r>
  <r>
    <x v="0"/>
    <s v="Normal"/>
    <n v="11.55"/>
    <x v="0"/>
    <n v="138.60000000000002"/>
    <n v="138.60000000000002"/>
    <n v="0"/>
  </r>
  <r>
    <x v="1"/>
    <s v="Normal"/>
    <n v="43.1"/>
    <x v="0"/>
    <n v="517.20000000000005"/>
    <n v="517.20000000000005"/>
    <n v="0"/>
  </r>
  <r>
    <x v="1"/>
    <s v="Normal"/>
    <n v="20.85"/>
    <x v="0"/>
    <n v="250.20000000000002"/>
    <n v="250.20000000000002"/>
    <n v="0"/>
  </r>
  <r>
    <x v="1"/>
    <s v="Normal"/>
    <n v="20.100000000000001"/>
    <x v="0"/>
    <n v="241.20000000000002"/>
    <n v="241.20000000000002"/>
    <n v="0"/>
  </r>
  <r>
    <x v="0"/>
    <s v="Normal"/>
    <n v="32.24"/>
    <x v="1"/>
    <n v="347.71"/>
    <n v="354.64000000000004"/>
    <n v="6.9300000000000637"/>
  </r>
  <r>
    <x v="1"/>
    <s v="Normal"/>
    <n v="6.49"/>
    <x v="1"/>
    <n v="69.41"/>
    <n v="71.39"/>
    <n v="1.980000000000004"/>
  </r>
  <r>
    <x v="1"/>
    <s v="Phase-out"/>
    <n v="38.32"/>
    <x v="0"/>
    <n v="421.52"/>
    <n v="421.52"/>
    <n v="0"/>
  </r>
  <r>
    <x v="1"/>
    <s v="Normal"/>
    <n v="34.869999999999997"/>
    <x v="1"/>
    <n v="372.35"/>
    <n v="383.57"/>
    <n v="11.21999999999997"/>
  </r>
  <r>
    <x v="1"/>
    <s v="Normal"/>
    <n v="36.700000000000003"/>
    <x v="1"/>
    <n v="392.04"/>
    <n v="403.70000000000005"/>
    <n v="11.660000000000025"/>
  </r>
  <r>
    <x v="1"/>
    <s v="Normal"/>
    <n v="70.489999999999995"/>
    <x v="1"/>
    <n v="752.83999999999992"/>
    <n v="775.39"/>
    <n v="22.550000000000068"/>
  </r>
  <r>
    <x v="0"/>
    <s v="Normal"/>
    <n v="7.83"/>
    <x v="0"/>
    <n v="86.13"/>
    <n v="86.13"/>
    <n v="0"/>
  </r>
  <r>
    <x v="0"/>
    <s v="Normal"/>
    <n v="7.07"/>
    <x v="1"/>
    <n v="76.22999999999999"/>
    <n v="77.77000000000001"/>
    <n v="1.5400000000000205"/>
  </r>
  <r>
    <x v="0"/>
    <s v="Normal"/>
    <n v="38.39"/>
    <x v="0"/>
    <n v="422.29"/>
    <n v="422.29"/>
    <n v="0"/>
  </r>
  <r>
    <x v="0"/>
    <s v="Normal"/>
    <n v="35.270000000000003"/>
    <x v="0"/>
    <n v="387.97"/>
    <n v="387.97"/>
    <n v="0"/>
  </r>
  <r>
    <x v="0"/>
    <s v="Normal"/>
    <n v="10.26"/>
    <x v="1"/>
    <n v="110.66000000000001"/>
    <n v="112.86"/>
    <n v="2.1999999999999886"/>
  </r>
  <r>
    <x v="0"/>
    <s v="Normal"/>
    <n v="7.67"/>
    <x v="1"/>
    <n v="82.72"/>
    <n v="84.37"/>
    <n v="1.6500000000000057"/>
  </r>
  <r>
    <x v="0"/>
    <s v="Normal"/>
    <n v="7.62"/>
    <x v="0"/>
    <n v="83.820000000000007"/>
    <n v="83.820000000000007"/>
    <n v="0"/>
  </r>
  <r>
    <x v="0"/>
    <s v="Normal"/>
    <n v="9.09"/>
    <x v="1"/>
    <n v="98.01"/>
    <n v="99.99"/>
    <n v="1.9799999999999898"/>
  </r>
  <r>
    <x v="0"/>
    <s v="Normal"/>
    <n v="13.3"/>
    <x v="1"/>
    <n v="143.44"/>
    <n v="146.30000000000001"/>
    <n v="2.8600000000000136"/>
  </r>
  <r>
    <x v="0"/>
    <s v="Phase-out"/>
    <n v="6.32"/>
    <x v="0"/>
    <n v="69.52000000000001"/>
    <n v="69.52000000000001"/>
    <n v="0"/>
  </r>
  <r>
    <x v="1"/>
    <s v="Normal"/>
    <n v="44.04"/>
    <x v="1"/>
    <n v="470.25"/>
    <n v="484.44"/>
    <n v="14.189999999999998"/>
  </r>
  <r>
    <x v="1"/>
    <s v="Normal"/>
    <n v="20.22"/>
    <x v="1"/>
    <n v="215.92999999999998"/>
    <n v="222.42"/>
    <n v="6.4900000000000091"/>
  </r>
  <r>
    <x v="1"/>
    <s v="Normal"/>
    <n v="35.61"/>
    <x v="0"/>
    <n v="356.1"/>
    <n v="356.1"/>
    <n v="0"/>
  </r>
  <r>
    <x v="1"/>
    <s v="Normal"/>
    <n v="20.420000000000002"/>
    <x v="1"/>
    <n v="198.2"/>
    <n v="204.20000000000002"/>
    <n v="6.0000000000000284"/>
  </r>
  <r>
    <x v="1"/>
    <s v="Normal"/>
    <n v="16.989999999999998"/>
    <x v="0"/>
    <n v="169.89999999999998"/>
    <n v="169.89999999999998"/>
    <n v="0"/>
  </r>
  <r>
    <x v="0"/>
    <s v="Normal"/>
    <n v="30.58"/>
    <x v="1"/>
    <n v="299.8"/>
    <n v="305.79999999999995"/>
    <n v="5.9999999999999432"/>
  </r>
  <r>
    <x v="1"/>
    <s v="Normal"/>
    <n v="3.1"/>
    <x v="1"/>
    <n v="30.099999999999998"/>
    <n v="31"/>
    <n v="0.90000000000000213"/>
  </r>
  <r>
    <x v="0"/>
    <s v="Normal"/>
    <n v="10.94"/>
    <x v="0"/>
    <n v="109.39999999999999"/>
    <n v="109.39999999999999"/>
    <n v="0"/>
  </r>
  <r>
    <x v="0"/>
    <s v="Normal"/>
    <n v="5.04"/>
    <x v="1"/>
    <n v="49.400000000000006"/>
    <n v="50.4"/>
    <n v="0.99999999999999289"/>
  </r>
  <r>
    <x v="0"/>
    <s v="Normal"/>
    <n v="14.89"/>
    <x v="1"/>
    <n v="146"/>
    <n v="148.9"/>
    <n v="2.9000000000000057"/>
  </r>
  <r>
    <x v="0"/>
    <s v="Phase-out"/>
    <n v="4.7300000000000004"/>
    <x v="0"/>
    <n v="47.300000000000004"/>
    <n v="47.300000000000004"/>
    <n v="0"/>
  </r>
  <r>
    <x v="1"/>
    <s v="Normal"/>
    <n v="8.3000000000000007"/>
    <x v="0"/>
    <n v="83"/>
    <n v="83"/>
    <n v="0"/>
  </r>
  <r>
    <x v="0"/>
    <s v="Normal"/>
    <n v="11.94"/>
    <x v="1"/>
    <n v="117"/>
    <n v="119.39999999999999"/>
    <n v="2.3999999999999915"/>
  </r>
  <r>
    <x v="0"/>
    <s v="Normal"/>
    <n v="10.18"/>
    <x v="1"/>
    <n v="89.820000000000007"/>
    <n v="91.62"/>
    <n v="1.7999999999999972"/>
  </r>
  <r>
    <x v="0"/>
    <s v="Normal"/>
    <n v="10.19"/>
    <x v="1"/>
    <n v="89.91"/>
    <n v="91.71"/>
    <n v="1.7999999999999972"/>
  </r>
  <r>
    <x v="0"/>
    <s v="Normal"/>
    <n v="2.2000000000000002"/>
    <x v="1"/>
    <n v="19.440000000000001"/>
    <n v="19.8"/>
    <n v="0.35999999999999943"/>
  </r>
  <r>
    <x v="0"/>
    <s v="Normal"/>
    <n v="30.58"/>
    <x v="1"/>
    <n v="269.82"/>
    <n v="275.21999999999997"/>
    <n v="5.3999999999999773"/>
  </r>
  <r>
    <x v="1"/>
    <s v="Normal"/>
    <n v="32.619999999999997"/>
    <x v="1"/>
    <n v="285.03000000000003"/>
    <n v="293.58"/>
    <n v="8.5499999999999545"/>
  </r>
  <r>
    <x v="0"/>
    <s v="Normal"/>
    <n v="5.32"/>
    <x v="1"/>
    <n v="46.98"/>
    <n v="47.88"/>
    <n v="0.90000000000000568"/>
  </r>
  <r>
    <x v="0"/>
    <s v="Normal"/>
    <n v="7.48"/>
    <x v="1"/>
    <n v="65.97"/>
    <n v="67.320000000000007"/>
    <n v="1.3500000000000085"/>
  </r>
  <r>
    <x v="1"/>
    <s v="Normal"/>
    <n v="88.17"/>
    <x v="1"/>
    <n v="770.49"/>
    <n v="793.53"/>
    <n v="23.039999999999964"/>
  </r>
  <r>
    <x v="1"/>
    <s v="Normal"/>
    <n v="52.79"/>
    <x v="1"/>
    <n v="461.25"/>
    <n v="475.11"/>
    <n v="13.860000000000014"/>
  </r>
  <r>
    <x v="1"/>
    <s v="Normal"/>
    <n v="79.34"/>
    <x v="1"/>
    <n v="693.27"/>
    <n v="714.06000000000006"/>
    <n v="20.790000000000077"/>
  </r>
  <r>
    <x v="0"/>
    <s v="Pre-phase-out"/>
    <n v="17.12"/>
    <x v="0"/>
    <n v="154.08000000000001"/>
    <n v="154.08000000000001"/>
    <n v="0"/>
  </r>
  <r>
    <x v="0"/>
    <s v="Normal"/>
    <n v="2.86"/>
    <x v="1"/>
    <n v="25.29"/>
    <n v="25.74"/>
    <n v="0.44999999999999929"/>
  </r>
  <r>
    <x v="0"/>
    <s v="Normal"/>
    <n v="5.68"/>
    <x v="1"/>
    <n v="50.13"/>
    <n v="51.12"/>
    <n v="0.98999999999999488"/>
  </r>
  <r>
    <x v="0"/>
    <s v="Normal"/>
    <n v="4.2"/>
    <x v="1"/>
    <n v="37.08"/>
    <n v="37.800000000000004"/>
    <n v="0.72000000000000597"/>
  </r>
  <r>
    <x v="0"/>
    <s v="Normal"/>
    <n v="78.8"/>
    <x v="2"/>
    <n v="737.37000000000012"/>
    <n v="709.19999999999993"/>
    <n v="-28.170000000000186"/>
  </r>
  <r>
    <x v="0"/>
    <s v="Normal"/>
    <n v="6.54"/>
    <x v="1"/>
    <n v="57.69"/>
    <n v="58.86"/>
    <n v="1.1700000000000017"/>
  </r>
  <r>
    <x v="1"/>
    <s v="Normal"/>
    <n v="15.76"/>
    <x v="1"/>
    <n v="137.70000000000002"/>
    <n v="141.84"/>
    <n v="4.1399999999999864"/>
  </r>
  <r>
    <x v="1"/>
    <s v="Phase-out"/>
    <n v="31.91"/>
    <x v="0"/>
    <n v="287.19"/>
    <n v="287.19"/>
    <n v="0"/>
  </r>
  <r>
    <x v="0"/>
    <s v="Normal"/>
    <n v="8.44"/>
    <x v="1"/>
    <n v="74.429999999999993"/>
    <n v="75.959999999999994"/>
    <n v="1.5300000000000011"/>
  </r>
  <r>
    <x v="1"/>
    <s v="Normal"/>
    <n v="49.99"/>
    <x v="1"/>
    <n v="436.86"/>
    <n v="449.91"/>
    <n v="13.050000000000011"/>
  </r>
  <r>
    <x v="0"/>
    <s v="Normal"/>
    <n v="8.57"/>
    <x v="1"/>
    <n v="75.600000000000009"/>
    <n v="77.13"/>
    <n v="1.5299999999999869"/>
  </r>
  <r>
    <x v="1"/>
    <s v="Normal"/>
    <n v="24.49"/>
    <x v="0"/>
    <n v="220.41"/>
    <n v="220.41"/>
    <n v="0"/>
  </r>
  <r>
    <x v="1"/>
    <s v="Normal"/>
    <n v="16.079999999999998"/>
    <x v="1"/>
    <n v="140.49"/>
    <n v="144.71999999999997"/>
    <n v="4.2299999999999613"/>
  </r>
  <r>
    <x v="0"/>
    <s v="Phase-out"/>
    <n v="47.54"/>
    <x v="0"/>
    <n v="380.32"/>
    <n v="380.32"/>
    <n v="0"/>
  </r>
  <r>
    <x v="0"/>
    <s v="Normal"/>
    <n v="17.41"/>
    <x v="1"/>
    <n v="136.56"/>
    <n v="139.28"/>
    <n v="2.7199999999999989"/>
  </r>
  <r>
    <x v="0"/>
    <s v="Phase-out"/>
    <n v="17.66"/>
    <x v="0"/>
    <n v="141.28"/>
    <n v="141.28"/>
    <n v="0"/>
  </r>
  <r>
    <x v="0"/>
    <s v="Phase-out"/>
    <n v="10.91"/>
    <x v="0"/>
    <n v="87.28"/>
    <n v="87.28"/>
    <n v="0"/>
  </r>
  <r>
    <x v="0"/>
    <s v="Phase-out"/>
    <n v="4.32"/>
    <x v="0"/>
    <n v="34.56"/>
    <n v="34.56"/>
    <n v="0"/>
  </r>
  <r>
    <x v="0"/>
    <s v="Normal"/>
    <n v="7.64"/>
    <x v="1"/>
    <n v="59.92"/>
    <n v="61.12"/>
    <n v="1.1999999999999957"/>
  </r>
  <r>
    <x v="1"/>
    <s v="Normal"/>
    <n v="29.68"/>
    <x v="0"/>
    <n v="237.44"/>
    <n v="237.44"/>
    <n v="0"/>
  </r>
  <r>
    <x v="1"/>
    <s v="Normal"/>
    <n v="11.36"/>
    <x v="0"/>
    <n v="90.88"/>
    <n v="90.88"/>
    <n v="0"/>
  </r>
  <r>
    <x v="1"/>
    <s v="Normal"/>
    <n v="28.05"/>
    <x v="0"/>
    <n v="224.4"/>
    <n v="224.4"/>
    <n v="0"/>
  </r>
  <r>
    <x v="0"/>
    <s v="Normal"/>
    <n v="3.19"/>
    <x v="1"/>
    <n v="25.04"/>
    <n v="25.52"/>
    <n v="0.48000000000000043"/>
  </r>
  <r>
    <x v="0"/>
    <s v="Normal"/>
    <n v="7.56"/>
    <x v="1"/>
    <n v="59.28"/>
    <n v="60.48"/>
    <n v="1.1999999999999957"/>
  </r>
  <r>
    <x v="0"/>
    <s v="Normal"/>
    <n v="3.18"/>
    <x v="1"/>
    <n v="24.96"/>
    <n v="25.44"/>
    <n v="0.48000000000000043"/>
  </r>
  <r>
    <x v="0"/>
    <s v="Normal"/>
    <n v="17.59"/>
    <x v="1"/>
    <n v="137.91999999999999"/>
    <n v="140.72"/>
    <n v="2.8000000000000114"/>
  </r>
  <r>
    <x v="0"/>
    <s v="Normal"/>
    <n v="5.63"/>
    <x v="0"/>
    <n v="45.04"/>
    <n v="45.04"/>
    <n v="0"/>
  </r>
  <r>
    <x v="0"/>
    <s v="Normal"/>
    <n v="24.19"/>
    <x v="1"/>
    <n v="189.76"/>
    <n v="193.52"/>
    <n v="3.7600000000000193"/>
  </r>
  <r>
    <x v="0"/>
    <s v="Phase-out"/>
    <n v="17.399999999999999"/>
    <x v="0"/>
    <n v="139.19999999999999"/>
    <n v="139.19999999999999"/>
    <n v="0"/>
  </r>
  <r>
    <x v="0"/>
    <s v="Phase-out"/>
    <n v="24.99"/>
    <x v="0"/>
    <n v="199.92"/>
    <n v="199.92"/>
    <n v="0"/>
  </r>
  <r>
    <x v="0"/>
    <s v="Normal"/>
    <n v="53.82"/>
    <x v="0"/>
    <n v="430.56"/>
    <n v="430.56"/>
    <n v="0"/>
  </r>
  <r>
    <x v="0"/>
    <s v="Normal"/>
    <n v="43.43"/>
    <x v="0"/>
    <n v="347.44"/>
    <n v="347.44"/>
    <n v="0"/>
  </r>
  <r>
    <x v="0"/>
    <s v="Normal"/>
    <n v="7.34"/>
    <x v="1"/>
    <n v="57.6"/>
    <n v="58.72"/>
    <n v="1.1199999999999974"/>
  </r>
  <r>
    <x v="0"/>
    <s v="Normal"/>
    <n v="30.82"/>
    <x v="1"/>
    <n v="241.68"/>
    <n v="246.56"/>
    <n v="4.8799999999999955"/>
  </r>
  <r>
    <x v="0"/>
    <s v="Normal"/>
    <n v="36.39"/>
    <x v="0"/>
    <n v="291.12"/>
    <n v="291.12"/>
    <n v="0"/>
  </r>
  <r>
    <x v="1"/>
    <s v="Normal"/>
    <n v="20.100000000000001"/>
    <x v="0"/>
    <n v="160.80000000000001"/>
    <n v="160.80000000000001"/>
    <n v="0"/>
  </r>
  <r>
    <x v="1"/>
    <s v="Normal"/>
    <n v="12.51"/>
    <x v="1"/>
    <n v="97.12"/>
    <n v="100.08"/>
    <n v="2.9599999999999937"/>
  </r>
  <r>
    <x v="0"/>
    <s v="Normal"/>
    <n v="16.93"/>
    <x v="1"/>
    <n v="116.20000000000002"/>
    <n v="118.50999999999999"/>
    <n v="2.3099999999999739"/>
  </r>
  <r>
    <x v="0"/>
    <s v="Normal"/>
    <n v="4.2"/>
    <x v="1"/>
    <n v="28.84"/>
    <n v="29.400000000000002"/>
    <n v="0.56000000000000227"/>
  </r>
  <r>
    <x v="1"/>
    <s v="Normal"/>
    <n v="25.23"/>
    <x v="1"/>
    <n v="171.42999999999998"/>
    <n v="176.61"/>
    <n v="5.1800000000000352"/>
  </r>
  <r>
    <x v="1"/>
    <s v="Normal"/>
    <n v="79.34"/>
    <x v="1"/>
    <n v="539.21"/>
    <n v="555.38"/>
    <n v="16.169999999999959"/>
  </r>
  <r>
    <x v="1"/>
    <s v="Normal"/>
    <n v="20.66"/>
    <x v="1"/>
    <n v="140.41999999999999"/>
    <n v="144.62"/>
    <n v="4.2000000000000171"/>
  </r>
  <r>
    <x v="1"/>
    <s v="Normal"/>
    <n v="12.63"/>
    <x v="1"/>
    <n v="85.82"/>
    <n v="88.410000000000011"/>
    <n v="2.5900000000000176"/>
  </r>
  <r>
    <x v="1"/>
    <s v="Normal"/>
    <n v="30.75"/>
    <x v="1"/>
    <n v="209.01999999999998"/>
    <n v="215.25"/>
    <n v="6.2300000000000182"/>
  </r>
  <r>
    <x v="1"/>
    <s v="Normal"/>
    <n v="13.98"/>
    <x v="0"/>
    <n v="97.86"/>
    <n v="97.86"/>
    <n v="0"/>
  </r>
  <r>
    <x v="1"/>
    <s v="Normal"/>
    <n v="20.09"/>
    <x v="0"/>
    <n v="140.63"/>
    <n v="140.63"/>
    <n v="0"/>
  </r>
  <r>
    <x v="0"/>
    <s v="Normal"/>
    <n v="6.24"/>
    <x v="1"/>
    <n v="42.84"/>
    <n v="43.68"/>
    <n v="0.83999999999999631"/>
  </r>
  <r>
    <x v="0"/>
    <s v="Normal"/>
    <n v="53.82"/>
    <x v="0"/>
    <n v="376.74"/>
    <n v="376.74"/>
    <n v="0"/>
  </r>
  <r>
    <x v="0"/>
    <s v="Normal"/>
    <n v="14.69"/>
    <x v="0"/>
    <n v="102.83"/>
    <n v="102.83"/>
    <n v="0"/>
  </r>
  <r>
    <x v="0"/>
    <s v="Normal"/>
    <n v="10.23"/>
    <x v="1"/>
    <n v="70.209999999999994"/>
    <n v="71.61"/>
    <n v="1.4000000000000057"/>
  </r>
  <r>
    <x v="0"/>
    <s v="Normal"/>
    <n v="25.87"/>
    <x v="0"/>
    <n v="181.09"/>
    <n v="181.09"/>
    <n v="0"/>
  </r>
  <r>
    <x v="1"/>
    <s v="Normal"/>
    <n v="83.45"/>
    <x v="1"/>
    <n v="567.14"/>
    <n v="584.15"/>
    <n v="17.009999999999991"/>
  </r>
  <r>
    <x v="1"/>
    <s v="Normal"/>
    <n v="55.02"/>
    <x v="1"/>
    <n v="373.94"/>
    <n v="385.14000000000004"/>
    <n v="11.200000000000045"/>
  </r>
  <r>
    <x v="1"/>
    <s v="Normal"/>
    <n v="30.27"/>
    <x v="0"/>
    <n v="211.89"/>
    <n v="211.89"/>
    <n v="0"/>
  </r>
  <r>
    <x v="1"/>
    <s v="Normal"/>
    <n v="20.67"/>
    <x v="1"/>
    <n v="120.35999999999999"/>
    <n v="124.02000000000001"/>
    <n v="3.660000000000025"/>
  </r>
  <r>
    <x v="1"/>
    <s v="Normal"/>
    <n v="22.5"/>
    <x v="1"/>
    <n v="131.04"/>
    <n v="135"/>
    <n v="3.960000000000008"/>
  </r>
  <r>
    <x v="1"/>
    <s v="Normal"/>
    <n v="20.34"/>
    <x v="1"/>
    <n v="118.5"/>
    <n v="122.03999999999999"/>
    <n v="3.539999999999992"/>
  </r>
  <r>
    <x v="0"/>
    <s v="Normal"/>
    <n v="8.23"/>
    <x v="0"/>
    <n v="49.38"/>
    <n v="49.38"/>
    <n v="0"/>
  </r>
  <r>
    <x v="1"/>
    <s v="Centrally stock allocated"/>
    <n v="28.1"/>
    <x v="1"/>
    <n v="163.68"/>
    <n v="168.60000000000002"/>
    <n v="4.9200000000000159"/>
  </r>
  <r>
    <x v="1"/>
    <s v="Phase-out"/>
    <n v="51.32"/>
    <x v="1"/>
    <n v="298.92"/>
    <n v="307.92"/>
    <n v="9"/>
  </r>
  <r>
    <x v="1"/>
    <s v="Normal"/>
    <n v="83.45"/>
    <x v="1"/>
    <n v="486.12"/>
    <n v="500.70000000000005"/>
    <n v="14.580000000000041"/>
  </r>
  <r>
    <x v="1"/>
    <s v="Normal"/>
    <n v="17.47"/>
    <x v="1"/>
    <n v="101.76"/>
    <n v="104.82"/>
    <n v="3.0599999999999881"/>
  </r>
  <r>
    <x v="1"/>
    <s v="Phase-out"/>
    <n v="28"/>
    <x v="0"/>
    <n v="168"/>
    <n v="168"/>
    <n v="0"/>
  </r>
  <r>
    <x v="1"/>
    <s v="Normal"/>
    <n v="12.24"/>
    <x v="0"/>
    <n v="73.44"/>
    <n v="73.44"/>
    <n v="0"/>
  </r>
  <r>
    <x v="1"/>
    <s v="Normal"/>
    <n v="52.86"/>
    <x v="1"/>
    <n v="307.92"/>
    <n v="317.15999999999997"/>
    <n v="9.2399999999999523"/>
  </r>
  <r>
    <x v="1"/>
    <s v="Normal"/>
    <n v="29.5"/>
    <x v="1"/>
    <n v="171.84"/>
    <n v="177"/>
    <n v="5.1599999999999966"/>
  </r>
  <r>
    <x v="1"/>
    <s v="Normal"/>
    <n v="13.99"/>
    <x v="0"/>
    <n v="83.94"/>
    <n v="83.94"/>
    <n v="0"/>
  </r>
  <r>
    <x v="0"/>
    <s v="Phase-out"/>
    <n v="8.8800000000000008"/>
    <x v="0"/>
    <n v="53.28"/>
    <n v="53.28"/>
    <n v="0"/>
  </r>
  <r>
    <x v="0"/>
    <s v="Phase-out"/>
    <n v="10.93"/>
    <x v="0"/>
    <n v="65.58"/>
    <n v="65.58"/>
    <n v="0"/>
  </r>
  <r>
    <x v="0"/>
    <s v="Normal"/>
    <n v="44.73"/>
    <x v="0"/>
    <n v="268.38"/>
    <n v="268.38"/>
    <n v="0"/>
  </r>
  <r>
    <x v="0"/>
    <s v="Normal"/>
    <n v="44.73"/>
    <x v="0"/>
    <n v="268.38"/>
    <n v="268.38"/>
    <n v="0"/>
  </r>
  <r>
    <x v="0"/>
    <s v="Normal"/>
    <n v="11.22"/>
    <x v="1"/>
    <n v="66"/>
    <n v="67.320000000000007"/>
    <n v="1.3200000000000074"/>
  </r>
  <r>
    <x v="0"/>
    <s v="Normal"/>
    <n v="8.26"/>
    <x v="1"/>
    <n v="48.599999999999994"/>
    <n v="49.56"/>
    <n v="0.96000000000000796"/>
  </r>
  <r>
    <x v="0"/>
    <s v="Normal"/>
    <n v="11.99"/>
    <x v="1"/>
    <n v="70.5"/>
    <n v="71.94"/>
    <n v="1.4399999999999977"/>
  </r>
  <r>
    <x v="0"/>
    <s v="Normal"/>
    <n v="5.52"/>
    <x v="1"/>
    <n v="32.46"/>
    <n v="33.119999999999997"/>
    <n v="0.65999999999999659"/>
  </r>
  <r>
    <x v="0"/>
    <s v="Pre-phase-out"/>
    <n v="21.96"/>
    <x v="0"/>
    <n v="131.76"/>
    <n v="131.76"/>
    <n v="0"/>
  </r>
  <r>
    <x v="0"/>
    <s v="Normal"/>
    <n v="68.72"/>
    <x v="2"/>
    <n v="440.04"/>
    <n v="412.32"/>
    <n v="-27.720000000000027"/>
  </r>
  <r>
    <x v="0"/>
    <s v="Normal"/>
    <n v="31.72"/>
    <x v="0"/>
    <n v="190.32"/>
    <n v="190.32"/>
    <n v="0"/>
  </r>
  <r>
    <x v="0"/>
    <s v="Normal"/>
    <n v="69.48"/>
    <x v="2"/>
    <n v="418.38"/>
    <n v="416.88"/>
    <n v="-1.5"/>
  </r>
  <r>
    <x v="0"/>
    <s v="Normal"/>
    <n v="38.090000000000003"/>
    <x v="0"/>
    <n v="228.54000000000002"/>
    <n v="228.54000000000002"/>
    <n v="0"/>
  </r>
  <r>
    <x v="0"/>
    <s v="Normal"/>
    <n v="4.76"/>
    <x v="1"/>
    <n v="27.96"/>
    <n v="28.56"/>
    <n v="0.59999999999999787"/>
  </r>
  <r>
    <x v="1"/>
    <s v="Normal"/>
    <n v="9.17"/>
    <x v="0"/>
    <n v="55.019999999999996"/>
    <n v="55.019999999999996"/>
    <n v="0"/>
  </r>
  <r>
    <x v="1"/>
    <s v="Normal"/>
    <n v="26.17"/>
    <x v="1"/>
    <n v="152.46"/>
    <n v="157.02000000000001"/>
    <n v="4.5600000000000023"/>
  </r>
  <r>
    <x v="1"/>
    <s v="Normal"/>
    <n v="38.54"/>
    <x v="1"/>
    <n v="187.10000000000002"/>
    <n v="192.7"/>
    <n v="5.5999999999999659"/>
  </r>
  <r>
    <x v="0"/>
    <s v="Normal"/>
    <n v="4.07"/>
    <x v="1"/>
    <n v="19.950000000000003"/>
    <n v="20.350000000000001"/>
    <n v="0.39999999999999858"/>
  </r>
  <r>
    <x v="0"/>
    <s v="Normal"/>
    <n v="14.09"/>
    <x v="1"/>
    <n v="69.099999999999994"/>
    <n v="70.45"/>
    <n v="1.3500000000000085"/>
  </r>
  <r>
    <x v="0"/>
    <s v="Normal"/>
    <n v="5.99"/>
    <x v="1"/>
    <n v="29.35"/>
    <n v="29.950000000000003"/>
    <n v="0.60000000000000142"/>
  </r>
  <r>
    <x v="1"/>
    <s v="Normal"/>
    <n v="44.06"/>
    <x v="1"/>
    <n v="213.9"/>
    <n v="220.3"/>
    <n v="6.4000000000000057"/>
  </r>
  <r>
    <x v="1"/>
    <s v="Normal"/>
    <n v="55.5"/>
    <x v="1"/>
    <n v="269.45"/>
    <n v="277.5"/>
    <n v="8.0500000000000114"/>
  </r>
  <r>
    <x v="1"/>
    <s v="Normal"/>
    <n v="17.47"/>
    <x v="1"/>
    <n v="84.800000000000011"/>
    <n v="87.35"/>
    <n v="2.5499999999999829"/>
  </r>
  <r>
    <x v="1"/>
    <s v="Normal"/>
    <n v="9.4600000000000009"/>
    <x v="0"/>
    <n v="47.300000000000004"/>
    <n v="47.300000000000004"/>
    <n v="0"/>
  </r>
  <r>
    <x v="1"/>
    <s v="Normal"/>
    <n v="46.36"/>
    <x v="1"/>
    <n v="225.04999999999998"/>
    <n v="231.8"/>
    <n v="6.7500000000000284"/>
  </r>
  <r>
    <x v="0"/>
    <s v="Normal"/>
    <n v="4.1100000000000003"/>
    <x v="1"/>
    <n v="20.150000000000002"/>
    <n v="20.55"/>
    <n v="0.39999999999999858"/>
  </r>
  <r>
    <x v="0"/>
    <s v="Phase-out"/>
    <n v="10.09"/>
    <x v="0"/>
    <n v="50.45"/>
    <n v="50.45"/>
    <n v="0"/>
  </r>
  <r>
    <x v="0"/>
    <s v="Normal"/>
    <n v="10.18"/>
    <x v="0"/>
    <n v="50.9"/>
    <n v="50.9"/>
    <n v="0"/>
  </r>
  <r>
    <x v="0"/>
    <s v="Phase-out"/>
    <n v="4.78"/>
    <x v="0"/>
    <n v="23.900000000000002"/>
    <n v="23.900000000000002"/>
    <n v="0"/>
  </r>
  <r>
    <x v="0"/>
    <s v="Normal"/>
    <n v="24.82"/>
    <x v="1"/>
    <n v="121.64999999999999"/>
    <n v="124.1"/>
    <n v="2.4500000000000028"/>
  </r>
  <r>
    <x v="0"/>
    <s v="Normal"/>
    <n v="43.04"/>
    <x v="0"/>
    <n v="215.2"/>
    <n v="215.2"/>
    <n v="0"/>
  </r>
  <r>
    <x v="0"/>
    <s v="Delete"/>
    <n v="18.95"/>
    <x v="3"/>
    <n v="94.75"/>
    <n v="94.75"/>
    <n v="0"/>
  </r>
  <r>
    <x v="0"/>
    <s v="Phase-out"/>
    <n v="15.81"/>
    <x v="0"/>
    <n v="79.05"/>
    <n v="79.05"/>
    <n v="0"/>
  </r>
  <r>
    <x v="0"/>
    <s v="Normal"/>
    <n v="28.55"/>
    <x v="0"/>
    <n v="142.75"/>
    <n v="142.75"/>
    <n v="0"/>
  </r>
  <r>
    <x v="0"/>
    <s v="Normal"/>
    <n v="16.93"/>
    <x v="0"/>
    <n v="84.65"/>
    <n v="84.65"/>
    <n v="0"/>
  </r>
  <r>
    <x v="0"/>
    <s v="Normal"/>
    <n v="85.28"/>
    <x v="0"/>
    <n v="426.4"/>
    <n v="426.4"/>
    <n v="0"/>
  </r>
  <r>
    <x v="0"/>
    <s v="Normal"/>
    <n v="6.27"/>
    <x v="0"/>
    <n v="31.349999999999998"/>
    <n v="31.349999999999998"/>
    <n v="0"/>
  </r>
  <r>
    <x v="0"/>
    <s v="Normal"/>
    <n v="8.5500000000000007"/>
    <x v="1"/>
    <n v="41.900000000000006"/>
    <n v="42.75"/>
    <n v="0.84999999999999432"/>
  </r>
  <r>
    <x v="1"/>
    <s v="Normal"/>
    <n v="20.9"/>
    <x v="0"/>
    <n v="104.5"/>
    <n v="104.5"/>
    <n v="0"/>
  </r>
  <r>
    <x v="1"/>
    <s v="Normal"/>
    <n v="17.46"/>
    <x v="1"/>
    <n v="84.75"/>
    <n v="87.300000000000011"/>
    <n v="2.5500000000000114"/>
  </r>
  <r>
    <x v="0"/>
    <s v="Normal"/>
    <n v="24.86"/>
    <x v="1"/>
    <n v="119.1"/>
    <n v="124.3"/>
    <n v="5.2000000000000028"/>
  </r>
  <r>
    <x v="0"/>
    <s v="Phase-out"/>
    <n v="6.57"/>
    <x v="0"/>
    <n v="32.85"/>
    <n v="32.85"/>
    <n v="0"/>
  </r>
  <r>
    <x v="1"/>
    <s v="Normal"/>
    <n v="15.53"/>
    <x v="1"/>
    <n v="75.400000000000006"/>
    <n v="77.649999999999991"/>
    <n v="2.2499999999999858"/>
  </r>
  <r>
    <x v="0"/>
    <s v="Normal"/>
    <n v="20.56"/>
    <x v="0"/>
    <n v="82.24"/>
    <n v="82.24"/>
    <n v="0"/>
  </r>
  <r>
    <x v="1"/>
    <s v="Normal"/>
    <n v="22.5"/>
    <x v="1"/>
    <n v="87.36"/>
    <n v="90"/>
    <n v="2.6400000000000006"/>
  </r>
  <r>
    <x v="1"/>
    <s v="Normal"/>
    <n v="13.27"/>
    <x v="0"/>
    <n v="53.08"/>
    <n v="53.08"/>
    <n v="0"/>
  </r>
  <r>
    <x v="1"/>
    <s v="Normal"/>
    <n v="17.57"/>
    <x v="1"/>
    <n v="68.2"/>
    <n v="70.28"/>
    <n v="2.0799999999999983"/>
  </r>
  <r>
    <x v="1"/>
    <s v="Normal"/>
    <n v="9.3699999999999992"/>
    <x v="0"/>
    <n v="37.479999999999997"/>
    <n v="37.479999999999997"/>
    <n v="0"/>
  </r>
  <r>
    <x v="0"/>
    <s v="Normal"/>
    <n v="1.63"/>
    <x v="1"/>
    <n v="6.4"/>
    <n v="6.52"/>
    <n v="0.11999999999999922"/>
  </r>
  <r>
    <x v="0"/>
    <s v="Normal"/>
    <n v="9.0399999999999991"/>
    <x v="1"/>
    <n v="35.44"/>
    <n v="36.159999999999997"/>
    <n v="0.71999999999999886"/>
  </r>
  <r>
    <x v="0"/>
    <s v="Normal"/>
    <n v="56.25"/>
    <x v="1"/>
    <n v="220.6"/>
    <n v="225"/>
    <n v="4.4000000000000057"/>
  </r>
  <r>
    <x v="0"/>
    <s v="Normal"/>
    <n v="15.59"/>
    <x v="1"/>
    <n v="61.12"/>
    <n v="62.36"/>
    <n v="1.240000000000002"/>
  </r>
  <r>
    <x v="0"/>
    <s v="Normal"/>
    <n v="25.75"/>
    <x v="1"/>
    <n v="100.96"/>
    <n v="103"/>
    <n v="2.0400000000000063"/>
  </r>
  <r>
    <x v="1"/>
    <s v="Phase-out"/>
    <n v="6.24"/>
    <x v="0"/>
    <n v="24.96"/>
    <n v="24.96"/>
    <n v="0"/>
  </r>
  <r>
    <x v="0"/>
    <s v="Phase-out"/>
    <n v="11.02"/>
    <x v="0"/>
    <n v="44.08"/>
    <n v="44.08"/>
    <n v="0"/>
  </r>
  <r>
    <x v="0"/>
    <s v="Normal"/>
    <n v="4.97"/>
    <x v="1"/>
    <n v="19.52"/>
    <n v="19.88"/>
    <n v="0.35999999999999943"/>
  </r>
  <r>
    <x v="0"/>
    <s v="Delete"/>
    <n v="21.92"/>
    <x v="3"/>
    <n v="87.68"/>
    <n v="87.68"/>
    <n v="0"/>
  </r>
  <r>
    <x v="1"/>
    <s v="Normal"/>
    <n v="10.66"/>
    <x v="1"/>
    <n v="41.4"/>
    <n v="42.64"/>
    <n v="1.240000000000002"/>
  </r>
  <r>
    <x v="1"/>
    <s v="Normal"/>
    <n v="52.65"/>
    <x v="1"/>
    <n v="204.44"/>
    <n v="210.6"/>
    <n v="6.1599999999999966"/>
  </r>
  <r>
    <x v="1"/>
    <s v="Normal"/>
    <n v="22.97"/>
    <x v="1"/>
    <n v="89.2"/>
    <n v="91.88"/>
    <n v="2.6799999999999926"/>
  </r>
  <r>
    <x v="1"/>
    <s v="Normal"/>
    <n v="55.5"/>
    <x v="1"/>
    <n v="215.56"/>
    <n v="222"/>
    <n v="6.4399999999999977"/>
  </r>
  <r>
    <x v="1"/>
    <s v="Phase-out"/>
    <n v="17.07"/>
    <x v="0"/>
    <n v="68.28"/>
    <n v="68.28"/>
    <n v="0"/>
  </r>
  <r>
    <x v="1"/>
    <s v="Normal"/>
    <n v="27.42"/>
    <x v="1"/>
    <n v="106.48"/>
    <n v="109.68"/>
    <n v="3.2000000000000028"/>
  </r>
  <r>
    <x v="1"/>
    <s v="Normal"/>
    <n v="15.16"/>
    <x v="1"/>
    <n v="58.88"/>
    <n v="60.64"/>
    <n v="1.759999999999998"/>
  </r>
  <r>
    <x v="1"/>
    <s v="Normal"/>
    <n v="27.92"/>
    <x v="1"/>
    <n v="108.44"/>
    <n v="111.68"/>
    <n v="3.2400000000000091"/>
  </r>
  <r>
    <x v="0"/>
    <s v="Normal"/>
    <n v="34.549999999999997"/>
    <x v="0"/>
    <n v="138.19999999999999"/>
    <n v="138.19999999999999"/>
    <n v="0"/>
  </r>
  <r>
    <x v="0"/>
    <s v="Normal"/>
    <n v="28.89"/>
    <x v="0"/>
    <n v="115.56"/>
    <n v="115.56"/>
    <n v="0"/>
  </r>
  <r>
    <x v="0"/>
    <s v="Normal"/>
    <n v="9.64"/>
    <x v="0"/>
    <n v="38.56"/>
    <n v="38.56"/>
    <n v="0"/>
  </r>
  <r>
    <x v="0"/>
    <s v="Normal"/>
    <n v="14.9"/>
    <x v="1"/>
    <n v="58.44"/>
    <n v="59.6"/>
    <n v="1.1600000000000037"/>
  </r>
  <r>
    <x v="0"/>
    <s v="Normal"/>
    <n v="42.69"/>
    <x v="1"/>
    <n v="167.44"/>
    <n v="170.76"/>
    <n v="3.3199999999999932"/>
  </r>
  <r>
    <x v="0"/>
    <s v="Normal"/>
    <n v="43.98"/>
    <x v="1"/>
    <n v="172.44"/>
    <n v="175.92"/>
    <n v="3.4799999999999898"/>
  </r>
  <r>
    <x v="0"/>
    <s v="Normal"/>
    <n v="7.49"/>
    <x v="1"/>
    <n v="29.36"/>
    <n v="29.96"/>
    <n v="0.60000000000000142"/>
  </r>
  <r>
    <x v="0"/>
    <s v="Normal"/>
    <n v="61.96"/>
    <x v="1"/>
    <n v="243"/>
    <n v="247.84"/>
    <n v="4.8400000000000034"/>
  </r>
  <r>
    <x v="0"/>
    <s v="Normal"/>
    <n v="70.150000000000006"/>
    <x v="1"/>
    <n v="275.12"/>
    <n v="280.60000000000002"/>
    <n v="5.4800000000000182"/>
  </r>
  <r>
    <x v="0"/>
    <s v="Normal"/>
    <n v="6.94"/>
    <x v="1"/>
    <n v="27.2"/>
    <n v="27.76"/>
    <n v="0.56000000000000227"/>
  </r>
  <r>
    <x v="0"/>
    <s v="Normal"/>
    <n v="20.97"/>
    <x v="1"/>
    <n v="82.24"/>
    <n v="83.88"/>
    <n v="1.6400000000000006"/>
  </r>
  <r>
    <x v="0"/>
    <s v="Normal"/>
    <n v="63.78"/>
    <x v="0"/>
    <n v="255.12"/>
    <n v="255.12"/>
    <n v="0"/>
  </r>
  <r>
    <x v="0"/>
    <s v="Phase-out"/>
    <n v="87.85"/>
    <x v="0"/>
    <n v="351.4"/>
    <n v="351.4"/>
    <n v="0"/>
  </r>
  <r>
    <x v="0"/>
    <s v="Normal"/>
    <n v="37.369999999999997"/>
    <x v="0"/>
    <n v="149.47999999999999"/>
    <n v="149.47999999999999"/>
    <n v="0"/>
  </r>
  <r>
    <x v="0"/>
    <s v="Normal"/>
    <n v="8.31"/>
    <x v="0"/>
    <n v="33.24"/>
    <n v="33.24"/>
    <n v="0"/>
  </r>
  <r>
    <x v="0"/>
    <s v="Normal"/>
    <n v="13.11"/>
    <x v="1"/>
    <n v="51.4"/>
    <n v="52.44"/>
    <n v="1.0399999999999991"/>
  </r>
  <r>
    <x v="0"/>
    <s v="Normal"/>
    <n v="7.8"/>
    <x v="1"/>
    <n v="30.56"/>
    <n v="31.2"/>
    <n v="0.64000000000000057"/>
  </r>
  <r>
    <x v="1"/>
    <s v="Normal"/>
    <n v="12.2"/>
    <x v="0"/>
    <n v="48.8"/>
    <n v="48.8"/>
    <n v="0"/>
  </r>
  <r>
    <x v="0"/>
    <s v="Normal"/>
    <n v="22.14"/>
    <x v="1"/>
    <n v="86.84"/>
    <n v="88.56"/>
    <n v="1.7199999999999989"/>
  </r>
  <r>
    <x v="1"/>
    <s v="Normal"/>
    <n v="8.1300000000000008"/>
    <x v="1"/>
    <n v="31.6"/>
    <n v="32.520000000000003"/>
    <n v="0.92000000000000171"/>
  </r>
  <r>
    <x v="0"/>
    <s v="Normal"/>
    <n v="21.04"/>
    <x v="0"/>
    <n v="84.16"/>
    <n v="84.16"/>
    <n v="0"/>
  </r>
  <r>
    <x v="0"/>
    <s v="Normal"/>
    <n v="14.43"/>
    <x v="0"/>
    <n v="57.72"/>
    <n v="57.72"/>
    <n v="0"/>
  </r>
  <r>
    <x v="1"/>
    <s v="Normal"/>
    <n v="28.48"/>
    <x v="1"/>
    <n v="110.6"/>
    <n v="113.92"/>
    <n v="3.3200000000000074"/>
  </r>
  <r>
    <x v="0"/>
    <s v="Normal"/>
    <n v="6.73"/>
    <x v="1"/>
    <n v="19.799999999999997"/>
    <n v="20.190000000000001"/>
    <n v="0.39000000000000412"/>
  </r>
  <r>
    <x v="1"/>
    <s v="Normal"/>
    <n v="8.26"/>
    <x v="1"/>
    <n v="24.06"/>
    <n v="24.78"/>
    <n v="0.72000000000000242"/>
  </r>
  <r>
    <x v="0"/>
    <s v="Normal"/>
    <n v="7.9"/>
    <x v="1"/>
    <n v="23.22"/>
    <n v="23.700000000000003"/>
    <n v="0.48000000000000398"/>
  </r>
  <r>
    <x v="0"/>
    <s v="Normal"/>
    <n v="21.87"/>
    <x v="0"/>
    <n v="65.61"/>
    <n v="65.61"/>
    <n v="0"/>
  </r>
  <r>
    <x v="1"/>
    <s v="Normal"/>
    <n v="20.34"/>
    <x v="1"/>
    <n v="59.25"/>
    <n v="61.019999999999996"/>
    <n v="1.769999999999996"/>
  </r>
  <r>
    <x v="1"/>
    <s v="Normal"/>
    <n v="20.34"/>
    <x v="1"/>
    <n v="59.25"/>
    <n v="61.019999999999996"/>
    <n v="1.769999999999996"/>
  </r>
  <r>
    <x v="1"/>
    <s v="Normal"/>
    <n v="21.48"/>
    <x v="1"/>
    <n v="62.58"/>
    <n v="64.44"/>
    <n v="1.8599999999999994"/>
  </r>
  <r>
    <x v="0"/>
    <s v="Normal"/>
    <n v="12.29"/>
    <x v="1"/>
    <n v="36.150000000000006"/>
    <n v="36.869999999999997"/>
    <n v="0.71999999999999176"/>
  </r>
  <r>
    <x v="1"/>
    <s v="Phase-out"/>
    <n v="46.12"/>
    <x v="0"/>
    <n v="138.35999999999999"/>
    <n v="138.35999999999999"/>
    <n v="0"/>
  </r>
  <r>
    <x v="1"/>
    <s v="Pre-phase-out"/>
    <n v="37.6"/>
    <x v="0"/>
    <n v="112.80000000000001"/>
    <n v="112.80000000000001"/>
    <n v="0"/>
  </r>
  <r>
    <x v="1"/>
    <s v="Normal"/>
    <n v="25.22"/>
    <x v="1"/>
    <n v="73.44"/>
    <n v="75.66"/>
    <n v="2.2199999999999989"/>
  </r>
  <r>
    <x v="1"/>
    <s v="Normal"/>
    <n v="15.31"/>
    <x v="1"/>
    <n v="44.58"/>
    <n v="45.93"/>
    <n v="1.3500000000000014"/>
  </r>
  <r>
    <x v="1"/>
    <s v="Phase-out"/>
    <n v="14.23"/>
    <x v="0"/>
    <n v="42.69"/>
    <n v="42.69"/>
    <n v="0"/>
  </r>
  <r>
    <x v="0"/>
    <s v="Normal"/>
    <n v="13.63"/>
    <x v="0"/>
    <n v="40.89"/>
    <n v="40.89"/>
    <n v="0"/>
  </r>
  <r>
    <x v="0"/>
    <s v="Normal"/>
    <n v="15.9"/>
    <x v="0"/>
    <n v="47.7"/>
    <n v="47.7"/>
    <n v="0"/>
  </r>
  <r>
    <x v="0"/>
    <s v="Normal"/>
    <n v="11.76"/>
    <x v="1"/>
    <n v="34.589999999999996"/>
    <n v="35.28"/>
    <n v="0.69000000000000483"/>
  </r>
  <r>
    <x v="0"/>
    <s v="Normal"/>
    <n v="14.9"/>
    <x v="1"/>
    <n v="43.83"/>
    <n v="44.7"/>
    <n v="0.87000000000000455"/>
  </r>
  <r>
    <x v="0"/>
    <s v="Normal"/>
    <n v="1.97"/>
    <x v="1"/>
    <n v="5.79"/>
    <n v="5.91"/>
    <n v="0.12000000000000011"/>
  </r>
  <r>
    <x v="0"/>
    <s v="Phase-out"/>
    <n v="7.34"/>
    <x v="0"/>
    <n v="22.02"/>
    <n v="22.02"/>
    <n v="0"/>
  </r>
  <r>
    <x v="0"/>
    <s v="Normal"/>
    <n v="59.61"/>
    <x v="1"/>
    <n v="175.32"/>
    <n v="178.82999999999998"/>
    <n v="3.5099999999999909"/>
  </r>
  <r>
    <x v="0"/>
    <s v="Phase-out"/>
    <n v="3.4"/>
    <x v="0"/>
    <n v="10.199999999999999"/>
    <n v="10.199999999999999"/>
    <n v="0"/>
  </r>
  <r>
    <x v="0"/>
    <s v="Normal"/>
    <n v="16.28"/>
    <x v="0"/>
    <n v="48.84"/>
    <n v="48.84"/>
    <n v="0"/>
  </r>
  <r>
    <x v="0"/>
    <s v="Normal"/>
    <n v="17.79"/>
    <x v="1"/>
    <n v="52.320000000000007"/>
    <n v="53.37"/>
    <n v="1.0499999999999901"/>
  </r>
  <r>
    <x v="0"/>
    <s v="Normal"/>
    <n v="4.2"/>
    <x v="0"/>
    <n v="12.600000000000001"/>
    <n v="12.600000000000001"/>
    <n v="0"/>
  </r>
  <r>
    <x v="0"/>
    <s v="Normal"/>
    <n v="79.709999999999994"/>
    <x v="0"/>
    <n v="239.13"/>
    <n v="239.13"/>
    <n v="0"/>
  </r>
  <r>
    <x v="0"/>
    <s v="Normal"/>
    <n v="43.04"/>
    <x v="0"/>
    <n v="129.12"/>
    <n v="129.12"/>
    <n v="0"/>
  </r>
  <r>
    <x v="0"/>
    <s v="Delete"/>
    <n v="18.95"/>
    <x v="3"/>
    <n v="56.849999999999994"/>
    <n v="56.849999999999994"/>
    <n v="0"/>
  </r>
  <r>
    <x v="0"/>
    <s v="Normal"/>
    <n v="51.03"/>
    <x v="0"/>
    <n v="153.09"/>
    <n v="153.09"/>
    <n v="0"/>
  </r>
  <r>
    <x v="0"/>
    <s v="Normal"/>
    <n v="19.100000000000001"/>
    <x v="0"/>
    <n v="57.300000000000004"/>
    <n v="57.300000000000004"/>
    <n v="0"/>
  </r>
  <r>
    <x v="0"/>
    <s v="Normal"/>
    <n v="13.46"/>
    <x v="1"/>
    <n v="39.599999999999994"/>
    <n v="40.380000000000003"/>
    <n v="0.78000000000000824"/>
  </r>
  <r>
    <x v="0"/>
    <s v="Normal"/>
    <n v="9.74"/>
    <x v="1"/>
    <n v="28.650000000000002"/>
    <n v="29.22"/>
    <n v="0.56999999999999673"/>
  </r>
  <r>
    <x v="0"/>
    <s v="Normal"/>
    <n v="15.48"/>
    <x v="1"/>
    <n v="45.54"/>
    <n v="46.44"/>
    <n v="0.89999999999999858"/>
  </r>
  <r>
    <x v="1"/>
    <s v="Normal"/>
    <n v="15.16"/>
    <x v="1"/>
    <n v="44.160000000000004"/>
    <n v="45.480000000000004"/>
    <n v="1.3200000000000003"/>
  </r>
  <r>
    <x v="1"/>
    <s v="Normal"/>
    <n v="15.16"/>
    <x v="1"/>
    <n v="44.160000000000004"/>
    <n v="45.480000000000004"/>
    <n v="1.3200000000000003"/>
  </r>
  <r>
    <x v="1"/>
    <s v="Normal"/>
    <n v="22.03"/>
    <x v="0"/>
    <n v="66.09"/>
    <n v="66.09"/>
    <n v="0"/>
  </r>
  <r>
    <x v="1"/>
    <s v="Normal"/>
    <n v="38.880000000000003"/>
    <x v="0"/>
    <n v="116.64000000000001"/>
    <n v="116.64000000000001"/>
    <n v="0"/>
  </r>
  <r>
    <x v="0"/>
    <s v="Normal"/>
    <n v="21.67"/>
    <x v="0"/>
    <n v="43.34"/>
    <n v="43.34"/>
    <n v="0"/>
  </r>
  <r>
    <x v="1"/>
    <s v="Normal"/>
    <n v="7.89"/>
    <x v="1"/>
    <n v="15.32"/>
    <n v="15.78"/>
    <n v="0.45999999999999908"/>
  </r>
  <r>
    <x v="0"/>
    <s v="Normal"/>
    <n v="4.38"/>
    <x v="1"/>
    <n v="8.58"/>
    <n v="8.76"/>
    <n v="0.17999999999999972"/>
  </r>
  <r>
    <x v="0"/>
    <s v="Normal"/>
    <n v="80.05"/>
    <x v="1"/>
    <n v="156.96"/>
    <n v="160.1"/>
    <n v="3.1399999999999864"/>
  </r>
  <r>
    <x v="0"/>
    <s v="Normal"/>
    <n v="19"/>
    <x v="1"/>
    <n v="37.26"/>
    <n v="38"/>
    <n v="0.74000000000000199"/>
  </r>
  <r>
    <x v="0"/>
    <s v="Normal"/>
    <n v="34.19"/>
    <x v="1"/>
    <n v="67.040000000000006"/>
    <n v="68.38"/>
    <n v="1.3399999999999892"/>
  </r>
  <r>
    <x v="0"/>
    <s v="Normal"/>
    <n v="10.58"/>
    <x v="1"/>
    <n v="20.74"/>
    <n v="21.16"/>
    <n v="0.42000000000000171"/>
  </r>
  <r>
    <x v="0"/>
    <s v="Normal"/>
    <n v="52.86"/>
    <x v="1"/>
    <n v="103.66"/>
    <n v="105.72"/>
    <n v="2.0600000000000023"/>
  </r>
  <r>
    <x v="1"/>
    <s v="Normal"/>
    <n v="37.28"/>
    <x v="1"/>
    <n v="72.400000000000006"/>
    <n v="74.56"/>
    <n v="2.1599999999999966"/>
  </r>
  <r>
    <x v="0"/>
    <s v="Normal"/>
    <n v="3.44"/>
    <x v="0"/>
    <n v="6.88"/>
    <n v="6.88"/>
    <n v="0"/>
  </r>
  <r>
    <x v="0"/>
    <s v="Delete"/>
    <n v="26.29"/>
    <x v="3"/>
    <n v="52.58"/>
    <n v="52.58"/>
    <n v="0"/>
  </r>
  <r>
    <x v="0"/>
    <s v="Delete"/>
    <n v="26.29"/>
    <x v="3"/>
    <n v="52.58"/>
    <n v="52.58"/>
    <n v="0"/>
  </r>
  <r>
    <x v="0"/>
    <s v="Normal"/>
    <n v="8.16"/>
    <x v="1"/>
    <n v="16"/>
    <n v="16.32"/>
    <n v="0.32000000000000028"/>
  </r>
  <r>
    <x v="1"/>
    <s v="Normal"/>
    <n v="50.91"/>
    <x v="1"/>
    <n v="98.86"/>
    <n v="101.82"/>
    <n v="2.9599999999999937"/>
  </r>
  <r>
    <x v="1"/>
    <s v="Normal"/>
    <n v="33.770000000000003"/>
    <x v="1"/>
    <n v="65.58"/>
    <n v="67.540000000000006"/>
    <n v="1.960000000000008"/>
  </r>
  <r>
    <x v="1"/>
    <s v="Normal"/>
    <n v="20.66"/>
    <x v="1"/>
    <n v="40.119999999999997"/>
    <n v="41.32"/>
    <n v="1.2000000000000028"/>
  </r>
  <r>
    <x v="1"/>
    <s v="Normal"/>
    <n v="15.31"/>
    <x v="1"/>
    <n v="29.72"/>
    <n v="30.62"/>
    <n v="0.90000000000000213"/>
  </r>
  <r>
    <x v="1"/>
    <s v="Normal"/>
    <n v="9.64"/>
    <x v="0"/>
    <n v="19.28"/>
    <n v="19.28"/>
    <n v="0"/>
  </r>
  <r>
    <x v="1"/>
    <s v="Normal"/>
    <n v="8.3000000000000007"/>
    <x v="0"/>
    <n v="16.600000000000001"/>
    <n v="16.600000000000001"/>
    <n v="0"/>
  </r>
  <r>
    <x v="1"/>
    <s v="Normal"/>
    <n v="47.88"/>
    <x v="1"/>
    <n v="92.98"/>
    <n v="95.76"/>
    <n v="2.7800000000000011"/>
  </r>
  <r>
    <x v="1"/>
    <s v="Normal"/>
    <n v="15.6"/>
    <x v="0"/>
    <n v="31.2"/>
    <n v="31.2"/>
    <n v="0"/>
  </r>
  <r>
    <x v="1"/>
    <s v="Normal"/>
    <n v="15.6"/>
    <x v="0"/>
    <n v="31.2"/>
    <n v="31.2"/>
    <n v="0"/>
  </r>
  <r>
    <x v="1"/>
    <s v="Normal"/>
    <n v="15.16"/>
    <x v="1"/>
    <n v="29.44"/>
    <n v="30.32"/>
    <n v="0.87999999999999901"/>
  </r>
  <r>
    <x v="0"/>
    <s v="Phase-out"/>
    <n v="19.89"/>
    <x v="0"/>
    <n v="39.78"/>
    <n v="39.78"/>
    <n v="0"/>
  </r>
  <r>
    <x v="0"/>
    <s v="Centrally stock allocated"/>
    <n v="25.83"/>
    <x v="0"/>
    <n v="51.66"/>
    <n v="51.66"/>
    <n v="0"/>
  </r>
  <r>
    <x v="0"/>
    <s v="Normal"/>
    <n v="11.22"/>
    <x v="1"/>
    <n v="22"/>
    <n v="22.44"/>
    <n v="0.44000000000000128"/>
  </r>
  <r>
    <x v="0"/>
    <s v="Normal"/>
    <n v="5.83"/>
    <x v="1"/>
    <n v="11.42"/>
    <n v="11.66"/>
    <n v="0.24000000000000021"/>
  </r>
  <r>
    <x v="0"/>
    <s v="Phase-out"/>
    <n v="3.56"/>
    <x v="0"/>
    <n v="7.12"/>
    <n v="7.12"/>
    <n v="0"/>
  </r>
  <r>
    <x v="0"/>
    <s v="Phase-out"/>
    <n v="5.9"/>
    <x v="0"/>
    <n v="11.8"/>
    <n v="11.8"/>
    <n v="0"/>
  </r>
  <r>
    <x v="0"/>
    <s v="Normal"/>
    <n v="51.8"/>
    <x v="1"/>
    <n v="101.58"/>
    <n v="103.6"/>
    <n v="2.019999999999996"/>
  </r>
  <r>
    <x v="0"/>
    <s v="Phase-out"/>
    <n v="6.01"/>
    <x v="0"/>
    <n v="12.02"/>
    <n v="12.02"/>
    <n v="0"/>
  </r>
  <r>
    <x v="0"/>
    <s v="Normal"/>
    <n v="10.49"/>
    <x v="1"/>
    <n v="20.56"/>
    <n v="20.98"/>
    <n v="0.42000000000000171"/>
  </r>
  <r>
    <x v="0"/>
    <s v="Phase-out"/>
    <n v="20.36"/>
    <x v="0"/>
    <n v="40.72"/>
    <n v="40.72"/>
    <n v="0"/>
  </r>
  <r>
    <x v="0"/>
    <s v="Normal"/>
    <n v="20.18"/>
    <x v="1"/>
    <n v="39.56"/>
    <n v="40.36"/>
    <n v="0.79999999999999716"/>
  </r>
  <r>
    <x v="0"/>
    <s v="Normal"/>
    <n v="4.79"/>
    <x v="1"/>
    <n v="9.4"/>
    <n v="9.58"/>
    <n v="0.17999999999999972"/>
  </r>
  <r>
    <x v="0"/>
    <s v="Phase-out"/>
    <n v="9.27"/>
    <x v="0"/>
    <n v="18.54"/>
    <n v="18.54"/>
    <n v="0"/>
  </r>
  <r>
    <x v="0"/>
    <s v="Normal"/>
    <n v="43.04"/>
    <x v="0"/>
    <n v="86.08"/>
    <n v="86.08"/>
    <n v="0"/>
  </r>
  <r>
    <x v="1"/>
    <s v="Normal"/>
    <n v="46.04"/>
    <x v="1"/>
    <n v="89.4"/>
    <n v="92.08"/>
    <n v="2.6799999999999926"/>
  </r>
  <r>
    <x v="0"/>
    <s v="Delete"/>
    <n v="18.95"/>
    <x v="3"/>
    <n v="37.9"/>
    <n v="37.9"/>
    <n v="0"/>
  </r>
  <r>
    <x v="0"/>
    <s v="Delete"/>
    <n v="18.95"/>
    <x v="3"/>
    <n v="37.9"/>
    <n v="37.9"/>
    <n v="0"/>
  </r>
  <r>
    <x v="0"/>
    <s v="Normal"/>
    <n v="94.09"/>
    <x v="0"/>
    <n v="188.18"/>
    <n v="188.18"/>
    <n v="0"/>
  </r>
  <r>
    <x v="0"/>
    <s v="Normal"/>
    <n v="40.03"/>
    <x v="2"/>
    <n v="89.52"/>
    <n v="80.06"/>
    <n v="-9.4599999999999937"/>
  </r>
  <r>
    <x v="0"/>
    <s v="Phase-out"/>
    <n v="15.97"/>
    <x v="1"/>
    <n v="31.3"/>
    <n v="31.94"/>
    <n v="0.64000000000000057"/>
  </r>
  <r>
    <x v="0"/>
    <s v="Normal"/>
    <n v="92.23"/>
    <x v="0"/>
    <n v="184.46"/>
    <n v="184.46"/>
    <n v="0"/>
  </r>
  <r>
    <x v="0"/>
    <s v="Normal"/>
    <n v="45.05"/>
    <x v="0"/>
    <n v="90.1"/>
    <n v="90.1"/>
    <n v="0"/>
  </r>
  <r>
    <x v="0"/>
    <s v="Normal"/>
    <n v="68.75"/>
    <x v="0"/>
    <n v="137.5"/>
    <n v="137.5"/>
    <n v="0"/>
  </r>
  <r>
    <x v="0"/>
    <s v="Normal"/>
    <n v="154.69999999999999"/>
    <x v="0"/>
    <n v="309.39999999999998"/>
    <n v="309.39999999999998"/>
    <n v="0"/>
  </r>
  <r>
    <x v="0"/>
    <s v="Normal"/>
    <n v="12.12"/>
    <x v="1"/>
    <n v="23.76"/>
    <n v="24.24"/>
    <n v="0.47999999999999687"/>
  </r>
  <r>
    <x v="0"/>
    <s v="Normal"/>
    <n v="20.82"/>
    <x v="1"/>
    <n v="40.82"/>
    <n v="41.64"/>
    <n v="0.82000000000000028"/>
  </r>
  <r>
    <x v="1"/>
    <s v="Normal"/>
    <n v="15.08"/>
    <x v="0"/>
    <n v="30.16"/>
    <n v="30.16"/>
    <n v="0"/>
  </r>
  <r>
    <x v="0"/>
    <s v="Normal"/>
    <n v="11.96"/>
    <x v="1"/>
    <n v="23.46"/>
    <n v="23.92"/>
    <n v="0.46000000000000085"/>
  </r>
  <r>
    <x v="1"/>
    <s v="Normal"/>
    <n v="22.75"/>
    <x v="0"/>
    <n v="45.5"/>
    <n v="45.5"/>
    <n v="0"/>
  </r>
  <r>
    <x v="0"/>
    <s v="Phase-out"/>
    <n v="12.41"/>
    <x v="0"/>
    <n v="24.82"/>
    <n v="24.82"/>
    <n v="0"/>
  </r>
  <r>
    <x v="0"/>
    <s v="Normal"/>
    <n v="18.45"/>
    <x v="0"/>
    <n v="36.9"/>
    <n v="36.9"/>
    <n v="0"/>
  </r>
  <r>
    <x v="0"/>
    <s v="Normal"/>
    <n v="27.89"/>
    <x v="1"/>
    <n v="54.68"/>
    <n v="55.78"/>
    <n v="1.1000000000000014"/>
  </r>
  <r>
    <x v="1"/>
    <s v="Normal"/>
    <n v="8.7200000000000006"/>
    <x v="0"/>
    <n v="8.7200000000000006"/>
    <n v="8.7200000000000006"/>
    <n v="0"/>
  </r>
  <r>
    <x v="1"/>
    <s v="Normal"/>
    <n v="7.68"/>
    <x v="1"/>
    <n v="7.45"/>
    <n v="7.68"/>
    <n v="0.22999999999999954"/>
  </r>
  <r>
    <x v="1"/>
    <s v="Normal"/>
    <n v="47.72"/>
    <x v="1"/>
    <n v="46.33"/>
    <n v="47.72"/>
    <n v="1.3900000000000006"/>
  </r>
  <r>
    <x v="1"/>
    <s v="Normal"/>
    <n v="10.69"/>
    <x v="1"/>
    <n v="10.38"/>
    <n v="10.69"/>
    <n v="0.30999999999999872"/>
  </r>
  <r>
    <x v="0"/>
    <s v="Normal"/>
    <n v="0.51"/>
    <x v="1"/>
    <n v="0.5"/>
    <n v="0.51"/>
    <n v="1.0000000000000009E-2"/>
  </r>
  <r>
    <x v="0"/>
    <s v="Normal"/>
    <n v="88.22"/>
    <x v="1"/>
    <n v="86.49"/>
    <n v="88.22"/>
    <n v="1.730000000000004"/>
  </r>
  <r>
    <x v="0"/>
    <s v="Normal"/>
    <n v="8.76"/>
    <x v="0"/>
    <n v="8.76"/>
    <n v="8.76"/>
    <n v="0"/>
  </r>
  <r>
    <x v="0"/>
    <s v="Normal"/>
    <n v="35.53"/>
    <x v="0"/>
    <n v="35.53"/>
    <n v="35.53"/>
    <n v="0"/>
  </r>
  <r>
    <x v="1"/>
    <s v="Pre-phase-out"/>
    <n v="17.22"/>
    <x v="0"/>
    <n v="17.22"/>
    <n v="17.22"/>
    <n v="0"/>
  </r>
  <r>
    <x v="1"/>
    <s v="Normal"/>
    <n v="27.4"/>
    <x v="1"/>
    <n v="26.6"/>
    <n v="27.4"/>
    <n v="0.79999999999999716"/>
  </r>
  <r>
    <x v="1"/>
    <s v="Normal"/>
    <n v="18.63"/>
    <x v="1"/>
    <n v="18.09"/>
    <n v="18.63"/>
    <n v="0.53999999999999915"/>
  </r>
  <r>
    <x v="0"/>
    <s v="Phase-out"/>
    <n v="9.8800000000000008"/>
    <x v="0"/>
    <n v="9.8800000000000008"/>
    <n v="9.8800000000000008"/>
    <n v="0"/>
  </r>
  <r>
    <x v="0"/>
    <s v="Delete"/>
    <n v="26.29"/>
    <x v="3"/>
    <n v="26.29"/>
    <n v="26.29"/>
    <n v="0"/>
  </r>
  <r>
    <x v="0"/>
    <s v="Phase-out"/>
    <n v="19.38"/>
    <x v="0"/>
    <n v="19.38"/>
    <n v="19.38"/>
    <n v="0"/>
  </r>
  <r>
    <x v="0"/>
    <s v="Delete"/>
    <n v="21.92"/>
    <x v="3"/>
    <n v="21.92"/>
    <n v="21.92"/>
    <n v="0"/>
  </r>
  <r>
    <x v="0"/>
    <s v="Delete"/>
    <n v="21.92"/>
    <x v="3"/>
    <n v="21.92"/>
    <n v="21.92"/>
    <n v="0"/>
  </r>
  <r>
    <x v="1"/>
    <s v="Normal"/>
    <n v="16.68"/>
    <x v="1"/>
    <n v="16.2"/>
    <n v="16.68"/>
    <n v="0.48000000000000043"/>
  </r>
  <r>
    <x v="1"/>
    <s v="Normal"/>
    <n v="15.8"/>
    <x v="1"/>
    <n v="15.34"/>
    <n v="15.8"/>
    <n v="0.46000000000000085"/>
  </r>
  <r>
    <x v="1"/>
    <s v="Phase-out"/>
    <n v="29.12"/>
    <x v="0"/>
    <n v="29.12"/>
    <n v="29.12"/>
    <n v="0"/>
  </r>
  <r>
    <x v="1"/>
    <s v="Normal"/>
    <n v="26.18"/>
    <x v="1"/>
    <n v="25.41"/>
    <n v="26.18"/>
    <n v="0.76999999999999957"/>
  </r>
  <r>
    <x v="1"/>
    <s v="Normal"/>
    <n v="15.29"/>
    <x v="0"/>
    <n v="15.29"/>
    <n v="15.29"/>
    <n v="0"/>
  </r>
  <r>
    <x v="1"/>
    <s v="Normal"/>
    <n v="33.5"/>
    <x v="1"/>
    <n v="32.53"/>
    <n v="33.5"/>
    <n v="0.96999999999999886"/>
  </r>
  <r>
    <x v="1"/>
    <s v="Normal"/>
    <n v="32.04"/>
    <x v="0"/>
    <n v="32.04"/>
    <n v="32.04"/>
    <n v="0"/>
  </r>
  <r>
    <x v="1"/>
    <s v="Normal"/>
    <n v="21.82"/>
    <x v="0"/>
    <n v="21.82"/>
    <n v="21.82"/>
    <n v="0"/>
  </r>
  <r>
    <x v="1"/>
    <s v="Normal"/>
    <n v="13.98"/>
    <x v="1"/>
    <n v="13.57"/>
    <n v="13.98"/>
    <n v="0.41000000000000014"/>
  </r>
  <r>
    <x v="0"/>
    <s v="Normal"/>
    <n v="725.76"/>
    <x v="0"/>
    <n v="725.76"/>
    <n v="725.76"/>
    <n v="0"/>
  </r>
  <r>
    <x v="0"/>
    <s v="Phase-out"/>
    <n v="25.76"/>
    <x v="0"/>
    <n v="25.76"/>
    <n v="25.76"/>
    <n v="0"/>
  </r>
  <r>
    <x v="0"/>
    <s v="Phase-out"/>
    <n v="4.12"/>
    <x v="0"/>
    <n v="4.12"/>
    <n v="4.12"/>
    <n v="0"/>
  </r>
  <r>
    <x v="0"/>
    <s v="Phase-out"/>
    <n v="5.69"/>
    <x v="0"/>
    <n v="5.69"/>
    <n v="5.69"/>
    <n v="0"/>
  </r>
  <r>
    <x v="0"/>
    <s v="Normal"/>
    <n v="9.64"/>
    <x v="0"/>
    <n v="9.64"/>
    <n v="9.64"/>
    <n v="0"/>
  </r>
  <r>
    <x v="0"/>
    <s v="Normal"/>
    <n v="53.23"/>
    <x v="0"/>
    <n v="53.23"/>
    <n v="53.23"/>
    <n v="0"/>
  </r>
  <r>
    <x v="0"/>
    <s v="Delete"/>
    <n v="43.5"/>
    <x v="3"/>
    <n v="43.5"/>
    <n v="43.5"/>
    <n v="0"/>
  </r>
  <r>
    <x v="0"/>
    <s v="Delete"/>
    <n v="43.5"/>
    <x v="3"/>
    <n v="43.5"/>
    <n v="43.5"/>
    <n v="0"/>
  </r>
  <r>
    <x v="0"/>
    <s v="Delete"/>
    <n v="43.5"/>
    <x v="3"/>
    <n v="43.5"/>
    <n v="43.5"/>
    <n v="0"/>
  </r>
  <r>
    <x v="0"/>
    <s v="Normal"/>
    <n v="14.9"/>
    <x v="1"/>
    <n v="14.61"/>
    <n v="14.9"/>
    <n v="0.29000000000000092"/>
  </r>
  <r>
    <x v="0"/>
    <s v="Phase-out"/>
    <n v="25.19"/>
    <x v="0"/>
    <n v="25.19"/>
    <n v="25.19"/>
    <n v="0"/>
  </r>
  <r>
    <x v="0"/>
    <s v="Pre-phase-out"/>
    <n v="7.34"/>
    <x v="0"/>
    <n v="7.34"/>
    <n v="7.34"/>
    <n v="0"/>
  </r>
  <r>
    <x v="0"/>
    <s v="Normal"/>
    <n v="8.6199999999999992"/>
    <x v="0"/>
    <n v="8.6199999999999992"/>
    <n v="8.6199999999999992"/>
    <n v="0"/>
  </r>
  <r>
    <x v="0"/>
    <s v="Normal"/>
    <n v="18.78"/>
    <x v="0"/>
    <n v="18.78"/>
    <n v="18.78"/>
    <n v="0"/>
  </r>
  <r>
    <x v="0"/>
    <s v="Normal"/>
    <n v="26.32"/>
    <x v="0"/>
    <n v="26.32"/>
    <n v="26.32"/>
    <n v="0"/>
  </r>
  <r>
    <x v="0"/>
    <s v="Normal"/>
    <n v="53.82"/>
    <x v="0"/>
    <n v="53.82"/>
    <n v="53.82"/>
    <n v="0"/>
  </r>
  <r>
    <x v="0"/>
    <s v="Normal"/>
    <n v="69.34"/>
    <x v="0"/>
    <n v="69.34"/>
    <n v="69.34"/>
    <n v="0"/>
  </r>
  <r>
    <x v="0"/>
    <s v="Pre-phase-out"/>
    <n v="11.47"/>
    <x v="0"/>
    <n v="11.47"/>
    <n v="11.47"/>
    <n v="0"/>
  </r>
  <r>
    <x v="0"/>
    <s v="Normal"/>
    <n v="19.66"/>
    <x v="1"/>
    <n v="19.27"/>
    <n v="19.66"/>
    <n v="0.39000000000000057"/>
  </r>
  <r>
    <x v="0"/>
    <s v="Normal"/>
    <n v="5.79"/>
    <x v="1"/>
    <n v="5.67"/>
    <n v="5.79"/>
    <n v="0.12000000000000011"/>
  </r>
  <r>
    <x v="0"/>
    <s v="Delete"/>
    <n v="22.96"/>
    <x v="3"/>
    <n v="22.96"/>
    <n v="22.96"/>
    <n v="0"/>
  </r>
  <r>
    <x v="0"/>
    <s v="Phase-out"/>
    <n v="15.81"/>
    <x v="0"/>
    <n v="15.81"/>
    <n v="15.81"/>
    <n v="0"/>
  </r>
  <r>
    <x v="0"/>
    <s v="Normal"/>
    <n v="80.989999999999995"/>
    <x v="2"/>
    <n v="88.72"/>
    <n v="80.989999999999995"/>
    <n v="-7.730000000000004"/>
  </r>
  <r>
    <x v="0"/>
    <s v="Normal"/>
    <n v="97"/>
    <x v="0"/>
    <n v="97"/>
    <n v="97"/>
    <n v="0"/>
  </r>
  <r>
    <x v="0"/>
    <s v="Normal"/>
    <n v="19.350000000000001"/>
    <x v="0"/>
    <n v="19.350000000000001"/>
    <n v="19.350000000000001"/>
    <n v="0"/>
  </r>
  <r>
    <x v="0"/>
    <s v="Normal"/>
    <n v="10.62"/>
    <x v="1"/>
    <n v="10.41"/>
    <n v="10.62"/>
    <n v="0.20999999999999908"/>
  </r>
  <r>
    <x v="0"/>
    <s v="Normal"/>
    <n v="16.32"/>
    <x v="1"/>
    <n v="16"/>
    <n v="16.32"/>
    <n v="0.32000000000000028"/>
  </r>
  <r>
    <x v="0"/>
    <s v="Normal"/>
    <n v="12.98"/>
    <x v="1"/>
    <n v="12.73"/>
    <n v="12.98"/>
    <n v="0.25"/>
  </r>
  <r>
    <x v="0"/>
    <s v="Normal"/>
    <n v="20.82"/>
    <x v="1"/>
    <n v="20.41"/>
    <n v="20.82"/>
    <n v="0.41000000000000014"/>
  </r>
  <r>
    <x v="0"/>
    <s v="Normal"/>
    <n v="25.11"/>
    <x v="1"/>
    <n v="24.62"/>
    <n v="25.11"/>
    <n v="0.48999999999999844"/>
  </r>
  <r>
    <x v="0"/>
    <s v="Normal"/>
    <n v="40.98"/>
    <x v="0"/>
    <n v="40.98"/>
    <n v="40.98"/>
    <n v="0"/>
  </r>
  <r>
    <x v="1"/>
    <s v="Normal"/>
    <n v="26.18"/>
    <x v="1"/>
    <n v="25.41"/>
    <n v="26.18"/>
    <n v="0.76999999999999957"/>
  </r>
  <r>
    <x v="0"/>
    <s v="Normal"/>
    <n v="11.66"/>
    <x v="1"/>
    <n v="11.43"/>
    <n v="11.66"/>
    <n v="0.23000000000000043"/>
  </r>
  <r>
    <x v="0"/>
    <s v="Pre-phase-out"/>
    <n v="3648.65"/>
    <x v="0"/>
    <n v="3648.65"/>
    <n v="3648.65"/>
    <n v="0"/>
  </r>
  <r>
    <x v="0"/>
    <s v="Normal"/>
    <n v="27.65"/>
    <x v="0"/>
    <n v="27.65"/>
    <n v="27.65"/>
    <n v="0"/>
  </r>
  <r>
    <x v="0"/>
    <s v="Normal"/>
    <n v="43.04"/>
    <x v="0"/>
    <n v="43.04"/>
    <n v="43.04"/>
    <n v="0"/>
  </r>
  <r>
    <x v="0"/>
    <s v="Normal"/>
    <n v="22.11"/>
    <x v="0"/>
    <n v="22.11"/>
    <n v="22.11"/>
    <n v="0"/>
  </r>
  <r>
    <x v="0"/>
    <s v="Normal"/>
    <n v="17.579999999999998"/>
    <x v="0"/>
    <n v="17.579999999999998"/>
    <n v="17.579999999999998"/>
    <n v="0"/>
  </r>
  <r>
    <x v="1"/>
    <s v="Normal"/>
    <n v="12.79"/>
    <x v="1"/>
    <n v="12.42"/>
    <n v="12.79"/>
    <n v="0.36999999999999922"/>
  </r>
  <r>
    <x v="1"/>
    <s v="Normal"/>
    <n v="12.54"/>
    <x v="1"/>
    <n v="12.18"/>
    <n v="12.54"/>
    <n v="0.35999999999999943"/>
  </r>
  <r>
    <x v="0"/>
    <s v="Normal"/>
    <n v="6.73"/>
    <x v="1"/>
    <n v="0"/>
    <n v="0"/>
    <n v="0"/>
  </r>
  <r>
    <x v="1"/>
    <s v="Normal"/>
    <n v="70.489999999999995"/>
    <x v="1"/>
    <n v="0"/>
    <n v="0"/>
    <n v="0"/>
  </r>
  <r>
    <x v="1"/>
    <s v="Normal"/>
    <n v="19.75"/>
    <x v="1"/>
    <n v="0"/>
    <n v="0"/>
    <n v="0"/>
  </r>
  <r>
    <x v="1"/>
    <s v="Normal"/>
    <n v="49.14"/>
    <x v="1"/>
    <n v="0"/>
    <n v="0"/>
    <n v="0"/>
  </r>
  <r>
    <x v="1"/>
    <s v="Normal"/>
    <n v="24.61"/>
    <x v="0"/>
    <n v="0"/>
    <n v="0"/>
    <n v="0"/>
  </r>
  <r>
    <x v="1"/>
    <s v="Delete"/>
    <n v="19.920000000000002"/>
    <x v="3"/>
    <n v="0"/>
    <n v="0"/>
    <n v="0"/>
  </r>
  <r>
    <x v="1"/>
    <s v="Normal"/>
    <n v="29.82"/>
    <x v="1"/>
    <n v="0"/>
    <n v="0"/>
    <n v="0"/>
  </r>
  <r>
    <x v="1"/>
    <s v="Normal"/>
    <n v="21.56"/>
    <x v="0"/>
    <n v="0"/>
    <n v="0"/>
    <n v="0"/>
  </r>
  <r>
    <x v="1"/>
    <s v="Normal"/>
    <n v="17.04"/>
    <x v="1"/>
    <n v="0"/>
    <n v="0"/>
    <n v="0"/>
  </r>
  <r>
    <x v="1"/>
    <s v="Normal"/>
    <n v="17.04"/>
    <x v="1"/>
    <n v="0"/>
    <n v="0"/>
    <n v="0"/>
  </r>
  <r>
    <x v="1"/>
    <s v="Phase-out"/>
    <n v="17.920000000000002"/>
    <x v="0"/>
    <n v="0"/>
    <n v="0"/>
    <n v="0"/>
  </r>
  <r>
    <x v="1"/>
    <s v="Phase-out"/>
    <n v="27.16"/>
    <x v="0"/>
    <n v="0"/>
    <n v="0"/>
    <n v="0"/>
  </r>
  <r>
    <x v="0"/>
    <s v="Delete"/>
    <n v="15.65"/>
    <x v="3"/>
    <n v="0"/>
    <n v="0"/>
    <n v="0"/>
  </r>
  <r>
    <x v="0"/>
    <s v="Normal"/>
    <n v="3.61"/>
    <x v="1"/>
    <n v="0"/>
    <n v="0"/>
    <n v="0"/>
  </r>
  <r>
    <x v="0"/>
    <s v="Normal"/>
    <n v="3.12"/>
    <x v="1"/>
    <n v="0"/>
    <n v="0"/>
    <n v="0"/>
  </r>
  <r>
    <x v="0"/>
    <s v="Normal"/>
    <n v="47.03"/>
    <x v="1"/>
    <n v="0"/>
    <n v="0"/>
    <n v="0"/>
  </r>
  <r>
    <x v="0"/>
    <s v="Normal"/>
    <n v="47.03"/>
    <x v="1"/>
    <n v="0"/>
    <n v="0"/>
    <n v="0"/>
  </r>
  <r>
    <x v="0"/>
    <s v="Normal"/>
    <n v="47.03"/>
    <x v="1"/>
    <n v="0"/>
    <n v="0"/>
    <n v="0"/>
  </r>
  <r>
    <x v="0"/>
    <s v="Normal"/>
    <n v="47.03"/>
    <x v="1"/>
    <n v="0"/>
    <n v="0"/>
    <n v="0"/>
  </r>
  <r>
    <x v="0"/>
    <s v="Normal"/>
    <n v="6.97"/>
    <x v="1"/>
    <n v="0"/>
    <n v="0"/>
    <n v="0"/>
  </r>
  <r>
    <x v="0"/>
    <s v="Normal"/>
    <n v="6.97"/>
    <x v="1"/>
    <n v="0"/>
    <n v="0"/>
    <n v="0"/>
  </r>
  <r>
    <x v="0"/>
    <s v="Normal"/>
    <n v="6.97"/>
    <x v="1"/>
    <n v="0"/>
    <n v="0"/>
    <n v="0"/>
  </r>
  <r>
    <x v="0"/>
    <s v="Normal"/>
    <n v="6.97"/>
    <x v="1"/>
    <n v="0"/>
    <n v="0"/>
    <n v="0"/>
  </r>
  <r>
    <x v="0"/>
    <s v="Normal"/>
    <n v="18.59"/>
    <x v="0"/>
    <n v="0"/>
    <n v="0"/>
    <n v="0"/>
  </r>
  <r>
    <x v="0"/>
    <s v="Normal"/>
    <n v="48.47"/>
    <x v="0"/>
    <n v="0"/>
    <n v="0"/>
    <n v="0"/>
  </r>
  <r>
    <x v="0"/>
    <s v="Normal"/>
    <n v="48.47"/>
    <x v="0"/>
    <n v="0"/>
    <n v="0"/>
    <n v="0"/>
  </r>
  <r>
    <x v="0"/>
    <s v="Normal"/>
    <n v="16.91"/>
    <x v="1"/>
    <n v="0"/>
    <n v="0"/>
    <n v="0"/>
  </r>
  <r>
    <x v="0"/>
    <s v="Normal"/>
    <n v="60.48"/>
    <x v="1"/>
    <n v="0"/>
    <n v="0"/>
    <n v="0"/>
  </r>
  <r>
    <x v="0"/>
    <s v="Normal"/>
    <n v="13.49"/>
    <x v="1"/>
    <n v="0"/>
    <n v="0"/>
    <n v="0"/>
  </r>
  <r>
    <x v="0"/>
    <s v="Normal"/>
    <n v="60.16"/>
    <x v="1"/>
    <n v="0"/>
    <n v="0"/>
    <n v="0"/>
  </r>
  <r>
    <x v="0"/>
    <s v="Normal"/>
    <n v="155.68"/>
    <x v="1"/>
    <n v="0"/>
    <n v="0"/>
    <n v="0"/>
  </r>
  <r>
    <x v="0"/>
    <s v="Normal"/>
    <n v="125.64"/>
    <x v="1"/>
    <n v="0"/>
    <n v="0"/>
    <n v="0"/>
  </r>
  <r>
    <x v="0"/>
    <s v="Normal"/>
    <n v="121.98"/>
    <x v="1"/>
    <n v="0"/>
    <n v="0"/>
    <n v="0"/>
  </r>
  <r>
    <x v="0"/>
    <s v="Phase-out"/>
    <n v="4.97"/>
    <x v="0"/>
    <n v="0"/>
    <n v="0"/>
    <n v="0"/>
  </r>
  <r>
    <x v="0"/>
    <s v="Normal"/>
    <n v="18.14"/>
    <x v="0"/>
    <n v="0"/>
    <n v="0"/>
    <n v="0"/>
  </r>
  <r>
    <x v="1"/>
    <s v="Normal"/>
    <n v="3.18"/>
    <x v="1"/>
    <n v="0"/>
    <n v="0"/>
    <n v="0"/>
  </r>
  <r>
    <x v="1"/>
    <s v="Normal"/>
    <n v="29.96"/>
    <x v="1"/>
    <n v="0"/>
    <n v="0"/>
    <n v="0"/>
  </r>
  <r>
    <x v="1"/>
    <s v="Normal"/>
    <n v="29.96"/>
    <x v="1"/>
    <n v="0"/>
    <n v="0"/>
    <n v="0"/>
  </r>
  <r>
    <x v="1"/>
    <s v="Normal"/>
    <n v="29.09"/>
    <x v="1"/>
    <n v="0"/>
    <n v="0"/>
    <n v="0"/>
  </r>
  <r>
    <x v="1"/>
    <s v="Normal"/>
    <n v="20.94"/>
    <x v="1"/>
    <n v="0"/>
    <n v="0"/>
    <n v="0"/>
  </r>
  <r>
    <x v="1"/>
    <s v="Normal"/>
    <n v="20.94"/>
    <x v="1"/>
    <n v="0"/>
    <n v="0"/>
    <n v="0"/>
  </r>
  <r>
    <x v="1"/>
    <s v="Normal"/>
    <n v="20.94"/>
    <x v="1"/>
    <n v="0"/>
    <n v="0"/>
    <n v="0"/>
  </r>
  <r>
    <x v="1"/>
    <s v="Normal"/>
    <n v="20.94"/>
    <x v="1"/>
    <n v="0"/>
    <n v="0"/>
    <n v="0"/>
  </r>
  <r>
    <x v="1"/>
    <s v="Normal"/>
    <n v="20.94"/>
    <x v="1"/>
    <n v="0"/>
    <n v="0"/>
    <n v="0"/>
  </r>
  <r>
    <x v="1"/>
    <s v="Normal"/>
    <n v="20.94"/>
    <x v="1"/>
    <n v="0"/>
    <n v="0"/>
    <n v="0"/>
  </r>
  <r>
    <x v="1"/>
    <s v="Phase-out"/>
    <n v="10.38"/>
    <x v="0"/>
    <n v="0"/>
    <n v="0"/>
    <n v="0"/>
  </r>
  <r>
    <x v="1"/>
    <s v="Phase-out"/>
    <n v="18.98"/>
    <x v="0"/>
    <n v="0"/>
    <n v="0"/>
    <n v="0"/>
  </r>
  <r>
    <x v="1"/>
    <s v="Phase-out"/>
    <n v="27.63"/>
    <x v="0"/>
    <n v="0"/>
    <n v="0"/>
    <n v="0"/>
  </r>
  <r>
    <x v="1"/>
    <s v="Normal"/>
    <n v="22.13"/>
    <x v="1"/>
    <n v="0"/>
    <n v="0"/>
    <n v="0"/>
  </r>
  <r>
    <x v="1"/>
    <s v="Normal"/>
    <n v="22.13"/>
    <x v="1"/>
    <n v="0"/>
    <n v="0"/>
    <n v="0"/>
  </r>
  <r>
    <x v="1"/>
    <s v="Normal"/>
    <n v="22.13"/>
    <x v="1"/>
    <n v="0"/>
    <n v="0"/>
    <n v="0"/>
  </r>
  <r>
    <x v="1"/>
    <s v="Normal"/>
    <n v="22.13"/>
    <x v="1"/>
    <n v="0"/>
    <n v="0"/>
    <n v="0"/>
  </r>
  <r>
    <x v="1"/>
    <s v="Normal"/>
    <n v="9.41"/>
    <x v="1"/>
    <n v="0"/>
    <n v="0"/>
    <n v="0"/>
  </r>
  <r>
    <x v="1"/>
    <s v="Normal"/>
    <n v="18.27"/>
    <x v="1"/>
    <n v="0"/>
    <n v="0"/>
    <n v="0"/>
  </r>
  <r>
    <x v="1"/>
    <s v="Normal"/>
    <n v="30.42"/>
    <x v="1"/>
    <n v="0"/>
    <n v="0"/>
    <n v="0"/>
  </r>
  <r>
    <x v="1"/>
    <s v="Normal"/>
    <n v="9.41"/>
    <x v="1"/>
    <n v="0"/>
    <n v="0"/>
    <n v="0"/>
  </r>
  <r>
    <x v="1"/>
    <s v="Phase-out"/>
    <n v="8.7200000000000006"/>
    <x v="0"/>
    <n v="0"/>
    <n v="0"/>
    <n v="0"/>
  </r>
  <r>
    <x v="1"/>
    <s v="Normal"/>
    <n v="18.27"/>
    <x v="1"/>
    <n v="0"/>
    <n v="0"/>
    <n v="0"/>
  </r>
  <r>
    <x v="1"/>
    <s v="Normal"/>
    <n v="30.42"/>
    <x v="1"/>
    <n v="0"/>
    <n v="0"/>
    <n v="0"/>
  </r>
  <r>
    <x v="1"/>
    <s v="Normal"/>
    <n v="9.41"/>
    <x v="1"/>
    <n v="0"/>
    <n v="0"/>
    <n v="0"/>
  </r>
  <r>
    <x v="1"/>
    <s v="Normal"/>
    <n v="30.42"/>
    <x v="1"/>
    <n v="0"/>
    <n v="0"/>
    <n v="0"/>
  </r>
  <r>
    <x v="1"/>
    <s v="Normal"/>
    <n v="9.41"/>
    <x v="1"/>
    <n v="0"/>
    <n v="0"/>
    <n v="0"/>
  </r>
  <r>
    <x v="1"/>
    <s v="Normal"/>
    <n v="9.41"/>
    <x v="1"/>
    <n v="0"/>
    <n v="0"/>
    <n v="0"/>
  </r>
  <r>
    <x v="1"/>
    <s v="Normal"/>
    <n v="18.27"/>
    <x v="1"/>
    <n v="0"/>
    <n v="0"/>
    <n v="0"/>
  </r>
  <r>
    <x v="1"/>
    <s v="Normal"/>
    <n v="30.42"/>
    <x v="1"/>
    <n v="0"/>
    <n v="0"/>
    <n v="0"/>
  </r>
  <r>
    <x v="1"/>
    <s v="Normal"/>
    <n v="9.41"/>
    <x v="1"/>
    <n v="0"/>
    <n v="0"/>
    <n v="0"/>
  </r>
  <r>
    <x v="1"/>
    <s v="Delete"/>
    <n v="16.52"/>
    <x v="3"/>
    <n v="0"/>
    <n v="0"/>
    <n v="0"/>
  </r>
  <r>
    <x v="1"/>
    <s v="Normal"/>
    <n v="9.41"/>
    <x v="1"/>
    <n v="0"/>
    <n v="0"/>
    <n v="0"/>
  </r>
  <r>
    <x v="1"/>
    <s v="Normal"/>
    <n v="18.27"/>
    <x v="1"/>
    <n v="0"/>
    <n v="0"/>
    <n v="0"/>
  </r>
  <r>
    <x v="1"/>
    <s v="Normal"/>
    <n v="30.42"/>
    <x v="1"/>
    <n v="0"/>
    <n v="0"/>
    <n v="0"/>
  </r>
  <r>
    <x v="1"/>
    <s v="Normal"/>
    <n v="18.27"/>
    <x v="1"/>
    <n v="0"/>
    <n v="0"/>
    <n v="0"/>
  </r>
  <r>
    <x v="1"/>
    <s v="Normal"/>
    <n v="9.41"/>
    <x v="1"/>
    <n v="0"/>
    <n v="0"/>
    <n v="0"/>
  </r>
  <r>
    <x v="1"/>
    <s v="Normal"/>
    <n v="18.27"/>
    <x v="1"/>
    <n v="0"/>
    <n v="0"/>
    <n v="0"/>
  </r>
  <r>
    <x v="1"/>
    <s v="Normal"/>
    <n v="30.42"/>
    <x v="1"/>
    <n v="0"/>
    <n v="0"/>
    <n v="0"/>
  </r>
  <r>
    <x v="1"/>
    <s v="Normal"/>
    <n v="18.27"/>
    <x v="1"/>
    <n v="0"/>
    <n v="0"/>
    <n v="0"/>
  </r>
  <r>
    <x v="1"/>
    <s v="Phase-out"/>
    <n v="17.73"/>
    <x v="2"/>
    <n v="0"/>
    <n v="0"/>
    <n v="0"/>
  </r>
  <r>
    <x v="1"/>
    <s v="Normal"/>
    <n v="9.41"/>
    <x v="1"/>
    <n v="0"/>
    <n v="0"/>
    <n v="0"/>
  </r>
  <r>
    <x v="1"/>
    <s v="Normal"/>
    <n v="18.27"/>
    <x v="1"/>
    <n v="0"/>
    <n v="0"/>
    <n v="0"/>
  </r>
  <r>
    <x v="1"/>
    <s v="Normal"/>
    <n v="9.41"/>
    <x v="1"/>
    <n v="0"/>
    <n v="0"/>
    <n v="0"/>
  </r>
  <r>
    <x v="1"/>
    <s v="Normal"/>
    <n v="18.27"/>
    <x v="1"/>
    <n v="0"/>
    <n v="0"/>
    <n v="0"/>
  </r>
  <r>
    <x v="1"/>
    <s v="Normal"/>
    <n v="9.41"/>
    <x v="1"/>
    <n v="0"/>
    <n v="0"/>
    <n v="0"/>
  </r>
  <r>
    <x v="1"/>
    <s v="Normal"/>
    <n v="17.739999999999998"/>
    <x v="1"/>
    <n v="0"/>
    <n v="0"/>
    <n v="0"/>
  </r>
  <r>
    <x v="1"/>
    <s v="Normal"/>
    <n v="30.42"/>
    <x v="1"/>
    <n v="0"/>
    <n v="0"/>
    <n v="0"/>
  </r>
  <r>
    <x v="1"/>
    <s v="Normal"/>
    <n v="18.27"/>
    <x v="1"/>
    <n v="0"/>
    <n v="0"/>
    <n v="0"/>
  </r>
  <r>
    <x v="1"/>
    <s v="Normal"/>
    <n v="18.27"/>
    <x v="1"/>
    <n v="0"/>
    <n v="0"/>
    <n v="0"/>
  </r>
  <r>
    <x v="1"/>
    <s v="Normal"/>
    <n v="9.41"/>
    <x v="1"/>
    <n v="0"/>
    <n v="0"/>
    <n v="0"/>
  </r>
  <r>
    <x v="1"/>
    <s v="Normal"/>
    <n v="18.27"/>
    <x v="1"/>
    <n v="0"/>
    <n v="0"/>
    <n v="0"/>
  </r>
  <r>
    <x v="1"/>
    <s v="Normal"/>
    <n v="30.42"/>
    <x v="1"/>
    <n v="0"/>
    <n v="0"/>
    <n v="0"/>
  </r>
  <r>
    <x v="1"/>
    <s v="Normal"/>
    <n v="18.27"/>
    <x v="1"/>
    <n v="0"/>
    <n v="0"/>
    <n v="0"/>
  </r>
  <r>
    <x v="1"/>
    <s v="Normal"/>
    <n v="9.41"/>
    <x v="1"/>
    <n v="0"/>
    <n v="0"/>
    <n v="0"/>
  </r>
  <r>
    <x v="1"/>
    <s v="Normal"/>
    <n v="9.41"/>
    <x v="1"/>
    <n v="0"/>
    <n v="0"/>
    <n v="0"/>
  </r>
  <r>
    <x v="1"/>
    <s v="Normal"/>
    <n v="18.27"/>
    <x v="1"/>
    <n v="0"/>
    <n v="0"/>
    <n v="0"/>
  </r>
  <r>
    <x v="1"/>
    <s v="Normal"/>
    <n v="9.41"/>
    <x v="1"/>
    <n v="0"/>
    <n v="0"/>
    <n v="0"/>
  </r>
  <r>
    <x v="1"/>
    <s v="Normal"/>
    <n v="18.27"/>
    <x v="1"/>
    <n v="0"/>
    <n v="0"/>
    <n v="0"/>
  </r>
  <r>
    <x v="1"/>
    <s v="Normal"/>
    <n v="30.42"/>
    <x v="1"/>
    <n v="0"/>
    <n v="0"/>
    <n v="0"/>
  </r>
  <r>
    <x v="1"/>
    <s v="Normal"/>
    <n v="9.41"/>
    <x v="1"/>
    <n v="0"/>
    <n v="0"/>
    <n v="0"/>
  </r>
  <r>
    <x v="1"/>
    <s v="Normal"/>
    <n v="17.739999999999998"/>
    <x v="1"/>
    <n v="0"/>
    <n v="0"/>
    <n v="0"/>
  </r>
  <r>
    <x v="1"/>
    <s v="Normal"/>
    <n v="9.41"/>
    <x v="1"/>
    <n v="0"/>
    <n v="0"/>
    <n v="0"/>
  </r>
  <r>
    <x v="1"/>
    <s v="Delete"/>
    <n v="8.26"/>
    <x v="3"/>
    <n v="0"/>
    <n v="0"/>
    <n v="0"/>
  </r>
  <r>
    <x v="1"/>
    <s v="Normal"/>
    <n v="18.27"/>
    <x v="1"/>
    <n v="0"/>
    <n v="0"/>
    <n v="0"/>
  </r>
  <r>
    <x v="1"/>
    <s v="Delete"/>
    <n v="8.7200000000000006"/>
    <x v="3"/>
    <n v="0"/>
    <n v="0"/>
    <n v="0"/>
  </r>
  <r>
    <x v="1"/>
    <s v="Normal"/>
    <n v="9.41"/>
    <x v="1"/>
    <n v="0"/>
    <n v="0"/>
    <n v="0"/>
  </r>
  <r>
    <x v="1"/>
    <s v="Normal"/>
    <n v="9.41"/>
    <x v="1"/>
    <n v="0"/>
    <n v="0"/>
    <n v="0"/>
  </r>
  <r>
    <x v="1"/>
    <s v="Normal"/>
    <n v="9.41"/>
    <x v="1"/>
    <n v="0"/>
    <n v="0"/>
    <n v="0"/>
  </r>
  <r>
    <x v="1"/>
    <s v="Normal"/>
    <n v="9.43"/>
    <x v="1"/>
    <n v="0"/>
    <n v="0"/>
    <n v="0"/>
  </r>
  <r>
    <x v="1"/>
    <s v="Normal"/>
    <n v="9.41"/>
    <x v="1"/>
    <n v="0"/>
    <n v="0"/>
    <n v="0"/>
  </r>
  <r>
    <x v="1"/>
    <s v="Normal"/>
    <n v="18.27"/>
    <x v="1"/>
    <n v="0"/>
    <n v="0"/>
    <n v="0"/>
  </r>
  <r>
    <x v="1"/>
    <s v="Normal"/>
    <n v="9.41"/>
    <x v="1"/>
    <n v="0"/>
    <n v="0"/>
    <n v="0"/>
  </r>
  <r>
    <x v="1"/>
    <s v="Normal"/>
    <n v="18.27"/>
    <x v="1"/>
    <n v="0"/>
    <n v="0"/>
    <n v="0"/>
  </r>
  <r>
    <x v="1"/>
    <s v="Normal"/>
    <n v="30.42"/>
    <x v="1"/>
    <n v="0"/>
    <n v="0"/>
    <n v="0"/>
  </r>
  <r>
    <x v="1"/>
    <s v="Normal"/>
    <n v="9.41"/>
    <x v="1"/>
    <n v="0"/>
    <n v="0"/>
    <n v="0"/>
  </r>
  <r>
    <x v="1"/>
    <s v="Normal"/>
    <n v="17.739999999999998"/>
    <x v="1"/>
    <n v="0"/>
    <n v="0"/>
    <n v="0"/>
  </r>
  <r>
    <x v="1"/>
    <s v="Normal"/>
    <n v="30.42"/>
    <x v="1"/>
    <n v="0"/>
    <n v="0"/>
    <n v="0"/>
  </r>
  <r>
    <x v="1"/>
    <s v="Normal"/>
    <n v="27.96"/>
    <x v="1"/>
    <n v="0"/>
    <n v="0"/>
    <n v="0"/>
  </r>
  <r>
    <x v="1"/>
    <s v="Normal"/>
    <n v="39.92"/>
    <x v="1"/>
    <n v="0"/>
    <n v="0"/>
    <n v="0"/>
  </r>
  <r>
    <x v="1"/>
    <s v="Normal"/>
    <n v="28.24"/>
    <x v="1"/>
    <n v="0"/>
    <n v="0"/>
    <n v="0"/>
  </r>
  <r>
    <x v="1"/>
    <s v="Normal"/>
    <n v="28.24"/>
    <x v="1"/>
    <n v="0"/>
    <n v="0"/>
    <n v="0"/>
  </r>
  <r>
    <x v="1"/>
    <s v="Normal"/>
    <n v="28.24"/>
    <x v="1"/>
    <n v="0"/>
    <n v="0"/>
    <n v="0"/>
  </r>
  <r>
    <x v="1"/>
    <s v="Normal"/>
    <n v="27.4"/>
    <x v="1"/>
    <n v="0"/>
    <n v="0"/>
    <n v="0"/>
  </r>
  <r>
    <x v="1"/>
    <s v="Phase-out"/>
    <n v="7.27"/>
    <x v="0"/>
    <n v="0"/>
    <n v="0"/>
    <n v="0"/>
  </r>
  <r>
    <x v="1"/>
    <s v="Normal"/>
    <n v="7.16"/>
    <x v="1"/>
    <n v="0"/>
    <n v="0"/>
    <n v="0"/>
  </r>
  <r>
    <x v="1"/>
    <s v="Normal"/>
    <n v="31.16"/>
    <x v="1"/>
    <n v="0"/>
    <n v="0"/>
    <n v="0"/>
  </r>
  <r>
    <x v="1"/>
    <s v="Normal"/>
    <n v="31.16"/>
    <x v="1"/>
    <n v="0"/>
    <n v="0"/>
    <n v="0"/>
  </r>
  <r>
    <x v="1"/>
    <s v="Normal"/>
    <n v="19.2"/>
    <x v="1"/>
    <n v="0"/>
    <n v="0"/>
    <n v="0"/>
  </r>
  <r>
    <x v="1"/>
    <s v="Pre-phase-out"/>
    <n v="37.53"/>
    <x v="0"/>
    <n v="0"/>
    <n v="0"/>
    <n v="0"/>
  </r>
  <r>
    <x v="0"/>
    <s v="Delete"/>
    <n v="26.29"/>
    <x v="3"/>
    <n v="0"/>
    <n v="0"/>
    <n v="0"/>
  </r>
  <r>
    <x v="0"/>
    <s v="Delete"/>
    <n v="26.29"/>
    <x v="3"/>
    <n v="0"/>
    <n v="0"/>
    <n v="0"/>
  </r>
  <r>
    <x v="0"/>
    <s v="Phase-out"/>
    <n v="27.08"/>
    <x v="0"/>
    <n v="0"/>
    <n v="0"/>
    <n v="0"/>
  </r>
  <r>
    <x v="0"/>
    <s v="Delete"/>
    <n v="27.08"/>
    <x v="3"/>
    <n v="0"/>
    <n v="0"/>
    <n v="0"/>
  </r>
  <r>
    <x v="0"/>
    <s v="Delete"/>
    <n v="27.08"/>
    <x v="3"/>
    <n v="0"/>
    <n v="0"/>
    <n v="0"/>
  </r>
  <r>
    <x v="0"/>
    <s v="Delete"/>
    <n v="27.08"/>
    <x v="3"/>
    <n v="0"/>
    <n v="0"/>
    <n v="0"/>
  </r>
  <r>
    <x v="0"/>
    <s v="Delete"/>
    <n v="26.29"/>
    <x v="3"/>
    <n v="0"/>
    <n v="0"/>
    <n v="0"/>
  </r>
  <r>
    <x v="0"/>
    <s v="Delete"/>
    <n v="26.29"/>
    <x v="3"/>
    <n v="0"/>
    <n v="0"/>
    <n v="0"/>
  </r>
  <r>
    <x v="0"/>
    <s v="Delete"/>
    <n v="26.29"/>
    <x v="3"/>
    <n v="0"/>
    <n v="0"/>
    <n v="0"/>
  </r>
  <r>
    <x v="0"/>
    <s v="Phase-out"/>
    <n v="4.49"/>
    <x v="0"/>
    <n v="0"/>
    <n v="0"/>
    <n v="0"/>
  </r>
  <r>
    <x v="0"/>
    <s v="Normal"/>
    <n v="10.42"/>
    <x v="1"/>
    <n v="0"/>
    <n v="0"/>
    <n v="0"/>
  </r>
  <r>
    <x v="0"/>
    <s v="Normal"/>
    <n v="7.41"/>
    <x v="0"/>
    <n v="0"/>
    <n v="0"/>
    <n v="0"/>
  </r>
  <r>
    <x v="0"/>
    <s v="Pre-phase-out"/>
    <n v="3.61"/>
    <x v="0"/>
    <n v="0"/>
    <n v="0"/>
    <n v="0"/>
  </r>
  <r>
    <x v="0"/>
    <s v="Phase-out"/>
    <n v="35.6"/>
    <x v="0"/>
    <n v="0"/>
    <n v="0"/>
    <n v="0"/>
  </r>
  <r>
    <x v="1"/>
    <s v="Delete"/>
    <n v="19.04"/>
    <x v="3"/>
    <n v="0"/>
    <n v="0"/>
    <n v="0"/>
  </r>
  <r>
    <x v="1"/>
    <s v="Phase-out"/>
    <n v="17.36"/>
    <x v="0"/>
    <n v="0"/>
    <n v="0"/>
    <n v="0"/>
  </r>
  <r>
    <x v="1"/>
    <s v="Phase-out"/>
    <n v="19.87"/>
    <x v="0"/>
    <n v="0"/>
    <n v="0"/>
    <n v="0"/>
  </r>
  <r>
    <x v="1"/>
    <s v="Normal"/>
    <n v="18.48"/>
    <x v="1"/>
    <n v="0"/>
    <n v="0"/>
    <n v="0"/>
  </r>
  <r>
    <x v="1"/>
    <s v="Pre-phase-out"/>
    <n v="41.01"/>
    <x v="0"/>
    <n v="0"/>
    <n v="0"/>
    <n v="0"/>
  </r>
  <r>
    <x v="1"/>
    <s v="Normal"/>
    <n v="27.01"/>
    <x v="0"/>
    <n v="0"/>
    <n v="0"/>
    <n v="0"/>
  </r>
  <r>
    <x v="1"/>
    <s v="Pre-phase-out"/>
    <n v="56.39"/>
    <x v="0"/>
    <n v="0"/>
    <n v="0"/>
    <n v="0"/>
  </r>
  <r>
    <x v="1"/>
    <s v="Phase-out"/>
    <n v="13.52"/>
    <x v="0"/>
    <n v="0"/>
    <n v="0"/>
    <n v="0"/>
  </r>
  <r>
    <x v="1"/>
    <s v="Phase-out"/>
    <n v="28.28"/>
    <x v="0"/>
    <n v="0"/>
    <n v="0"/>
    <n v="0"/>
  </r>
  <r>
    <x v="1"/>
    <s v="Normal"/>
    <n v="51.98"/>
    <x v="1"/>
    <n v="0"/>
    <n v="0"/>
    <n v="0"/>
  </r>
  <r>
    <x v="1"/>
    <s v="Normal"/>
    <n v="13.74"/>
    <x v="2"/>
    <n v="0"/>
    <n v="0"/>
    <n v="0"/>
  </r>
  <r>
    <x v="1"/>
    <s v="Normal"/>
    <n v="30.73"/>
    <x v="1"/>
    <n v="0"/>
    <n v="0"/>
    <n v="0"/>
  </r>
  <r>
    <x v="1"/>
    <s v="Normal"/>
    <n v="58.58"/>
    <x v="1"/>
    <n v="0"/>
    <n v="0"/>
    <n v="0"/>
  </r>
  <r>
    <x v="1"/>
    <s v="Delete"/>
    <n v="13.91"/>
    <x v="3"/>
    <n v="0"/>
    <n v="0"/>
    <n v="0"/>
  </r>
  <r>
    <x v="1"/>
    <s v="Phase-out"/>
    <n v="28"/>
    <x v="0"/>
    <n v="0"/>
    <n v="0"/>
    <n v="0"/>
  </r>
  <r>
    <x v="1"/>
    <s v="Pre-phase-out"/>
    <n v="53.21"/>
    <x v="0"/>
    <n v="0"/>
    <n v="0"/>
    <n v="0"/>
  </r>
  <r>
    <x v="1"/>
    <s v="Phase-out"/>
    <n v="12.42"/>
    <x v="0"/>
    <n v="0"/>
    <n v="0"/>
    <n v="0"/>
  </r>
  <r>
    <x v="1"/>
    <s v="Delete"/>
    <n v="33.020000000000003"/>
    <x v="3"/>
    <n v="0"/>
    <n v="0"/>
    <n v="0"/>
  </r>
  <r>
    <x v="1"/>
    <s v="Phase-out"/>
    <n v="53.21"/>
    <x v="0"/>
    <n v="0"/>
    <n v="0"/>
    <n v="0"/>
  </r>
  <r>
    <x v="1"/>
    <s v="Delete"/>
    <n v="33.020000000000003"/>
    <x v="3"/>
    <n v="0"/>
    <n v="0"/>
    <n v="0"/>
  </r>
  <r>
    <x v="1"/>
    <s v="Pre-phase-out"/>
    <n v="53.21"/>
    <x v="0"/>
    <n v="0"/>
    <n v="0"/>
    <n v="0"/>
  </r>
  <r>
    <x v="1"/>
    <s v="Phase-out"/>
    <n v="12.42"/>
    <x v="0"/>
    <n v="0"/>
    <n v="0"/>
    <n v="0"/>
  </r>
  <r>
    <x v="1"/>
    <s v="Phase-out"/>
    <n v="28"/>
    <x v="0"/>
    <n v="0"/>
    <n v="0"/>
    <n v="0"/>
  </r>
  <r>
    <x v="1"/>
    <s v="Pre-phase-out"/>
    <n v="53.21"/>
    <x v="0"/>
    <n v="0"/>
    <n v="0"/>
    <n v="0"/>
  </r>
  <r>
    <x v="0"/>
    <s v="Phase-out"/>
    <n v="162.5"/>
    <x v="0"/>
    <n v="0"/>
    <n v="0"/>
    <n v="0"/>
  </r>
  <r>
    <x v="1"/>
    <s v="Normal"/>
    <n v="18.46"/>
    <x v="1"/>
    <n v="0"/>
    <n v="0"/>
    <n v="0"/>
  </r>
  <r>
    <x v="1"/>
    <s v="Normal"/>
    <n v="36.869999999999997"/>
    <x v="1"/>
    <n v="0"/>
    <n v="0"/>
    <n v="0"/>
  </r>
  <r>
    <x v="1"/>
    <s v="Phase-out"/>
    <n v="30.08"/>
    <x v="0"/>
    <n v="0"/>
    <n v="0"/>
    <n v="0"/>
  </r>
  <r>
    <x v="1"/>
    <s v="Normal"/>
    <n v="56.06"/>
    <x v="0"/>
    <n v="0"/>
    <n v="0"/>
    <n v="0"/>
  </r>
  <r>
    <x v="1"/>
    <s v="Delete"/>
    <n v="34.97"/>
    <x v="3"/>
    <n v="0"/>
    <n v="0"/>
    <n v="0"/>
  </r>
  <r>
    <x v="1"/>
    <s v="Phase-out"/>
    <n v="28.63"/>
    <x v="0"/>
    <n v="0"/>
    <n v="0"/>
    <n v="0"/>
  </r>
  <r>
    <x v="1"/>
    <s v="Normal"/>
    <n v="48.22"/>
    <x v="0"/>
    <n v="0"/>
    <n v="0"/>
    <n v="0"/>
  </r>
  <r>
    <x v="0"/>
    <s v="Phase-out"/>
    <n v="14.31"/>
    <x v="0"/>
    <n v="0"/>
    <n v="0"/>
    <n v="0"/>
  </r>
  <r>
    <x v="1"/>
    <s v="Normal"/>
    <n v="145.44999999999999"/>
    <x v="1"/>
    <n v="0"/>
    <n v="0"/>
    <n v="0"/>
  </r>
  <r>
    <x v="1"/>
    <s v="Centrally stock allocated"/>
    <n v="22.7"/>
    <x v="1"/>
    <n v="0"/>
    <n v="0"/>
    <n v="0"/>
  </r>
  <r>
    <x v="1"/>
    <s v="Normal"/>
    <n v="33"/>
    <x v="0"/>
    <n v="0"/>
    <n v="0"/>
    <n v="0"/>
  </r>
  <r>
    <x v="1"/>
    <s v="Normal"/>
    <n v="31.28"/>
    <x v="2"/>
    <n v="0"/>
    <n v="0"/>
    <n v="0"/>
  </r>
  <r>
    <x v="1"/>
    <s v="Normal"/>
    <n v="27.42"/>
    <x v="1"/>
    <n v="0"/>
    <n v="0"/>
    <n v="0"/>
  </r>
  <r>
    <x v="1"/>
    <s v="Normal"/>
    <n v="14.45"/>
    <x v="0"/>
    <n v="0"/>
    <n v="0"/>
    <n v="0"/>
  </r>
  <r>
    <x v="1"/>
    <s v="Normal"/>
    <n v="11.5"/>
    <x v="0"/>
    <n v="0"/>
    <n v="0"/>
    <n v="0"/>
  </r>
  <r>
    <x v="1"/>
    <s v="Normal"/>
    <n v="54.36"/>
    <x v="1"/>
    <n v="0"/>
    <n v="0"/>
    <n v="0"/>
  </r>
  <r>
    <x v="1"/>
    <s v="Phase-out"/>
    <n v="18.690000000000001"/>
    <x v="0"/>
    <n v="0"/>
    <n v="0"/>
    <n v="0"/>
  </r>
  <r>
    <x v="1"/>
    <s v="Normal"/>
    <n v="41.29"/>
    <x v="1"/>
    <n v="0"/>
    <n v="0"/>
    <n v="0"/>
  </r>
  <r>
    <x v="1"/>
    <s v="Normal"/>
    <n v="68.78"/>
    <x v="1"/>
    <n v="0"/>
    <n v="0"/>
    <n v="0"/>
  </r>
  <r>
    <x v="1"/>
    <s v="Normal"/>
    <n v="14.25"/>
    <x v="1"/>
    <n v="0"/>
    <n v="0"/>
    <n v="0"/>
  </r>
  <r>
    <x v="1"/>
    <s v="Delete"/>
    <n v="15.29"/>
    <x v="3"/>
    <n v="0"/>
    <n v="0"/>
    <n v="0"/>
  </r>
  <r>
    <x v="1"/>
    <s v="Phase-out"/>
    <n v="29.23"/>
    <x v="0"/>
    <n v="0"/>
    <n v="0"/>
    <n v="0"/>
  </r>
  <r>
    <x v="1"/>
    <s v="Phase-out"/>
    <n v="50.17"/>
    <x v="0"/>
    <n v="0"/>
    <n v="0"/>
    <n v="0"/>
  </r>
  <r>
    <x v="1"/>
    <s v="Phase-out"/>
    <n v="15.29"/>
    <x v="0"/>
    <n v="0"/>
    <n v="0"/>
    <n v="0"/>
  </r>
  <r>
    <x v="1"/>
    <s v="Phase-out"/>
    <n v="29.23"/>
    <x v="0"/>
    <n v="0"/>
    <n v="0"/>
    <n v="0"/>
  </r>
  <r>
    <x v="1"/>
    <s v="Phase-out"/>
    <n v="50.17"/>
    <x v="0"/>
    <n v="0"/>
    <n v="0"/>
    <n v="0"/>
  </r>
  <r>
    <x v="1"/>
    <s v="Phase-out"/>
    <n v="15.29"/>
    <x v="0"/>
    <n v="0"/>
    <n v="0"/>
    <n v="0"/>
  </r>
  <r>
    <x v="1"/>
    <s v="Phase-out"/>
    <n v="29.23"/>
    <x v="0"/>
    <n v="0"/>
    <n v="0"/>
    <n v="0"/>
  </r>
  <r>
    <x v="1"/>
    <s v="Phase-out"/>
    <n v="15.29"/>
    <x v="0"/>
    <n v="0"/>
    <n v="0"/>
    <n v="0"/>
  </r>
  <r>
    <x v="1"/>
    <s v="Phase-out"/>
    <n v="29.23"/>
    <x v="0"/>
    <n v="0"/>
    <n v="0"/>
    <n v="0"/>
  </r>
  <r>
    <x v="1"/>
    <s v="Phase-out"/>
    <n v="50.17"/>
    <x v="0"/>
    <n v="0"/>
    <n v="0"/>
    <n v="0"/>
  </r>
  <r>
    <x v="1"/>
    <s v="Normal"/>
    <n v="17.489999999999998"/>
    <x v="1"/>
    <n v="0"/>
    <n v="0"/>
    <n v="0"/>
  </r>
  <r>
    <x v="1"/>
    <s v="Normal"/>
    <n v="32.82"/>
    <x v="1"/>
    <n v="0"/>
    <n v="0"/>
    <n v="0"/>
  </r>
  <r>
    <x v="1"/>
    <s v="Normal"/>
    <n v="56.86"/>
    <x v="1"/>
    <n v="0"/>
    <n v="0"/>
    <n v="0"/>
  </r>
  <r>
    <x v="1"/>
    <s v="Phase-out"/>
    <n v="15.29"/>
    <x v="0"/>
    <n v="0"/>
    <n v="0"/>
    <n v="0"/>
  </r>
  <r>
    <x v="1"/>
    <s v="Phase-out"/>
    <n v="29.23"/>
    <x v="0"/>
    <n v="0"/>
    <n v="0"/>
    <n v="0"/>
  </r>
  <r>
    <x v="1"/>
    <s v="Normal"/>
    <n v="28.21"/>
    <x v="0"/>
    <n v="0"/>
    <n v="0"/>
    <n v="0"/>
  </r>
  <r>
    <x v="1"/>
    <s v="Normal"/>
    <n v="46.84"/>
    <x v="0"/>
    <n v="0"/>
    <n v="0"/>
    <n v="0"/>
  </r>
  <r>
    <x v="1"/>
    <s v="Normal"/>
    <n v="30"/>
    <x v="0"/>
    <n v="0"/>
    <n v="0"/>
    <n v="0"/>
  </r>
  <r>
    <x v="1"/>
    <s v="Normal"/>
    <n v="16.59"/>
    <x v="0"/>
    <n v="0"/>
    <n v="0"/>
    <n v="0"/>
  </r>
  <r>
    <x v="1"/>
    <s v="Normal"/>
    <n v="31.64"/>
    <x v="0"/>
    <n v="0"/>
    <n v="0"/>
    <n v="0"/>
  </r>
  <r>
    <x v="1"/>
    <s v="Normal"/>
    <n v="31.64"/>
    <x v="0"/>
    <n v="0"/>
    <n v="0"/>
    <n v="0"/>
  </r>
  <r>
    <x v="1"/>
    <s v="Normal"/>
    <n v="31.64"/>
    <x v="0"/>
    <n v="0"/>
    <n v="0"/>
    <n v="0"/>
  </r>
  <r>
    <x v="1"/>
    <s v="Normal"/>
    <n v="14.69"/>
    <x v="0"/>
    <n v="0"/>
    <n v="0"/>
    <n v="0"/>
  </r>
  <r>
    <x v="1"/>
    <s v="Normal"/>
    <n v="31.64"/>
    <x v="0"/>
    <n v="0"/>
    <n v="0"/>
    <n v="0"/>
  </r>
  <r>
    <x v="1"/>
    <s v="Normal"/>
    <n v="31.64"/>
    <x v="0"/>
    <n v="0"/>
    <n v="0"/>
    <n v="0"/>
  </r>
  <r>
    <x v="1"/>
    <s v="Normal"/>
    <n v="31.64"/>
    <x v="0"/>
    <n v="0"/>
    <n v="0"/>
    <n v="0"/>
  </r>
  <r>
    <x v="1"/>
    <s v="Normal"/>
    <n v="10.56"/>
    <x v="0"/>
    <n v="0"/>
    <n v="0"/>
    <n v="0"/>
  </r>
  <r>
    <x v="1"/>
    <s v="Normal"/>
    <n v="31.64"/>
    <x v="0"/>
    <n v="0"/>
    <n v="0"/>
    <n v="0"/>
  </r>
  <r>
    <x v="1"/>
    <s v="Normal"/>
    <n v="31.64"/>
    <x v="0"/>
    <n v="0"/>
    <n v="0"/>
    <n v="0"/>
  </r>
  <r>
    <x v="1"/>
    <s v="Normal"/>
    <n v="18.170000000000002"/>
    <x v="1"/>
    <n v="0"/>
    <n v="0"/>
    <n v="0"/>
  </r>
  <r>
    <x v="1"/>
    <s v="Phase-out"/>
    <n v="39.35"/>
    <x v="0"/>
    <n v="0"/>
    <n v="0"/>
    <n v="0"/>
  </r>
  <r>
    <x v="1"/>
    <s v="Pre-phase-out"/>
    <n v="30.74"/>
    <x v="0"/>
    <n v="0"/>
    <n v="0"/>
    <n v="0"/>
  </r>
  <r>
    <x v="1"/>
    <s v="Delete"/>
    <n v="15.27"/>
    <x v="3"/>
    <n v="0"/>
    <n v="0"/>
    <n v="0"/>
  </r>
  <r>
    <x v="1"/>
    <s v="Normal"/>
    <n v="16.13"/>
    <x v="1"/>
    <n v="0"/>
    <n v="0"/>
    <n v="0"/>
  </r>
  <r>
    <x v="1"/>
    <s v="Normal"/>
    <n v="21.82"/>
    <x v="0"/>
    <n v="0"/>
    <n v="0"/>
    <n v="0"/>
  </r>
  <r>
    <x v="1"/>
    <s v="Normal"/>
    <n v="21.82"/>
    <x v="0"/>
    <n v="0"/>
    <n v="0"/>
    <n v="0"/>
  </r>
  <r>
    <x v="1"/>
    <s v="Normal"/>
    <n v="51.5"/>
    <x v="1"/>
    <n v="0"/>
    <n v="0"/>
    <n v="0"/>
  </r>
  <r>
    <x v="1"/>
    <s v="Normal"/>
    <n v="22.47"/>
    <x v="0"/>
    <n v="0"/>
    <n v="0"/>
    <n v="0"/>
  </r>
  <r>
    <x v="1"/>
    <s v="Delete"/>
    <n v="19.12"/>
    <x v="3"/>
    <n v="0"/>
    <n v="0"/>
    <n v="0"/>
  </r>
  <r>
    <x v="1"/>
    <s v="Phase-out"/>
    <n v="23.38"/>
    <x v="0"/>
    <n v="0"/>
    <n v="0"/>
    <n v="0"/>
  </r>
  <r>
    <x v="1"/>
    <s v="Pre-phase-out"/>
    <n v="16.309999999999999"/>
    <x v="0"/>
    <n v="0"/>
    <n v="0"/>
    <n v="0"/>
  </r>
  <r>
    <x v="1"/>
    <s v="Pre-phase-out"/>
    <n v="31.17"/>
    <x v="0"/>
    <n v="0"/>
    <n v="0"/>
    <n v="0"/>
  </r>
  <r>
    <x v="1"/>
    <s v="Normal"/>
    <n v="15.63"/>
    <x v="1"/>
    <n v="0"/>
    <n v="0"/>
    <n v="0"/>
  </r>
  <r>
    <x v="1"/>
    <s v="Normal"/>
    <n v="15.63"/>
    <x v="1"/>
    <n v="0"/>
    <n v="0"/>
    <n v="0"/>
  </r>
  <r>
    <x v="1"/>
    <s v="Normal"/>
    <n v="35.92"/>
    <x v="1"/>
    <n v="0"/>
    <n v="0"/>
    <n v="0"/>
  </r>
  <r>
    <x v="1"/>
    <s v="Normal"/>
    <n v="15.16"/>
    <x v="1"/>
    <n v="0"/>
    <n v="0"/>
    <n v="0"/>
  </r>
  <r>
    <x v="0"/>
    <s v="Normal"/>
    <n v="1.79"/>
    <x v="1"/>
    <n v="0"/>
    <n v="0"/>
    <n v="0"/>
  </r>
  <r>
    <x v="0"/>
    <s v="Normal"/>
    <n v="26.22"/>
    <x v="0"/>
    <n v="0"/>
    <n v="0"/>
    <n v="0"/>
  </r>
  <r>
    <x v="0"/>
    <s v="Normal"/>
    <n v="26.22"/>
    <x v="0"/>
    <n v="0"/>
    <n v="0"/>
    <n v="0"/>
  </r>
  <r>
    <x v="0"/>
    <s v="Phase-out"/>
    <n v="1249.99"/>
    <x v="0"/>
    <n v="0"/>
    <n v="0"/>
    <n v="0"/>
  </r>
  <r>
    <x v="0"/>
    <s v="Phase-out"/>
    <n v="1808.73"/>
    <x v="1"/>
    <n v="0"/>
    <n v="0"/>
    <n v="0"/>
  </r>
  <r>
    <x v="0"/>
    <s v="Normal"/>
    <n v="6.61"/>
    <x v="1"/>
    <n v="0"/>
    <n v="0"/>
    <n v="0"/>
  </r>
  <r>
    <x v="0"/>
    <s v="Normal"/>
    <n v="25.61"/>
    <x v="1"/>
    <n v="0"/>
    <n v="0"/>
    <n v="0"/>
  </r>
  <r>
    <x v="0"/>
    <s v="Normal"/>
    <n v="26.72"/>
    <x v="1"/>
    <n v="0"/>
    <n v="0"/>
    <n v="0"/>
  </r>
  <r>
    <x v="0"/>
    <s v="Normal"/>
    <n v="25.62"/>
    <x v="1"/>
    <n v="0"/>
    <n v="0"/>
    <n v="0"/>
  </r>
  <r>
    <x v="0"/>
    <s v="Normal"/>
    <n v="26.71"/>
    <x v="2"/>
    <n v="0"/>
    <n v="0"/>
    <n v="0"/>
  </r>
  <r>
    <x v="0"/>
    <s v="Normal"/>
    <n v="26.79"/>
    <x v="1"/>
    <n v="0"/>
    <n v="0"/>
    <n v="0"/>
  </r>
  <r>
    <x v="0"/>
    <s v="Normal"/>
    <n v="26.79"/>
    <x v="1"/>
    <n v="0"/>
    <n v="0"/>
    <n v="0"/>
  </r>
  <r>
    <x v="0"/>
    <s v="Normal"/>
    <n v="26.79"/>
    <x v="1"/>
    <n v="0"/>
    <n v="0"/>
    <n v="0"/>
  </r>
  <r>
    <x v="0"/>
    <s v="Normal"/>
    <n v="26.72"/>
    <x v="1"/>
    <n v="0"/>
    <n v="0"/>
    <n v="0"/>
  </r>
  <r>
    <x v="0"/>
    <s v="Normal"/>
    <n v="945"/>
    <x v="0"/>
    <n v="0"/>
    <n v="0"/>
    <n v="0"/>
  </r>
  <r>
    <x v="0"/>
    <s v="Pre-phase-out"/>
    <n v="3082.99"/>
    <x v="0"/>
    <n v="0"/>
    <n v="0"/>
    <n v="0"/>
  </r>
  <r>
    <x v="0"/>
    <s v="Normal"/>
    <n v="1482.89"/>
    <x v="0"/>
    <n v="0"/>
    <n v="0"/>
    <n v="0"/>
  </r>
  <r>
    <x v="0"/>
    <s v="Normal"/>
    <n v="1452.48"/>
    <x v="0"/>
    <n v="0"/>
    <n v="0"/>
    <n v="0"/>
  </r>
  <r>
    <x v="0"/>
    <s v="Normal"/>
    <n v="26.79"/>
    <x v="1"/>
    <n v="0"/>
    <n v="0"/>
    <n v="0"/>
  </r>
  <r>
    <x v="0"/>
    <s v="Normal"/>
    <n v="26.79"/>
    <x v="1"/>
    <n v="0"/>
    <n v="0"/>
    <n v="0"/>
  </r>
  <r>
    <x v="0"/>
    <s v="Normal"/>
    <n v="17.07"/>
    <x v="1"/>
    <n v="0"/>
    <n v="0"/>
    <n v="0"/>
  </r>
  <r>
    <x v="0"/>
    <s v="Normal"/>
    <n v="17.07"/>
    <x v="1"/>
    <n v="0"/>
    <n v="0"/>
    <n v="0"/>
  </r>
  <r>
    <x v="0"/>
    <s v="Normal"/>
    <n v="5248.24"/>
    <x v="0"/>
    <n v="0"/>
    <n v="0"/>
    <n v="0"/>
  </r>
  <r>
    <x v="0"/>
    <s v="Phase-out"/>
    <n v="254.89"/>
    <x v="0"/>
    <n v="0"/>
    <n v="0"/>
    <n v="0"/>
  </r>
  <r>
    <x v="0"/>
    <s v="Normal"/>
    <n v="866.25"/>
    <x v="0"/>
    <n v="0"/>
    <n v="0"/>
    <n v="0"/>
  </r>
  <r>
    <x v="0"/>
    <s v="Normal"/>
    <n v="107.3"/>
    <x v="0"/>
    <n v="0"/>
    <n v="0"/>
    <n v="0"/>
  </r>
  <r>
    <x v="0"/>
    <s v="Normal"/>
    <n v="20.420000000000002"/>
    <x v="1"/>
    <n v="0"/>
    <n v="0"/>
    <n v="0"/>
  </r>
  <r>
    <x v="0"/>
    <s v="Phase-out"/>
    <n v="2327.54"/>
    <x v="1"/>
    <n v="0"/>
    <n v="0"/>
    <n v="0"/>
  </r>
  <r>
    <x v="0"/>
    <s v="Normal"/>
    <n v="585.9"/>
    <x v="0"/>
    <n v="0"/>
    <n v="0"/>
    <n v="0"/>
  </r>
  <r>
    <x v="0"/>
    <s v="Normal"/>
    <n v="24.97"/>
    <x v="1"/>
    <n v="0"/>
    <n v="0"/>
    <n v="0"/>
  </r>
  <r>
    <x v="0"/>
    <s v="Normal"/>
    <n v="9.69"/>
    <x v="0"/>
    <n v="0"/>
    <n v="0"/>
    <n v="0"/>
  </r>
  <r>
    <x v="0"/>
    <s v="Normal"/>
    <n v="6.75"/>
    <x v="0"/>
    <n v="0"/>
    <n v="0"/>
    <n v="0"/>
  </r>
  <r>
    <x v="0"/>
    <s v="Delete"/>
    <n v="42.97"/>
    <x v="3"/>
    <n v="0"/>
    <n v="0"/>
    <n v="0"/>
  </r>
  <r>
    <x v="0"/>
    <s v="Normal"/>
    <n v="35.51"/>
    <x v="0"/>
    <n v="0"/>
    <n v="0"/>
    <n v="0"/>
  </r>
  <r>
    <x v="0"/>
    <s v="Phase-out"/>
    <n v="11.77"/>
    <x v="0"/>
    <n v="0"/>
    <n v="0"/>
    <n v="0"/>
  </r>
  <r>
    <x v="0"/>
    <s v="Normal"/>
    <n v="2.75"/>
    <x v="1"/>
    <n v="0"/>
    <n v="0"/>
    <n v="0"/>
  </r>
  <r>
    <x v="0"/>
    <s v="Normal"/>
    <n v="8.48"/>
    <x v="1"/>
    <n v="0"/>
    <n v="0"/>
    <n v="0"/>
  </r>
  <r>
    <x v="0"/>
    <s v="Phase-out"/>
    <n v="5.19"/>
    <x v="0"/>
    <n v="0"/>
    <n v="0"/>
    <n v="0"/>
  </r>
  <r>
    <x v="0"/>
    <s v="Normal"/>
    <n v="17.5"/>
    <x v="0"/>
    <n v="0"/>
    <n v="0"/>
    <n v="0"/>
  </r>
  <r>
    <x v="0"/>
    <s v="Normal"/>
    <n v="11.67"/>
    <x v="0"/>
    <n v="0"/>
    <n v="0"/>
    <n v="0"/>
  </r>
  <r>
    <x v="0"/>
    <s v="Normal"/>
    <n v="20"/>
    <x v="0"/>
    <n v="0"/>
    <n v="0"/>
    <n v="0"/>
  </r>
  <r>
    <x v="0"/>
    <s v="Normal"/>
    <n v="78.33"/>
    <x v="0"/>
    <n v="0"/>
    <n v="0"/>
    <n v="0"/>
  </r>
  <r>
    <x v="0"/>
    <s v="Normal"/>
    <n v="17"/>
    <x v="0"/>
    <n v="0"/>
    <n v="0"/>
    <n v="0"/>
  </r>
  <r>
    <x v="0"/>
    <s v="Centrally stock allocated"/>
    <n v="25.83"/>
    <x v="0"/>
    <n v="0"/>
    <n v="0"/>
    <n v="0"/>
  </r>
  <r>
    <x v="0"/>
    <s v="Centrally stock allocated"/>
    <n v="25.83"/>
    <x v="0"/>
    <n v="0"/>
    <n v="0"/>
    <n v="0"/>
  </r>
  <r>
    <x v="0"/>
    <s v="Centrally stock allocated"/>
    <n v="17.55"/>
    <x v="0"/>
    <n v="0"/>
    <n v="0"/>
    <n v="0"/>
  </r>
  <r>
    <x v="0"/>
    <s v="Centrally stock allocated"/>
    <n v="25.83"/>
    <x v="0"/>
    <n v="0"/>
    <n v="0"/>
    <n v="0"/>
  </r>
  <r>
    <x v="0"/>
    <s v="Centrally stock allocated"/>
    <n v="25.83"/>
    <x v="0"/>
    <n v="0"/>
    <n v="0"/>
    <n v="0"/>
  </r>
  <r>
    <x v="0"/>
    <s v="Phase-out"/>
    <n v="0.35"/>
    <x v="0"/>
    <n v="0"/>
    <n v="0"/>
    <n v="0"/>
  </r>
  <r>
    <x v="0"/>
    <s v="Phase-out"/>
    <n v="0.35"/>
    <x v="0"/>
    <n v="0"/>
    <n v="0"/>
    <n v="0"/>
  </r>
  <r>
    <x v="0"/>
    <s v="Phase-out"/>
    <n v="5.33"/>
    <x v="0"/>
    <n v="0"/>
    <n v="0"/>
    <n v="0"/>
  </r>
  <r>
    <x v="0"/>
    <s v="Normal"/>
    <n v="445.49"/>
    <x v="1"/>
    <n v="0"/>
    <n v="0"/>
    <n v="0"/>
  </r>
  <r>
    <x v="0"/>
    <s v="Normal"/>
    <n v="7.14"/>
    <x v="1"/>
    <n v="0"/>
    <n v="0"/>
    <n v="0"/>
  </r>
  <r>
    <x v="0"/>
    <s v="Normal"/>
    <n v="7.35"/>
    <x v="1"/>
    <n v="0"/>
    <n v="0"/>
    <n v="0"/>
  </r>
  <r>
    <x v="0"/>
    <s v="Normal"/>
    <n v="7.35"/>
    <x v="1"/>
    <n v="0"/>
    <n v="0"/>
    <n v="0"/>
  </r>
  <r>
    <x v="0"/>
    <s v="Normal"/>
    <n v="35.83"/>
    <x v="1"/>
    <n v="0"/>
    <n v="0"/>
    <n v="0"/>
  </r>
  <r>
    <x v="0"/>
    <s v="Normal"/>
    <n v="81.400000000000006"/>
    <x v="1"/>
    <n v="0"/>
    <n v="0"/>
    <n v="0"/>
  </r>
  <r>
    <x v="0"/>
    <s v="Normal"/>
    <n v="109.01"/>
    <x v="1"/>
    <n v="0"/>
    <n v="0"/>
    <n v="0"/>
  </r>
  <r>
    <x v="0"/>
    <s v="Normal"/>
    <n v="30.8"/>
    <x v="1"/>
    <n v="0"/>
    <n v="0"/>
    <n v="0"/>
  </r>
  <r>
    <x v="0"/>
    <s v="Delete"/>
    <n v="43.5"/>
    <x v="3"/>
    <n v="0"/>
    <n v="0"/>
    <n v="0"/>
  </r>
  <r>
    <x v="0"/>
    <s v="Delete"/>
    <n v="43.5"/>
    <x v="3"/>
    <n v="0"/>
    <n v="0"/>
    <n v="0"/>
  </r>
  <r>
    <x v="0"/>
    <s v="Delete"/>
    <n v="43.5"/>
    <x v="3"/>
    <n v="0"/>
    <n v="0"/>
    <n v="0"/>
  </r>
  <r>
    <x v="0"/>
    <s v="Delete"/>
    <n v="43.5"/>
    <x v="3"/>
    <n v="0"/>
    <n v="0"/>
    <n v="0"/>
  </r>
  <r>
    <x v="0"/>
    <s v="Delete"/>
    <n v="43.5"/>
    <x v="3"/>
    <n v="0"/>
    <n v="0"/>
    <n v="0"/>
  </r>
  <r>
    <x v="0"/>
    <s v="Delete"/>
    <n v="43.5"/>
    <x v="3"/>
    <n v="0"/>
    <n v="0"/>
    <n v="0"/>
  </r>
  <r>
    <x v="0"/>
    <s v="Delete"/>
    <n v="43.5"/>
    <x v="3"/>
    <n v="0"/>
    <n v="0"/>
    <n v="0"/>
  </r>
  <r>
    <x v="0"/>
    <s v="Delete"/>
    <n v="43.5"/>
    <x v="3"/>
    <n v="0"/>
    <n v="0"/>
    <n v="0"/>
  </r>
  <r>
    <x v="0"/>
    <s v="Delete"/>
    <n v="43.5"/>
    <x v="3"/>
    <n v="0"/>
    <n v="0"/>
    <n v="0"/>
  </r>
  <r>
    <x v="0"/>
    <s v="Phase-out"/>
    <n v="234.99"/>
    <x v="0"/>
    <n v="0"/>
    <n v="0"/>
    <n v="0"/>
  </r>
  <r>
    <x v="0"/>
    <s v="Normal"/>
    <n v="12.11"/>
    <x v="1"/>
    <n v="0"/>
    <n v="0"/>
    <n v="0"/>
  </r>
  <r>
    <x v="0"/>
    <s v="Normal"/>
    <n v="11.76"/>
    <x v="1"/>
    <n v="0"/>
    <n v="0"/>
    <n v="0"/>
  </r>
  <r>
    <x v="0"/>
    <s v="Normal"/>
    <n v="43.98"/>
    <x v="1"/>
    <n v="0"/>
    <n v="0"/>
    <n v="0"/>
  </r>
  <r>
    <x v="0"/>
    <s v="Normal"/>
    <n v="30.52"/>
    <x v="1"/>
    <n v="0"/>
    <n v="0"/>
    <n v="0"/>
  </r>
  <r>
    <x v="0"/>
    <s v="Phase-out"/>
    <n v="484.93"/>
    <x v="0"/>
    <n v="0"/>
    <n v="0"/>
    <n v="0"/>
  </r>
  <r>
    <x v="0"/>
    <s v="Phase-out"/>
    <n v="466.83"/>
    <x v="0"/>
    <n v="0"/>
    <n v="0"/>
    <n v="0"/>
  </r>
  <r>
    <x v="0"/>
    <s v="Phase-out"/>
    <n v="761.53"/>
    <x v="0"/>
    <n v="0"/>
    <n v="0"/>
    <n v="0"/>
  </r>
  <r>
    <x v="0"/>
    <s v="Phase-out"/>
    <n v="473.58"/>
    <x v="0"/>
    <n v="0"/>
    <n v="0"/>
    <n v="0"/>
  </r>
  <r>
    <x v="0"/>
    <s v="Normal"/>
    <n v="504.35"/>
    <x v="0"/>
    <n v="0"/>
    <n v="0"/>
    <n v="0"/>
  </r>
  <r>
    <x v="0"/>
    <s v="Phase-out"/>
    <n v="514.53"/>
    <x v="0"/>
    <n v="0"/>
    <n v="0"/>
    <n v="0"/>
  </r>
  <r>
    <x v="0"/>
    <s v="Phase-out"/>
    <n v="491.72"/>
    <x v="0"/>
    <n v="0"/>
    <n v="0"/>
    <n v="0"/>
  </r>
  <r>
    <x v="0"/>
    <s v="Phase-out"/>
    <n v="439.2"/>
    <x v="0"/>
    <n v="0"/>
    <n v="0"/>
    <n v="0"/>
  </r>
  <r>
    <x v="0"/>
    <s v="Phase-out"/>
    <n v="636.37"/>
    <x v="0"/>
    <n v="0"/>
    <n v="0"/>
    <n v="0"/>
  </r>
  <r>
    <x v="0"/>
    <s v="Phase-out"/>
    <n v="668.92"/>
    <x v="0"/>
    <n v="0"/>
    <n v="0"/>
    <n v="0"/>
  </r>
  <r>
    <x v="0"/>
    <s v="Normal"/>
    <n v="31.04"/>
    <x v="1"/>
    <n v="0"/>
    <n v="0"/>
    <n v="0"/>
  </r>
  <r>
    <x v="0"/>
    <s v="Phase-out"/>
    <n v="13.34"/>
    <x v="0"/>
    <n v="0"/>
    <n v="0"/>
    <n v="0"/>
  </r>
  <r>
    <x v="0"/>
    <s v="Phase-out"/>
    <n v="13.34"/>
    <x v="0"/>
    <n v="0"/>
    <n v="0"/>
    <n v="0"/>
  </r>
  <r>
    <x v="0"/>
    <s v="Phase-out"/>
    <n v="23.88"/>
    <x v="0"/>
    <n v="0"/>
    <n v="0"/>
    <n v="0"/>
  </r>
  <r>
    <x v="0"/>
    <s v="Phase-out"/>
    <n v="1151.8499999999999"/>
    <x v="0"/>
    <n v="0"/>
    <n v="0"/>
    <n v="0"/>
  </r>
  <r>
    <x v="0"/>
    <s v="Delete"/>
    <n v="995.81"/>
    <x v="3"/>
    <n v="0"/>
    <n v="0"/>
    <n v="0"/>
  </r>
  <r>
    <x v="0"/>
    <s v="Normal"/>
    <n v="30.17"/>
    <x v="1"/>
    <n v="0"/>
    <n v="0"/>
    <n v="0"/>
  </r>
  <r>
    <x v="0"/>
    <s v="Normal"/>
    <n v="32.65"/>
    <x v="1"/>
    <n v="0"/>
    <n v="0"/>
    <n v="0"/>
  </r>
  <r>
    <x v="0"/>
    <s v="Normal"/>
    <n v="60.06"/>
    <x v="1"/>
    <n v="0"/>
    <n v="0"/>
    <n v="0"/>
  </r>
  <r>
    <x v="0"/>
    <s v="Phase-out"/>
    <n v="34.270000000000003"/>
    <x v="0"/>
    <n v="0"/>
    <n v="0"/>
    <n v="0"/>
  </r>
  <r>
    <x v="0"/>
    <s v="Phase-out"/>
    <n v="4.74"/>
    <x v="0"/>
    <n v="0"/>
    <n v="0"/>
    <n v="0"/>
  </r>
  <r>
    <x v="0"/>
    <s v="Normal"/>
    <n v="4.67"/>
    <x v="1"/>
    <n v="0"/>
    <n v="0"/>
    <n v="0"/>
  </r>
  <r>
    <x v="0"/>
    <s v="Normal"/>
    <n v="7.13"/>
    <x v="1"/>
    <n v="0"/>
    <n v="0"/>
    <n v="0"/>
  </r>
  <r>
    <x v="0"/>
    <s v="Phase-out"/>
    <n v="48.87"/>
    <x v="0"/>
    <n v="0"/>
    <n v="0"/>
    <n v="0"/>
  </r>
  <r>
    <x v="0"/>
    <s v="Phase-out"/>
    <n v="48.87"/>
    <x v="0"/>
    <n v="0"/>
    <n v="0"/>
    <n v="0"/>
  </r>
  <r>
    <x v="0"/>
    <s v="Phase-out"/>
    <n v="48.87"/>
    <x v="0"/>
    <n v="0"/>
    <n v="0"/>
    <n v="0"/>
  </r>
  <r>
    <x v="0"/>
    <s v="Phase-out"/>
    <n v="48.87"/>
    <x v="0"/>
    <n v="0"/>
    <n v="0"/>
    <n v="0"/>
  </r>
  <r>
    <x v="0"/>
    <s v="Normal"/>
    <n v="61.4"/>
    <x v="1"/>
    <n v="0"/>
    <n v="0"/>
    <n v="0"/>
  </r>
  <r>
    <x v="0"/>
    <s v="Normal"/>
    <n v="69.010000000000005"/>
    <x v="1"/>
    <n v="0"/>
    <n v="0"/>
    <n v="0"/>
  </r>
  <r>
    <x v="0"/>
    <s v="Normal"/>
    <n v="25.14"/>
    <x v="1"/>
    <n v="0"/>
    <n v="0"/>
    <n v="0"/>
  </r>
  <r>
    <x v="0"/>
    <s v="Phase-out"/>
    <n v="13.6"/>
    <x v="0"/>
    <n v="0"/>
    <n v="0"/>
    <n v="0"/>
  </r>
  <r>
    <x v="0"/>
    <s v="Normal"/>
    <n v="15.48"/>
    <x v="1"/>
    <n v="0"/>
    <n v="0"/>
    <n v="0"/>
  </r>
  <r>
    <x v="0"/>
    <s v="Normal"/>
    <n v="15.13"/>
    <x v="1"/>
    <n v="0"/>
    <n v="0"/>
    <n v="0"/>
  </r>
  <r>
    <x v="0"/>
    <s v="Phase-out"/>
    <n v="5.53"/>
    <x v="0"/>
    <n v="0"/>
    <n v="0"/>
    <n v="0"/>
  </r>
  <r>
    <x v="0"/>
    <s v="Pre-phase-out"/>
    <n v="3.95"/>
    <x v="0"/>
    <n v="0"/>
    <n v="0"/>
    <n v="0"/>
  </r>
  <r>
    <x v="0"/>
    <s v="Normal"/>
    <n v="10.31"/>
    <x v="1"/>
    <n v="0"/>
    <n v="0"/>
    <n v="0"/>
  </r>
  <r>
    <x v="0"/>
    <s v="Normal"/>
    <n v="12.06"/>
    <x v="1"/>
    <n v="0"/>
    <n v="0"/>
    <n v="0"/>
  </r>
  <r>
    <x v="0"/>
    <s v="Phase-out"/>
    <n v="13.67"/>
    <x v="0"/>
    <n v="0"/>
    <n v="0"/>
    <n v="0"/>
  </r>
  <r>
    <x v="0"/>
    <s v="Phase-out"/>
    <n v="11.44"/>
    <x v="0"/>
    <n v="0"/>
    <n v="0"/>
    <n v="0"/>
  </r>
  <r>
    <x v="0"/>
    <s v="Phase-out"/>
    <n v="9.6999999999999993"/>
    <x v="0"/>
    <n v="0"/>
    <n v="0"/>
    <n v="0"/>
  </r>
  <r>
    <x v="0"/>
    <s v="Phase-out"/>
    <n v="13.33"/>
    <x v="0"/>
    <n v="0"/>
    <n v="0"/>
    <n v="0"/>
  </r>
  <r>
    <x v="0"/>
    <s v="Normal"/>
    <n v="10.85"/>
    <x v="1"/>
    <n v="0"/>
    <n v="0"/>
    <n v="0"/>
  </r>
  <r>
    <x v="0"/>
    <s v="Normal"/>
    <n v="21.95"/>
    <x v="1"/>
    <n v="0"/>
    <n v="0"/>
    <n v="0"/>
  </r>
  <r>
    <x v="0"/>
    <s v="Normal"/>
    <n v="618"/>
    <x v="0"/>
    <n v="0"/>
    <n v="0"/>
    <n v="0"/>
  </r>
  <r>
    <x v="0"/>
    <s v="Normal"/>
    <n v="737.1"/>
    <x v="0"/>
    <n v="0"/>
    <n v="0"/>
    <n v="0"/>
  </r>
  <r>
    <x v="0"/>
    <s v="Phase-out"/>
    <n v="1421.4"/>
    <x v="0"/>
    <n v="0"/>
    <n v="0"/>
    <n v="0"/>
  </r>
  <r>
    <x v="0"/>
    <s v="Phase-out"/>
    <n v="1421.4"/>
    <x v="0"/>
    <n v="0"/>
    <n v="0"/>
    <n v="0"/>
  </r>
  <r>
    <x v="0"/>
    <s v="Phase-out"/>
    <n v="1921.92"/>
    <x v="0"/>
    <n v="0"/>
    <n v="0"/>
    <n v="0"/>
  </r>
  <r>
    <x v="0"/>
    <s v="Normal"/>
    <n v="960"/>
    <x v="0"/>
    <n v="0"/>
    <n v="0"/>
    <n v="0"/>
  </r>
  <r>
    <x v="0"/>
    <s v="Normal"/>
    <n v="910.8"/>
    <x v="0"/>
    <n v="0"/>
    <n v="0"/>
    <n v="0"/>
  </r>
  <r>
    <x v="0"/>
    <s v="Normal"/>
    <n v="8.9700000000000006"/>
    <x v="0"/>
    <n v="0"/>
    <n v="0"/>
    <n v="0"/>
  </r>
  <r>
    <x v="0"/>
    <s v="Pre-phase-out"/>
    <n v="29.3"/>
    <x v="0"/>
    <n v="0"/>
    <n v="0"/>
    <n v="0"/>
  </r>
  <r>
    <x v="0"/>
    <s v="Normal"/>
    <n v="47.03"/>
    <x v="0"/>
    <n v="0"/>
    <n v="0"/>
    <n v="0"/>
  </r>
  <r>
    <x v="0"/>
    <s v="Pre-phase-out"/>
    <n v="24.29"/>
    <x v="0"/>
    <n v="0"/>
    <n v="0"/>
    <n v="0"/>
  </r>
  <r>
    <x v="0"/>
    <s v="Phase-out"/>
    <n v="8.36"/>
    <x v="0"/>
    <n v="0"/>
    <n v="0"/>
    <n v="0"/>
  </r>
  <r>
    <x v="0"/>
    <s v="Normal"/>
    <n v="22.13"/>
    <x v="0"/>
    <n v="0"/>
    <n v="0"/>
    <n v="0"/>
  </r>
  <r>
    <x v="1"/>
    <s v="Delete"/>
    <n v="39.340000000000003"/>
    <x v="3"/>
    <n v="0"/>
    <n v="0"/>
    <n v="0"/>
  </r>
  <r>
    <x v="0"/>
    <s v="Normal"/>
    <n v="39.549999999999997"/>
    <x v="0"/>
    <n v="0"/>
    <n v="0"/>
    <n v="0"/>
  </r>
  <r>
    <x v="0"/>
    <s v="Normal"/>
    <n v="56.53"/>
    <x v="0"/>
    <n v="0"/>
    <n v="0"/>
    <n v="0"/>
  </r>
  <r>
    <x v="0"/>
    <s v="Normal"/>
    <n v="56.53"/>
    <x v="0"/>
    <n v="0"/>
    <n v="0"/>
    <n v="0"/>
  </r>
  <r>
    <x v="0"/>
    <s v="Normal"/>
    <n v="27.65"/>
    <x v="0"/>
    <n v="0"/>
    <n v="0"/>
    <n v="0"/>
  </r>
  <r>
    <x v="0"/>
    <s v="Normal"/>
    <n v="56.53"/>
    <x v="0"/>
    <n v="0"/>
    <n v="0"/>
    <n v="0"/>
  </r>
  <r>
    <x v="0"/>
    <s v="Normal"/>
    <n v="36.4"/>
    <x v="0"/>
    <n v="0"/>
    <n v="0"/>
    <n v="0"/>
  </r>
  <r>
    <x v="1"/>
    <s v="Normal"/>
    <n v="48.34"/>
    <x v="1"/>
    <n v="0"/>
    <n v="0"/>
    <n v="0"/>
  </r>
  <r>
    <x v="0"/>
    <s v="Phase-out"/>
    <n v="36.92"/>
    <x v="0"/>
    <n v="0"/>
    <n v="0"/>
    <n v="0"/>
  </r>
  <r>
    <x v="0"/>
    <s v="Normal"/>
    <n v="45.15"/>
    <x v="0"/>
    <n v="0"/>
    <n v="0"/>
    <n v="0"/>
  </r>
  <r>
    <x v="0"/>
    <s v="Normal"/>
    <n v="38.659999999999997"/>
    <x v="1"/>
    <n v="0"/>
    <n v="0"/>
    <n v="0"/>
  </r>
  <r>
    <x v="0"/>
    <s v="Normal"/>
    <n v="22.13"/>
    <x v="0"/>
    <n v="0"/>
    <n v="0"/>
    <n v="0"/>
  </r>
  <r>
    <x v="0"/>
    <s v="Normal"/>
    <n v="22.13"/>
    <x v="0"/>
    <n v="0"/>
    <n v="0"/>
    <n v="0"/>
  </r>
  <r>
    <x v="0"/>
    <s v="Pre-phase-out"/>
    <n v="1.44"/>
    <x v="0"/>
    <n v="0"/>
    <n v="0"/>
    <n v="0"/>
  </r>
  <r>
    <x v="0"/>
    <s v="Phase-out"/>
    <n v="94.04"/>
    <x v="0"/>
    <n v="0"/>
    <n v="0"/>
    <n v="0"/>
  </r>
  <r>
    <x v="0"/>
    <s v="Phase-out"/>
    <n v="196.79"/>
    <x v="0"/>
    <n v="0"/>
    <n v="0"/>
    <n v="0"/>
  </r>
  <r>
    <x v="0"/>
    <s v="Phase-out"/>
    <n v="326.19"/>
    <x v="0"/>
    <n v="0"/>
    <n v="0"/>
    <n v="0"/>
  </r>
  <r>
    <x v="0"/>
    <s v="Phase-out"/>
    <n v="148.69"/>
    <x v="0"/>
    <n v="0"/>
    <n v="0"/>
    <n v="0"/>
  </r>
  <r>
    <x v="0"/>
    <s v="Normal"/>
    <n v="134.38"/>
    <x v="0"/>
    <n v="0"/>
    <n v="0"/>
    <n v="0"/>
  </r>
  <r>
    <x v="0"/>
    <s v="Pre-phase-out"/>
    <n v="4.9800000000000004"/>
    <x v="0"/>
    <n v="0"/>
    <n v="0"/>
    <n v="0"/>
  </r>
  <r>
    <x v="0"/>
    <s v="Pre-phase-out"/>
    <n v="2.4900000000000002"/>
    <x v="0"/>
    <n v="0"/>
    <n v="0"/>
    <n v="0"/>
  </r>
  <r>
    <x v="0"/>
    <s v="Pre-phase-out"/>
    <n v="5.57"/>
    <x v="0"/>
    <n v="0"/>
    <n v="0"/>
    <n v="0"/>
  </r>
  <r>
    <x v="0"/>
    <s v="Normal"/>
    <n v="18.28"/>
    <x v="1"/>
    <n v="0"/>
    <n v="0"/>
    <n v="0"/>
  </r>
  <r>
    <x v="0"/>
    <s v="Pre-phase-out"/>
    <n v="7.24"/>
    <x v="0"/>
    <n v="0"/>
    <n v="0"/>
    <n v="0"/>
  </r>
  <r>
    <x v="0"/>
    <s v="Pre-phase-out"/>
    <n v="12.79"/>
    <x v="0"/>
    <n v="0"/>
    <n v="0"/>
    <n v="0"/>
  </r>
  <r>
    <x v="0"/>
    <s v="Pre-phase-out"/>
    <n v="3.72"/>
    <x v="0"/>
    <n v="0"/>
    <n v="0"/>
    <n v="0"/>
  </r>
  <r>
    <x v="0"/>
    <s v="Pre-phase-out"/>
    <n v="11.97"/>
    <x v="0"/>
    <n v="0"/>
    <n v="0"/>
    <n v="0"/>
  </r>
  <r>
    <x v="0"/>
    <s v="Phase-out"/>
    <n v="29.12"/>
    <x v="0"/>
    <n v="0"/>
    <n v="0"/>
    <n v="0"/>
  </r>
  <r>
    <x v="0"/>
    <s v="Delete"/>
    <n v="10.26"/>
    <x v="3"/>
    <n v="0"/>
    <n v="0"/>
    <n v="0"/>
  </r>
  <r>
    <x v="0"/>
    <s v="Pre-phase-out"/>
    <n v="2.39"/>
    <x v="0"/>
    <n v="0"/>
    <n v="0"/>
    <n v="0"/>
  </r>
  <r>
    <x v="0"/>
    <s v="Pre-phase-out"/>
    <n v="7.13"/>
    <x v="0"/>
    <n v="0"/>
    <n v="0"/>
    <n v="0"/>
  </r>
  <r>
    <x v="0"/>
    <s v="Pre-phase-out"/>
    <n v="8.4700000000000006"/>
    <x v="0"/>
    <n v="0"/>
    <n v="0"/>
    <n v="0"/>
  </r>
  <r>
    <x v="0"/>
    <s v="Pre-phase-out"/>
    <n v="45.77"/>
    <x v="0"/>
    <n v="0"/>
    <n v="0"/>
    <n v="0"/>
  </r>
  <r>
    <x v="0"/>
    <s v="Pre-Clearance"/>
    <n v="20.56"/>
    <x v="1"/>
    <n v="0"/>
    <n v="0"/>
    <n v="0"/>
  </r>
  <r>
    <x v="0"/>
    <s v="Pre-phase-out"/>
    <n v="10.199999999999999"/>
    <x v="0"/>
    <n v="0"/>
    <n v="0"/>
    <n v="0"/>
  </r>
  <r>
    <x v="0"/>
    <s v="Pre-phase-out"/>
    <n v="18.239999999999998"/>
    <x v="0"/>
    <n v="0"/>
    <n v="0"/>
    <n v="0"/>
  </r>
  <r>
    <x v="0"/>
    <s v="Phase-out"/>
    <n v="20.39"/>
    <x v="0"/>
    <n v="0"/>
    <n v="0"/>
    <n v="0"/>
  </r>
  <r>
    <x v="0"/>
    <s v="Pre-phase-out"/>
    <n v="8.5299999999999994"/>
    <x v="0"/>
    <n v="0"/>
    <n v="0"/>
    <n v="0"/>
  </r>
  <r>
    <x v="0"/>
    <s v="Phase-out"/>
    <n v="3.04"/>
    <x v="0"/>
    <n v="0"/>
    <n v="0"/>
    <n v="0"/>
  </r>
  <r>
    <x v="0"/>
    <s v="Pre-phase-out"/>
    <n v="14.46"/>
    <x v="0"/>
    <n v="0"/>
    <n v="0"/>
    <n v="0"/>
  </r>
  <r>
    <x v="0"/>
    <s v="Pre-phase-out"/>
    <n v="6.69"/>
    <x v="0"/>
    <n v="0"/>
    <n v="0"/>
    <n v="0"/>
  </r>
  <r>
    <x v="0"/>
    <s v="Delete"/>
    <n v="22.29"/>
    <x v="3"/>
    <n v="0"/>
    <n v="0"/>
    <n v="0"/>
  </r>
  <r>
    <x v="0"/>
    <s v="Delete"/>
    <n v="22.96"/>
    <x v="3"/>
    <n v="0"/>
    <n v="0"/>
    <n v="0"/>
  </r>
  <r>
    <x v="0"/>
    <s v="Delete"/>
    <n v="22.29"/>
    <x v="3"/>
    <n v="0"/>
    <n v="0"/>
    <n v="0"/>
  </r>
  <r>
    <x v="0"/>
    <s v="Delete"/>
    <n v="22.29"/>
    <x v="3"/>
    <n v="0"/>
    <n v="0"/>
    <n v="0"/>
  </r>
  <r>
    <x v="0"/>
    <s v="Delete"/>
    <n v="22.29"/>
    <x v="3"/>
    <n v="0"/>
    <n v="0"/>
    <n v="0"/>
  </r>
  <r>
    <x v="0"/>
    <s v="Delete"/>
    <n v="22.29"/>
    <x v="3"/>
    <n v="0"/>
    <n v="0"/>
    <n v="0"/>
  </r>
  <r>
    <x v="0"/>
    <s v="Delete"/>
    <n v="22.29"/>
    <x v="3"/>
    <n v="0"/>
    <n v="0"/>
    <n v="0"/>
  </r>
  <r>
    <x v="0"/>
    <s v="Phase-out"/>
    <n v="14.81"/>
    <x v="0"/>
    <n v="0"/>
    <n v="0"/>
    <n v="0"/>
  </r>
  <r>
    <x v="0"/>
    <s v="Normal"/>
    <n v="1501.67"/>
    <x v="0"/>
    <n v="0"/>
    <n v="0"/>
    <n v="0"/>
  </r>
  <r>
    <x v="0"/>
    <s v="Normal"/>
    <n v="29.13"/>
    <x v="0"/>
    <n v="0"/>
    <n v="0"/>
    <n v="0"/>
  </r>
  <r>
    <x v="0"/>
    <s v="Normal"/>
    <n v="29.13"/>
    <x v="0"/>
    <n v="0"/>
    <n v="0"/>
    <n v="0"/>
  </r>
  <r>
    <x v="0"/>
    <s v="Normal"/>
    <n v="29.13"/>
    <x v="0"/>
    <n v="0"/>
    <n v="0"/>
    <n v="0"/>
  </r>
  <r>
    <x v="0"/>
    <s v="Normal"/>
    <n v="17.07"/>
    <x v="0"/>
    <n v="0"/>
    <n v="0"/>
    <n v="0"/>
  </r>
  <r>
    <x v="0"/>
    <s v="Phase-out"/>
    <n v="10.61"/>
    <x v="0"/>
    <n v="0"/>
    <n v="0"/>
    <n v="0"/>
  </r>
  <r>
    <x v="0"/>
    <s v="Normal"/>
    <n v="13.31"/>
    <x v="0"/>
    <n v="0"/>
    <n v="0"/>
    <n v="0"/>
  </r>
  <r>
    <x v="0"/>
    <s v="Normal"/>
    <n v="38"/>
    <x v="0"/>
    <n v="0"/>
    <n v="0"/>
    <n v="0"/>
  </r>
  <r>
    <x v="0"/>
    <s v="Normal"/>
    <n v="29.46"/>
    <x v="0"/>
    <n v="0"/>
    <n v="0"/>
    <n v="0"/>
  </r>
  <r>
    <x v="0"/>
    <s v="Delete"/>
    <n v="91.25"/>
    <x v="3"/>
    <n v="0"/>
    <n v="0"/>
    <n v="0"/>
  </r>
  <r>
    <x v="0"/>
    <s v="Normal"/>
    <n v="56.51"/>
    <x v="0"/>
    <n v="0"/>
    <n v="0"/>
    <n v="0"/>
  </r>
  <r>
    <x v="0"/>
    <s v="Normal"/>
    <n v="86.97"/>
    <x v="0"/>
    <n v="0"/>
    <n v="0"/>
    <n v="0"/>
  </r>
  <r>
    <x v="0"/>
    <s v="Normal"/>
    <n v="45.05"/>
    <x v="0"/>
    <n v="0"/>
    <n v="0"/>
    <n v="0"/>
  </r>
  <r>
    <x v="0"/>
    <s v="Normal"/>
    <n v="92.23"/>
    <x v="0"/>
    <n v="0"/>
    <n v="0"/>
    <n v="0"/>
  </r>
  <r>
    <x v="0"/>
    <s v="Normal"/>
    <n v="64.849999999999994"/>
    <x v="2"/>
    <n v="0"/>
    <n v="0"/>
    <n v="0"/>
  </r>
  <r>
    <x v="0"/>
    <s v="Normal"/>
    <n v="37.369999999999997"/>
    <x v="0"/>
    <n v="0"/>
    <n v="0"/>
    <n v="0"/>
  </r>
  <r>
    <x v="0"/>
    <s v="Normal"/>
    <n v="21.45"/>
    <x v="0"/>
    <n v="0"/>
    <n v="0"/>
    <n v="0"/>
  </r>
  <r>
    <x v="0"/>
    <s v="Normal"/>
    <n v="17.579999999999998"/>
    <x v="0"/>
    <n v="0"/>
    <n v="0"/>
    <n v="0"/>
  </r>
  <r>
    <x v="0"/>
    <s v="Normal"/>
    <n v="32.18"/>
    <x v="0"/>
    <n v="0"/>
    <n v="0"/>
    <n v="0"/>
  </r>
  <r>
    <x v="0"/>
    <s v="Normal"/>
    <n v="66.3"/>
    <x v="0"/>
    <n v="0"/>
    <n v="0"/>
    <n v="0"/>
  </r>
  <r>
    <x v="0"/>
    <s v="Normal"/>
    <n v="10.130000000000001"/>
    <x v="0"/>
    <n v="0"/>
    <n v="0"/>
    <n v="0"/>
  </r>
  <r>
    <x v="0"/>
    <s v="Normal"/>
    <n v="34.01"/>
    <x v="0"/>
    <n v="0"/>
    <n v="0"/>
    <n v="0"/>
  </r>
  <r>
    <x v="0"/>
    <s v="Normal"/>
    <n v="9.94"/>
    <x v="0"/>
    <n v="0"/>
    <n v="0"/>
    <n v="0"/>
  </r>
  <r>
    <x v="0"/>
    <s v="Normal"/>
    <n v="22.34"/>
    <x v="0"/>
    <n v="0"/>
    <n v="0"/>
    <n v="0"/>
  </r>
  <r>
    <x v="0"/>
    <s v="Normal"/>
    <n v="6.27"/>
    <x v="0"/>
    <n v="0"/>
    <n v="0"/>
    <n v="0"/>
  </r>
  <r>
    <x v="0"/>
    <s v="Normal"/>
    <n v="6"/>
    <x v="0"/>
    <n v="0"/>
    <n v="0"/>
    <n v="0"/>
  </r>
  <r>
    <x v="0"/>
    <s v="Normal"/>
    <n v="5.68"/>
    <x v="0"/>
    <n v="0"/>
    <n v="0"/>
    <n v="0"/>
  </r>
  <r>
    <x v="0"/>
    <s v="Phase-out"/>
    <n v="4.66"/>
    <x v="0"/>
    <n v="0"/>
    <n v="0"/>
    <n v="0"/>
  </r>
  <r>
    <x v="0"/>
    <s v="Phase-out"/>
    <n v="4.8"/>
    <x v="0"/>
    <n v="0"/>
    <n v="0"/>
    <n v="0"/>
  </r>
  <r>
    <x v="0"/>
    <s v="Phase-out"/>
    <n v="28.55"/>
    <x v="0"/>
    <n v="0"/>
    <n v="0"/>
    <n v="0"/>
  </r>
  <r>
    <x v="0"/>
    <s v="Normal"/>
    <n v="21.55"/>
    <x v="0"/>
    <n v="0"/>
    <n v="0"/>
    <n v="0"/>
  </r>
  <r>
    <x v="0"/>
    <s v="Normal"/>
    <n v="21.55"/>
    <x v="0"/>
    <n v="0"/>
    <n v="0"/>
    <n v="0"/>
  </r>
  <r>
    <x v="0"/>
    <s v="Normal"/>
    <n v="21.55"/>
    <x v="0"/>
    <n v="0"/>
    <n v="0"/>
    <n v="0"/>
  </r>
  <r>
    <x v="0"/>
    <s v="Normal"/>
    <n v="21.55"/>
    <x v="0"/>
    <n v="0"/>
    <n v="0"/>
    <n v="0"/>
  </r>
  <r>
    <x v="0"/>
    <s v="Normal"/>
    <n v="7.58"/>
    <x v="0"/>
    <n v="0"/>
    <n v="0"/>
    <n v="0"/>
  </r>
  <r>
    <x v="0"/>
    <s v="Phase-out"/>
    <n v="6.62"/>
    <x v="0"/>
    <n v="0"/>
    <n v="0"/>
    <n v="0"/>
  </r>
  <r>
    <x v="0"/>
    <s v="Normal"/>
    <n v="9.19"/>
    <x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1776BA-C4BC-4AE7-BE88-7395302B8BF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4" firstHeaderRow="0" firstDataRow="1" firstDataCol="1"/>
  <pivotFields count="7">
    <pivotField axis="axisRow" dataField="1" showAll="0">
      <items count="3">
        <item x="1"/>
        <item x="0"/>
        <item t="default"/>
      </items>
    </pivotField>
    <pivotField showAll="0"/>
    <pivotField numFmtId="167" showAll="0"/>
    <pivotField axis="axisRow" showAll="0">
      <items count="5">
        <item x="2"/>
        <item x="3"/>
        <item x="1"/>
        <item x="0"/>
        <item t="default"/>
      </items>
    </pivotField>
    <pivotField numFmtId="169" showAll="0"/>
    <pivotField numFmtId="169" showAll="0"/>
    <pivotField dataField="1" numFmtId="169" showAll="0"/>
  </pivotFields>
  <rowFields count="2">
    <field x="0"/>
    <field x="3"/>
  </rowFields>
  <rowItems count="11">
    <i>
      <x/>
    </i>
    <i r="1">
      <x/>
    </i>
    <i r="1">
      <x v="1"/>
    </i>
    <i r="1">
      <x v="2"/>
    </i>
    <i r="1">
      <x v="3"/>
    </i>
    <i>
      <x v="1"/>
    </i>
    <i r="1">
      <x/>
    </i>
    <i r="1">
      <x v="1"/>
    </i>
    <i r="1">
      <x v="2"/>
    </i>
    <i r="1">
      <x v="3"/>
    </i>
    <i t="grand">
      <x/>
    </i>
  </rowItems>
  <colFields count="1">
    <field x="-2"/>
  </colFields>
  <colItems count="2">
    <i>
      <x/>
    </i>
    <i i="1">
      <x v="1"/>
    </i>
  </colItems>
  <dataFields count="2">
    <dataField name="Count of Product Type" fld="0" subtotal="count" baseField="0" baseItem="0"/>
    <dataField name="Sum of Difference" fld="6"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236F9-D819-4242-80A1-3A6FCF7B57CC}">
  <dimension ref="A3:C14"/>
  <sheetViews>
    <sheetView workbookViewId="0">
      <selection activeCell="B5" sqref="B5"/>
    </sheetView>
  </sheetViews>
  <sheetFormatPr defaultRowHeight="14.4" x14ac:dyDescent="0.3"/>
  <cols>
    <col min="1" max="1" width="12.5546875" bestFit="1" customWidth="1"/>
    <col min="2" max="2" width="20.21875" bestFit="1" customWidth="1"/>
    <col min="3" max="3" width="16.21875" bestFit="1" customWidth="1"/>
  </cols>
  <sheetData>
    <row r="3" spans="1:3" x14ac:dyDescent="0.3">
      <c r="A3" s="84" t="s">
        <v>7202</v>
      </c>
      <c r="B3" t="s">
        <v>7204</v>
      </c>
      <c r="C3" t="s">
        <v>7205</v>
      </c>
    </row>
    <row r="4" spans="1:3" x14ac:dyDescent="0.3">
      <c r="A4" s="7" t="s">
        <v>32</v>
      </c>
      <c r="B4">
        <v>615</v>
      </c>
      <c r="C4" s="85">
        <v>11525.059999999994</v>
      </c>
    </row>
    <row r="5" spans="1:3" x14ac:dyDescent="0.3">
      <c r="A5" s="86" t="s">
        <v>7189</v>
      </c>
      <c r="B5">
        <v>4</v>
      </c>
      <c r="C5" s="85">
        <v>-12604.480000000003</v>
      </c>
    </row>
    <row r="6" spans="1:3" x14ac:dyDescent="0.3">
      <c r="A6" s="86" t="s">
        <v>6711</v>
      </c>
      <c r="B6">
        <v>14</v>
      </c>
      <c r="C6" s="85">
        <v>0</v>
      </c>
    </row>
    <row r="7" spans="1:3" x14ac:dyDescent="0.3">
      <c r="A7" s="86" t="s">
        <v>7188</v>
      </c>
      <c r="B7">
        <v>331</v>
      </c>
      <c r="C7" s="85">
        <v>24129.540000000012</v>
      </c>
    </row>
    <row r="8" spans="1:3" x14ac:dyDescent="0.3">
      <c r="A8" s="86" t="s">
        <v>7187</v>
      </c>
      <c r="B8">
        <v>266</v>
      </c>
      <c r="C8" s="85">
        <v>0</v>
      </c>
    </row>
    <row r="9" spans="1:3" x14ac:dyDescent="0.3">
      <c r="A9" s="7" t="s">
        <v>7194</v>
      </c>
      <c r="B9">
        <v>743</v>
      </c>
      <c r="C9" s="85">
        <v>1883.5400000000056</v>
      </c>
    </row>
    <row r="10" spans="1:3" x14ac:dyDescent="0.3">
      <c r="A10" s="86" t="s">
        <v>7189</v>
      </c>
      <c r="B10">
        <v>12</v>
      </c>
      <c r="C10" s="85">
        <v>-1025.989999999995</v>
      </c>
    </row>
    <row r="11" spans="1:3" x14ac:dyDescent="0.3">
      <c r="A11" s="86" t="s">
        <v>6711</v>
      </c>
      <c r="B11">
        <v>45</v>
      </c>
      <c r="C11" s="85">
        <v>0</v>
      </c>
    </row>
    <row r="12" spans="1:3" x14ac:dyDescent="0.3">
      <c r="A12" s="86" t="s">
        <v>7188</v>
      </c>
      <c r="B12">
        <v>347</v>
      </c>
      <c r="C12" s="85">
        <v>2909.5300000000016</v>
      </c>
    </row>
    <row r="13" spans="1:3" x14ac:dyDescent="0.3">
      <c r="A13" s="86" t="s">
        <v>7187</v>
      </c>
      <c r="B13">
        <v>339</v>
      </c>
      <c r="C13" s="85">
        <v>0</v>
      </c>
    </row>
    <row r="14" spans="1:3" x14ac:dyDescent="0.3">
      <c r="A14" s="7" t="s">
        <v>7203</v>
      </c>
      <c r="B14">
        <v>1358</v>
      </c>
      <c r="C14" s="85">
        <v>13408.600000000004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00B050"/>
  </sheetPr>
  <dimension ref="A1:AZ1436"/>
  <sheetViews>
    <sheetView tabSelected="1" zoomScale="80" zoomScaleNormal="80" workbookViewId="0">
      <pane ySplit="1" topLeftCell="A2" activePane="bottomLeft" state="frozen"/>
      <selection activeCell="E1585" sqref="E1585"/>
      <selection pane="bottomLeft" activeCell="E4" sqref="E4"/>
    </sheetView>
  </sheetViews>
  <sheetFormatPr defaultColWidth="8.77734375" defaultRowHeight="14.4" x14ac:dyDescent="0.3"/>
  <cols>
    <col min="1" max="1" width="25.21875" style="5" customWidth="1"/>
    <col min="2" max="2" width="24.5546875" style="5" customWidth="1"/>
    <col min="3" max="3" width="20.77734375" style="5" customWidth="1"/>
    <col min="4" max="4" width="15.44140625" style="5" customWidth="1"/>
    <col min="5" max="5" width="61.77734375" style="2" customWidth="1"/>
    <col min="6" max="6" width="88.77734375" style="6" customWidth="1"/>
    <col min="7" max="7" width="51.77734375" style="6" customWidth="1"/>
    <col min="8" max="8" width="21.21875" style="2" customWidth="1"/>
    <col min="9" max="9" width="27.21875" style="2" customWidth="1"/>
    <col min="10" max="10" width="27.44140625" style="2" customWidth="1"/>
    <col min="11" max="11" width="27" style="2" customWidth="1"/>
    <col min="12" max="12" width="14.21875" style="36" hidden="1" customWidth="1"/>
    <col min="13" max="13" width="27.44140625" style="2" customWidth="1"/>
    <col min="14" max="14" width="29.21875" style="6" customWidth="1"/>
    <col min="15" max="15" width="8.77734375" style="5" hidden="1" customWidth="1"/>
    <col min="16" max="16" width="8.77734375" style="6" hidden="1" customWidth="1"/>
    <col min="17" max="17" width="11.44140625" style="6" hidden="1" customWidth="1"/>
    <col min="18" max="18" width="11" style="6" hidden="1" customWidth="1"/>
    <col min="19" max="19" width="11.21875" style="6" hidden="1" customWidth="1"/>
    <col min="20" max="21" width="10.21875" style="6" hidden="1" customWidth="1"/>
    <col min="22" max="22" width="12.5546875" style="2" hidden="1" customWidth="1"/>
    <col min="23" max="23" width="14.21875" style="47" hidden="1" customWidth="1"/>
    <col min="24" max="25" width="13.21875" style="6" hidden="1" customWidth="1"/>
    <col min="26" max="26" width="11.21875" style="6" hidden="1" customWidth="1"/>
    <col min="27" max="27" width="10.5546875" style="6" hidden="1" customWidth="1"/>
    <col min="28" max="28" width="12.44140625" style="6" hidden="1" customWidth="1"/>
    <col min="29" max="29" width="10.21875" style="6" hidden="1" customWidth="1"/>
    <col min="30" max="30" width="17" style="2" hidden="1" customWidth="1"/>
    <col min="31" max="31" width="8.77734375" style="2" hidden="1" customWidth="1"/>
    <col min="32" max="32" width="10.77734375" style="56" hidden="1" customWidth="1"/>
    <col min="33" max="33" width="10.44140625" style="56" hidden="1" customWidth="1"/>
    <col min="34" max="34" width="15.88671875" style="58" hidden="1" customWidth="1"/>
    <col min="35" max="35" width="0" style="6" hidden="1" customWidth="1"/>
    <col min="36" max="37" width="12.33203125" style="6" hidden="1" customWidth="1"/>
    <col min="38" max="38" width="15.88671875" style="58" hidden="1" customWidth="1"/>
    <col min="39" max="40" width="18.77734375" style="58" hidden="1" customWidth="1"/>
    <col min="41" max="41" width="25.21875" style="88" bestFit="1" customWidth="1"/>
    <col min="42" max="42" width="8.77734375" style="6"/>
    <col min="43" max="44" width="12.33203125" style="6" bestFit="1" customWidth="1"/>
    <col min="45" max="45" width="11.88671875" style="6" customWidth="1"/>
    <col min="46" max="46" width="10.21875" style="6" customWidth="1"/>
    <col min="47" max="48" width="8.77734375" style="6"/>
    <col min="49" max="50" width="15.77734375" style="6" bestFit="1" customWidth="1"/>
    <col min="51" max="51" width="14.6640625" style="6" bestFit="1" customWidth="1"/>
    <col min="52" max="16384" width="8.77734375" style="6"/>
  </cols>
  <sheetData>
    <row r="1" spans="1:52" s="3" customFormat="1" ht="129.6" customHeight="1" x14ac:dyDescent="0.3">
      <c r="A1" s="12" t="s">
        <v>25</v>
      </c>
      <c r="B1" s="12" t="s">
        <v>26</v>
      </c>
      <c r="C1" s="12" t="s">
        <v>0</v>
      </c>
      <c r="D1" s="12" t="s">
        <v>1</v>
      </c>
      <c r="E1" s="3" t="s">
        <v>2</v>
      </c>
      <c r="F1" s="8" t="s">
        <v>3</v>
      </c>
      <c r="G1" s="8" t="s">
        <v>4</v>
      </c>
      <c r="H1" s="3" t="s">
        <v>5</v>
      </c>
      <c r="I1" s="3" t="s">
        <v>6</v>
      </c>
      <c r="J1" s="3" t="s">
        <v>7</v>
      </c>
      <c r="K1" s="3" t="s">
        <v>8</v>
      </c>
      <c r="L1" s="33" t="s">
        <v>2568</v>
      </c>
      <c r="M1" s="3" t="s">
        <v>9</v>
      </c>
      <c r="N1" s="3" t="s">
        <v>10</v>
      </c>
      <c r="R1" s="20" t="s">
        <v>2570</v>
      </c>
      <c r="S1" s="20" t="s">
        <v>2569</v>
      </c>
      <c r="T1" s="3" t="s">
        <v>2571</v>
      </c>
      <c r="V1" s="3" t="s">
        <v>6712</v>
      </c>
      <c r="W1" s="33" t="s">
        <v>5341</v>
      </c>
      <c r="X1" s="3" t="s">
        <v>5219</v>
      </c>
      <c r="Y1" s="3" t="s">
        <v>5220</v>
      </c>
      <c r="Z1" s="3" t="s">
        <v>5221</v>
      </c>
      <c r="AA1" s="3" t="s">
        <v>5336</v>
      </c>
      <c r="AB1" s="3" t="s">
        <v>5337</v>
      </c>
      <c r="AC1" s="3" t="s">
        <v>5338</v>
      </c>
      <c r="AF1" s="55"/>
      <c r="AG1" s="55"/>
      <c r="AH1" s="57"/>
      <c r="AL1" s="57"/>
      <c r="AO1" s="87"/>
      <c r="AP1" s="79"/>
      <c r="AQ1" s="76" t="s">
        <v>7187</v>
      </c>
      <c r="AR1" s="76" t="s">
        <v>6711</v>
      </c>
      <c r="AS1" s="76" t="s">
        <v>7189</v>
      </c>
      <c r="AT1" s="76" t="s">
        <v>7188</v>
      </c>
      <c r="AW1" s="76" t="s">
        <v>7212</v>
      </c>
      <c r="AX1" s="76" t="s">
        <v>7213</v>
      </c>
      <c r="AY1" s="76"/>
    </row>
    <row r="2" spans="1:52" x14ac:dyDescent="0.3">
      <c r="A2" s="14" t="s">
        <v>11</v>
      </c>
      <c r="B2" s="13" t="s">
        <v>12</v>
      </c>
      <c r="C2" s="14" t="s">
        <v>13</v>
      </c>
      <c r="D2" s="14" t="s">
        <v>14</v>
      </c>
      <c r="E2" s="10" t="s">
        <v>15</v>
      </c>
      <c r="F2" s="9" t="s">
        <v>16</v>
      </c>
      <c r="G2" s="9" t="s">
        <v>17</v>
      </c>
      <c r="H2" s="1" t="s">
        <v>18</v>
      </c>
      <c r="I2" s="1" t="s">
        <v>19</v>
      </c>
      <c r="J2" s="1" t="s">
        <v>20</v>
      </c>
      <c r="K2" s="4" t="s">
        <v>21</v>
      </c>
      <c r="L2" s="34" t="s">
        <v>22</v>
      </c>
      <c r="M2" s="1" t="s">
        <v>23</v>
      </c>
      <c r="N2" s="1" t="s">
        <v>24</v>
      </c>
      <c r="W2" s="43" t="s">
        <v>22</v>
      </c>
      <c r="AL2" s="72" t="s">
        <v>7195</v>
      </c>
      <c r="AM2" s="80">
        <f>COUNTIF(AP6:AP1363,"Increase")-AM3</f>
        <v>347</v>
      </c>
      <c r="AN2" s="80"/>
      <c r="AO2" s="88" t="s">
        <v>7214</v>
      </c>
      <c r="AP2" s="72" t="s">
        <v>7191</v>
      </c>
      <c r="AQ2" s="61">
        <f>COUNTIF($AI:$AI,AQ1)</f>
        <v>444</v>
      </c>
      <c r="AR2" s="61">
        <f>COUNTIF($AI:$AI,AR1)</f>
        <v>228</v>
      </c>
      <c r="AS2" s="61">
        <f>COUNTIF($AI:$AI,AS1)</f>
        <v>15</v>
      </c>
      <c r="AT2" s="61">
        <f>COUNTIF($AI:$AI,AT1)</f>
        <v>671</v>
      </c>
      <c r="AU2" s="6">
        <f>SUM(AQ2:AT2)</f>
        <v>1358</v>
      </c>
      <c r="AW2" s="77">
        <f>SUMIF($AP$6:$AP$1363,"Increase",AJ$6:AJ$1363)</f>
        <v>948824.72999999928</v>
      </c>
      <c r="AX2" s="77">
        <f>SUMIF($AP$6:$AP$1363,"Increase",AQ$6:AQ$1363)</f>
        <v>599801.87999999931</v>
      </c>
      <c r="AY2" s="77"/>
    </row>
    <row r="3" spans="1:52" x14ac:dyDescent="0.3">
      <c r="A3" s="14"/>
      <c r="B3" s="13"/>
      <c r="C3" s="14"/>
      <c r="D3" s="14"/>
      <c r="E3" s="10"/>
      <c r="F3" s="9"/>
      <c r="G3" s="9"/>
      <c r="H3" s="1"/>
      <c r="I3" s="1"/>
      <c r="J3" s="1"/>
      <c r="K3" s="4"/>
      <c r="L3" s="34"/>
      <c r="M3" s="1"/>
      <c r="N3" s="1"/>
      <c r="W3" s="43"/>
      <c r="AL3" s="72" t="s">
        <v>7196</v>
      </c>
      <c r="AM3" s="80">
        <f>COUNTIFS(AL6:AL1363,"Paint",AP6:AP1363,"Increase")</f>
        <v>331</v>
      </c>
      <c r="AN3" s="80"/>
      <c r="AP3" s="72" t="s">
        <v>7192</v>
      </c>
      <c r="AQ3" s="61">
        <f>COUNTIF($AP:$AP,AQ1)</f>
        <v>605</v>
      </c>
      <c r="AR3" s="61">
        <f>COUNTIF($AP:$AP,AR1)</f>
        <v>59</v>
      </c>
      <c r="AS3" s="61">
        <f>COUNTIF($AP:$AP,AS1)</f>
        <v>16</v>
      </c>
      <c r="AT3" s="61">
        <f>COUNTIF($AP:$AP,AT1)</f>
        <v>678</v>
      </c>
      <c r="AU3" s="6">
        <f>SUM(AQ3:AT3)</f>
        <v>1358</v>
      </c>
      <c r="AW3" s="77">
        <f>SUMIF($AP$6:$AP$1363,"Increase",AK$6:AK$1363)</f>
        <v>973351.65000000049</v>
      </c>
      <c r="AX3" s="77">
        <f>SUMIF($AP$6:$AP$1363,"Increase",AR$6:AR$1363)</f>
        <v>616772.39999999991</v>
      </c>
      <c r="AY3" s="77">
        <f>AX3-AX2</f>
        <v>16970.520000000601</v>
      </c>
      <c r="AZ3" s="78">
        <f>AY3/AX2</f>
        <v>2.8293542527743694E-2</v>
      </c>
    </row>
    <row r="4" spans="1:52" x14ac:dyDescent="0.3">
      <c r="A4" s="14"/>
      <c r="B4" s="13"/>
      <c r="C4" s="14"/>
      <c r="D4" s="14"/>
      <c r="E4" s="10"/>
      <c r="F4" s="9"/>
      <c r="G4" s="9"/>
      <c r="H4" s="1"/>
      <c r="I4" s="1"/>
      <c r="J4" s="1"/>
      <c r="K4" s="4"/>
      <c r="L4" s="34"/>
      <c r="M4" s="1"/>
      <c r="N4" s="1"/>
      <c r="W4" s="43"/>
      <c r="AP4" s="58"/>
    </row>
    <row r="5" spans="1:52" s="61" customFormat="1" x14ac:dyDescent="0.3">
      <c r="A5" s="59"/>
      <c r="B5" s="59"/>
      <c r="C5" s="60" t="s">
        <v>30</v>
      </c>
      <c r="D5" s="61" t="s">
        <v>31</v>
      </c>
      <c r="E5" s="59"/>
      <c r="F5" s="59"/>
      <c r="H5" s="62" t="s">
        <v>27</v>
      </c>
      <c r="I5" s="61" t="s">
        <v>28</v>
      </c>
      <c r="J5" s="61" t="s">
        <v>28</v>
      </c>
      <c r="K5" s="63" t="s">
        <v>32</v>
      </c>
      <c r="L5" s="64">
        <v>1.78</v>
      </c>
      <c r="M5" s="61" t="s">
        <v>29</v>
      </c>
      <c r="N5" s="61">
        <v>3105</v>
      </c>
      <c r="O5" s="65"/>
      <c r="P5" s="66"/>
      <c r="Q5" s="67"/>
      <c r="S5" s="61">
        <f>SUM(R5*P5)</f>
        <v>0</v>
      </c>
      <c r="T5" s="61">
        <f>SUM(R5*L5)</f>
        <v>0</v>
      </c>
      <c r="V5" s="68"/>
      <c r="W5" s="69"/>
      <c r="AD5" s="68" t="s">
        <v>6700</v>
      </c>
      <c r="AE5" s="68" t="s">
        <v>6702</v>
      </c>
      <c r="AF5" s="70" t="s">
        <v>7185</v>
      </c>
      <c r="AG5" s="71"/>
      <c r="AH5" s="72" t="s">
        <v>7186</v>
      </c>
      <c r="AI5" s="74" t="s">
        <v>7198</v>
      </c>
      <c r="AJ5" s="74" t="s">
        <v>7208</v>
      </c>
      <c r="AK5" s="74" t="s">
        <v>7209</v>
      </c>
      <c r="AL5" s="73" t="s">
        <v>7200</v>
      </c>
      <c r="AM5" s="73" t="s">
        <v>7190</v>
      </c>
      <c r="AN5" s="73" t="s">
        <v>7207</v>
      </c>
      <c r="AO5" s="89" t="s">
        <v>7201</v>
      </c>
      <c r="AP5" s="74" t="s">
        <v>7199</v>
      </c>
      <c r="AQ5" s="74" t="s">
        <v>7210</v>
      </c>
      <c r="AR5" s="74" t="s">
        <v>7211</v>
      </c>
      <c r="AS5" s="74" t="s">
        <v>7197</v>
      </c>
    </row>
    <row r="6" spans="1:52" hidden="1" x14ac:dyDescent="0.3">
      <c r="A6">
        <v>6188891</v>
      </c>
      <c r="B6" s="15" t="s">
        <v>5342</v>
      </c>
      <c r="C6" s="16" t="s">
        <v>30</v>
      </c>
      <c r="D6" s="6" t="s">
        <v>31</v>
      </c>
      <c r="E6" t="s">
        <v>827</v>
      </c>
      <c r="F6" t="s">
        <v>827</v>
      </c>
      <c r="H6" s="11" t="s">
        <v>27</v>
      </c>
      <c r="I6" s="6" t="s">
        <v>28</v>
      </c>
      <c r="J6" s="6" t="s">
        <v>28</v>
      </c>
      <c r="K6" t="s">
        <v>32</v>
      </c>
      <c r="L6" s="35">
        <v>1.1399999999999999</v>
      </c>
      <c r="M6" s="6" t="s">
        <v>29</v>
      </c>
      <c r="N6" s="6">
        <v>3105</v>
      </c>
      <c r="P6" s="18"/>
      <c r="Q6" s="17"/>
      <c r="R6" s="19">
        <v>1.78</v>
      </c>
      <c r="S6" s="19">
        <v>1.78</v>
      </c>
      <c r="T6" s="38">
        <v>21369</v>
      </c>
      <c r="U6" s="38"/>
      <c r="V6" s="30">
        <v>1.1399999999999999</v>
      </c>
      <c r="W6" s="35">
        <v>1.1399999999999999</v>
      </c>
      <c r="X6" s="32">
        <f t="shared" ref="X6:X69" si="0">SUM(V6*T6)</f>
        <v>24360.659999999996</v>
      </c>
      <c r="Y6" s="32">
        <f t="shared" ref="Y6:Y69" si="1">SUM(L6*T6)</f>
        <v>24360.659999999996</v>
      </c>
      <c r="Z6" s="32">
        <f t="shared" ref="Z6:Z69" si="2">SUM(X6-Y6)</f>
        <v>0</v>
      </c>
      <c r="AA6" s="38">
        <v>21369</v>
      </c>
      <c r="AB6" s="37">
        <f>IFERROR(VLOOKUP(A6,'Tash Lookup'!A:E,3,FALSE),"")</f>
        <v>24202</v>
      </c>
      <c r="AC6" s="6">
        <f t="shared" ref="AC6:AC69" si="3">IFERROR(AA6-T6,"")</f>
        <v>0</v>
      </c>
      <c r="AD6" s="2" t="s">
        <v>6703</v>
      </c>
      <c r="AF6" s="56">
        <v>1.1399999999999999</v>
      </c>
      <c r="AG6" s="56">
        <f>VLOOKUP(A6,Sheet1!$A$2:$C$1140,3,FALSE)</f>
        <v>1.1399999999999999</v>
      </c>
      <c r="AH6" s="58">
        <v>1.1399999999999999</v>
      </c>
      <c r="AI6" s="56" t="str">
        <f t="shared" ref="AI6:AI69" si="4">IF(ISNA(AH6),"Delete",IF(AH6=AF6,"Same",IF(AH6&gt;AF6,"Increase","Decrease")))</f>
        <v>Same</v>
      </c>
      <c r="AJ6" s="81">
        <f>IFERROR(AA6*AF6,0)</f>
        <v>24360.659999999996</v>
      </c>
      <c r="AK6" s="81">
        <f>IFERROR(AA6*AH6,0)</f>
        <v>24360.659999999996</v>
      </c>
      <c r="AL6" s="58" t="s">
        <v>7206</v>
      </c>
      <c r="AM6" s="58" t="s">
        <v>6703</v>
      </c>
      <c r="AN6" s="75">
        <v>13797</v>
      </c>
      <c r="AO6" s="88">
        <v>1.1399999999999999</v>
      </c>
      <c r="AP6" s="6" t="str">
        <f t="shared" ref="AP6:AP69" si="5">IF(AM6="Delete","Delete",IF(AO6=AF6,"Same",IF(AO6&gt;AF6,"Increase","Decrease")))</f>
        <v>Same</v>
      </c>
      <c r="AQ6" s="81">
        <f t="shared" ref="AQ6:AQ69" si="6">AN6*AF6</f>
        <v>15728.579999999998</v>
      </c>
      <c r="AR6" s="81">
        <f t="shared" ref="AR6:AR69" si="7">AN6*AO6</f>
        <v>15728.579999999998</v>
      </c>
      <c r="AS6" s="81">
        <f>AR6-AQ6</f>
        <v>0</v>
      </c>
    </row>
    <row r="7" spans="1:52" hidden="1" x14ac:dyDescent="0.3">
      <c r="A7">
        <v>6188903</v>
      </c>
      <c r="B7" s="15" t="s">
        <v>5343</v>
      </c>
      <c r="C7" s="16" t="s">
        <v>30</v>
      </c>
      <c r="D7" s="6" t="s">
        <v>31</v>
      </c>
      <c r="E7" t="s">
        <v>863</v>
      </c>
      <c r="F7" t="s">
        <v>863</v>
      </c>
      <c r="H7" s="11" t="s">
        <v>27</v>
      </c>
      <c r="I7" s="6" t="s">
        <v>28</v>
      </c>
      <c r="J7" s="6" t="s">
        <v>28</v>
      </c>
      <c r="K7" t="s">
        <v>32</v>
      </c>
      <c r="L7" s="48">
        <v>1.22</v>
      </c>
      <c r="M7" s="6" t="s">
        <v>29</v>
      </c>
      <c r="N7" s="6">
        <v>3105</v>
      </c>
      <c r="P7" s="18"/>
      <c r="Q7" s="17"/>
      <c r="R7" s="19">
        <v>2.44</v>
      </c>
      <c r="S7" s="19">
        <v>2.44</v>
      </c>
      <c r="T7" s="38">
        <v>8541</v>
      </c>
      <c r="U7" s="38"/>
      <c r="V7" s="30">
        <v>1.22</v>
      </c>
      <c r="W7" s="35">
        <v>1.22</v>
      </c>
      <c r="X7" s="32">
        <f t="shared" si="0"/>
        <v>10420.02</v>
      </c>
      <c r="Y7" s="32">
        <f t="shared" si="1"/>
        <v>10420.02</v>
      </c>
      <c r="Z7" s="32">
        <f t="shared" si="2"/>
        <v>0</v>
      </c>
      <c r="AA7" s="38">
        <v>8541</v>
      </c>
      <c r="AB7" s="37">
        <f>IFERROR(VLOOKUP(A7,'Tash Lookup'!A:E,3,FALSE),"")</f>
        <v>10114.89</v>
      </c>
      <c r="AC7" s="6">
        <f t="shared" si="3"/>
        <v>0</v>
      </c>
      <c r="AD7" s="2" t="s">
        <v>6703</v>
      </c>
      <c r="AF7" s="56">
        <v>1.22</v>
      </c>
      <c r="AG7" s="56">
        <f>VLOOKUP(A7,Sheet1!$A$2:$C$1140,3,FALSE)</f>
        <v>1.24</v>
      </c>
      <c r="AH7" s="58">
        <v>1.24</v>
      </c>
      <c r="AI7" s="56" t="str">
        <f t="shared" si="4"/>
        <v>Increase</v>
      </c>
      <c r="AJ7" s="81">
        <f t="shared" ref="AJ7:AJ70" si="8">IFERROR(AA7*AF7,0)</f>
        <v>10420.02</v>
      </c>
      <c r="AK7" s="81">
        <f t="shared" ref="AK7:AK70" si="9">IFERROR(AA7*AH7,0)</f>
        <v>10590.84</v>
      </c>
      <c r="AL7" s="58" t="s">
        <v>7206</v>
      </c>
      <c r="AM7" s="58" t="s">
        <v>6703</v>
      </c>
      <c r="AN7" s="75">
        <v>4378</v>
      </c>
      <c r="AO7" s="88">
        <v>1.24</v>
      </c>
      <c r="AP7" s="6" t="str">
        <f t="shared" si="5"/>
        <v>Increase</v>
      </c>
      <c r="AQ7" s="81">
        <f t="shared" si="6"/>
        <v>5341.16</v>
      </c>
      <c r="AR7" s="81">
        <f t="shared" si="7"/>
        <v>5428.72</v>
      </c>
      <c r="AS7" s="82">
        <f t="shared" ref="AS7:AS70" si="10">AR7-AQ7</f>
        <v>87.5600000000004</v>
      </c>
    </row>
    <row r="8" spans="1:52" hidden="1" x14ac:dyDescent="0.3">
      <c r="A8">
        <v>5090751</v>
      </c>
      <c r="B8" s="15" t="s">
        <v>5344</v>
      </c>
      <c r="C8" s="16" t="s">
        <v>30</v>
      </c>
      <c r="D8" s="6" t="s">
        <v>31</v>
      </c>
      <c r="E8" t="s">
        <v>64</v>
      </c>
      <c r="F8" t="s">
        <v>64</v>
      </c>
      <c r="H8" s="11" t="s">
        <v>27</v>
      </c>
      <c r="I8" s="6" t="s">
        <v>28</v>
      </c>
      <c r="J8" s="6" t="s">
        <v>28</v>
      </c>
      <c r="K8" t="s">
        <v>32</v>
      </c>
      <c r="L8" s="35">
        <v>30.76</v>
      </c>
      <c r="M8" s="6" t="s">
        <v>29</v>
      </c>
      <c r="N8" s="6">
        <v>3105</v>
      </c>
      <c r="P8" s="18"/>
      <c r="Q8" s="17"/>
      <c r="R8" s="19">
        <v>31.74</v>
      </c>
      <c r="S8" s="19">
        <v>31.74</v>
      </c>
      <c r="T8" s="38">
        <v>4275</v>
      </c>
      <c r="U8" s="38"/>
      <c r="V8" s="29">
        <v>28.186499999999999</v>
      </c>
      <c r="W8" s="35">
        <v>30.76</v>
      </c>
      <c r="X8" s="32">
        <f t="shared" si="0"/>
        <v>120497.28749999999</v>
      </c>
      <c r="Y8" s="32">
        <f t="shared" si="1"/>
        <v>131499</v>
      </c>
      <c r="Z8" s="32">
        <f t="shared" si="2"/>
        <v>-11001.712500000009</v>
      </c>
      <c r="AA8" s="38">
        <v>4275</v>
      </c>
      <c r="AB8" s="37">
        <f>IFERROR(VLOOKUP(A8,'Tash Lookup'!A:E,3,FALSE),"")</f>
        <v>131165.04999999999</v>
      </c>
      <c r="AC8" s="6">
        <f t="shared" si="3"/>
        <v>0</v>
      </c>
      <c r="AD8" s="2" t="s">
        <v>6703</v>
      </c>
      <c r="AF8" s="56">
        <v>29.61</v>
      </c>
      <c r="AG8" s="56">
        <f>VLOOKUP(A8,Sheet1!$A$2:$C$1140,3,FALSE)</f>
        <v>29.61</v>
      </c>
      <c r="AH8" s="58">
        <v>29.61</v>
      </c>
      <c r="AI8" s="56" t="str">
        <f t="shared" si="4"/>
        <v>Same</v>
      </c>
      <c r="AJ8" s="81">
        <f t="shared" si="8"/>
        <v>126582.75</v>
      </c>
      <c r="AK8" s="81">
        <f t="shared" si="9"/>
        <v>126582.75</v>
      </c>
      <c r="AL8" s="58" t="s">
        <v>32</v>
      </c>
      <c r="AM8" s="58" t="s">
        <v>6703</v>
      </c>
      <c r="AN8" s="75">
        <v>3449</v>
      </c>
      <c r="AO8" s="88">
        <v>29.61</v>
      </c>
      <c r="AP8" s="6" t="str">
        <f t="shared" si="5"/>
        <v>Same</v>
      </c>
      <c r="AQ8" s="81">
        <f t="shared" si="6"/>
        <v>102124.89</v>
      </c>
      <c r="AR8" s="81">
        <f t="shared" si="7"/>
        <v>102124.89</v>
      </c>
      <c r="AS8" s="81">
        <f t="shared" si="10"/>
        <v>0</v>
      </c>
    </row>
    <row r="9" spans="1:52" hidden="1" x14ac:dyDescent="0.3">
      <c r="A9">
        <v>5090809</v>
      </c>
      <c r="B9" s="15" t="s">
        <v>5345</v>
      </c>
      <c r="C9" s="16" t="s">
        <v>30</v>
      </c>
      <c r="D9" s="6" t="s">
        <v>31</v>
      </c>
      <c r="E9" t="s">
        <v>54</v>
      </c>
      <c r="F9" t="s">
        <v>54</v>
      </c>
      <c r="H9" s="11" t="s">
        <v>27</v>
      </c>
      <c r="I9" s="6" t="s">
        <v>28</v>
      </c>
      <c r="J9" s="6" t="s">
        <v>28</v>
      </c>
      <c r="K9" t="s">
        <v>32</v>
      </c>
      <c r="L9" s="35">
        <v>35.090000000000003</v>
      </c>
      <c r="M9" s="6" t="s">
        <v>29</v>
      </c>
      <c r="N9" s="6">
        <v>3105</v>
      </c>
      <c r="P9" s="18"/>
      <c r="Q9" s="17"/>
      <c r="R9" s="19">
        <v>39.04</v>
      </c>
      <c r="S9" s="19">
        <v>39.04</v>
      </c>
      <c r="T9" s="38">
        <v>4196</v>
      </c>
      <c r="U9" s="38"/>
      <c r="V9" s="29">
        <v>32.052999999999997</v>
      </c>
      <c r="W9" s="35">
        <v>35.090000000000003</v>
      </c>
      <c r="X9" s="32">
        <f t="shared" si="0"/>
        <v>134494.38799999998</v>
      </c>
      <c r="Y9" s="32">
        <f t="shared" si="1"/>
        <v>147237.64000000001</v>
      </c>
      <c r="Z9" s="32">
        <f t="shared" si="2"/>
        <v>-12743.252000000037</v>
      </c>
      <c r="AA9" s="38">
        <v>4196</v>
      </c>
      <c r="AB9" s="37">
        <f>IFERROR(VLOOKUP(A9,'Tash Lookup'!A:E,3,FALSE),"")</f>
        <v>145002.74</v>
      </c>
      <c r="AC9" s="6">
        <f t="shared" si="3"/>
        <v>0</v>
      </c>
      <c r="AD9" s="2" t="s">
        <v>6703</v>
      </c>
      <c r="AF9" s="56">
        <v>33.880000000000003</v>
      </c>
      <c r="AG9" s="56">
        <f>VLOOKUP(A9,Sheet1!$A$2:$C$1140,3,FALSE)</f>
        <v>33.880000000000003</v>
      </c>
      <c r="AH9" s="58">
        <v>33.880000000000003</v>
      </c>
      <c r="AI9" s="56" t="str">
        <f t="shared" si="4"/>
        <v>Same</v>
      </c>
      <c r="AJ9" s="81">
        <f t="shared" si="8"/>
        <v>142160.48000000001</v>
      </c>
      <c r="AK9" s="81">
        <f t="shared" si="9"/>
        <v>142160.48000000001</v>
      </c>
      <c r="AL9" s="58" t="s">
        <v>32</v>
      </c>
      <c r="AM9" s="58" t="s">
        <v>6703</v>
      </c>
      <c r="AN9" s="75">
        <v>2501</v>
      </c>
      <c r="AO9" s="88">
        <v>33.880000000000003</v>
      </c>
      <c r="AP9" s="6" t="str">
        <f t="shared" si="5"/>
        <v>Same</v>
      </c>
      <c r="AQ9" s="81">
        <f t="shared" si="6"/>
        <v>84733.88</v>
      </c>
      <c r="AR9" s="81">
        <f t="shared" si="7"/>
        <v>84733.88</v>
      </c>
      <c r="AS9" s="81">
        <f t="shared" si="10"/>
        <v>0</v>
      </c>
    </row>
    <row r="10" spans="1:52" hidden="1" x14ac:dyDescent="0.3">
      <c r="A10">
        <v>5091663</v>
      </c>
      <c r="B10" s="15" t="s">
        <v>5346</v>
      </c>
      <c r="C10" s="16" t="s">
        <v>30</v>
      </c>
      <c r="D10" s="6" t="s">
        <v>31</v>
      </c>
      <c r="E10" t="s">
        <v>67</v>
      </c>
      <c r="F10" t="s">
        <v>5206</v>
      </c>
      <c r="H10" s="11" t="s">
        <v>27</v>
      </c>
      <c r="I10" s="6" t="s">
        <v>28</v>
      </c>
      <c r="J10" s="6" t="s">
        <v>28</v>
      </c>
      <c r="K10" t="s">
        <v>32</v>
      </c>
      <c r="L10" s="35">
        <v>30.37</v>
      </c>
      <c r="M10" s="6" t="s">
        <v>29</v>
      </c>
      <c r="N10" s="6">
        <v>3105</v>
      </c>
      <c r="P10" s="18"/>
      <c r="Q10" s="17"/>
      <c r="R10" s="19">
        <v>30.37</v>
      </c>
      <c r="S10" s="19">
        <v>30.37</v>
      </c>
      <c r="T10" s="38">
        <v>2692</v>
      </c>
      <c r="U10" s="38"/>
      <c r="V10" s="30">
        <v>30.37</v>
      </c>
      <c r="W10" s="35">
        <v>30.37</v>
      </c>
      <c r="X10" s="32">
        <f t="shared" si="0"/>
        <v>81756.040000000008</v>
      </c>
      <c r="Y10" s="32">
        <f t="shared" si="1"/>
        <v>81756.040000000008</v>
      </c>
      <c r="Z10" s="32">
        <f t="shared" si="2"/>
        <v>0</v>
      </c>
      <c r="AA10" s="38">
        <v>2692</v>
      </c>
      <c r="AB10" s="37">
        <f>IFERROR(VLOOKUP(A10,'Tash Lookup'!A:E,3,FALSE),"")</f>
        <v>68395.37</v>
      </c>
      <c r="AC10" s="6">
        <f t="shared" si="3"/>
        <v>0</v>
      </c>
      <c r="AD10" s="2" t="s">
        <v>6703</v>
      </c>
      <c r="AF10" s="56">
        <v>29.14</v>
      </c>
      <c r="AG10" s="56">
        <f>VLOOKUP(A10,Sheet1!$A$2:$C$1140,3,FALSE)</f>
        <v>29.14</v>
      </c>
      <c r="AH10" s="58">
        <v>29.14</v>
      </c>
      <c r="AI10" s="56" t="str">
        <f t="shared" si="4"/>
        <v>Same</v>
      </c>
      <c r="AJ10" s="81">
        <f t="shared" si="8"/>
        <v>78444.88</v>
      </c>
      <c r="AK10" s="81">
        <f t="shared" si="9"/>
        <v>78444.88</v>
      </c>
      <c r="AL10" s="58" t="s">
        <v>32</v>
      </c>
      <c r="AM10" s="58" t="s">
        <v>6703</v>
      </c>
      <c r="AN10" s="75">
        <v>2535</v>
      </c>
      <c r="AO10" s="88">
        <v>29.14</v>
      </c>
      <c r="AP10" s="6" t="str">
        <f t="shared" si="5"/>
        <v>Same</v>
      </c>
      <c r="AQ10" s="81">
        <f t="shared" si="6"/>
        <v>73869.899999999994</v>
      </c>
      <c r="AR10" s="81">
        <f t="shared" si="7"/>
        <v>73869.899999999994</v>
      </c>
      <c r="AS10" s="81">
        <f t="shared" si="10"/>
        <v>0</v>
      </c>
    </row>
    <row r="11" spans="1:52" hidden="1" x14ac:dyDescent="0.3">
      <c r="A11">
        <v>5293175</v>
      </c>
      <c r="B11" s="15" t="s">
        <v>5347</v>
      </c>
      <c r="C11" s="16" t="s">
        <v>30</v>
      </c>
      <c r="D11" s="6" t="s">
        <v>31</v>
      </c>
      <c r="E11" t="s">
        <v>77</v>
      </c>
      <c r="F11" t="s">
        <v>77</v>
      </c>
      <c r="H11" s="11" t="s">
        <v>27</v>
      </c>
      <c r="I11" s="6" t="s">
        <v>28</v>
      </c>
      <c r="J11" s="6" t="s">
        <v>28</v>
      </c>
      <c r="K11" t="s">
        <v>32</v>
      </c>
      <c r="L11" s="35">
        <v>30.37</v>
      </c>
      <c r="M11" s="6" t="s">
        <v>29</v>
      </c>
      <c r="N11" s="6">
        <v>3105</v>
      </c>
      <c r="P11" s="18"/>
      <c r="Q11" s="17"/>
      <c r="R11" s="19">
        <v>30.37</v>
      </c>
      <c r="S11" s="19">
        <v>30.37</v>
      </c>
      <c r="T11" s="38">
        <v>2692</v>
      </c>
      <c r="U11" s="38"/>
      <c r="V11" s="29">
        <v>30.37</v>
      </c>
      <c r="W11" s="35">
        <v>30.37</v>
      </c>
      <c r="X11" s="32">
        <f t="shared" si="0"/>
        <v>81756.040000000008</v>
      </c>
      <c r="Y11" s="32">
        <f t="shared" si="1"/>
        <v>81756.040000000008</v>
      </c>
      <c r="Z11" s="32">
        <f t="shared" si="2"/>
        <v>0</v>
      </c>
      <c r="AA11" s="38">
        <v>2692</v>
      </c>
      <c r="AB11" s="37">
        <f>IFERROR(VLOOKUP(A11,'Tash Lookup'!A:E,3,FALSE),"")</f>
        <v>68395.37</v>
      </c>
      <c r="AC11" s="6">
        <f t="shared" si="3"/>
        <v>0</v>
      </c>
      <c r="AD11" s="2" t="s">
        <v>6704</v>
      </c>
      <c r="AF11" s="56">
        <v>30</v>
      </c>
      <c r="AG11" s="56">
        <v>30</v>
      </c>
      <c r="AH11" s="58">
        <v>30</v>
      </c>
      <c r="AI11" s="56" t="str">
        <f t="shared" si="4"/>
        <v>Same</v>
      </c>
      <c r="AJ11" s="81">
        <f t="shared" si="8"/>
        <v>80760</v>
      </c>
      <c r="AK11" s="81">
        <f t="shared" si="9"/>
        <v>80760</v>
      </c>
      <c r="AL11" s="58" t="s">
        <v>32</v>
      </c>
      <c r="AM11" s="58" t="s">
        <v>6704</v>
      </c>
      <c r="AN11" s="75">
        <v>0</v>
      </c>
      <c r="AO11" s="88">
        <v>30</v>
      </c>
      <c r="AP11" s="6" t="str">
        <f t="shared" si="5"/>
        <v>Same</v>
      </c>
      <c r="AQ11" s="81">
        <f t="shared" si="6"/>
        <v>0</v>
      </c>
      <c r="AR11" s="81">
        <f t="shared" si="7"/>
        <v>0</v>
      </c>
      <c r="AS11" s="81">
        <f t="shared" si="10"/>
        <v>0</v>
      </c>
    </row>
    <row r="12" spans="1:52" hidden="1" x14ac:dyDescent="0.3">
      <c r="A12">
        <v>5218587</v>
      </c>
      <c r="B12" s="15" t="s">
        <v>5348</v>
      </c>
      <c r="C12" s="16" t="s">
        <v>30</v>
      </c>
      <c r="D12" s="6" t="s">
        <v>31</v>
      </c>
      <c r="E12" t="s">
        <v>83</v>
      </c>
      <c r="F12" t="s">
        <v>83</v>
      </c>
      <c r="H12" s="11" t="s">
        <v>27</v>
      </c>
      <c r="I12" s="6" t="s">
        <v>28</v>
      </c>
      <c r="J12" s="6" t="s">
        <v>28</v>
      </c>
      <c r="K12" t="s">
        <v>32</v>
      </c>
      <c r="L12" s="35">
        <v>13.04</v>
      </c>
      <c r="M12" s="6" t="s">
        <v>29</v>
      </c>
      <c r="N12" s="6">
        <v>3105</v>
      </c>
      <c r="P12" s="18"/>
      <c r="Q12" s="17"/>
      <c r="R12" s="19">
        <v>15.4</v>
      </c>
      <c r="S12" s="19">
        <v>15.4</v>
      </c>
      <c r="T12" s="38">
        <v>2450</v>
      </c>
      <c r="U12" s="38"/>
      <c r="V12" s="29">
        <v>12.387999999999998</v>
      </c>
      <c r="W12" s="35">
        <v>13.04</v>
      </c>
      <c r="X12" s="32">
        <f t="shared" si="0"/>
        <v>30350.599999999995</v>
      </c>
      <c r="Y12" s="32">
        <f t="shared" si="1"/>
        <v>31947.999999999996</v>
      </c>
      <c r="Z12" s="32">
        <f t="shared" si="2"/>
        <v>-1597.4000000000015</v>
      </c>
      <c r="AA12" s="38">
        <v>2450</v>
      </c>
      <c r="AB12" s="37">
        <f>IFERROR(VLOOKUP(A12,'Tash Lookup'!A:E,3,FALSE),"")</f>
        <v>36831.22</v>
      </c>
      <c r="AC12" s="6">
        <f t="shared" si="3"/>
        <v>0</v>
      </c>
      <c r="AD12" s="2" t="s">
        <v>6703</v>
      </c>
      <c r="AF12" s="56">
        <v>12.5</v>
      </c>
      <c r="AG12" s="56">
        <f>VLOOKUP(A12,Sheet1!$A$2:$C$1140,3,FALSE)</f>
        <v>12.5</v>
      </c>
      <c r="AH12" s="58">
        <v>12.5</v>
      </c>
      <c r="AI12" s="56" t="str">
        <f t="shared" si="4"/>
        <v>Same</v>
      </c>
      <c r="AJ12" s="81">
        <f t="shared" si="8"/>
        <v>30625</v>
      </c>
      <c r="AK12" s="81">
        <f t="shared" si="9"/>
        <v>30625</v>
      </c>
      <c r="AL12" s="58" t="s">
        <v>32</v>
      </c>
      <c r="AM12" s="58" t="s">
        <v>6703</v>
      </c>
      <c r="AN12" s="75">
        <v>666</v>
      </c>
      <c r="AO12" s="88">
        <v>12.5</v>
      </c>
      <c r="AP12" s="6" t="str">
        <f t="shared" si="5"/>
        <v>Same</v>
      </c>
      <c r="AQ12" s="81">
        <f t="shared" si="6"/>
        <v>8325</v>
      </c>
      <c r="AR12" s="81">
        <f t="shared" si="7"/>
        <v>8325</v>
      </c>
      <c r="AS12" s="81">
        <f t="shared" si="10"/>
        <v>0</v>
      </c>
    </row>
    <row r="13" spans="1:52" hidden="1" x14ac:dyDescent="0.3">
      <c r="A13">
        <v>5091671</v>
      </c>
      <c r="B13" s="15" t="s">
        <v>5349</v>
      </c>
      <c r="C13" s="16" t="s">
        <v>30</v>
      </c>
      <c r="D13" s="6" t="s">
        <v>31</v>
      </c>
      <c r="E13" t="s">
        <v>2527</v>
      </c>
      <c r="F13" t="s">
        <v>2527</v>
      </c>
      <c r="H13" s="11" t="s">
        <v>27</v>
      </c>
      <c r="I13" s="6" t="s">
        <v>28</v>
      </c>
      <c r="J13" s="6" t="s">
        <v>28</v>
      </c>
      <c r="K13" t="s">
        <v>32</v>
      </c>
      <c r="L13" s="35">
        <v>27.84</v>
      </c>
      <c r="M13" s="6" t="s">
        <v>29</v>
      </c>
      <c r="N13" s="6">
        <v>3105</v>
      </c>
      <c r="P13" s="18"/>
      <c r="Q13" s="17"/>
      <c r="R13" s="19">
        <v>27.84</v>
      </c>
      <c r="S13" s="19">
        <v>27.84</v>
      </c>
      <c r="T13" s="38">
        <v>2040</v>
      </c>
      <c r="U13" s="38"/>
      <c r="V13" s="30">
        <v>27.84</v>
      </c>
      <c r="W13" s="35">
        <v>27.84</v>
      </c>
      <c r="X13" s="32">
        <f t="shared" si="0"/>
        <v>56793.599999999999</v>
      </c>
      <c r="Y13" s="32">
        <f t="shared" si="1"/>
        <v>56793.599999999999</v>
      </c>
      <c r="Z13" s="32">
        <f t="shared" si="2"/>
        <v>0</v>
      </c>
      <c r="AA13" s="38">
        <v>2040</v>
      </c>
      <c r="AB13" s="37">
        <f>IFERROR(VLOOKUP(A13,'Tash Lookup'!A:E,3,FALSE),"")</f>
        <v>47611.45</v>
      </c>
      <c r="AC13" s="6">
        <f t="shared" si="3"/>
        <v>0</v>
      </c>
      <c r="AD13" s="2" t="s">
        <v>6703</v>
      </c>
      <c r="AF13" s="56">
        <v>26.7</v>
      </c>
      <c r="AG13" s="56">
        <f>VLOOKUP(A13,Sheet1!$A$2:$C$1140,3,FALSE)</f>
        <v>26.7</v>
      </c>
      <c r="AH13" s="58">
        <v>26.7</v>
      </c>
      <c r="AI13" s="56" t="str">
        <f t="shared" si="4"/>
        <v>Same</v>
      </c>
      <c r="AJ13" s="81">
        <f t="shared" si="8"/>
        <v>54468</v>
      </c>
      <c r="AK13" s="81">
        <f t="shared" si="9"/>
        <v>54468</v>
      </c>
      <c r="AL13" s="58" t="s">
        <v>32</v>
      </c>
      <c r="AM13" s="58" t="s">
        <v>6703</v>
      </c>
      <c r="AN13" s="75">
        <v>1573</v>
      </c>
      <c r="AO13" s="88">
        <v>26.7</v>
      </c>
      <c r="AP13" s="6" t="str">
        <f t="shared" si="5"/>
        <v>Same</v>
      </c>
      <c r="AQ13" s="81">
        <f t="shared" si="6"/>
        <v>41999.1</v>
      </c>
      <c r="AR13" s="81">
        <f t="shared" si="7"/>
        <v>41999.1</v>
      </c>
      <c r="AS13" s="81">
        <f t="shared" si="10"/>
        <v>0</v>
      </c>
    </row>
    <row r="14" spans="1:52" hidden="1" x14ac:dyDescent="0.3">
      <c r="A14">
        <v>6410329</v>
      </c>
      <c r="B14" s="15" t="s">
        <v>5350</v>
      </c>
      <c r="C14" s="16" t="s">
        <v>30</v>
      </c>
      <c r="D14" s="6" t="s">
        <v>31</v>
      </c>
      <c r="E14" t="s">
        <v>2973</v>
      </c>
      <c r="F14" t="s">
        <v>5212</v>
      </c>
      <c r="H14" s="11" t="s">
        <v>27</v>
      </c>
      <c r="I14" s="6" t="s">
        <v>28</v>
      </c>
      <c r="J14" s="6" t="s">
        <v>28</v>
      </c>
      <c r="K14" t="s">
        <v>32</v>
      </c>
      <c r="L14" s="35">
        <v>61.88</v>
      </c>
      <c r="M14" s="6" t="s">
        <v>29</v>
      </c>
      <c r="N14" s="6">
        <v>3105</v>
      </c>
      <c r="P14" s="18"/>
      <c r="Q14" s="17"/>
      <c r="R14" s="19">
        <v>73.349999999999994</v>
      </c>
      <c r="S14" s="19">
        <v>73.349999999999994</v>
      </c>
      <c r="T14" s="38">
        <v>1954</v>
      </c>
      <c r="U14" s="38"/>
      <c r="V14" s="29">
        <v>61.88</v>
      </c>
      <c r="W14" s="35">
        <v>61.88</v>
      </c>
      <c r="X14" s="32">
        <f t="shared" si="0"/>
        <v>120913.52</v>
      </c>
      <c r="Y14" s="32">
        <f t="shared" si="1"/>
        <v>120913.52</v>
      </c>
      <c r="Z14" s="32">
        <f t="shared" si="2"/>
        <v>0</v>
      </c>
      <c r="AA14" s="38">
        <v>1954</v>
      </c>
      <c r="AB14" s="37">
        <f>IFERROR(VLOOKUP(A14,'Tash Lookup'!A:E,3,FALSE),"")</f>
        <v>121179.31</v>
      </c>
      <c r="AC14" s="6">
        <f t="shared" si="3"/>
        <v>0</v>
      </c>
      <c r="AD14" s="2" t="s">
        <v>6705</v>
      </c>
      <c r="AF14" s="56">
        <v>61.88</v>
      </c>
      <c r="AG14" s="56">
        <f>VLOOKUP(A14,Sheet1!$A$2:$C$1140,3,FALSE)</f>
        <v>63.74</v>
      </c>
      <c r="AH14" s="58">
        <v>63.74</v>
      </c>
      <c r="AI14" s="56" t="str">
        <f t="shared" si="4"/>
        <v>Increase</v>
      </c>
      <c r="AJ14" s="81">
        <f t="shared" si="8"/>
        <v>120913.52</v>
      </c>
      <c r="AK14" s="81">
        <f t="shared" si="9"/>
        <v>124547.96</v>
      </c>
      <c r="AL14" s="58" t="s">
        <v>32</v>
      </c>
      <c r="AM14" s="58" t="s">
        <v>6705</v>
      </c>
      <c r="AN14" s="75">
        <v>718</v>
      </c>
      <c r="AO14" s="88">
        <v>63.74</v>
      </c>
      <c r="AP14" s="6" t="str">
        <f t="shared" si="5"/>
        <v>Increase</v>
      </c>
      <c r="AQ14" s="81">
        <f t="shared" si="6"/>
        <v>44429.840000000004</v>
      </c>
      <c r="AR14" s="81">
        <f t="shared" si="7"/>
        <v>45765.32</v>
      </c>
      <c r="AS14" s="82">
        <f t="shared" si="10"/>
        <v>1335.4799999999959</v>
      </c>
    </row>
    <row r="15" spans="1:52" hidden="1" x14ac:dyDescent="0.3">
      <c r="A15">
        <v>5224812</v>
      </c>
      <c r="B15" s="15" t="s">
        <v>5351</v>
      </c>
      <c r="C15" s="16" t="s">
        <v>30</v>
      </c>
      <c r="D15" s="6" t="s">
        <v>31</v>
      </c>
      <c r="E15" t="s">
        <v>62</v>
      </c>
      <c r="F15" t="s">
        <v>62</v>
      </c>
      <c r="H15" s="11" t="s">
        <v>27</v>
      </c>
      <c r="I15" s="6" t="s">
        <v>28</v>
      </c>
      <c r="J15" s="6" t="s">
        <v>28</v>
      </c>
      <c r="K15" t="s">
        <v>32</v>
      </c>
      <c r="L15" s="35">
        <v>56.91</v>
      </c>
      <c r="M15" s="6" t="s">
        <v>29</v>
      </c>
      <c r="N15" s="6">
        <v>3105</v>
      </c>
      <c r="P15" s="18"/>
      <c r="Q15" s="17"/>
      <c r="R15" s="19">
        <v>60.3</v>
      </c>
      <c r="S15" s="19">
        <v>60.3</v>
      </c>
      <c r="T15" s="38">
        <v>1922</v>
      </c>
      <c r="U15" s="38"/>
      <c r="V15" s="29">
        <v>51.983999999999995</v>
      </c>
      <c r="W15" s="35">
        <v>56.91</v>
      </c>
      <c r="X15" s="32">
        <f t="shared" si="0"/>
        <v>99913.247999999992</v>
      </c>
      <c r="Y15" s="32">
        <f t="shared" si="1"/>
        <v>109381.01999999999</v>
      </c>
      <c r="Z15" s="32">
        <f t="shared" si="2"/>
        <v>-9467.7719999999972</v>
      </c>
      <c r="AA15" s="38">
        <v>1922</v>
      </c>
      <c r="AB15" s="37">
        <f>IFERROR(VLOOKUP(A15,'Tash Lookup'!A:E,3,FALSE),"")</f>
        <v>110788.03</v>
      </c>
      <c r="AC15" s="6">
        <f t="shared" si="3"/>
        <v>0</v>
      </c>
      <c r="AD15" s="2" t="s">
        <v>6703</v>
      </c>
      <c r="AF15" s="56">
        <v>54.63</v>
      </c>
      <c r="AG15" s="56">
        <f>VLOOKUP(A15,Sheet1!$A$2:$C$1140,3,FALSE)</f>
        <v>54.63</v>
      </c>
      <c r="AH15" s="58">
        <v>54.63</v>
      </c>
      <c r="AI15" s="56" t="str">
        <f t="shared" si="4"/>
        <v>Same</v>
      </c>
      <c r="AJ15" s="81">
        <f t="shared" si="8"/>
        <v>104998.86</v>
      </c>
      <c r="AK15" s="81">
        <f t="shared" si="9"/>
        <v>104998.86</v>
      </c>
      <c r="AL15" s="58" t="s">
        <v>32</v>
      </c>
      <c r="AM15" s="58" t="s">
        <v>6703</v>
      </c>
      <c r="AN15" s="75">
        <v>309</v>
      </c>
      <c r="AO15" s="88">
        <v>54.63</v>
      </c>
      <c r="AP15" s="6" t="str">
        <f t="shared" si="5"/>
        <v>Same</v>
      </c>
      <c r="AQ15" s="81">
        <f t="shared" si="6"/>
        <v>16880.670000000002</v>
      </c>
      <c r="AR15" s="81">
        <f t="shared" si="7"/>
        <v>16880.670000000002</v>
      </c>
      <c r="AS15" s="81">
        <f t="shared" si="10"/>
        <v>0</v>
      </c>
    </row>
    <row r="16" spans="1:52" ht="15.75" hidden="1" customHeight="1" x14ac:dyDescent="0.3">
      <c r="A16">
        <v>5090805</v>
      </c>
      <c r="B16" s="15" t="s">
        <v>5352</v>
      </c>
      <c r="C16" s="16" t="s">
        <v>30</v>
      </c>
      <c r="D16" s="6" t="s">
        <v>31</v>
      </c>
      <c r="E16" t="s">
        <v>220</v>
      </c>
      <c r="F16" t="s">
        <v>220</v>
      </c>
      <c r="H16" s="11" t="s">
        <v>27</v>
      </c>
      <c r="I16" s="6" t="s">
        <v>28</v>
      </c>
      <c r="J16" s="6" t="s">
        <v>28</v>
      </c>
      <c r="K16" t="s">
        <v>32</v>
      </c>
      <c r="L16" s="35">
        <v>28.69</v>
      </c>
      <c r="M16" s="6" t="s">
        <v>29</v>
      </c>
      <c r="N16" s="6">
        <v>3105</v>
      </c>
      <c r="P16" s="18"/>
      <c r="Q16" s="17"/>
      <c r="R16" s="19">
        <v>28.69</v>
      </c>
      <c r="S16" s="19">
        <v>28.69</v>
      </c>
      <c r="T16" s="38">
        <v>1867</v>
      </c>
      <c r="U16" s="38"/>
      <c r="V16" s="29">
        <v>28.69</v>
      </c>
      <c r="W16" s="35">
        <v>28.69</v>
      </c>
      <c r="X16" s="32">
        <f t="shared" si="0"/>
        <v>53564.23</v>
      </c>
      <c r="Y16" s="32">
        <f t="shared" si="1"/>
        <v>53564.23</v>
      </c>
      <c r="Z16" s="32">
        <f t="shared" si="2"/>
        <v>0</v>
      </c>
      <c r="AA16" s="38">
        <v>1867</v>
      </c>
      <c r="AB16" s="37">
        <f>IFERROR(VLOOKUP(A16,'Tash Lookup'!A:E,3,FALSE),"")</f>
        <v>53559.5</v>
      </c>
      <c r="AC16" s="6">
        <f t="shared" si="3"/>
        <v>0</v>
      </c>
      <c r="AD16" s="2" t="s">
        <v>6703</v>
      </c>
      <c r="AF16" s="56">
        <v>29.82</v>
      </c>
      <c r="AG16" s="56">
        <f>VLOOKUP(A16,Sheet1!$A$2:$C$1140,3,FALSE)</f>
        <v>29.82</v>
      </c>
      <c r="AH16" s="58">
        <v>29.82</v>
      </c>
      <c r="AI16" s="56" t="str">
        <f t="shared" si="4"/>
        <v>Same</v>
      </c>
      <c r="AJ16" s="81">
        <f t="shared" si="8"/>
        <v>55673.94</v>
      </c>
      <c r="AK16" s="81">
        <f t="shared" si="9"/>
        <v>55673.94</v>
      </c>
      <c r="AL16" s="58" t="s">
        <v>32</v>
      </c>
      <c r="AM16" s="58" t="s">
        <v>6703</v>
      </c>
      <c r="AN16" s="75">
        <v>1869</v>
      </c>
      <c r="AO16" s="88">
        <v>29.82</v>
      </c>
      <c r="AP16" s="6" t="str">
        <f t="shared" si="5"/>
        <v>Same</v>
      </c>
      <c r="AQ16" s="81">
        <f t="shared" si="6"/>
        <v>55733.58</v>
      </c>
      <c r="AR16" s="81">
        <f t="shared" si="7"/>
        <v>55733.58</v>
      </c>
      <c r="AS16" s="81">
        <f t="shared" si="10"/>
        <v>0</v>
      </c>
    </row>
    <row r="17" spans="1:45" hidden="1" x14ac:dyDescent="0.3">
      <c r="A17">
        <v>5583720</v>
      </c>
      <c r="B17" s="15" t="s">
        <v>5353</v>
      </c>
      <c r="C17" s="16" t="s">
        <v>30</v>
      </c>
      <c r="D17" s="6" t="s">
        <v>31</v>
      </c>
      <c r="E17" t="s">
        <v>909</v>
      </c>
      <c r="F17" t="s">
        <v>909</v>
      </c>
      <c r="H17" s="11" t="s">
        <v>27</v>
      </c>
      <c r="I17" s="6" t="s">
        <v>28</v>
      </c>
      <c r="J17" s="6" t="s">
        <v>28</v>
      </c>
      <c r="K17" t="s">
        <v>32</v>
      </c>
      <c r="L17" s="35">
        <v>25.99</v>
      </c>
      <c r="M17" s="6" t="s">
        <v>29</v>
      </c>
      <c r="N17" s="6">
        <v>3105</v>
      </c>
      <c r="P17" s="18"/>
      <c r="Q17" s="17"/>
      <c r="R17" s="19">
        <v>25.99</v>
      </c>
      <c r="S17" s="19">
        <v>25.99</v>
      </c>
      <c r="T17" s="38">
        <v>1865</v>
      </c>
      <c r="U17" s="38"/>
      <c r="V17" s="29">
        <v>17.46</v>
      </c>
      <c r="W17" s="35">
        <v>25.99</v>
      </c>
      <c r="X17" s="32">
        <f t="shared" si="0"/>
        <v>32562.9</v>
      </c>
      <c r="Y17" s="32">
        <f t="shared" si="1"/>
        <v>48471.35</v>
      </c>
      <c r="Z17" s="32">
        <f t="shared" si="2"/>
        <v>-15908.449999999997</v>
      </c>
      <c r="AA17" s="38">
        <v>1865</v>
      </c>
      <c r="AB17" s="37">
        <f>IFERROR(VLOOKUP(A17,'Tash Lookup'!A:E,3,FALSE),"")</f>
        <v>48032.35</v>
      </c>
      <c r="AC17" s="6">
        <f t="shared" si="3"/>
        <v>0</v>
      </c>
      <c r="AD17" s="2" t="s">
        <v>6706</v>
      </c>
      <c r="AF17" s="56">
        <v>17.54</v>
      </c>
      <c r="AG17" s="56">
        <f>VLOOKUP(A17,Sheet1!$A$2:$C$1140,3,FALSE)</f>
        <v>17.46</v>
      </c>
      <c r="AH17" s="58">
        <v>17.46</v>
      </c>
      <c r="AI17" s="56" t="str">
        <f t="shared" si="4"/>
        <v>Decrease</v>
      </c>
      <c r="AJ17" s="81">
        <f t="shared" si="8"/>
        <v>32712.1</v>
      </c>
      <c r="AK17" s="81">
        <f t="shared" si="9"/>
        <v>32562.9</v>
      </c>
      <c r="AL17" s="58" t="s">
        <v>7206</v>
      </c>
      <c r="AM17" s="58" t="s">
        <v>6706</v>
      </c>
      <c r="AN17" s="75">
        <v>1927</v>
      </c>
      <c r="AO17" s="88">
        <v>17.46</v>
      </c>
      <c r="AP17" s="6" t="str">
        <f t="shared" si="5"/>
        <v>Decrease</v>
      </c>
      <c r="AQ17" s="81">
        <f t="shared" si="6"/>
        <v>33799.58</v>
      </c>
      <c r="AR17" s="81">
        <f t="shared" si="7"/>
        <v>33645.42</v>
      </c>
      <c r="AS17" s="83">
        <f t="shared" si="10"/>
        <v>-154.16000000000349</v>
      </c>
    </row>
    <row r="18" spans="1:45" hidden="1" x14ac:dyDescent="0.3">
      <c r="A18">
        <v>5090801</v>
      </c>
      <c r="B18" s="15" t="s">
        <v>5354</v>
      </c>
      <c r="C18" s="16" t="s">
        <v>30</v>
      </c>
      <c r="D18" s="6" t="s">
        <v>31</v>
      </c>
      <c r="E18" t="s">
        <v>177</v>
      </c>
      <c r="F18" t="s">
        <v>177</v>
      </c>
      <c r="H18" s="11" t="s">
        <v>27</v>
      </c>
      <c r="I18" s="6" t="s">
        <v>28</v>
      </c>
      <c r="J18" s="6" t="s">
        <v>28</v>
      </c>
      <c r="K18" t="s">
        <v>32</v>
      </c>
      <c r="L18" s="35">
        <v>25.73</v>
      </c>
      <c r="M18" s="6" t="s">
        <v>29</v>
      </c>
      <c r="N18" s="6">
        <v>3105</v>
      </c>
      <c r="P18" s="18"/>
      <c r="Q18" s="17"/>
      <c r="R18" s="19">
        <v>29.43</v>
      </c>
      <c r="S18" s="19">
        <v>29.43</v>
      </c>
      <c r="T18" s="38">
        <v>1758</v>
      </c>
      <c r="U18" s="38"/>
      <c r="V18" s="29">
        <v>23.512499999999999</v>
      </c>
      <c r="W18" s="35">
        <v>25.73</v>
      </c>
      <c r="X18" s="32">
        <f t="shared" si="0"/>
        <v>41334.974999999999</v>
      </c>
      <c r="Y18" s="32">
        <f t="shared" si="1"/>
        <v>45233.340000000004</v>
      </c>
      <c r="Z18" s="32">
        <f t="shared" si="2"/>
        <v>-3898.3650000000052</v>
      </c>
      <c r="AA18" s="38">
        <v>1758</v>
      </c>
      <c r="AB18" s="37">
        <f>IFERROR(VLOOKUP(A18,'Tash Lookup'!A:E,3,FALSE),"")</f>
        <v>45451.42</v>
      </c>
      <c r="AC18" s="6">
        <f t="shared" si="3"/>
        <v>0</v>
      </c>
      <c r="AD18" s="2" t="s">
        <v>6703</v>
      </c>
      <c r="AF18" s="56">
        <v>24.55</v>
      </c>
      <c r="AG18" s="56">
        <f>VLOOKUP(A18,Sheet1!$A$2:$C$1140,3,FALSE)</f>
        <v>24.55</v>
      </c>
      <c r="AH18" s="58">
        <v>24.55</v>
      </c>
      <c r="AI18" s="56" t="str">
        <f t="shared" si="4"/>
        <v>Same</v>
      </c>
      <c r="AJ18" s="81">
        <f t="shared" si="8"/>
        <v>43158.9</v>
      </c>
      <c r="AK18" s="81">
        <f t="shared" si="9"/>
        <v>43158.9</v>
      </c>
      <c r="AL18" s="58" t="s">
        <v>32</v>
      </c>
      <c r="AM18" s="58" t="s">
        <v>6703</v>
      </c>
      <c r="AN18" s="75">
        <v>1461</v>
      </c>
      <c r="AO18" s="88">
        <v>24.55</v>
      </c>
      <c r="AP18" s="6" t="str">
        <f t="shared" si="5"/>
        <v>Same</v>
      </c>
      <c r="AQ18" s="81">
        <f t="shared" si="6"/>
        <v>35867.550000000003</v>
      </c>
      <c r="AR18" s="81">
        <f t="shared" si="7"/>
        <v>35867.550000000003</v>
      </c>
      <c r="AS18" s="81">
        <f t="shared" si="10"/>
        <v>0</v>
      </c>
    </row>
    <row r="19" spans="1:45" hidden="1" x14ac:dyDescent="0.3">
      <c r="A19">
        <v>6188899</v>
      </c>
      <c r="B19" s="15" t="s">
        <v>5355</v>
      </c>
      <c r="C19" s="16" t="s">
        <v>30</v>
      </c>
      <c r="D19" s="6" t="s">
        <v>31</v>
      </c>
      <c r="E19" t="s">
        <v>836</v>
      </c>
      <c r="F19" t="s">
        <v>836</v>
      </c>
      <c r="H19" s="11" t="s">
        <v>27</v>
      </c>
      <c r="I19" s="6" t="s">
        <v>28</v>
      </c>
      <c r="J19" s="6" t="s">
        <v>28</v>
      </c>
      <c r="K19" t="s">
        <v>32</v>
      </c>
      <c r="L19" s="35">
        <v>0.78</v>
      </c>
      <c r="M19" s="6" t="s">
        <v>29</v>
      </c>
      <c r="N19" s="6">
        <v>3105</v>
      </c>
      <c r="P19" s="18"/>
      <c r="Q19" s="17"/>
      <c r="R19" s="19">
        <v>0.78</v>
      </c>
      <c r="S19" s="19">
        <v>0.78</v>
      </c>
      <c r="T19" s="38">
        <v>1700</v>
      </c>
      <c r="U19" s="38"/>
      <c r="V19" s="30">
        <v>0.78</v>
      </c>
      <c r="W19" s="35">
        <v>0.78</v>
      </c>
      <c r="X19" s="32">
        <f t="shared" si="0"/>
        <v>1326</v>
      </c>
      <c r="Y19" s="32">
        <f t="shared" si="1"/>
        <v>1326</v>
      </c>
      <c r="Z19" s="32">
        <f t="shared" si="2"/>
        <v>0</v>
      </c>
      <c r="AA19" s="38">
        <v>1700</v>
      </c>
      <c r="AB19" s="37">
        <f>IFERROR(VLOOKUP(A19,'Tash Lookup'!A:E,3,FALSE),"")</f>
        <v>1322.69</v>
      </c>
      <c r="AC19" s="6">
        <f t="shared" si="3"/>
        <v>0</v>
      </c>
      <c r="AD19" s="2" t="s">
        <v>6703</v>
      </c>
      <c r="AF19" s="56">
        <v>0.78</v>
      </c>
      <c r="AG19" s="56">
        <f>VLOOKUP(A19,Sheet1!$A$2:$C$1140,3,FALSE)</f>
        <v>0.79</v>
      </c>
      <c r="AH19" s="58">
        <v>0.79</v>
      </c>
      <c r="AI19" s="56" t="str">
        <f t="shared" si="4"/>
        <v>Increase</v>
      </c>
      <c r="AJ19" s="81">
        <f t="shared" si="8"/>
        <v>1326</v>
      </c>
      <c r="AK19" s="81">
        <f t="shared" si="9"/>
        <v>1343</v>
      </c>
      <c r="AL19" s="58" t="s">
        <v>7206</v>
      </c>
      <c r="AM19" s="58" t="s">
        <v>6703</v>
      </c>
      <c r="AN19" s="75">
        <v>1529</v>
      </c>
      <c r="AO19" s="88">
        <v>0.79</v>
      </c>
      <c r="AP19" s="6" t="str">
        <f t="shared" si="5"/>
        <v>Increase</v>
      </c>
      <c r="AQ19" s="81">
        <f t="shared" si="6"/>
        <v>1192.6200000000001</v>
      </c>
      <c r="AR19" s="81">
        <f t="shared" si="7"/>
        <v>1207.9100000000001</v>
      </c>
      <c r="AS19" s="82">
        <f t="shared" si="10"/>
        <v>15.289999999999964</v>
      </c>
    </row>
    <row r="20" spans="1:45" hidden="1" x14ac:dyDescent="0.3">
      <c r="A20">
        <v>5082320</v>
      </c>
      <c r="B20" s="15" t="s">
        <v>5356</v>
      </c>
      <c r="C20" s="16" t="s">
        <v>30</v>
      </c>
      <c r="D20" s="6" t="s">
        <v>31</v>
      </c>
      <c r="E20" t="s">
        <v>51</v>
      </c>
      <c r="F20" t="s">
        <v>51</v>
      </c>
      <c r="H20" s="11" t="s">
        <v>27</v>
      </c>
      <c r="I20" s="6" t="s">
        <v>28</v>
      </c>
      <c r="J20" s="6" t="s">
        <v>28</v>
      </c>
      <c r="K20" t="s">
        <v>32</v>
      </c>
      <c r="L20" s="35">
        <v>31.79</v>
      </c>
      <c r="M20" s="6" t="s">
        <v>29</v>
      </c>
      <c r="N20" s="6">
        <v>3105</v>
      </c>
      <c r="P20" s="18"/>
      <c r="Q20" s="17"/>
      <c r="R20" s="19">
        <v>31.79</v>
      </c>
      <c r="S20" s="19">
        <v>31.79</v>
      </c>
      <c r="T20" s="38">
        <v>1590</v>
      </c>
      <c r="U20" s="38"/>
      <c r="V20" s="29">
        <v>26.105999999999998</v>
      </c>
      <c r="W20" s="35">
        <v>31.79</v>
      </c>
      <c r="X20" s="32">
        <f t="shared" si="0"/>
        <v>41508.539999999994</v>
      </c>
      <c r="Y20" s="32">
        <f t="shared" si="1"/>
        <v>50546.1</v>
      </c>
      <c r="Z20" s="32">
        <f t="shared" si="2"/>
        <v>-9037.5600000000049</v>
      </c>
      <c r="AA20" s="38">
        <v>1590</v>
      </c>
      <c r="AB20" s="37">
        <f>IFERROR(VLOOKUP(A20,'Tash Lookup'!A:E,3,FALSE),"")</f>
        <v>49689.25</v>
      </c>
      <c r="AC20" s="6">
        <f t="shared" si="3"/>
        <v>0</v>
      </c>
      <c r="AD20" s="2" t="s">
        <v>6703</v>
      </c>
      <c r="AF20" s="56">
        <v>25.5</v>
      </c>
      <c r="AG20" s="56">
        <f>VLOOKUP(A20,Sheet1!$A$2:$C$1140,3,FALSE)</f>
        <v>25.5</v>
      </c>
      <c r="AH20" s="58">
        <v>25.5</v>
      </c>
      <c r="AI20" s="56" t="str">
        <f t="shared" si="4"/>
        <v>Same</v>
      </c>
      <c r="AJ20" s="81">
        <f t="shared" si="8"/>
        <v>40545</v>
      </c>
      <c r="AK20" s="81">
        <f t="shared" si="9"/>
        <v>40545</v>
      </c>
      <c r="AL20" s="58" t="s">
        <v>32</v>
      </c>
      <c r="AM20" s="58" t="s">
        <v>6703</v>
      </c>
      <c r="AN20" s="75">
        <v>1701</v>
      </c>
      <c r="AO20" s="88">
        <v>25.5</v>
      </c>
      <c r="AP20" s="6" t="str">
        <f t="shared" si="5"/>
        <v>Same</v>
      </c>
      <c r="AQ20" s="81">
        <f t="shared" si="6"/>
        <v>43375.5</v>
      </c>
      <c r="AR20" s="81">
        <f t="shared" si="7"/>
        <v>43375.5</v>
      </c>
      <c r="AS20" s="81">
        <f t="shared" si="10"/>
        <v>0</v>
      </c>
    </row>
    <row r="21" spans="1:45" hidden="1" x14ac:dyDescent="0.3">
      <c r="A21">
        <v>5091649</v>
      </c>
      <c r="B21" s="15" t="s">
        <v>5357</v>
      </c>
      <c r="C21" s="16" t="s">
        <v>30</v>
      </c>
      <c r="D21" s="6" t="s">
        <v>31</v>
      </c>
      <c r="E21" t="s">
        <v>178</v>
      </c>
      <c r="F21" t="s">
        <v>178</v>
      </c>
      <c r="H21" s="11" t="s">
        <v>27</v>
      </c>
      <c r="I21" s="6" t="s">
        <v>28</v>
      </c>
      <c r="J21" s="6" t="s">
        <v>28</v>
      </c>
      <c r="K21" t="s">
        <v>32</v>
      </c>
      <c r="L21" s="35">
        <v>33.56</v>
      </c>
      <c r="M21" s="6" t="s">
        <v>29</v>
      </c>
      <c r="N21" s="6">
        <v>3105</v>
      </c>
      <c r="P21" s="18"/>
      <c r="Q21" s="17"/>
      <c r="R21" s="19">
        <v>33.01</v>
      </c>
      <c r="S21" s="19">
        <v>33.01</v>
      </c>
      <c r="T21" s="38">
        <v>1410</v>
      </c>
      <c r="U21" s="38"/>
      <c r="V21" s="29">
        <v>30.656500000000001</v>
      </c>
      <c r="W21" s="35">
        <v>33.56</v>
      </c>
      <c r="X21" s="32">
        <f t="shared" si="0"/>
        <v>43225.665000000001</v>
      </c>
      <c r="Y21" s="32">
        <f t="shared" si="1"/>
        <v>47319.600000000006</v>
      </c>
      <c r="Z21" s="32">
        <f t="shared" si="2"/>
        <v>-4093.9350000000049</v>
      </c>
      <c r="AA21" s="38">
        <v>1410</v>
      </c>
      <c r="AB21" s="37">
        <f>IFERROR(VLOOKUP(A21,'Tash Lookup'!A:E,3,FALSE),"")</f>
        <v>46714.51</v>
      </c>
      <c r="AC21" s="6">
        <f t="shared" si="3"/>
        <v>0</v>
      </c>
      <c r="AD21" s="2" t="s">
        <v>6703</v>
      </c>
      <c r="AF21" s="56">
        <v>30.61</v>
      </c>
      <c r="AG21" s="56">
        <f>VLOOKUP(A21,Sheet1!$A$2:$C$1140,3,FALSE)</f>
        <v>30.61</v>
      </c>
      <c r="AH21" s="58">
        <v>30.61</v>
      </c>
      <c r="AI21" s="56" t="str">
        <f t="shared" si="4"/>
        <v>Same</v>
      </c>
      <c r="AJ21" s="81">
        <f t="shared" si="8"/>
        <v>43160.1</v>
      </c>
      <c r="AK21" s="81">
        <f t="shared" si="9"/>
        <v>43160.1</v>
      </c>
      <c r="AL21" s="58" t="s">
        <v>32</v>
      </c>
      <c r="AM21" s="58" t="s">
        <v>6703</v>
      </c>
      <c r="AN21" s="75">
        <v>1065</v>
      </c>
      <c r="AO21" s="88">
        <v>30.61</v>
      </c>
      <c r="AP21" s="6" t="str">
        <f t="shared" si="5"/>
        <v>Same</v>
      </c>
      <c r="AQ21" s="81">
        <f t="shared" si="6"/>
        <v>32599.649999999998</v>
      </c>
      <c r="AR21" s="81">
        <f t="shared" si="7"/>
        <v>32599.649999999998</v>
      </c>
      <c r="AS21" s="81">
        <f t="shared" si="10"/>
        <v>0</v>
      </c>
    </row>
    <row r="22" spans="1:45" hidden="1" x14ac:dyDescent="0.3">
      <c r="A22">
        <v>5583723</v>
      </c>
      <c r="B22" s="15" t="s">
        <v>5358</v>
      </c>
      <c r="C22" s="16" t="s">
        <v>30</v>
      </c>
      <c r="D22" s="6" t="s">
        <v>31</v>
      </c>
      <c r="E22" t="s">
        <v>910</v>
      </c>
      <c r="F22" t="s">
        <v>910</v>
      </c>
      <c r="H22" s="11" t="s">
        <v>27</v>
      </c>
      <c r="I22" s="6" t="s">
        <v>28</v>
      </c>
      <c r="J22" s="6" t="s">
        <v>28</v>
      </c>
      <c r="K22" t="s">
        <v>32</v>
      </c>
      <c r="L22" s="35">
        <v>25.99</v>
      </c>
      <c r="M22" s="6" t="s">
        <v>29</v>
      </c>
      <c r="N22" s="6">
        <v>3105</v>
      </c>
      <c r="P22" s="18"/>
      <c r="Q22" s="17"/>
      <c r="R22" s="19">
        <v>25.99</v>
      </c>
      <c r="S22" s="19">
        <v>25.99</v>
      </c>
      <c r="T22" s="38">
        <v>1330</v>
      </c>
      <c r="U22" s="38"/>
      <c r="V22" s="29">
        <v>17.46</v>
      </c>
      <c r="W22" s="35">
        <v>25.99</v>
      </c>
      <c r="X22" s="32">
        <f t="shared" si="0"/>
        <v>23221.800000000003</v>
      </c>
      <c r="Y22" s="32">
        <f t="shared" si="1"/>
        <v>34566.699999999997</v>
      </c>
      <c r="Z22" s="32">
        <f t="shared" si="2"/>
        <v>-11344.899999999994</v>
      </c>
      <c r="AA22" s="38">
        <v>1330</v>
      </c>
      <c r="AB22" s="37">
        <f>IFERROR(VLOOKUP(A22,'Tash Lookup'!A:E,3,FALSE),"")</f>
        <v>34298.699999999997</v>
      </c>
      <c r="AC22" s="6">
        <f t="shared" si="3"/>
        <v>0</v>
      </c>
      <c r="AD22" s="2" t="s">
        <v>6706</v>
      </c>
      <c r="AF22" s="56">
        <v>17.64</v>
      </c>
      <c r="AG22" s="56">
        <f>VLOOKUP(A22,Sheet1!$A$2:$C$1140,3,FALSE)</f>
        <v>17.46</v>
      </c>
      <c r="AH22" s="58">
        <v>17.46</v>
      </c>
      <c r="AI22" s="56" t="str">
        <f t="shared" si="4"/>
        <v>Decrease</v>
      </c>
      <c r="AJ22" s="81">
        <f t="shared" si="8"/>
        <v>23461.200000000001</v>
      </c>
      <c r="AK22" s="81">
        <f t="shared" si="9"/>
        <v>23221.800000000003</v>
      </c>
      <c r="AL22" s="58" t="s">
        <v>7206</v>
      </c>
      <c r="AM22" s="58" t="s">
        <v>6706</v>
      </c>
      <c r="AN22" s="75">
        <v>1551</v>
      </c>
      <c r="AO22" s="88">
        <v>17.46</v>
      </c>
      <c r="AP22" s="6" t="str">
        <f t="shared" si="5"/>
        <v>Decrease</v>
      </c>
      <c r="AQ22" s="81">
        <f t="shared" si="6"/>
        <v>27359.64</v>
      </c>
      <c r="AR22" s="81">
        <f t="shared" si="7"/>
        <v>27080.460000000003</v>
      </c>
      <c r="AS22" s="83">
        <f t="shared" si="10"/>
        <v>-279.17999999999665</v>
      </c>
    </row>
    <row r="23" spans="1:45" hidden="1" x14ac:dyDescent="0.3">
      <c r="A23">
        <v>5110680</v>
      </c>
      <c r="B23" s="15" t="s">
        <v>5359</v>
      </c>
      <c r="C23" s="16" t="s">
        <v>30</v>
      </c>
      <c r="D23" s="6" t="s">
        <v>31</v>
      </c>
      <c r="E23" t="s">
        <v>601</v>
      </c>
      <c r="F23" t="s">
        <v>601</v>
      </c>
      <c r="H23" s="11" t="s">
        <v>27</v>
      </c>
      <c r="I23" s="6" t="s">
        <v>28</v>
      </c>
      <c r="J23" s="6" t="s">
        <v>28</v>
      </c>
      <c r="K23" t="s">
        <v>32</v>
      </c>
      <c r="L23" s="35">
        <v>50.94</v>
      </c>
      <c r="M23" s="6" t="s">
        <v>29</v>
      </c>
      <c r="N23" s="6">
        <v>3105</v>
      </c>
      <c r="P23" s="18"/>
      <c r="Q23" s="17"/>
      <c r="R23" s="19">
        <v>67.84</v>
      </c>
      <c r="S23" s="19">
        <v>67.84</v>
      </c>
      <c r="T23" s="38">
        <v>1268</v>
      </c>
      <c r="U23" s="38"/>
      <c r="V23" s="29">
        <v>55.5</v>
      </c>
      <c r="W23" s="35">
        <v>50.94</v>
      </c>
      <c r="X23" s="32">
        <f t="shared" si="0"/>
        <v>70374</v>
      </c>
      <c r="Y23" s="32">
        <f t="shared" si="1"/>
        <v>64591.92</v>
      </c>
      <c r="Z23" s="32">
        <f t="shared" si="2"/>
        <v>5782.0800000000017</v>
      </c>
      <c r="AA23" s="38">
        <v>1268</v>
      </c>
      <c r="AB23" s="37">
        <f>IFERROR(VLOOKUP(A23,'Tash Lookup'!A:E,3,FALSE),"")</f>
        <v>65856.05</v>
      </c>
      <c r="AC23" s="6">
        <f t="shared" si="3"/>
        <v>0</v>
      </c>
      <c r="AD23" s="2" t="s">
        <v>6703</v>
      </c>
      <c r="AF23" s="56">
        <v>55.74</v>
      </c>
      <c r="AG23" s="56">
        <f>VLOOKUP(A23,Sheet1!$A$2:$C$1140,3,FALSE)</f>
        <v>57.41</v>
      </c>
      <c r="AH23" s="58">
        <v>57.41</v>
      </c>
      <c r="AI23" s="56" t="str">
        <f t="shared" si="4"/>
        <v>Increase</v>
      </c>
      <c r="AJ23" s="81">
        <f t="shared" si="8"/>
        <v>70678.320000000007</v>
      </c>
      <c r="AK23" s="81">
        <f t="shared" si="9"/>
        <v>72795.87999999999</v>
      </c>
      <c r="AL23" s="58" t="s">
        <v>32</v>
      </c>
      <c r="AM23" s="58" t="s">
        <v>6703</v>
      </c>
      <c r="AN23" s="75">
        <v>706</v>
      </c>
      <c r="AO23" s="88">
        <v>57.41</v>
      </c>
      <c r="AP23" s="6" t="str">
        <f t="shared" si="5"/>
        <v>Increase</v>
      </c>
      <c r="AQ23" s="81">
        <f t="shared" si="6"/>
        <v>39352.44</v>
      </c>
      <c r="AR23" s="81">
        <f t="shared" si="7"/>
        <v>40531.46</v>
      </c>
      <c r="AS23" s="82">
        <f t="shared" si="10"/>
        <v>1179.0199999999968</v>
      </c>
    </row>
    <row r="24" spans="1:45" hidden="1" x14ac:dyDescent="0.3">
      <c r="A24">
        <v>5183994</v>
      </c>
      <c r="B24" s="15" t="s">
        <v>5360</v>
      </c>
      <c r="C24" s="16" t="s">
        <v>30</v>
      </c>
      <c r="D24" s="6" t="s">
        <v>31</v>
      </c>
      <c r="E24" t="s">
        <v>140</v>
      </c>
      <c r="F24" t="s">
        <v>140</v>
      </c>
      <c r="H24" s="11" t="s">
        <v>27</v>
      </c>
      <c r="I24" s="6" t="s">
        <v>28</v>
      </c>
      <c r="J24" s="6" t="s">
        <v>28</v>
      </c>
      <c r="K24" t="s">
        <v>32</v>
      </c>
      <c r="L24" s="35">
        <v>33.1</v>
      </c>
      <c r="M24" s="6" t="s">
        <v>29</v>
      </c>
      <c r="N24" s="6">
        <v>3105</v>
      </c>
      <c r="P24" s="18"/>
      <c r="Q24" s="17"/>
      <c r="R24" s="19">
        <v>33.1</v>
      </c>
      <c r="S24" s="19">
        <v>33.1</v>
      </c>
      <c r="T24" s="38">
        <v>1240</v>
      </c>
      <c r="U24" s="38"/>
      <c r="V24" s="29">
        <v>33.1</v>
      </c>
      <c r="W24" s="35">
        <v>33.1</v>
      </c>
      <c r="X24" s="32">
        <f t="shared" si="0"/>
        <v>41044</v>
      </c>
      <c r="Y24" s="32">
        <f t="shared" si="1"/>
        <v>41044</v>
      </c>
      <c r="Z24" s="32">
        <f t="shared" si="2"/>
        <v>0</v>
      </c>
      <c r="AA24" s="38">
        <v>1240</v>
      </c>
      <c r="AB24" s="37">
        <f>IFERROR(VLOOKUP(A24,'Tash Lookup'!A:E,3,FALSE),"")</f>
        <v>40007.06</v>
      </c>
      <c r="AC24" s="6">
        <f t="shared" si="3"/>
        <v>0</v>
      </c>
      <c r="AD24" s="2" t="s">
        <v>6703</v>
      </c>
      <c r="AF24" s="56">
        <v>34.15</v>
      </c>
      <c r="AG24" s="56">
        <f>VLOOKUP(A24,Sheet1!$A$2:$C$1140,3,FALSE)</f>
        <v>34.15</v>
      </c>
      <c r="AH24" s="58">
        <v>34.15</v>
      </c>
      <c r="AI24" s="56" t="str">
        <f t="shared" si="4"/>
        <v>Same</v>
      </c>
      <c r="AJ24" s="81">
        <f t="shared" si="8"/>
        <v>42346</v>
      </c>
      <c r="AK24" s="81">
        <f t="shared" si="9"/>
        <v>42346</v>
      </c>
      <c r="AL24" s="58" t="s">
        <v>32</v>
      </c>
      <c r="AM24" s="58" t="s">
        <v>6703</v>
      </c>
      <c r="AN24" s="75">
        <v>376</v>
      </c>
      <c r="AO24" s="88">
        <v>34.15</v>
      </c>
      <c r="AP24" s="6" t="str">
        <f t="shared" si="5"/>
        <v>Same</v>
      </c>
      <c r="AQ24" s="81">
        <f t="shared" si="6"/>
        <v>12840.4</v>
      </c>
      <c r="AR24" s="81">
        <f t="shared" si="7"/>
        <v>12840.4</v>
      </c>
      <c r="AS24" s="81">
        <f t="shared" si="10"/>
        <v>0</v>
      </c>
    </row>
    <row r="25" spans="1:45" hidden="1" x14ac:dyDescent="0.3">
      <c r="A25">
        <v>6404056</v>
      </c>
      <c r="B25" s="15" t="s">
        <v>5361</v>
      </c>
      <c r="C25" s="16" t="s">
        <v>30</v>
      </c>
      <c r="D25" s="6" t="s">
        <v>31</v>
      </c>
      <c r="E25" t="s">
        <v>636</v>
      </c>
      <c r="F25" t="s">
        <v>636</v>
      </c>
      <c r="H25" s="11" t="s">
        <v>27</v>
      </c>
      <c r="I25" s="6" t="s">
        <v>28</v>
      </c>
      <c r="J25" s="6" t="s">
        <v>28</v>
      </c>
      <c r="K25" t="s">
        <v>32</v>
      </c>
      <c r="L25" s="35">
        <v>35.5</v>
      </c>
      <c r="M25" s="6" t="s">
        <v>29</v>
      </c>
      <c r="N25" s="6">
        <v>3105</v>
      </c>
      <c r="P25" s="18"/>
      <c r="Q25" s="17"/>
      <c r="R25" s="19">
        <v>0</v>
      </c>
      <c r="S25" s="19">
        <v>0</v>
      </c>
      <c r="T25" s="38">
        <v>1215</v>
      </c>
      <c r="U25" s="38"/>
      <c r="V25" s="31">
        <v>35.5</v>
      </c>
      <c r="W25" s="35">
        <v>35.5</v>
      </c>
      <c r="X25" s="32">
        <f t="shared" si="0"/>
        <v>43132.5</v>
      </c>
      <c r="Y25" s="32">
        <f t="shared" si="1"/>
        <v>43132.5</v>
      </c>
      <c r="Z25" s="32">
        <f t="shared" si="2"/>
        <v>0</v>
      </c>
      <c r="AA25" s="38">
        <v>1215</v>
      </c>
      <c r="AB25" s="37">
        <f>IFERROR(VLOOKUP(A25,'Tash Lookup'!A:E,3,FALSE),"")</f>
        <v>42726.18</v>
      </c>
      <c r="AC25" s="6">
        <f t="shared" si="3"/>
        <v>0</v>
      </c>
      <c r="AD25" s="2" t="s">
        <v>6703</v>
      </c>
      <c r="AF25" s="56">
        <v>35.5</v>
      </c>
      <c r="AG25" s="56">
        <f>VLOOKUP(A25,Sheet1!$A$2:$C$1140,3,FALSE)</f>
        <v>35.5</v>
      </c>
      <c r="AH25" s="58">
        <v>35.5</v>
      </c>
      <c r="AI25" s="56" t="str">
        <f t="shared" si="4"/>
        <v>Same</v>
      </c>
      <c r="AJ25" s="81">
        <f t="shared" si="8"/>
        <v>43132.5</v>
      </c>
      <c r="AK25" s="81">
        <f t="shared" si="9"/>
        <v>43132.5</v>
      </c>
      <c r="AL25" s="58" t="s">
        <v>7206</v>
      </c>
      <c r="AM25" s="58" t="s">
        <v>6703</v>
      </c>
      <c r="AN25" s="75">
        <v>1215</v>
      </c>
      <c r="AO25" s="88">
        <v>35.5</v>
      </c>
      <c r="AP25" s="6" t="str">
        <f t="shared" si="5"/>
        <v>Same</v>
      </c>
      <c r="AQ25" s="81">
        <f t="shared" si="6"/>
        <v>43132.5</v>
      </c>
      <c r="AR25" s="81">
        <f t="shared" si="7"/>
        <v>43132.5</v>
      </c>
      <c r="AS25" s="81">
        <f t="shared" si="10"/>
        <v>0</v>
      </c>
    </row>
    <row r="26" spans="1:45" hidden="1" x14ac:dyDescent="0.3">
      <c r="A26">
        <v>5149187</v>
      </c>
      <c r="B26" s="15" t="s">
        <v>5362</v>
      </c>
      <c r="C26" s="16" t="s">
        <v>30</v>
      </c>
      <c r="D26" s="6" t="s">
        <v>31</v>
      </c>
      <c r="E26" t="s">
        <v>170</v>
      </c>
      <c r="F26" t="s">
        <v>170</v>
      </c>
      <c r="H26" s="11" t="s">
        <v>27</v>
      </c>
      <c r="I26" s="6" t="s">
        <v>28</v>
      </c>
      <c r="J26" s="6" t="s">
        <v>28</v>
      </c>
      <c r="K26" t="s">
        <v>32</v>
      </c>
      <c r="L26" s="35">
        <v>36.450000000000003</v>
      </c>
      <c r="M26" s="6" t="s">
        <v>29</v>
      </c>
      <c r="N26" s="6">
        <v>3105</v>
      </c>
      <c r="P26" s="18"/>
      <c r="Q26" s="17"/>
      <c r="R26" s="19">
        <v>36.450000000000003</v>
      </c>
      <c r="S26" s="19">
        <v>36.450000000000003</v>
      </c>
      <c r="T26" s="38">
        <v>1052</v>
      </c>
      <c r="U26" s="38"/>
      <c r="V26" s="29">
        <v>33.611000000000004</v>
      </c>
      <c r="W26" s="35">
        <v>36.450000000000003</v>
      </c>
      <c r="X26" s="32">
        <f t="shared" si="0"/>
        <v>35358.772000000004</v>
      </c>
      <c r="Y26" s="32">
        <f t="shared" si="1"/>
        <v>38345.4</v>
      </c>
      <c r="Z26" s="32">
        <f t="shared" si="2"/>
        <v>-2986.627999999997</v>
      </c>
      <c r="AA26" s="38">
        <v>1052</v>
      </c>
      <c r="AB26" s="37">
        <f>IFERROR(VLOOKUP(A26,'Tash Lookup'!A:E,3,FALSE),"")</f>
        <v>38113.64</v>
      </c>
      <c r="AC26" s="6">
        <f t="shared" si="3"/>
        <v>0</v>
      </c>
      <c r="AD26" s="2" t="s">
        <v>6703</v>
      </c>
      <c r="AF26" s="56">
        <v>33.25</v>
      </c>
      <c r="AG26" s="56">
        <f>VLOOKUP(A26,Sheet1!$A$2:$C$1140,3,FALSE)</f>
        <v>33.25</v>
      </c>
      <c r="AH26" s="58">
        <v>33.25</v>
      </c>
      <c r="AI26" s="56" t="str">
        <f t="shared" si="4"/>
        <v>Same</v>
      </c>
      <c r="AJ26" s="81">
        <f t="shared" si="8"/>
        <v>34979</v>
      </c>
      <c r="AK26" s="81">
        <f t="shared" si="9"/>
        <v>34979</v>
      </c>
      <c r="AL26" s="58" t="s">
        <v>32</v>
      </c>
      <c r="AM26" s="58" t="s">
        <v>6703</v>
      </c>
      <c r="AN26" s="75">
        <v>1775</v>
      </c>
      <c r="AO26" s="88">
        <v>33.25</v>
      </c>
      <c r="AP26" s="6" t="str">
        <f t="shared" si="5"/>
        <v>Same</v>
      </c>
      <c r="AQ26" s="81">
        <f t="shared" si="6"/>
        <v>59018.75</v>
      </c>
      <c r="AR26" s="81">
        <f t="shared" si="7"/>
        <v>59018.75</v>
      </c>
      <c r="AS26" s="81">
        <f t="shared" si="10"/>
        <v>0</v>
      </c>
    </row>
    <row r="27" spans="1:45" hidden="1" x14ac:dyDescent="0.3">
      <c r="A27">
        <v>5572017</v>
      </c>
      <c r="B27" s="15" t="s">
        <v>5363</v>
      </c>
      <c r="C27" s="16" t="s">
        <v>30</v>
      </c>
      <c r="D27" s="6" t="s">
        <v>31</v>
      </c>
      <c r="E27" t="s">
        <v>65</v>
      </c>
      <c r="F27" t="s">
        <v>65</v>
      </c>
      <c r="H27" s="11" t="s">
        <v>27</v>
      </c>
      <c r="I27" s="6" t="s">
        <v>28</v>
      </c>
      <c r="J27" s="6" t="s">
        <v>28</v>
      </c>
      <c r="K27" t="s">
        <v>32</v>
      </c>
      <c r="L27" s="35">
        <v>44.44</v>
      </c>
      <c r="M27" s="6" t="s">
        <v>29</v>
      </c>
      <c r="N27" s="6">
        <v>3105</v>
      </c>
      <c r="P27" s="18"/>
      <c r="Q27" s="17"/>
      <c r="R27" s="19">
        <v>44.98</v>
      </c>
      <c r="S27" s="19">
        <v>44.98</v>
      </c>
      <c r="T27" s="38">
        <v>1000</v>
      </c>
      <c r="U27" s="38"/>
      <c r="V27" s="29">
        <v>44.44</v>
      </c>
      <c r="W27" s="35">
        <v>44.44</v>
      </c>
      <c r="X27" s="32">
        <f t="shared" si="0"/>
        <v>44440</v>
      </c>
      <c r="Y27" s="32">
        <f t="shared" si="1"/>
        <v>44440</v>
      </c>
      <c r="Z27" s="32">
        <f t="shared" si="2"/>
        <v>0</v>
      </c>
      <c r="AA27" s="38">
        <v>1000</v>
      </c>
      <c r="AB27" s="37">
        <f>IFERROR(VLOOKUP(A27,'Tash Lookup'!A:E,3,FALSE),"")</f>
        <v>43951.509999999995</v>
      </c>
      <c r="AC27" s="6">
        <f t="shared" si="3"/>
        <v>0</v>
      </c>
      <c r="AD27" s="2" t="s">
        <v>6703</v>
      </c>
      <c r="AF27" s="56">
        <v>38.340000000000003</v>
      </c>
      <c r="AG27" s="56">
        <f>VLOOKUP(A27,Sheet1!$A$2:$C$1140,3,FALSE)</f>
        <v>38.340000000000003</v>
      </c>
      <c r="AH27" s="58">
        <v>38.340000000000003</v>
      </c>
      <c r="AI27" s="56" t="str">
        <f t="shared" si="4"/>
        <v>Same</v>
      </c>
      <c r="AJ27" s="81">
        <f t="shared" si="8"/>
        <v>38340</v>
      </c>
      <c r="AK27" s="81">
        <f t="shared" si="9"/>
        <v>38340</v>
      </c>
      <c r="AL27" s="58" t="s">
        <v>32</v>
      </c>
      <c r="AM27" s="58" t="s">
        <v>6703</v>
      </c>
      <c r="AN27" s="75">
        <v>776</v>
      </c>
      <c r="AO27" s="88">
        <v>38.340000000000003</v>
      </c>
      <c r="AP27" s="6" t="str">
        <f t="shared" si="5"/>
        <v>Same</v>
      </c>
      <c r="AQ27" s="81">
        <f t="shared" si="6"/>
        <v>29751.840000000004</v>
      </c>
      <c r="AR27" s="81">
        <f t="shared" si="7"/>
        <v>29751.840000000004</v>
      </c>
      <c r="AS27" s="81">
        <f t="shared" si="10"/>
        <v>0</v>
      </c>
    </row>
    <row r="28" spans="1:45" hidden="1" x14ac:dyDescent="0.3">
      <c r="A28">
        <v>5224645</v>
      </c>
      <c r="B28" s="15" t="s">
        <v>5364</v>
      </c>
      <c r="C28" s="16" t="s">
        <v>30</v>
      </c>
      <c r="D28" s="6" t="s">
        <v>31</v>
      </c>
      <c r="E28" t="s">
        <v>59</v>
      </c>
      <c r="F28" t="s">
        <v>59</v>
      </c>
      <c r="H28" s="11" t="s">
        <v>27</v>
      </c>
      <c r="I28" s="6" t="s">
        <v>28</v>
      </c>
      <c r="J28" s="6" t="s">
        <v>28</v>
      </c>
      <c r="K28" t="s">
        <v>32</v>
      </c>
      <c r="L28" s="35">
        <v>40.11</v>
      </c>
      <c r="M28" s="6" t="s">
        <v>29</v>
      </c>
      <c r="N28" s="6">
        <v>3105</v>
      </c>
      <c r="P28" s="18"/>
      <c r="Q28" s="17"/>
      <c r="R28" s="19">
        <v>40.11</v>
      </c>
      <c r="S28" s="19">
        <v>40.11</v>
      </c>
      <c r="T28" s="38">
        <v>979</v>
      </c>
      <c r="U28" s="38"/>
      <c r="V28" s="29">
        <v>35.558499999999995</v>
      </c>
      <c r="W28" s="35">
        <v>40.11</v>
      </c>
      <c r="X28" s="32">
        <f t="shared" si="0"/>
        <v>34811.771499999995</v>
      </c>
      <c r="Y28" s="32">
        <f t="shared" si="1"/>
        <v>39267.69</v>
      </c>
      <c r="Z28" s="32">
        <f t="shared" si="2"/>
        <v>-4455.918500000007</v>
      </c>
      <c r="AA28" s="38">
        <v>979</v>
      </c>
      <c r="AB28" s="37">
        <f>IFERROR(VLOOKUP(A28,'Tash Lookup'!A:E,3,FALSE),"")</f>
        <v>39031.040000000001</v>
      </c>
      <c r="AC28" s="6">
        <f t="shared" si="3"/>
        <v>0</v>
      </c>
      <c r="AD28" s="2" t="s">
        <v>6703</v>
      </c>
      <c r="AF28" s="56">
        <v>37.46</v>
      </c>
      <c r="AG28" s="56">
        <f>VLOOKUP(A28,Sheet1!$A$2:$C$1140,3,FALSE)</f>
        <v>37.46</v>
      </c>
      <c r="AH28" s="58">
        <v>37.46</v>
      </c>
      <c r="AI28" s="56" t="str">
        <f t="shared" si="4"/>
        <v>Same</v>
      </c>
      <c r="AJ28" s="81">
        <f t="shared" si="8"/>
        <v>36673.340000000004</v>
      </c>
      <c r="AK28" s="81">
        <f t="shared" si="9"/>
        <v>36673.340000000004</v>
      </c>
      <c r="AL28" s="58" t="s">
        <v>32</v>
      </c>
      <c r="AM28" s="58" t="s">
        <v>6703</v>
      </c>
      <c r="AN28" s="75">
        <v>355</v>
      </c>
      <c r="AO28" s="88">
        <v>37.46</v>
      </c>
      <c r="AP28" s="6" t="str">
        <f t="shared" si="5"/>
        <v>Same</v>
      </c>
      <c r="AQ28" s="81">
        <f t="shared" si="6"/>
        <v>13298.300000000001</v>
      </c>
      <c r="AR28" s="81">
        <f t="shared" si="7"/>
        <v>13298.300000000001</v>
      </c>
      <c r="AS28" s="81">
        <f t="shared" si="10"/>
        <v>0</v>
      </c>
    </row>
    <row r="29" spans="1:45" hidden="1" x14ac:dyDescent="0.3">
      <c r="A29">
        <v>6365251</v>
      </c>
      <c r="B29" s="15" t="s">
        <v>5365</v>
      </c>
      <c r="C29" s="16" t="s">
        <v>30</v>
      </c>
      <c r="D29" s="6" t="s">
        <v>31</v>
      </c>
      <c r="E29" t="s">
        <v>1002</v>
      </c>
      <c r="F29" t="s">
        <v>1002</v>
      </c>
      <c r="H29" s="11" t="s">
        <v>27</v>
      </c>
      <c r="I29" s="6" t="s">
        <v>28</v>
      </c>
      <c r="J29" s="6" t="s">
        <v>28</v>
      </c>
      <c r="K29" t="s">
        <v>32</v>
      </c>
      <c r="L29" s="35">
        <v>3.71</v>
      </c>
      <c r="M29" s="6" t="s">
        <v>29</v>
      </c>
      <c r="N29" s="6">
        <v>3105</v>
      </c>
      <c r="P29" s="18"/>
      <c r="Q29" s="17"/>
      <c r="R29" s="19">
        <v>3.71</v>
      </c>
      <c r="S29" s="19">
        <v>3.71</v>
      </c>
      <c r="T29" s="38">
        <v>978</v>
      </c>
      <c r="U29" s="38"/>
      <c r="V29" s="30">
        <v>3.71</v>
      </c>
      <c r="W29" s="35">
        <v>3.71</v>
      </c>
      <c r="X29" s="32">
        <f t="shared" si="0"/>
        <v>3628.38</v>
      </c>
      <c r="Y29" s="32">
        <f t="shared" si="1"/>
        <v>3628.38</v>
      </c>
      <c r="Z29" s="32">
        <f t="shared" si="2"/>
        <v>0</v>
      </c>
      <c r="AA29" s="38">
        <v>978</v>
      </c>
      <c r="AB29" s="37">
        <f>IFERROR(VLOOKUP(A29,'Tash Lookup'!A:E,3,FALSE),"")</f>
        <v>3612.47</v>
      </c>
      <c r="AC29" s="6">
        <f t="shared" si="3"/>
        <v>0</v>
      </c>
      <c r="AD29" s="2" t="s">
        <v>6703</v>
      </c>
      <c r="AF29" s="56">
        <v>3.71</v>
      </c>
      <c r="AG29" s="56">
        <f>VLOOKUP(A29,Sheet1!$A$2:$C$1140,3,FALSE)</f>
        <v>3.78</v>
      </c>
      <c r="AH29" s="58">
        <v>3.78</v>
      </c>
      <c r="AI29" s="56" t="str">
        <f t="shared" si="4"/>
        <v>Increase</v>
      </c>
      <c r="AJ29" s="81">
        <f t="shared" si="8"/>
        <v>3628.38</v>
      </c>
      <c r="AK29" s="81">
        <f t="shared" si="9"/>
        <v>3696.8399999999997</v>
      </c>
      <c r="AL29" s="58" t="s">
        <v>7206</v>
      </c>
      <c r="AM29" s="58" t="s">
        <v>6703</v>
      </c>
      <c r="AN29" s="75">
        <v>1181</v>
      </c>
      <c r="AO29" s="88">
        <v>3.78</v>
      </c>
      <c r="AP29" s="6" t="str">
        <f t="shared" si="5"/>
        <v>Increase</v>
      </c>
      <c r="AQ29" s="81">
        <f t="shared" si="6"/>
        <v>4381.51</v>
      </c>
      <c r="AR29" s="81">
        <f t="shared" si="7"/>
        <v>4464.1799999999994</v>
      </c>
      <c r="AS29" s="82">
        <f t="shared" si="10"/>
        <v>82.669999999999163</v>
      </c>
    </row>
    <row r="30" spans="1:45" hidden="1" x14ac:dyDescent="0.3">
      <c r="A30">
        <v>5219306</v>
      </c>
      <c r="B30" s="15" t="s">
        <v>5366</v>
      </c>
      <c r="C30" s="16" t="s">
        <v>30</v>
      </c>
      <c r="D30" s="6" t="s">
        <v>31</v>
      </c>
      <c r="E30" t="s">
        <v>266</v>
      </c>
      <c r="F30" t="s">
        <v>266</v>
      </c>
      <c r="H30" s="11" t="s">
        <v>27</v>
      </c>
      <c r="I30" s="6" t="s">
        <v>28</v>
      </c>
      <c r="J30" s="6" t="s">
        <v>28</v>
      </c>
      <c r="K30" t="s">
        <v>32</v>
      </c>
      <c r="L30" s="29">
        <v>26.56</v>
      </c>
      <c r="M30" s="6" t="s">
        <v>29</v>
      </c>
      <c r="N30" s="6">
        <v>3105</v>
      </c>
      <c r="P30" s="18"/>
      <c r="Q30" s="17"/>
      <c r="R30" s="19">
        <v>29.22</v>
      </c>
      <c r="S30" s="19">
        <v>29.22</v>
      </c>
      <c r="T30" s="38">
        <v>969</v>
      </c>
      <c r="U30" s="38"/>
      <c r="V30" s="29">
        <v>18.45</v>
      </c>
      <c r="W30" s="44">
        <v>18.45</v>
      </c>
      <c r="X30" s="32">
        <f t="shared" si="0"/>
        <v>17878.05</v>
      </c>
      <c r="Y30" s="32">
        <f t="shared" si="1"/>
        <v>25736.639999999999</v>
      </c>
      <c r="Z30" s="32">
        <f t="shared" si="2"/>
        <v>-7858.59</v>
      </c>
      <c r="AA30" s="38">
        <v>969</v>
      </c>
      <c r="AB30" s="37">
        <f>IFERROR(VLOOKUP(A30,'Tash Lookup'!A:E,3,FALSE),"")</f>
        <v>22695.03</v>
      </c>
      <c r="AC30" s="6">
        <f t="shared" si="3"/>
        <v>0</v>
      </c>
      <c r="AD30" s="2" t="s">
        <v>6703</v>
      </c>
      <c r="AF30" s="56">
        <v>21.15</v>
      </c>
      <c r="AG30" s="56">
        <f>VLOOKUP(A30,Sheet1!$A$2:$C$1140,3,FALSE)</f>
        <v>21.79</v>
      </c>
      <c r="AH30" s="58">
        <v>21.79</v>
      </c>
      <c r="AI30" s="56" t="str">
        <f t="shared" si="4"/>
        <v>Increase</v>
      </c>
      <c r="AJ30" s="81">
        <f t="shared" si="8"/>
        <v>20494.349999999999</v>
      </c>
      <c r="AK30" s="81">
        <f t="shared" si="9"/>
        <v>21114.51</v>
      </c>
      <c r="AL30" s="58" t="s">
        <v>32</v>
      </c>
      <c r="AM30" s="58" t="s">
        <v>6703</v>
      </c>
      <c r="AN30" s="75">
        <v>447</v>
      </c>
      <c r="AO30" s="88">
        <v>21.79</v>
      </c>
      <c r="AP30" s="6" t="str">
        <f t="shared" si="5"/>
        <v>Increase</v>
      </c>
      <c r="AQ30" s="81">
        <f t="shared" si="6"/>
        <v>9454.0499999999993</v>
      </c>
      <c r="AR30" s="81">
        <f t="shared" si="7"/>
        <v>9740.1299999999992</v>
      </c>
      <c r="AS30" s="82">
        <f t="shared" si="10"/>
        <v>286.07999999999993</v>
      </c>
    </row>
    <row r="31" spans="1:45" hidden="1" x14ac:dyDescent="0.3">
      <c r="A31">
        <v>5090806</v>
      </c>
      <c r="B31" s="15" t="s">
        <v>5367</v>
      </c>
      <c r="C31" s="16" t="s">
        <v>30</v>
      </c>
      <c r="D31" s="6" t="s">
        <v>31</v>
      </c>
      <c r="E31" t="s">
        <v>217</v>
      </c>
      <c r="F31" t="s">
        <v>217</v>
      </c>
      <c r="H31" s="11" t="s">
        <v>27</v>
      </c>
      <c r="I31" s="6" t="s">
        <v>28</v>
      </c>
      <c r="J31" s="6" t="s">
        <v>28</v>
      </c>
      <c r="K31" t="s">
        <v>32</v>
      </c>
      <c r="L31" s="35">
        <v>54.81</v>
      </c>
      <c r="M31" s="6" t="s">
        <v>29</v>
      </c>
      <c r="N31" s="6">
        <v>3105</v>
      </c>
      <c r="P31" s="18"/>
      <c r="Q31" s="17"/>
      <c r="R31" s="19">
        <v>54.81</v>
      </c>
      <c r="S31" s="19">
        <v>54.81</v>
      </c>
      <c r="T31" s="38">
        <v>952</v>
      </c>
      <c r="U31" s="38"/>
      <c r="V31" s="29">
        <v>54.81</v>
      </c>
      <c r="W31" s="35">
        <v>54.81</v>
      </c>
      <c r="X31" s="32">
        <f t="shared" si="0"/>
        <v>52179.12</v>
      </c>
      <c r="Y31" s="32">
        <f t="shared" si="1"/>
        <v>52179.12</v>
      </c>
      <c r="Z31" s="32">
        <f t="shared" si="2"/>
        <v>0</v>
      </c>
      <c r="AA31" s="38">
        <v>952</v>
      </c>
      <c r="AB31" s="37">
        <f>IFERROR(VLOOKUP(A31,'Tash Lookup'!A:E,3,FALSE),"")</f>
        <v>52188.72</v>
      </c>
      <c r="AC31" s="6">
        <f t="shared" si="3"/>
        <v>0</v>
      </c>
      <c r="AD31" s="2" t="s">
        <v>6703</v>
      </c>
      <c r="AF31" s="56">
        <v>56.99</v>
      </c>
      <c r="AG31" s="56">
        <f>VLOOKUP(A31,Sheet1!$A$2:$C$1140,3,FALSE)</f>
        <v>43.75</v>
      </c>
      <c r="AH31" s="58">
        <v>43.75</v>
      </c>
      <c r="AI31" s="56" t="str">
        <f t="shared" si="4"/>
        <v>Decrease</v>
      </c>
      <c r="AJ31" s="81">
        <f t="shared" si="8"/>
        <v>54254.48</v>
      </c>
      <c r="AK31" s="81">
        <f t="shared" si="9"/>
        <v>41650</v>
      </c>
      <c r="AL31" s="58" t="s">
        <v>32</v>
      </c>
      <c r="AM31" s="58" t="s">
        <v>6703</v>
      </c>
      <c r="AN31" s="75">
        <v>771</v>
      </c>
      <c r="AO31" s="88">
        <v>43.75</v>
      </c>
      <c r="AP31" s="6" t="str">
        <f t="shared" si="5"/>
        <v>Decrease</v>
      </c>
      <c r="AQ31" s="81">
        <f t="shared" si="6"/>
        <v>43939.29</v>
      </c>
      <c r="AR31" s="81">
        <f t="shared" si="7"/>
        <v>33731.25</v>
      </c>
      <c r="AS31" s="83">
        <f t="shared" si="10"/>
        <v>-10208.040000000001</v>
      </c>
    </row>
    <row r="32" spans="1:45" hidden="1" x14ac:dyDescent="0.3">
      <c r="A32">
        <v>5090718</v>
      </c>
      <c r="B32" s="15" t="s">
        <v>5368</v>
      </c>
      <c r="C32" s="16" t="s">
        <v>30</v>
      </c>
      <c r="D32" s="6" t="s">
        <v>31</v>
      </c>
      <c r="E32" t="s">
        <v>483</v>
      </c>
      <c r="F32" t="s">
        <v>483</v>
      </c>
      <c r="H32" s="11" t="s">
        <v>27</v>
      </c>
      <c r="I32" s="6" t="s">
        <v>28</v>
      </c>
      <c r="J32" s="6" t="s">
        <v>28</v>
      </c>
      <c r="K32" t="s">
        <v>32</v>
      </c>
      <c r="L32" s="35">
        <v>37.58</v>
      </c>
      <c r="M32" s="6" t="s">
        <v>29</v>
      </c>
      <c r="N32" s="6">
        <v>3105</v>
      </c>
      <c r="P32" s="18"/>
      <c r="Q32" s="17"/>
      <c r="R32" s="19">
        <v>37.58</v>
      </c>
      <c r="S32" s="19">
        <v>37.58</v>
      </c>
      <c r="T32" s="38">
        <v>932</v>
      </c>
      <c r="U32" s="38"/>
      <c r="V32" s="29">
        <v>37.58</v>
      </c>
      <c r="W32" s="35">
        <v>37.58</v>
      </c>
      <c r="X32" s="32">
        <f t="shared" si="0"/>
        <v>35024.559999999998</v>
      </c>
      <c r="Y32" s="32">
        <f t="shared" si="1"/>
        <v>35024.559999999998</v>
      </c>
      <c r="Z32" s="32">
        <f t="shared" si="2"/>
        <v>0</v>
      </c>
      <c r="AA32" s="38">
        <v>932</v>
      </c>
      <c r="AB32" s="37">
        <f>IFERROR(VLOOKUP(A32,'Tash Lookup'!A:E,3,FALSE),"")</f>
        <v>34785.599999999999</v>
      </c>
      <c r="AC32" s="6">
        <f t="shared" si="3"/>
        <v>0</v>
      </c>
      <c r="AD32" s="2" t="s">
        <v>6703</v>
      </c>
      <c r="AF32" s="56">
        <v>37.659999999999997</v>
      </c>
      <c r="AG32" s="56">
        <f>VLOOKUP(A32,Sheet1!$A$2:$C$1140,3,FALSE)</f>
        <v>38.79</v>
      </c>
      <c r="AH32" s="58">
        <v>38.79</v>
      </c>
      <c r="AI32" s="56" t="str">
        <f t="shared" si="4"/>
        <v>Increase</v>
      </c>
      <c r="AJ32" s="81">
        <f t="shared" si="8"/>
        <v>35099.119999999995</v>
      </c>
      <c r="AK32" s="81">
        <f t="shared" si="9"/>
        <v>36152.28</v>
      </c>
      <c r="AL32" s="58" t="s">
        <v>32</v>
      </c>
      <c r="AM32" s="58" t="s">
        <v>6703</v>
      </c>
      <c r="AN32" s="75">
        <v>177</v>
      </c>
      <c r="AO32" s="88">
        <v>38.79</v>
      </c>
      <c r="AP32" s="6" t="str">
        <f t="shared" si="5"/>
        <v>Increase</v>
      </c>
      <c r="AQ32" s="81">
        <f t="shared" si="6"/>
        <v>6665.82</v>
      </c>
      <c r="AR32" s="81">
        <f t="shared" si="7"/>
        <v>6865.83</v>
      </c>
      <c r="AS32" s="82">
        <f t="shared" si="10"/>
        <v>200.01000000000022</v>
      </c>
    </row>
    <row r="33" spans="1:45" hidden="1" x14ac:dyDescent="0.3">
      <c r="A33">
        <v>5081950</v>
      </c>
      <c r="B33" s="15" t="s">
        <v>5369</v>
      </c>
      <c r="C33" s="16" t="s">
        <v>30</v>
      </c>
      <c r="D33" s="6" t="s">
        <v>31</v>
      </c>
      <c r="E33" t="s">
        <v>558</v>
      </c>
      <c r="F33" t="s">
        <v>558</v>
      </c>
      <c r="H33" s="11" t="s">
        <v>27</v>
      </c>
      <c r="I33" s="6" t="s">
        <v>28</v>
      </c>
      <c r="J33" s="6" t="s">
        <v>28</v>
      </c>
      <c r="K33" t="s">
        <v>32</v>
      </c>
      <c r="L33" s="35">
        <v>39.96</v>
      </c>
      <c r="M33" s="6" t="s">
        <v>29</v>
      </c>
      <c r="N33" s="6">
        <v>3105</v>
      </c>
      <c r="P33" s="18"/>
      <c r="Q33" s="17"/>
      <c r="R33" s="19">
        <v>39.96</v>
      </c>
      <c r="S33" s="19">
        <v>39.96</v>
      </c>
      <c r="T33" s="38">
        <v>902</v>
      </c>
      <c r="U33" s="38"/>
      <c r="V33" s="29">
        <v>39.96</v>
      </c>
      <c r="W33" s="35">
        <v>39.96</v>
      </c>
      <c r="X33" s="32">
        <f t="shared" si="0"/>
        <v>36043.919999999998</v>
      </c>
      <c r="Y33" s="32">
        <f t="shared" si="1"/>
        <v>36043.919999999998</v>
      </c>
      <c r="Z33" s="32">
        <f t="shared" si="2"/>
        <v>0</v>
      </c>
      <c r="AA33" s="38">
        <v>902</v>
      </c>
      <c r="AB33" s="37">
        <f>IFERROR(VLOOKUP(A33,'Tash Lookup'!A:E,3,FALSE),"")</f>
        <v>35280.97</v>
      </c>
      <c r="AC33" s="6">
        <f t="shared" si="3"/>
        <v>0</v>
      </c>
      <c r="AD33" s="2" t="s">
        <v>6703</v>
      </c>
      <c r="AF33" s="56">
        <v>41.08</v>
      </c>
      <c r="AG33" s="56">
        <f>VLOOKUP(A33,Sheet1!$A$2:$C$1140,3,FALSE)</f>
        <v>42.31</v>
      </c>
      <c r="AH33" s="58">
        <v>42.31</v>
      </c>
      <c r="AI33" s="56" t="str">
        <f t="shared" si="4"/>
        <v>Increase</v>
      </c>
      <c r="AJ33" s="81">
        <f t="shared" si="8"/>
        <v>37054.159999999996</v>
      </c>
      <c r="AK33" s="81">
        <f t="shared" si="9"/>
        <v>38163.620000000003</v>
      </c>
      <c r="AL33" s="58" t="s">
        <v>32</v>
      </c>
      <c r="AM33" s="58" t="s">
        <v>6703</v>
      </c>
      <c r="AN33" s="75">
        <v>526</v>
      </c>
      <c r="AO33" s="88">
        <v>42.31</v>
      </c>
      <c r="AP33" s="6" t="str">
        <f t="shared" si="5"/>
        <v>Increase</v>
      </c>
      <c r="AQ33" s="81">
        <f t="shared" si="6"/>
        <v>21608.079999999998</v>
      </c>
      <c r="AR33" s="81">
        <f t="shared" si="7"/>
        <v>22255.06</v>
      </c>
      <c r="AS33" s="82">
        <f t="shared" si="10"/>
        <v>646.9800000000032</v>
      </c>
    </row>
    <row r="34" spans="1:45" hidden="1" x14ac:dyDescent="0.3">
      <c r="A34">
        <v>5219307</v>
      </c>
      <c r="B34" s="15" t="s">
        <v>5370</v>
      </c>
      <c r="C34" s="16" t="s">
        <v>30</v>
      </c>
      <c r="D34" s="6" t="s">
        <v>31</v>
      </c>
      <c r="E34" t="s">
        <v>285</v>
      </c>
      <c r="F34" t="s">
        <v>285</v>
      </c>
      <c r="H34" s="11" t="s">
        <v>27</v>
      </c>
      <c r="I34" s="6" t="s">
        <v>28</v>
      </c>
      <c r="J34" s="6" t="s">
        <v>28</v>
      </c>
      <c r="K34" t="s">
        <v>32</v>
      </c>
      <c r="L34" s="29">
        <v>17.27</v>
      </c>
      <c r="M34" s="6" t="s">
        <v>29</v>
      </c>
      <c r="N34" s="6">
        <v>3105</v>
      </c>
      <c r="P34" s="18"/>
      <c r="Q34" s="17"/>
      <c r="R34" s="19">
        <v>21.11</v>
      </c>
      <c r="S34" s="19">
        <v>21.11</v>
      </c>
      <c r="T34" s="38">
        <v>892</v>
      </c>
      <c r="U34" s="38"/>
      <c r="V34" s="29">
        <v>17.27</v>
      </c>
      <c r="W34" s="44">
        <v>13.03</v>
      </c>
      <c r="X34" s="32">
        <f t="shared" si="0"/>
        <v>15404.84</v>
      </c>
      <c r="Y34" s="32">
        <f t="shared" si="1"/>
        <v>15404.84</v>
      </c>
      <c r="Z34" s="32">
        <f t="shared" si="2"/>
        <v>0</v>
      </c>
      <c r="AA34" s="38">
        <v>892</v>
      </c>
      <c r="AB34" s="37">
        <f>IFERROR(VLOOKUP(A34,'Tash Lookup'!A:E,3,FALSE),"")</f>
        <v>14630.39</v>
      </c>
      <c r="AC34" s="6">
        <f t="shared" si="3"/>
        <v>0</v>
      </c>
      <c r="AD34" s="2" t="s">
        <v>6703</v>
      </c>
      <c r="AF34" s="56">
        <v>14.59</v>
      </c>
      <c r="AG34" s="56">
        <f>VLOOKUP(A34,Sheet1!$A$2:$C$1140,3,FALSE)</f>
        <v>15.03</v>
      </c>
      <c r="AH34" s="58">
        <v>15.03</v>
      </c>
      <c r="AI34" s="56" t="str">
        <f t="shared" si="4"/>
        <v>Increase</v>
      </c>
      <c r="AJ34" s="81">
        <f t="shared" si="8"/>
        <v>13014.28</v>
      </c>
      <c r="AK34" s="81">
        <f t="shared" si="9"/>
        <v>13406.76</v>
      </c>
      <c r="AL34" s="58" t="s">
        <v>32</v>
      </c>
      <c r="AM34" s="58" t="s">
        <v>6703</v>
      </c>
      <c r="AN34" s="75">
        <v>338</v>
      </c>
      <c r="AO34" s="88">
        <v>15.03</v>
      </c>
      <c r="AP34" s="6" t="str">
        <f t="shared" si="5"/>
        <v>Increase</v>
      </c>
      <c r="AQ34" s="81">
        <f t="shared" si="6"/>
        <v>4931.42</v>
      </c>
      <c r="AR34" s="81">
        <f t="shared" si="7"/>
        <v>5080.1399999999994</v>
      </c>
      <c r="AS34" s="82">
        <f t="shared" si="10"/>
        <v>148.71999999999935</v>
      </c>
    </row>
    <row r="35" spans="1:45" hidden="1" x14ac:dyDescent="0.3">
      <c r="A35">
        <v>5219325</v>
      </c>
      <c r="B35" s="15" t="s">
        <v>5371</v>
      </c>
      <c r="C35" s="16" t="s">
        <v>30</v>
      </c>
      <c r="D35" s="6" t="s">
        <v>31</v>
      </c>
      <c r="E35" t="s">
        <v>93</v>
      </c>
      <c r="F35" t="s">
        <v>93</v>
      </c>
      <c r="H35" s="11" t="s">
        <v>27</v>
      </c>
      <c r="I35" s="6" t="s">
        <v>28</v>
      </c>
      <c r="J35" s="6" t="s">
        <v>28</v>
      </c>
      <c r="K35" t="s">
        <v>32</v>
      </c>
      <c r="L35" s="29">
        <v>17.010000000000002</v>
      </c>
      <c r="M35" s="6" t="s">
        <v>29</v>
      </c>
      <c r="N35" s="6">
        <v>3105</v>
      </c>
      <c r="P35" s="18"/>
      <c r="Q35" s="17"/>
      <c r="R35" s="19">
        <v>20.79</v>
      </c>
      <c r="S35" s="19">
        <v>20.79</v>
      </c>
      <c r="T35" s="38">
        <v>862</v>
      </c>
      <c r="U35" s="38"/>
      <c r="V35" s="29">
        <v>17.010000000000002</v>
      </c>
      <c r="W35" s="44">
        <v>12.49</v>
      </c>
      <c r="X35" s="32">
        <f t="shared" si="0"/>
        <v>14662.62</v>
      </c>
      <c r="Y35" s="32">
        <f t="shared" si="1"/>
        <v>14662.62</v>
      </c>
      <c r="Z35" s="32">
        <f t="shared" si="2"/>
        <v>0</v>
      </c>
      <c r="AA35" s="38">
        <v>862</v>
      </c>
      <c r="AB35" s="37">
        <f>IFERROR(VLOOKUP(A35,'Tash Lookup'!A:E,3,FALSE),"")</f>
        <v>12625.210000000001</v>
      </c>
      <c r="AC35" s="6">
        <f t="shared" si="3"/>
        <v>0</v>
      </c>
      <c r="AD35" s="2" t="s">
        <v>6703</v>
      </c>
      <c r="AF35" s="56">
        <v>17.13</v>
      </c>
      <c r="AG35" s="56">
        <f>VLOOKUP(A35,Sheet1!$A$2:$C$1140,3,FALSE)</f>
        <v>17.13</v>
      </c>
      <c r="AH35" s="58">
        <v>17.13</v>
      </c>
      <c r="AI35" s="56" t="str">
        <f t="shared" si="4"/>
        <v>Same</v>
      </c>
      <c r="AJ35" s="81">
        <f t="shared" si="8"/>
        <v>14766.06</v>
      </c>
      <c r="AK35" s="81">
        <f t="shared" si="9"/>
        <v>14766.06</v>
      </c>
      <c r="AL35" s="58" t="s">
        <v>32</v>
      </c>
      <c r="AM35" s="58" t="s">
        <v>6703</v>
      </c>
      <c r="AN35" s="75">
        <v>430</v>
      </c>
      <c r="AO35" s="88">
        <v>17.13</v>
      </c>
      <c r="AP35" s="6" t="str">
        <f t="shared" si="5"/>
        <v>Same</v>
      </c>
      <c r="AQ35" s="81">
        <f t="shared" si="6"/>
        <v>7365.9</v>
      </c>
      <c r="AR35" s="81">
        <f t="shared" si="7"/>
        <v>7365.9</v>
      </c>
      <c r="AS35" s="81">
        <f t="shared" si="10"/>
        <v>0</v>
      </c>
    </row>
    <row r="36" spans="1:45" hidden="1" x14ac:dyDescent="0.3">
      <c r="A36">
        <v>5090780</v>
      </c>
      <c r="B36" s="15" t="s">
        <v>5372</v>
      </c>
      <c r="C36" s="16" t="s">
        <v>30</v>
      </c>
      <c r="D36" s="6" t="s">
        <v>31</v>
      </c>
      <c r="E36" t="s">
        <v>546</v>
      </c>
      <c r="F36" t="s">
        <v>546</v>
      </c>
      <c r="H36" s="11" t="s">
        <v>27</v>
      </c>
      <c r="I36" s="6" t="s">
        <v>28</v>
      </c>
      <c r="J36" s="6" t="s">
        <v>28</v>
      </c>
      <c r="K36" t="s">
        <v>32</v>
      </c>
      <c r="L36" s="35">
        <v>64.45</v>
      </c>
      <c r="M36" s="6" t="s">
        <v>29</v>
      </c>
      <c r="N36" s="6">
        <v>3105</v>
      </c>
      <c r="P36" s="18"/>
      <c r="Q36" s="17"/>
      <c r="R36" s="19">
        <v>64.45</v>
      </c>
      <c r="S36" s="19">
        <v>64.45</v>
      </c>
      <c r="T36" s="38">
        <v>856</v>
      </c>
      <c r="U36" s="38"/>
      <c r="V36" s="29">
        <v>64.45</v>
      </c>
      <c r="W36" s="35">
        <v>64.45</v>
      </c>
      <c r="X36" s="32">
        <f t="shared" si="0"/>
        <v>55169.200000000004</v>
      </c>
      <c r="Y36" s="32">
        <f t="shared" si="1"/>
        <v>55169.200000000004</v>
      </c>
      <c r="Z36" s="32">
        <f t="shared" si="2"/>
        <v>0</v>
      </c>
      <c r="AA36" s="38">
        <v>856</v>
      </c>
      <c r="AB36" s="37">
        <f>IFERROR(VLOOKUP(A36,'Tash Lookup'!A:E,3,FALSE),"")</f>
        <v>55303.619999999995</v>
      </c>
      <c r="AC36" s="6">
        <f t="shared" si="3"/>
        <v>0</v>
      </c>
      <c r="AD36" s="2" t="s">
        <v>6703</v>
      </c>
      <c r="AF36" s="56">
        <v>68.8</v>
      </c>
      <c r="AG36" s="56">
        <f>VLOOKUP(A36,Sheet1!$A$2:$C$1140,3,FALSE)</f>
        <v>70.87</v>
      </c>
      <c r="AH36" s="58">
        <v>70.87</v>
      </c>
      <c r="AI36" s="56" t="str">
        <f t="shared" si="4"/>
        <v>Increase</v>
      </c>
      <c r="AJ36" s="81">
        <f t="shared" si="8"/>
        <v>58892.799999999996</v>
      </c>
      <c r="AK36" s="81">
        <f t="shared" si="9"/>
        <v>60664.72</v>
      </c>
      <c r="AL36" s="58" t="s">
        <v>32</v>
      </c>
      <c r="AM36" s="58" t="s">
        <v>6703</v>
      </c>
      <c r="AN36" s="75">
        <v>504</v>
      </c>
      <c r="AO36" s="88">
        <v>70.87</v>
      </c>
      <c r="AP36" s="6" t="str">
        <f t="shared" si="5"/>
        <v>Increase</v>
      </c>
      <c r="AQ36" s="81">
        <f t="shared" si="6"/>
        <v>34675.199999999997</v>
      </c>
      <c r="AR36" s="81">
        <f t="shared" si="7"/>
        <v>35718.480000000003</v>
      </c>
      <c r="AS36" s="82">
        <f t="shared" si="10"/>
        <v>1043.2800000000061</v>
      </c>
    </row>
    <row r="37" spans="1:45" hidden="1" x14ac:dyDescent="0.3">
      <c r="A37">
        <v>6316965</v>
      </c>
      <c r="B37" s="15" t="s">
        <v>5373</v>
      </c>
      <c r="C37" s="16" t="s">
        <v>30</v>
      </c>
      <c r="D37" s="6" t="s">
        <v>31</v>
      </c>
      <c r="E37" t="s">
        <v>724</v>
      </c>
      <c r="F37" t="s">
        <v>724</v>
      </c>
      <c r="H37" s="11" t="s">
        <v>27</v>
      </c>
      <c r="I37" s="6" t="s">
        <v>28</v>
      </c>
      <c r="J37" s="6" t="s">
        <v>28</v>
      </c>
      <c r="K37" t="s">
        <v>32</v>
      </c>
      <c r="L37" s="35">
        <v>3.86</v>
      </c>
      <c r="M37" s="6" t="s">
        <v>29</v>
      </c>
      <c r="N37" s="6">
        <v>3105</v>
      </c>
      <c r="P37" s="18"/>
      <c r="Q37" s="17"/>
      <c r="R37" s="19">
        <v>3.86</v>
      </c>
      <c r="S37" s="19">
        <v>3.86</v>
      </c>
      <c r="T37" s="38">
        <v>850</v>
      </c>
      <c r="U37" s="38"/>
      <c r="V37" s="30">
        <v>3.86</v>
      </c>
      <c r="W37" s="35">
        <v>3.86</v>
      </c>
      <c r="X37" s="32">
        <f t="shared" si="0"/>
        <v>3281</v>
      </c>
      <c r="Y37" s="32">
        <f t="shared" si="1"/>
        <v>3281</v>
      </c>
      <c r="Z37" s="32">
        <f t="shared" si="2"/>
        <v>0</v>
      </c>
      <c r="AA37" s="38">
        <v>850</v>
      </c>
      <c r="AB37" s="37">
        <f>IFERROR(VLOOKUP(A37,'Tash Lookup'!A:E,3,FALSE),"")</f>
        <v>3260.72</v>
      </c>
      <c r="AC37" s="6">
        <f t="shared" si="3"/>
        <v>0</v>
      </c>
      <c r="AD37" s="2" t="s">
        <v>6703</v>
      </c>
      <c r="AF37" s="56">
        <v>3.86</v>
      </c>
      <c r="AG37" s="56">
        <f>VLOOKUP(A37,Sheet1!$A$2:$C$1140,3,FALSE)</f>
        <v>3.93</v>
      </c>
      <c r="AH37" s="58">
        <v>3.93</v>
      </c>
      <c r="AI37" s="56" t="str">
        <f t="shared" si="4"/>
        <v>Increase</v>
      </c>
      <c r="AJ37" s="81">
        <f t="shared" si="8"/>
        <v>3281</v>
      </c>
      <c r="AK37" s="81">
        <f t="shared" si="9"/>
        <v>3340.5</v>
      </c>
      <c r="AL37" s="58" t="s">
        <v>7206</v>
      </c>
      <c r="AM37" s="58" t="s">
        <v>6703</v>
      </c>
      <c r="AN37" s="75">
        <v>453</v>
      </c>
      <c r="AO37" s="88">
        <v>3.93</v>
      </c>
      <c r="AP37" s="6" t="str">
        <f t="shared" si="5"/>
        <v>Increase</v>
      </c>
      <c r="AQ37" s="81">
        <f t="shared" si="6"/>
        <v>1748.58</v>
      </c>
      <c r="AR37" s="81">
        <f t="shared" si="7"/>
        <v>1780.29</v>
      </c>
      <c r="AS37" s="82">
        <f t="shared" si="10"/>
        <v>31.710000000000036</v>
      </c>
    </row>
    <row r="38" spans="1:45" hidden="1" x14ac:dyDescent="0.3">
      <c r="A38">
        <v>5122627</v>
      </c>
      <c r="B38" s="15" t="s">
        <v>5374</v>
      </c>
      <c r="C38" s="16" t="s">
        <v>30</v>
      </c>
      <c r="D38" s="6" t="s">
        <v>31</v>
      </c>
      <c r="E38" t="s">
        <v>61</v>
      </c>
      <c r="F38" t="s">
        <v>61</v>
      </c>
      <c r="H38" s="11" t="s">
        <v>27</v>
      </c>
      <c r="I38" s="6" t="s">
        <v>28</v>
      </c>
      <c r="J38" s="6" t="s">
        <v>28</v>
      </c>
      <c r="K38" t="s">
        <v>32</v>
      </c>
      <c r="L38" s="35">
        <v>21.48</v>
      </c>
      <c r="M38" s="6" t="s">
        <v>29</v>
      </c>
      <c r="N38" s="6">
        <v>3105</v>
      </c>
      <c r="P38" s="18"/>
      <c r="Q38" s="17"/>
      <c r="R38" s="19">
        <v>21.48</v>
      </c>
      <c r="S38" s="19">
        <v>21.48</v>
      </c>
      <c r="T38" s="38">
        <v>809</v>
      </c>
      <c r="U38" s="38"/>
      <c r="V38" s="29">
        <v>19.437000000000001</v>
      </c>
      <c r="W38" s="35">
        <v>21.48</v>
      </c>
      <c r="X38" s="32">
        <f t="shared" si="0"/>
        <v>15724.533000000001</v>
      </c>
      <c r="Y38" s="32">
        <f t="shared" si="1"/>
        <v>17377.32</v>
      </c>
      <c r="Z38" s="32">
        <f t="shared" si="2"/>
        <v>-1652.7869999999984</v>
      </c>
      <c r="AA38" s="38">
        <v>809</v>
      </c>
      <c r="AB38" s="37">
        <f>IFERROR(VLOOKUP(A38,'Tash Lookup'!A:E,3,FALSE),"")</f>
        <v>17129.66</v>
      </c>
      <c r="AC38" s="6">
        <f t="shared" si="3"/>
        <v>0</v>
      </c>
      <c r="AD38" s="2" t="s">
        <v>6703</v>
      </c>
      <c r="AF38" s="56">
        <v>20.02</v>
      </c>
      <c r="AG38" s="56">
        <f>VLOOKUP(A38,Sheet1!$A$2:$C$1140,3,FALSE)</f>
        <v>20.02</v>
      </c>
      <c r="AH38" s="58">
        <v>20.02</v>
      </c>
      <c r="AI38" s="56" t="str">
        <f t="shared" si="4"/>
        <v>Same</v>
      </c>
      <c r="AJ38" s="81">
        <f t="shared" si="8"/>
        <v>16196.18</v>
      </c>
      <c r="AK38" s="81">
        <f t="shared" si="9"/>
        <v>16196.18</v>
      </c>
      <c r="AL38" s="58" t="s">
        <v>32</v>
      </c>
      <c r="AM38" s="58" t="s">
        <v>6703</v>
      </c>
      <c r="AN38" s="75">
        <v>495</v>
      </c>
      <c r="AO38" s="88">
        <v>20.02</v>
      </c>
      <c r="AP38" s="6" t="str">
        <f t="shared" si="5"/>
        <v>Same</v>
      </c>
      <c r="AQ38" s="81">
        <f t="shared" si="6"/>
        <v>9909.9</v>
      </c>
      <c r="AR38" s="81">
        <f t="shared" si="7"/>
        <v>9909.9</v>
      </c>
      <c r="AS38" s="81">
        <f t="shared" si="10"/>
        <v>0</v>
      </c>
    </row>
    <row r="39" spans="1:45" hidden="1" x14ac:dyDescent="0.3">
      <c r="A39">
        <v>5219308</v>
      </c>
      <c r="B39" s="15" t="s">
        <v>5375</v>
      </c>
      <c r="C39" s="16" t="s">
        <v>30</v>
      </c>
      <c r="D39" s="6" t="s">
        <v>31</v>
      </c>
      <c r="E39" t="s">
        <v>35</v>
      </c>
      <c r="F39" t="s">
        <v>35</v>
      </c>
      <c r="H39" s="11" t="s">
        <v>27</v>
      </c>
      <c r="I39" s="6" t="s">
        <v>28</v>
      </c>
      <c r="J39" s="6" t="s">
        <v>28</v>
      </c>
      <c r="K39" t="s">
        <v>32</v>
      </c>
      <c r="L39" s="29">
        <v>24.81</v>
      </c>
      <c r="M39" s="6" t="s">
        <v>29</v>
      </c>
      <c r="N39" s="6">
        <v>3105</v>
      </c>
      <c r="P39" s="18"/>
      <c r="Q39" s="17"/>
      <c r="R39" s="19">
        <v>24.81</v>
      </c>
      <c r="S39" s="19">
        <v>24.81</v>
      </c>
      <c r="T39" s="38">
        <v>786</v>
      </c>
      <c r="U39" s="38"/>
      <c r="V39" s="29">
        <v>24.81</v>
      </c>
      <c r="W39" s="44">
        <v>18.559999999999999</v>
      </c>
      <c r="X39" s="32">
        <f t="shared" si="0"/>
        <v>19500.66</v>
      </c>
      <c r="Y39" s="32">
        <f t="shared" si="1"/>
        <v>19500.66</v>
      </c>
      <c r="Z39" s="32">
        <f t="shared" si="2"/>
        <v>0</v>
      </c>
      <c r="AA39" s="38">
        <v>786</v>
      </c>
      <c r="AB39" s="37">
        <f>IFERROR(VLOOKUP(A39,'Tash Lookup'!A:E,3,FALSE),"")</f>
        <v>17087.77</v>
      </c>
      <c r="AC39" s="6">
        <f t="shared" si="3"/>
        <v>0</v>
      </c>
      <c r="AD39" s="2" t="s">
        <v>6703</v>
      </c>
      <c r="AE39" s="29"/>
      <c r="AF39" s="56">
        <v>19.75</v>
      </c>
      <c r="AG39" s="56">
        <f>VLOOKUP(A39,Sheet1!$A$2:$C$1140,3,FALSE)</f>
        <v>19.75</v>
      </c>
      <c r="AH39" s="58">
        <v>19.75</v>
      </c>
      <c r="AI39" s="56" t="str">
        <f t="shared" si="4"/>
        <v>Same</v>
      </c>
      <c r="AJ39" s="81">
        <f t="shared" si="8"/>
        <v>15523.5</v>
      </c>
      <c r="AK39" s="81">
        <f t="shared" si="9"/>
        <v>15523.5</v>
      </c>
      <c r="AL39" s="58" t="s">
        <v>32</v>
      </c>
      <c r="AM39" s="58" t="s">
        <v>6703</v>
      </c>
      <c r="AN39" s="75">
        <v>692</v>
      </c>
      <c r="AO39" s="88">
        <v>19.75</v>
      </c>
      <c r="AP39" s="6" t="str">
        <f t="shared" si="5"/>
        <v>Same</v>
      </c>
      <c r="AQ39" s="81">
        <f t="shared" si="6"/>
        <v>13667</v>
      </c>
      <c r="AR39" s="81">
        <f t="shared" si="7"/>
        <v>13667</v>
      </c>
      <c r="AS39" s="81">
        <f t="shared" si="10"/>
        <v>0</v>
      </c>
    </row>
    <row r="40" spans="1:45" hidden="1" x14ac:dyDescent="0.3">
      <c r="A40">
        <v>6183864</v>
      </c>
      <c r="B40" s="15" t="s">
        <v>5376</v>
      </c>
      <c r="C40" s="16" t="s">
        <v>30</v>
      </c>
      <c r="D40" s="6" t="s">
        <v>31</v>
      </c>
      <c r="E40" t="s">
        <v>857</v>
      </c>
      <c r="F40" t="s">
        <v>857</v>
      </c>
      <c r="H40" s="11" t="s">
        <v>27</v>
      </c>
      <c r="I40" s="6" t="s">
        <v>28</v>
      </c>
      <c r="J40" s="6" t="s">
        <v>28</v>
      </c>
      <c r="K40" t="s">
        <v>32</v>
      </c>
      <c r="L40" s="35">
        <v>1.61</v>
      </c>
      <c r="M40" s="6" t="s">
        <v>29</v>
      </c>
      <c r="N40" s="6">
        <v>3105</v>
      </c>
      <c r="P40" s="18"/>
      <c r="Q40" s="17"/>
      <c r="R40" s="19">
        <v>5.8</v>
      </c>
      <c r="S40" s="19">
        <v>5.8</v>
      </c>
      <c r="T40" s="38">
        <v>774</v>
      </c>
      <c r="U40" s="38"/>
      <c r="V40" s="30">
        <v>5.8</v>
      </c>
      <c r="W40" s="35">
        <v>1.61</v>
      </c>
      <c r="X40" s="32">
        <f t="shared" si="0"/>
        <v>4489.2</v>
      </c>
      <c r="Y40" s="32">
        <f t="shared" si="1"/>
        <v>1246.1400000000001</v>
      </c>
      <c r="Z40" s="32">
        <f t="shared" si="2"/>
        <v>3243.0599999999995</v>
      </c>
      <c r="AA40" s="38">
        <v>774</v>
      </c>
      <c r="AB40" s="37">
        <f>IFERROR(VLOOKUP(A40,'Tash Lookup'!A:E,3,FALSE),"")</f>
        <v>1238.08</v>
      </c>
      <c r="AC40" s="6">
        <f t="shared" si="3"/>
        <v>0</v>
      </c>
      <c r="AD40" s="2" t="s">
        <v>6703</v>
      </c>
      <c r="AF40" s="56">
        <v>1.41</v>
      </c>
      <c r="AG40" s="56">
        <f>VLOOKUP(A40,Sheet1!$A$2:$C$1140,3,FALSE)</f>
        <v>1.44</v>
      </c>
      <c r="AH40" s="58">
        <v>1.44</v>
      </c>
      <c r="AI40" s="56" t="str">
        <f t="shared" si="4"/>
        <v>Increase</v>
      </c>
      <c r="AJ40" s="81">
        <f t="shared" si="8"/>
        <v>1091.3399999999999</v>
      </c>
      <c r="AK40" s="81">
        <f t="shared" si="9"/>
        <v>1114.56</v>
      </c>
      <c r="AL40" s="58" t="s">
        <v>7206</v>
      </c>
      <c r="AM40" s="58" t="s">
        <v>6703</v>
      </c>
      <c r="AN40" s="75">
        <v>1174</v>
      </c>
      <c r="AO40" s="88">
        <v>1.44</v>
      </c>
      <c r="AP40" s="6" t="str">
        <f t="shared" si="5"/>
        <v>Increase</v>
      </c>
      <c r="AQ40" s="81">
        <f t="shared" si="6"/>
        <v>1655.34</v>
      </c>
      <c r="AR40" s="81">
        <f t="shared" si="7"/>
        <v>1690.56</v>
      </c>
      <c r="AS40" s="82">
        <f t="shared" si="10"/>
        <v>35.220000000000027</v>
      </c>
    </row>
    <row r="41" spans="1:45" hidden="1" x14ac:dyDescent="0.3">
      <c r="A41">
        <v>5180498</v>
      </c>
      <c r="B41" s="15" t="s">
        <v>5377</v>
      </c>
      <c r="C41" s="16" t="s">
        <v>30</v>
      </c>
      <c r="D41" s="6" t="s">
        <v>31</v>
      </c>
      <c r="E41" t="s">
        <v>330</v>
      </c>
      <c r="F41" t="s">
        <v>330</v>
      </c>
      <c r="H41" s="11" t="s">
        <v>27</v>
      </c>
      <c r="I41" s="6" t="s">
        <v>28</v>
      </c>
      <c r="J41" s="6" t="s">
        <v>28</v>
      </c>
      <c r="K41" t="s">
        <v>32</v>
      </c>
      <c r="L41" s="35">
        <v>35.4</v>
      </c>
      <c r="M41" s="6" t="s">
        <v>29</v>
      </c>
      <c r="N41" s="6">
        <v>3105</v>
      </c>
      <c r="P41" s="18"/>
      <c r="Q41" s="17"/>
      <c r="R41" s="19">
        <v>35.4</v>
      </c>
      <c r="S41" s="19">
        <v>35.4</v>
      </c>
      <c r="T41" s="38">
        <v>765</v>
      </c>
      <c r="U41" s="38"/>
      <c r="V41" s="29">
        <v>35.4</v>
      </c>
      <c r="W41" s="35">
        <v>35.4</v>
      </c>
      <c r="X41" s="32">
        <f t="shared" si="0"/>
        <v>27081</v>
      </c>
      <c r="Y41" s="32">
        <f t="shared" si="1"/>
        <v>27081</v>
      </c>
      <c r="Z41" s="32">
        <f t="shared" si="2"/>
        <v>0</v>
      </c>
      <c r="AA41" s="38">
        <v>765</v>
      </c>
      <c r="AB41" s="37">
        <f>IFERROR(VLOOKUP(A41,'Tash Lookup'!A:E,3,FALSE),"")</f>
        <v>27087.18</v>
      </c>
      <c r="AC41" s="6">
        <f t="shared" si="3"/>
        <v>0</v>
      </c>
      <c r="AD41" s="2" t="s">
        <v>6704</v>
      </c>
      <c r="AF41" s="56">
        <v>37.22</v>
      </c>
      <c r="AG41" s="56" t="e">
        <f>VLOOKUP(A41,Sheet1!$A$2:$C$1140,3,FALSE)</f>
        <v>#N/A</v>
      </c>
      <c r="AH41" s="58" t="e">
        <v>#N/A</v>
      </c>
      <c r="AI41" s="56" t="str">
        <f t="shared" si="4"/>
        <v>Delete</v>
      </c>
      <c r="AJ41" s="81">
        <f t="shared" si="8"/>
        <v>28473.3</v>
      </c>
      <c r="AK41" s="81">
        <f t="shared" si="9"/>
        <v>0</v>
      </c>
      <c r="AL41" s="58" t="s">
        <v>32</v>
      </c>
      <c r="AM41" s="58" t="s">
        <v>6708</v>
      </c>
      <c r="AN41" s="75">
        <v>0</v>
      </c>
      <c r="AO41" s="88">
        <v>37.22</v>
      </c>
      <c r="AP41" s="6" t="str">
        <f t="shared" si="5"/>
        <v>Same</v>
      </c>
      <c r="AQ41" s="81">
        <f t="shared" si="6"/>
        <v>0</v>
      </c>
      <c r="AR41" s="81">
        <f t="shared" si="7"/>
        <v>0</v>
      </c>
      <c r="AS41" s="81">
        <f t="shared" si="10"/>
        <v>0</v>
      </c>
    </row>
    <row r="42" spans="1:45" hidden="1" x14ac:dyDescent="0.3">
      <c r="A42">
        <v>5092359</v>
      </c>
      <c r="B42" s="15" t="s">
        <v>5378</v>
      </c>
      <c r="C42" s="16" t="s">
        <v>30</v>
      </c>
      <c r="D42" s="6" t="s">
        <v>31</v>
      </c>
      <c r="E42" t="s">
        <v>49</v>
      </c>
      <c r="F42" t="s">
        <v>49</v>
      </c>
      <c r="H42" s="11" t="s">
        <v>27</v>
      </c>
      <c r="I42" s="6" t="s">
        <v>28</v>
      </c>
      <c r="J42" s="6" t="s">
        <v>28</v>
      </c>
      <c r="K42" t="s">
        <v>32</v>
      </c>
      <c r="L42" s="35">
        <v>24.44</v>
      </c>
      <c r="M42" s="6" t="s">
        <v>29</v>
      </c>
      <c r="N42" s="6">
        <v>3105</v>
      </c>
      <c r="P42" s="18"/>
      <c r="Q42" s="17"/>
      <c r="R42" s="19">
        <v>24.44</v>
      </c>
      <c r="S42" s="19">
        <v>24.44</v>
      </c>
      <c r="T42" s="38">
        <v>729</v>
      </c>
      <c r="U42" s="38"/>
      <c r="V42" s="29">
        <v>22.058999999999997</v>
      </c>
      <c r="W42" s="35">
        <v>24.44</v>
      </c>
      <c r="X42" s="32">
        <f t="shared" si="0"/>
        <v>16081.010999999999</v>
      </c>
      <c r="Y42" s="32">
        <f t="shared" si="1"/>
        <v>17816.760000000002</v>
      </c>
      <c r="Z42" s="32">
        <f t="shared" si="2"/>
        <v>-1735.7490000000034</v>
      </c>
      <c r="AA42" s="38">
        <v>729</v>
      </c>
      <c r="AB42" s="37">
        <f>IFERROR(VLOOKUP(A42,'Tash Lookup'!A:E,3,FALSE),"")</f>
        <v>17637.53</v>
      </c>
      <c r="AC42" s="6">
        <f t="shared" si="3"/>
        <v>0</v>
      </c>
      <c r="AD42" s="2" t="s">
        <v>6703</v>
      </c>
      <c r="AF42" s="56">
        <v>24.52</v>
      </c>
      <c r="AG42" s="56">
        <f>VLOOKUP(A42,Sheet1!$A$2:$C$1140,3,FALSE)</f>
        <v>24.52</v>
      </c>
      <c r="AH42" s="58">
        <v>24.52</v>
      </c>
      <c r="AI42" s="56" t="str">
        <f t="shared" si="4"/>
        <v>Same</v>
      </c>
      <c r="AJ42" s="81">
        <f t="shared" si="8"/>
        <v>17875.079999999998</v>
      </c>
      <c r="AK42" s="81">
        <f t="shared" si="9"/>
        <v>17875.079999999998</v>
      </c>
      <c r="AL42" s="58" t="s">
        <v>32</v>
      </c>
      <c r="AM42" s="58" t="s">
        <v>6703</v>
      </c>
      <c r="AN42" s="75">
        <v>433</v>
      </c>
      <c r="AO42" s="88">
        <v>24.52</v>
      </c>
      <c r="AP42" s="6" t="str">
        <f t="shared" si="5"/>
        <v>Same</v>
      </c>
      <c r="AQ42" s="81">
        <f t="shared" si="6"/>
        <v>10617.16</v>
      </c>
      <c r="AR42" s="81">
        <f t="shared" si="7"/>
        <v>10617.16</v>
      </c>
      <c r="AS42" s="81">
        <f t="shared" si="10"/>
        <v>0</v>
      </c>
    </row>
    <row r="43" spans="1:45" hidden="1" x14ac:dyDescent="0.3">
      <c r="A43">
        <v>5218683</v>
      </c>
      <c r="B43" s="15" t="s">
        <v>5379</v>
      </c>
      <c r="C43" s="16" t="s">
        <v>30</v>
      </c>
      <c r="D43" s="6" t="s">
        <v>31</v>
      </c>
      <c r="E43" t="s">
        <v>94</v>
      </c>
      <c r="F43" t="s">
        <v>94</v>
      </c>
      <c r="H43" s="11" t="s">
        <v>27</v>
      </c>
      <c r="I43" s="6" t="s">
        <v>28</v>
      </c>
      <c r="J43" s="6" t="s">
        <v>28</v>
      </c>
      <c r="K43" t="s">
        <v>32</v>
      </c>
      <c r="L43" s="35">
        <v>20.05</v>
      </c>
      <c r="M43" s="6" t="s">
        <v>29</v>
      </c>
      <c r="N43" s="6">
        <v>3105</v>
      </c>
      <c r="P43" s="18"/>
      <c r="Q43" s="17"/>
      <c r="R43" s="19">
        <v>24.5</v>
      </c>
      <c r="S43" s="19">
        <v>24.5</v>
      </c>
      <c r="T43" s="38">
        <v>718</v>
      </c>
      <c r="U43" s="38"/>
      <c r="V43" s="29">
        <v>20.05</v>
      </c>
      <c r="W43" s="45">
        <v>14.99</v>
      </c>
      <c r="X43" s="32">
        <f t="shared" si="0"/>
        <v>14395.9</v>
      </c>
      <c r="Y43" s="32">
        <f t="shared" si="1"/>
        <v>14395.9</v>
      </c>
      <c r="Z43" s="32">
        <f t="shared" si="2"/>
        <v>0</v>
      </c>
      <c r="AA43" s="38">
        <v>718</v>
      </c>
      <c r="AB43" s="37">
        <f>IFERROR(VLOOKUP(A43,'Tash Lookup'!A:E,3,FALSE),"")</f>
        <v>12437.27</v>
      </c>
      <c r="AC43" s="6">
        <f t="shared" si="3"/>
        <v>0</v>
      </c>
      <c r="AD43" s="2" t="s">
        <v>6703</v>
      </c>
      <c r="AF43" s="56">
        <v>19.32</v>
      </c>
      <c r="AG43" s="56">
        <f>VLOOKUP(A43,Sheet1!$A$2:$C$1140,3,FALSE)</f>
        <v>19.32</v>
      </c>
      <c r="AH43" s="58">
        <v>19.32</v>
      </c>
      <c r="AI43" s="56" t="str">
        <f t="shared" si="4"/>
        <v>Same</v>
      </c>
      <c r="AJ43" s="81">
        <f t="shared" si="8"/>
        <v>13871.76</v>
      </c>
      <c r="AK43" s="81">
        <f t="shared" si="9"/>
        <v>13871.76</v>
      </c>
      <c r="AL43" s="58" t="s">
        <v>32</v>
      </c>
      <c r="AM43" s="58" t="s">
        <v>6703</v>
      </c>
      <c r="AN43" s="75">
        <v>189</v>
      </c>
      <c r="AO43" s="88">
        <v>19.32</v>
      </c>
      <c r="AP43" s="6" t="str">
        <f t="shared" si="5"/>
        <v>Same</v>
      </c>
      <c r="AQ43" s="81">
        <f t="shared" si="6"/>
        <v>3651.48</v>
      </c>
      <c r="AR43" s="81">
        <f t="shared" si="7"/>
        <v>3651.48</v>
      </c>
      <c r="AS43" s="81">
        <f t="shared" si="10"/>
        <v>0</v>
      </c>
    </row>
    <row r="44" spans="1:45" hidden="1" x14ac:dyDescent="0.3">
      <c r="A44">
        <v>5090796</v>
      </c>
      <c r="B44" s="15" t="s">
        <v>5380</v>
      </c>
      <c r="C44" s="16" t="s">
        <v>30</v>
      </c>
      <c r="D44" s="6" t="s">
        <v>31</v>
      </c>
      <c r="E44" t="s">
        <v>75</v>
      </c>
      <c r="F44" t="s">
        <v>75</v>
      </c>
      <c r="H44" s="11" t="s">
        <v>27</v>
      </c>
      <c r="I44" s="6" t="s">
        <v>28</v>
      </c>
      <c r="J44" s="6" t="s">
        <v>28</v>
      </c>
      <c r="K44" t="s">
        <v>32</v>
      </c>
      <c r="L44" s="35">
        <v>35.840000000000003</v>
      </c>
      <c r="M44" s="6" t="s">
        <v>29</v>
      </c>
      <c r="N44" s="6">
        <v>3105</v>
      </c>
      <c r="P44" s="18"/>
      <c r="Q44" s="17"/>
      <c r="R44" s="19">
        <v>35.840000000000003</v>
      </c>
      <c r="S44" s="19">
        <v>35.840000000000003</v>
      </c>
      <c r="T44" s="38">
        <v>709</v>
      </c>
      <c r="U44" s="38"/>
      <c r="V44" s="29">
        <v>35.840000000000003</v>
      </c>
      <c r="W44" s="35">
        <v>35.840000000000003</v>
      </c>
      <c r="X44" s="32">
        <f t="shared" si="0"/>
        <v>25410.560000000001</v>
      </c>
      <c r="Y44" s="32">
        <f t="shared" si="1"/>
        <v>25410.560000000001</v>
      </c>
      <c r="Z44" s="32">
        <f t="shared" si="2"/>
        <v>0</v>
      </c>
      <c r="AA44" s="38">
        <v>709</v>
      </c>
      <c r="AB44" s="37">
        <f>IFERROR(VLOOKUP(A44,'Tash Lookup'!A:E,3,FALSE),"")</f>
        <v>25361.15</v>
      </c>
      <c r="AC44" s="6">
        <f t="shared" si="3"/>
        <v>0</v>
      </c>
      <c r="AD44" s="2" t="s">
        <v>6703</v>
      </c>
      <c r="AF44" s="56">
        <v>40.03</v>
      </c>
      <c r="AG44" s="56">
        <f>VLOOKUP(A44,Sheet1!$A$2:$C$1140,3,FALSE)</f>
        <v>40.03</v>
      </c>
      <c r="AH44" s="58">
        <v>40.03</v>
      </c>
      <c r="AI44" s="56" t="str">
        <f t="shared" si="4"/>
        <v>Same</v>
      </c>
      <c r="AJ44" s="81">
        <f t="shared" si="8"/>
        <v>28381.27</v>
      </c>
      <c r="AK44" s="81">
        <f t="shared" si="9"/>
        <v>28381.27</v>
      </c>
      <c r="AL44" s="58" t="s">
        <v>32</v>
      </c>
      <c r="AM44" s="58" t="s">
        <v>6703</v>
      </c>
      <c r="AN44" s="75">
        <v>447</v>
      </c>
      <c r="AO44" s="88">
        <v>40.03</v>
      </c>
      <c r="AP44" s="6" t="str">
        <f t="shared" si="5"/>
        <v>Same</v>
      </c>
      <c r="AQ44" s="81">
        <f t="shared" si="6"/>
        <v>17893.41</v>
      </c>
      <c r="AR44" s="81">
        <f t="shared" si="7"/>
        <v>17893.41</v>
      </c>
      <c r="AS44" s="81">
        <f t="shared" si="10"/>
        <v>0</v>
      </c>
    </row>
    <row r="45" spans="1:45" hidden="1" x14ac:dyDescent="0.3">
      <c r="A45">
        <v>5219317</v>
      </c>
      <c r="B45" s="15" t="s">
        <v>5381</v>
      </c>
      <c r="C45" s="16" t="s">
        <v>30</v>
      </c>
      <c r="D45" s="6" t="s">
        <v>31</v>
      </c>
      <c r="E45" t="s">
        <v>251</v>
      </c>
      <c r="F45" t="s">
        <v>251</v>
      </c>
      <c r="H45" s="11" t="s">
        <v>27</v>
      </c>
      <c r="I45" s="6" t="s">
        <v>28</v>
      </c>
      <c r="J45" s="6" t="s">
        <v>28</v>
      </c>
      <c r="K45" t="s">
        <v>32</v>
      </c>
      <c r="L45" s="29">
        <v>24.6</v>
      </c>
      <c r="M45" s="6" t="s">
        <v>29</v>
      </c>
      <c r="N45" s="6">
        <v>3105</v>
      </c>
      <c r="P45" s="18"/>
      <c r="Q45" s="17"/>
      <c r="R45" s="19">
        <v>24.6</v>
      </c>
      <c r="S45" s="19">
        <v>24.6</v>
      </c>
      <c r="T45" s="38">
        <v>697</v>
      </c>
      <c r="U45" s="38"/>
      <c r="V45" s="29">
        <v>24.6</v>
      </c>
      <c r="W45" s="44">
        <v>21.94</v>
      </c>
      <c r="X45" s="32">
        <f t="shared" si="0"/>
        <v>17146.2</v>
      </c>
      <c r="Y45" s="32">
        <f t="shared" si="1"/>
        <v>17146.2</v>
      </c>
      <c r="Z45" s="32">
        <f t="shared" si="2"/>
        <v>0</v>
      </c>
      <c r="AA45" s="38">
        <v>697</v>
      </c>
      <c r="AB45" s="37">
        <f>IFERROR(VLOOKUP(A45,'Tash Lookup'!A:E,3,FALSE),"")</f>
        <v>16646.21</v>
      </c>
      <c r="AC45" s="6">
        <f t="shared" si="3"/>
        <v>0</v>
      </c>
      <c r="AD45" s="2" t="s">
        <v>6703</v>
      </c>
      <c r="AF45" s="56">
        <v>26.86</v>
      </c>
      <c r="AG45" s="56">
        <f>VLOOKUP(A45,Sheet1!$A$2:$C$1140,3,FALSE)</f>
        <v>27.67</v>
      </c>
      <c r="AH45" s="58">
        <v>27.67</v>
      </c>
      <c r="AI45" s="56" t="str">
        <f t="shared" si="4"/>
        <v>Increase</v>
      </c>
      <c r="AJ45" s="81">
        <f t="shared" si="8"/>
        <v>18721.419999999998</v>
      </c>
      <c r="AK45" s="81">
        <f t="shared" si="9"/>
        <v>19285.990000000002</v>
      </c>
      <c r="AL45" s="58" t="s">
        <v>32</v>
      </c>
      <c r="AM45" s="58" t="s">
        <v>6703</v>
      </c>
      <c r="AN45" s="75">
        <v>65</v>
      </c>
      <c r="AO45" s="88">
        <v>27.67</v>
      </c>
      <c r="AP45" s="6" t="str">
        <f t="shared" si="5"/>
        <v>Increase</v>
      </c>
      <c r="AQ45" s="81">
        <f t="shared" si="6"/>
        <v>1745.8999999999999</v>
      </c>
      <c r="AR45" s="81">
        <f t="shared" si="7"/>
        <v>1798.5500000000002</v>
      </c>
      <c r="AS45" s="82">
        <f t="shared" si="10"/>
        <v>52.650000000000318</v>
      </c>
    </row>
    <row r="46" spans="1:45" hidden="1" x14ac:dyDescent="0.3">
      <c r="A46">
        <v>5180448</v>
      </c>
      <c r="B46" s="15" t="s">
        <v>5382</v>
      </c>
      <c r="C46" s="16" t="s">
        <v>30</v>
      </c>
      <c r="D46" s="6" t="s">
        <v>31</v>
      </c>
      <c r="E46" t="s">
        <v>189</v>
      </c>
      <c r="F46" t="s">
        <v>189</v>
      </c>
      <c r="H46" s="11" t="s">
        <v>27</v>
      </c>
      <c r="I46" s="6" t="s">
        <v>28</v>
      </c>
      <c r="J46" s="6" t="s">
        <v>28</v>
      </c>
      <c r="K46" t="s">
        <v>32</v>
      </c>
      <c r="L46" s="35">
        <v>35.159999999999997</v>
      </c>
      <c r="M46" s="6" t="s">
        <v>29</v>
      </c>
      <c r="N46" s="6">
        <v>3105</v>
      </c>
      <c r="P46" s="18"/>
      <c r="Q46" s="17"/>
      <c r="R46" s="19">
        <v>35.159999999999997</v>
      </c>
      <c r="S46" s="19">
        <v>35.159999999999997</v>
      </c>
      <c r="T46" s="38">
        <v>696</v>
      </c>
      <c r="U46" s="38"/>
      <c r="V46" s="29">
        <v>35.159999999999997</v>
      </c>
      <c r="W46" s="35">
        <v>35.159999999999997</v>
      </c>
      <c r="X46" s="32">
        <f t="shared" si="0"/>
        <v>24471.359999999997</v>
      </c>
      <c r="Y46" s="32">
        <f t="shared" si="1"/>
        <v>24471.359999999997</v>
      </c>
      <c r="Z46" s="32">
        <f t="shared" si="2"/>
        <v>0</v>
      </c>
      <c r="AA46" s="38">
        <v>696</v>
      </c>
      <c r="AB46" s="37">
        <f>IFERROR(VLOOKUP(A46,'Tash Lookup'!A:E,3,FALSE),"")</f>
        <v>24301.93</v>
      </c>
      <c r="AC46" s="6">
        <f t="shared" si="3"/>
        <v>0</v>
      </c>
      <c r="AD46" s="2" t="s">
        <v>6703</v>
      </c>
      <c r="AF46" s="56">
        <v>36.44</v>
      </c>
      <c r="AG46" s="56">
        <f>VLOOKUP(A46,Sheet1!$A$2:$C$1140,3,FALSE)</f>
        <v>36.44</v>
      </c>
      <c r="AH46" s="58">
        <v>36.44</v>
      </c>
      <c r="AI46" s="56" t="str">
        <f t="shared" si="4"/>
        <v>Same</v>
      </c>
      <c r="AJ46" s="81">
        <f t="shared" si="8"/>
        <v>25362.239999999998</v>
      </c>
      <c r="AK46" s="81">
        <f t="shared" si="9"/>
        <v>25362.239999999998</v>
      </c>
      <c r="AL46" s="58" t="s">
        <v>32</v>
      </c>
      <c r="AM46" s="58" t="s">
        <v>6703</v>
      </c>
      <c r="AN46" s="75">
        <v>563</v>
      </c>
      <c r="AO46" s="88">
        <v>36.44</v>
      </c>
      <c r="AP46" s="6" t="str">
        <f t="shared" si="5"/>
        <v>Same</v>
      </c>
      <c r="AQ46" s="81">
        <f t="shared" si="6"/>
        <v>20515.719999999998</v>
      </c>
      <c r="AR46" s="81">
        <f t="shared" si="7"/>
        <v>20515.719999999998</v>
      </c>
      <c r="AS46" s="81">
        <f t="shared" si="10"/>
        <v>0</v>
      </c>
    </row>
    <row r="47" spans="1:45" hidden="1" x14ac:dyDescent="0.3">
      <c r="A47">
        <v>5097226</v>
      </c>
      <c r="B47" s="15" t="s">
        <v>5383</v>
      </c>
      <c r="C47" s="16" t="s">
        <v>30</v>
      </c>
      <c r="D47" s="6" t="s">
        <v>31</v>
      </c>
      <c r="E47" t="s">
        <v>506</v>
      </c>
      <c r="F47" t="s">
        <v>506</v>
      </c>
      <c r="H47" s="11" t="s">
        <v>27</v>
      </c>
      <c r="I47" s="6" t="s">
        <v>28</v>
      </c>
      <c r="J47" s="6" t="s">
        <v>28</v>
      </c>
      <c r="K47" t="s">
        <v>32</v>
      </c>
      <c r="L47" s="35">
        <v>63.18</v>
      </c>
      <c r="M47" s="6" t="s">
        <v>29</v>
      </c>
      <c r="N47" s="6">
        <v>3105</v>
      </c>
      <c r="P47" s="18"/>
      <c r="Q47" s="17"/>
      <c r="R47" s="19">
        <v>63.18</v>
      </c>
      <c r="S47" s="19">
        <v>63.18</v>
      </c>
      <c r="T47" s="38">
        <v>692</v>
      </c>
      <c r="U47" s="38"/>
      <c r="V47" s="29">
        <v>63.18</v>
      </c>
      <c r="W47" s="35">
        <v>63.18</v>
      </c>
      <c r="X47" s="32">
        <f t="shared" si="0"/>
        <v>43720.56</v>
      </c>
      <c r="Y47" s="32">
        <f t="shared" si="1"/>
        <v>43720.56</v>
      </c>
      <c r="Z47" s="32">
        <f t="shared" si="2"/>
        <v>0</v>
      </c>
      <c r="AA47" s="38">
        <v>692</v>
      </c>
      <c r="AB47" s="37">
        <f>IFERROR(VLOOKUP(A47,'Tash Lookup'!A:E,3,FALSE),"")</f>
        <v>43014.02</v>
      </c>
      <c r="AC47" s="6">
        <f t="shared" si="3"/>
        <v>0</v>
      </c>
      <c r="AD47" s="2" t="s">
        <v>6703</v>
      </c>
      <c r="AF47" s="56">
        <v>66.78</v>
      </c>
      <c r="AG47" s="56">
        <f>VLOOKUP(A47,Sheet1!$A$2:$C$1140,3,FALSE)</f>
        <v>68.78</v>
      </c>
      <c r="AH47" s="58">
        <v>68.78</v>
      </c>
      <c r="AI47" s="56" t="str">
        <f t="shared" si="4"/>
        <v>Increase</v>
      </c>
      <c r="AJ47" s="81">
        <f t="shared" si="8"/>
        <v>46211.76</v>
      </c>
      <c r="AK47" s="81">
        <f t="shared" si="9"/>
        <v>47595.76</v>
      </c>
      <c r="AL47" s="58" t="s">
        <v>32</v>
      </c>
      <c r="AM47" s="58" t="s">
        <v>6703</v>
      </c>
      <c r="AN47" s="75">
        <v>43</v>
      </c>
      <c r="AO47" s="88">
        <v>68.78</v>
      </c>
      <c r="AP47" s="6" t="str">
        <f t="shared" si="5"/>
        <v>Increase</v>
      </c>
      <c r="AQ47" s="81">
        <f t="shared" si="6"/>
        <v>2871.54</v>
      </c>
      <c r="AR47" s="81">
        <f t="shared" si="7"/>
        <v>2957.54</v>
      </c>
      <c r="AS47" s="82">
        <f t="shared" si="10"/>
        <v>86</v>
      </c>
    </row>
    <row r="48" spans="1:45" hidden="1" x14ac:dyDescent="0.3">
      <c r="A48">
        <v>6188902</v>
      </c>
      <c r="B48" s="15" t="s">
        <v>5384</v>
      </c>
      <c r="C48" s="16" t="s">
        <v>30</v>
      </c>
      <c r="D48" s="6" t="s">
        <v>31</v>
      </c>
      <c r="E48" t="s">
        <v>862</v>
      </c>
      <c r="F48" t="s">
        <v>862</v>
      </c>
      <c r="H48" s="11" t="s">
        <v>27</v>
      </c>
      <c r="I48" s="6" t="s">
        <v>28</v>
      </c>
      <c r="J48" s="6" t="s">
        <v>28</v>
      </c>
      <c r="K48" t="s">
        <v>32</v>
      </c>
      <c r="L48" s="48">
        <v>1.93</v>
      </c>
      <c r="M48" s="6" t="s">
        <v>29</v>
      </c>
      <c r="N48" s="6">
        <v>3105</v>
      </c>
      <c r="P48" s="18"/>
      <c r="Q48" s="17"/>
      <c r="R48" s="19">
        <v>1.93</v>
      </c>
      <c r="S48" s="19">
        <v>1.93</v>
      </c>
      <c r="T48" s="38">
        <v>613</v>
      </c>
      <c r="U48" s="38"/>
      <c r="V48" s="30">
        <v>1.93</v>
      </c>
      <c r="W48" s="35">
        <v>1.93</v>
      </c>
      <c r="X48" s="32">
        <f t="shared" si="0"/>
        <v>1183.0899999999999</v>
      </c>
      <c r="Y48" s="32">
        <f t="shared" si="1"/>
        <v>1183.0899999999999</v>
      </c>
      <c r="Z48" s="32">
        <f t="shared" si="2"/>
        <v>0</v>
      </c>
      <c r="AA48" s="38">
        <v>613</v>
      </c>
      <c r="AB48" s="37">
        <f>IFERROR(VLOOKUP(A48,'Tash Lookup'!A:E,3,FALSE),"")</f>
        <v>1159.26</v>
      </c>
      <c r="AC48" s="6">
        <f t="shared" si="3"/>
        <v>0</v>
      </c>
      <c r="AD48" s="2" t="s">
        <v>6703</v>
      </c>
      <c r="AF48" s="56">
        <v>1.93</v>
      </c>
      <c r="AG48" s="56">
        <f>VLOOKUP(A48,Sheet1!$A$2:$C$1140,3,FALSE)</f>
        <v>1.97</v>
      </c>
      <c r="AH48" s="58">
        <v>1.97</v>
      </c>
      <c r="AI48" s="56" t="str">
        <f t="shared" si="4"/>
        <v>Increase</v>
      </c>
      <c r="AJ48" s="81">
        <f t="shared" si="8"/>
        <v>1183.0899999999999</v>
      </c>
      <c r="AK48" s="81">
        <f t="shared" si="9"/>
        <v>1207.6099999999999</v>
      </c>
      <c r="AL48" s="58" t="s">
        <v>7206</v>
      </c>
      <c r="AM48" s="58" t="s">
        <v>6703</v>
      </c>
      <c r="AN48" s="75">
        <v>226</v>
      </c>
      <c r="AO48" s="88">
        <v>1.97</v>
      </c>
      <c r="AP48" s="6" t="str">
        <f t="shared" si="5"/>
        <v>Increase</v>
      </c>
      <c r="AQ48" s="81">
        <f t="shared" si="6"/>
        <v>436.18</v>
      </c>
      <c r="AR48" s="81">
        <f t="shared" si="7"/>
        <v>445.21999999999997</v>
      </c>
      <c r="AS48" s="82">
        <f t="shared" si="10"/>
        <v>9.0399999999999636</v>
      </c>
    </row>
    <row r="49" spans="1:45" hidden="1" x14ac:dyDescent="0.3">
      <c r="A49">
        <v>6188900</v>
      </c>
      <c r="B49" s="15" t="s">
        <v>5385</v>
      </c>
      <c r="C49" s="16" t="s">
        <v>30</v>
      </c>
      <c r="D49" s="6" t="s">
        <v>31</v>
      </c>
      <c r="E49" t="s">
        <v>835</v>
      </c>
      <c r="F49" t="s">
        <v>835</v>
      </c>
      <c r="H49" s="11" t="s">
        <v>27</v>
      </c>
      <c r="I49" s="6" t="s">
        <v>28</v>
      </c>
      <c r="J49" s="6" t="s">
        <v>28</v>
      </c>
      <c r="K49" t="s">
        <v>32</v>
      </c>
      <c r="L49" s="35">
        <v>0.78</v>
      </c>
      <c r="M49" s="6" t="s">
        <v>29</v>
      </c>
      <c r="N49" s="6">
        <v>3105</v>
      </c>
      <c r="P49" s="18"/>
      <c r="Q49" s="17"/>
      <c r="R49" s="19">
        <v>0.78</v>
      </c>
      <c r="S49" s="19">
        <v>0.78</v>
      </c>
      <c r="T49" s="38">
        <v>610</v>
      </c>
      <c r="U49" s="38"/>
      <c r="V49" s="30">
        <v>0.78</v>
      </c>
      <c r="W49" s="35">
        <v>0.78</v>
      </c>
      <c r="X49" s="32">
        <f t="shared" si="0"/>
        <v>475.8</v>
      </c>
      <c r="Y49" s="32">
        <f t="shared" si="1"/>
        <v>475.8</v>
      </c>
      <c r="Z49" s="32">
        <f t="shared" si="2"/>
        <v>0</v>
      </c>
      <c r="AA49" s="38">
        <v>610</v>
      </c>
      <c r="AB49" s="37">
        <f>IFERROR(VLOOKUP(A49,'Tash Lookup'!A:E,3,FALSE),"")</f>
        <v>476.25</v>
      </c>
      <c r="AC49" s="6">
        <f t="shared" si="3"/>
        <v>0</v>
      </c>
      <c r="AD49" s="2" t="s">
        <v>6703</v>
      </c>
      <c r="AF49" s="56">
        <v>0.78</v>
      </c>
      <c r="AG49" s="56">
        <f>VLOOKUP(A49,Sheet1!$A$2:$C$1140,3,FALSE)</f>
        <v>0.79</v>
      </c>
      <c r="AH49" s="58">
        <v>0.79</v>
      </c>
      <c r="AI49" s="56" t="str">
        <f t="shared" si="4"/>
        <v>Increase</v>
      </c>
      <c r="AJ49" s="81">
        <f t="shared" si="8"/>
        <v>475.8</v>
      </c>
      <c r="AK49" s="81">
        <f t="shared" si="9"/>
        <v>481.90000000000003</v>
      </c>
      <c r="AL49" s="58" t="s">
        <v>7206</v>
      </c>
      <c r="AM49" s="58" t="s">
        <v>6703</v>
      </c>
      <c r="AN49" s="75">
        <v>856</v>
      </c>
      <c r="AO49" s="88">
        <v>0.79</v>
      </c>
      <c r="AP49" s="6" t="str">
        <f t="shared" si="5"/>
        <v>Increase</v>
      </c>
      <c r="AQ49" s="81">
        <f t="shared" si="6"/>
        <v>667.68000000000006</v>
      </c>
      <c r="AR49" s="81">
        <f t="shared" si="7"/>
        <v>676.24</v>
      </c>
      <c r="AS49" s="82">
        <f t="shared" si="10"/>
        <v>8.5599999999999454</v>
      </c>
    </row>
    <row r="50" spans="1:45" hidden="1" x14ac:dyDescent="0.3">
      <c r="A50">
        <v>5556023</v>
      </c>
      <c r="B50" s="15" t="s">
        <v>5386</v>
      </c>
      <c r="C50" s="16" t="s">
        <v>30</v>
      </c>
      <c r="D50" s="6" t="s">
        <v>31</v>
      </c>
      <c r="E50" t="s">
        <v>2977</v>
      </c>
      <c r="F50" t="s">
        <v>5216</v>
      </c>
      <c r="H50" s="11" t="s">
        <v>27</v>
      </c>
      <c r="I50" s="6" t="s">
        <v>28</v>
      </c>
      <c r="J50" s="6" t="s">
        <v>28</v>
      </c>
      <c r="K50" t="s">
        <v>32</v>
      </c>
      <c r="L50" s="35">
        <v>52.61</v>
      </c>
      <c r="M50" s="6" t="s">
        <v>29</v>
      </c>
      <c r="N50" s="6">
        <v>3105</v>
      </c>
      <c r="P50" s="18"/>
      <c r="Q50" s="17"/>
      <c r="R50" s="19">
        <v>52.61</v>
      </c>
      <c r="S50" s="19">
        <v>52.61</v>
      </c>
      <c r="T50" s="38">
        <v>605</v>
      </c>
      <c r="U50" s="38"/>
      <c r="V50" s="29">
        <v>52.61</v>
      </c>
      <c r="W50" s="35">
        <v>52.61</v>
      </c>
      <c r="X50" s="32">
        <f t="shared" si="0"/>
        <v>31829.05</v>
      </c>
      <c r="Y50" s="32">
        <f t="shared" si="1"/>
        <v>31829.05</v>
      </c>
      <c r="Z50" s="32">
        <f t="shared" si="2"/>
        <v>0</v>
      </c>
      <c r="AA50" s="38">
        <v>605</v>
      </c>
      <c r="AB50" s="37">
        <f>IFERROR(VLOOKUP(A50,'Tash Lookup'!A:E,3,FALSE),"")</f>
        <v>30537.97</v>
      </c>
      <c r="AC50" s="6">
        <f t="shared" si="3"/>
        <v>0</v>
      </c>
      <c r="AD50" s="2" t="s">
        <v>6705</v>
      </c>
      <c r="AF50" s="56">
        <v>44.99</v>
      </c>
      <c r="AG50" s="56">
        <f>VLOOKUP(A50,Sheet1!$A$2:$C$1140,3,FALSE)</f>
        <v>44.99</v>
      </c>
      <c r="AH50" s="58">
        <v>44.99</v>
      </c>
      <c r="AI50" s="56" t="str">
        <f t="shared" si="4"/>
        <v>Same</v>
      </c>
      <c r="AJ50" s="81">
        <f t="shared" si="8"/>
        <v>27218.95</v>
      </c>
      <c r="AK50" s="81">
        <f t="shared" si="9"/>
        <v>27218.95</v>
      </c>
      <c r="AL50" s="58" t="s">
        <v>32</v>
      </c>
      <c r="AM50" s="58" t="s">
        <v>6705</v>
      </c>
      <c r="AN50" s="75">
        <v>314</v>
      </c>
      <c r="AO50" s="88">
        <v>44.99</v>
      </c>
      <c r="AP50" s="6" t="str">
        <f t="shared" si="5"/>
        <v>Same</v>
      </c>
      <c r="AQ50" s="81">
        <f t="shared" si="6"/>
        <v>14126.86</v>
      </c>
      <c r="AR50" s="81">
        <f t="shared" si="7"/>
        <v>14126.86</v>
      </c>
      <c r="AS50" s="81">
        <f t="shared" si="10"/>
        <v>0</v>
      </c>
    </row>
    <row r="51" spans="1:45" hidden="1" x14ac:dyDescent="0.3">
      <c r="A51">
        <v>5196657</v>
      </c>
      <c r="B51" s="15" t="s">
        <v>5387</v>
      </c>
      <c r="C51" s="16" t="s">
        <v>30</v>
      </c>
      <c r="D51" s="6" t="s">
        <v>31</v>
      </c>
      <c r="E51" t="s">
        <v>68</v>
      </c>
      <c r="F51" t="s">
        <v>68</v>
      </c>
      <c r="H51" s="11" t="s">
        <v>27</v>
      </c>
      <c r="I51" s="6" t="s">
        <v>28</v>
      </c>
      <c r="J51" s="6" t="s">
        <v>28</v>
      </c>
      <c r="K51" t="s">
        <v>32</v>
      </c>
      <c r="L51" s="35">
        <v>34.409999999999997</v>
      </c>
      <c r="M51" s="6" t="s">
        <v>29</v>
      </c>
      <c r="N51" s="6">
        <v>3105</v>
      </c>
      <c r="P51" s="18"/>
      <c r="Q51" s="17"/>
      <c r="R51" s="19">
        <v>34.409999999999997</v>
      </c>
      <c r="S51" s="19">
        <v>34.409999999999997</v>
      </c>
      <c r="T51" s="38">
        <v>604</v>
      </c>
      <c r="U51" s="38"/>
      <c r="V51" s="29">
        <v>34.409999999999997</v>
      </c>
      <c r="W51" s="35">
        <v>34.409999999999997</v>
      </c>
      <c r="X51" s="32">
        <f t="shared" si="0"/>
        <v>20783.64</v>
      </c>
      <c r="Y51" s="32">
        <f t="shared" si="1"/>
        <v>20783.64</v>
      </c>
      <c r="Z51" s="32">
        <f t="shared" si="2"/>
        <v>0</v>
      </c>
      <c r="AA51" s="38">
        <v>604</v>
      </c>
      <c r="AB51" s="37">
        <f>IFERROR(VLOOKUP(A51,'Tash Lookup'!A:E,3,FALSE),"")</f>
        <v>20740.349999999999</v>
      </c>
      <c r="AC51" s="6">
        <f t="shared" si="3"/>
        <v>0</v>
      </c>
      <c r="AD51" s="2" t="s">
        <v>6705</v>
      </c>
      <c r="AF51" s="56">
        <v>35.340000000000003</v>
      </c>
      <c r="AG51" s="56">
        <f>VLOOKUP(A51,Sheet1!$A$2:$C$1140,3,FALSE)</f>
        <v>35.340000000000003</v>
      </c>
      <c r="AH51" s="58">
        <v>35.340000000000003</v>
      </c>
      <c r="AI51" s="56" t="str">
        <f t="shared" si="4"/>
        <v>Same</v>
      </c>
      <c r="AJ51" s="81">
        <f t="shared" si="8"/>
        <v>21345.360000000001</v>
      </c>
      <c r="AK51" s="81">
        <f t="shared" si="9"/>
        <v>21345.360000000001</v>
      </c>
      <c r="AL51" s="58" t="s">
        <v>32</v>
      </c>
      <c r="AM51" s="58" t="s">
        <v>6703</v>
      </c>
      <c r="AN51" s="75">
        <v>10</v>
      </c>
      <c r="AO51" s="88">
        <v>35.340000000000003</v>
      </c>
      <c r="AP51" s="6" t="str">
        <f t="shared" si="5"/>
        <v>Same</v>
      </c>
      <c r="AQ51" s="81">
        <f t="shared" si="6"/>
        <v>353.40000000000003</v>
      </c>
      <c r="AR51" s="81">
        <f t="shared" si="7"/>
        <v>353.40000000000003</v>
      </c>
      <c r="AS51" s="81">
        <f t="shared" si="10"/>
        <v>0</v>
      </c>
    </row>
    <row r="52" spans="1:45" hidden="1" x14ac:dyDescent="0.3">
      <c r="A52">
        <v>5218674</v>
      </c>
      <c r="B52" s="15" t="s">
        <v>5388</v>
      </c>
      <c r="C52" s="16" t="s">
        <v>30</v>
      </c>
      <c r="D52" s="6" t="s">
        <v>31</v>
      </c>
      <c r="E52" t="s">
        <v>90</v>
      </c>
      <c r="F52" t="s">
        <v>90</v>
      </c>
      <c r="H52" s="11" t="s">
        <v>27</v>
      </c>
      <c r="I52" s="6" t="s">
        <v>28</v>
      </c>
      <c r="J52" s="6" t="s">
        <v>28</v>
      </c>
      <c r="K52" t="s">
        <v>32</v>
      </c>
      <c r="L52" s="35">
        <v>22.05</v>
      </c>
      <c r="M52" s="6" t="s">
        <v>29</v>
      </c>
      <c r="N52" s="6">
        <v>3105</v>
      </c>
      <c r="P52" s="18"/>
      <c r="Q52" s="17"/>
      <c r="R52" s="19">
        <v>26.94</v>
      </c>
      <c r="S52" s="19">
        <v>26.94</v>
      </c>
      <c r="T52" s="38">
        <v>594</v>
      </c>
      <c r="U52" s="38"/>
      <c r="V52" s="29">
        <v>22.05</v>
      </c>
      <c r="W52" s="45">
        <v>16.47</v>
      </c>
      <c r="X52" s="32">
        <f t="shared" si="0"/>
        <v>13097.7</v>
      </c>
      <c r="Y52" s="32">
        <f t="shared" si="1"/>
        <v>13097.7</v>
      </c>
      <c r="Z52" s="32">
        <f t="shared" si="2"/>
        <v>0</v>
      </c>
      <c r="AA52" s="38">
        <v>594</v>
      </c>
      <c r="AB52" s="37">
        <f>IFERROR(VLOOKUP(A52,'Tash Lookup'!A:E,3,FALSE),"")</f>
        <v>11432.78</v>
      </c>
      <c r="AC52" s="6">
        <f t="shared" si="3"/>
        <v>0</v>
      </c>
      <c r="AD52" s="2" t="s">
        <v>6703</v>
      </c>
      <c r="AF52" s="56">
        <v>21.13</v>
      </c>
      <c r="AG52" s="56">
        <f>VLOOKUP(A52,Sheet1!$A$2:$C$1140,3,FALSE)</f>
        <v>21.13</v>
      </c>
      <c r="AH52" s="58">
        <v>21.13</v>
      </c>
      <c r="AI52" s="56" t="str">
        <f t="shared" si="4"/>
        <v>Same</v>
      </c>
      <c r="AJ52" s="81">
        <f t="shared" si="8"/>
        <v>12551.22</v>
      </c>
      <c r="AK52" s="81">
        <f t="shared" si="9"/>
        <v>12551.22</v>
      </c>
      <c r="AL52" s="58" t="s">
        <v>32</v>
      </c>
      <c r="AM52" s="58" t="s">
        <v>6703</v>
      </c>
      <c r="AN52" s="75">
        <v>100</v>
      </c>
      <c r="AO52" s="88">
        <v>21.13</v>
      </c>
      <c r="AP52" s="6" t="str">
        <f t="shared" si="5"/>
        <v>Same</v>
      </c>
      <c r="AQ52" s="81">
        <f t="shared" si="6"/>
        <v>2113</v>
      </c>
      <c r="AR52" s="81">
        <f t="shared" si="7"/>
        <v>2113</v>
      </c>
      <c r="AS52" s="81">
        <f t="shared" si="10"/>
        <v>0</v>
      </c>
    </row>
    <row r="53" spans="1:45" hidden="1" x14ac:dyDescent="0.3">
      <c r="A53">
        <v>6365257</v>
      </c>
      <c r="B53" s="15" t="s">
        <v>5389</v>
      </c>
      <c r="C53" s="16" t="s">
        <v>30</v>
      </c>
      <c r="D53" s="6" t="s">
        <v>31</v>
      </c>
      <c r="E53" t="s">
        <v>1258</v>
      </c>
      <c r="F53" t="s">
        <v>1258</v>
      </c>
      <c r="H53" s="11" t="s">
        <v>27</v>
      </c>
      <c r="I53" s="6" t="s">
        <v>28</v>
      </c>
      <c r="J53" s="6" t="s">
        <v>28</v>
      </c>
      <c r="K53" t="s">
        <v>32</v>
      </c>
      <c r="L53" s="35">
        <v>8.23</v>
      </c>
      <c r="M53" s="6" t="s">
        <v>29</v>
      </c>
      <c r="N53" s="6">
        <v>3105</v>
      </c>
      <c r="P53" s="18"/>
      <c r="Q53" s="17"/>
      <c r="R53" s="19">
        <v>8.23</v>
      </c>
      <c r="S53" s="19">
        <v>8.23</v>
      </c>
      <c r="T53" s="38">
        <v>570</v>
      </c>
      <c r="U53" s="38"/>
      <c r="V53" s="30">
        <v>8.23</v>
      </c>
      <c r="W53" s="35">
        <v>8.23</v>
      </c>
      <c r="X53" s="32">
        <f t="shared" si="0"/>
        <v>4691.1000000000004</v>
      </c>
      <c r="Y53" s="32">
        <f t="shared" si="1"/>
        <v>4691.1000000000004</v>
      </c>
      <c r="Z53" s="32">
        <f t="shared" si="2"/>
        <v>0</v>
      </c>
      <c r="AA53" s="38">
        <v>570</v>
      </c>
      <c r="AB53" s="37">
        <f>IFERROR(VLOOKUP(A53,'Tash Lookup'!A:E,3,FALSE),"")</f>
        <v>4604.59</v>
      </c>
      <c r="AC53" s="6">
        <f t="shared" si="3"/>
        <v>0</v>
      </c>
      <c r="AD53" s="2" t="s">
        <v>6703</v>
      </c>
      <c r="AF53" s="56">
        <v>8.65</v>
      </c>
      <c r="AG53" s="56">
        <f>VLOOKUP(A53,Sheet1!$A$2:$C$1140,3,FALSE)</f>
        <v>8.82</v>
      </c>
      <c r="AH53" s="58">
        <v>8.82</v>
      </c>
      <c r="AI53" s="56" t="str">
        <f t="shared" si="4"/>
        <v>Increase</v>
      </c>
      <c r="AJ53" s="81">
        <f t="shared" si="8"/>
        <v>4930.5</v>
      </c>
      <c r="AK53" s="81">
        <f t="shared" si="9"/>
        <v>5027.4000000000005</v>
      </c>
      <c r="AL53" s="58" t="s">
        <v>7206</v>
      </c>
      <c r="AM53" s="58" t="s">
        <v>6703</v>
      </c>
      <c r="AN53" s="75">
        <v>225</v>
      </c>
      <c r="AO53" s="88">
        <v>8.82</v>
      </c>
      <c r="AP53" s="6" t="str">
        <f t="shared" si="5"/>
        <v>Increase</v>
      </c>
      <c r="AQ53" s="81">
        <f t="shared" si="6"/>
        <v>1946.25</v>
      </c>
      <c r="AR53" s="81">
        <f t="shared" si="7"/>
        <v>1984.5</v>
      </c>
      <c r="AS53" s="82">
        <f t="shared" si="10"/>
        <v>38.25</v>
      </c>
    </row>
    <row r="54" spans="1:45" hidden="1" x14ac:dyDescent="0.3">
      <c r="A54">
        <v>6188860</v>
      </c>
      <c r="B54" s="15" t="s">
        <v>5390</v>
      </c>
      <c r="C54" s="16" t="s">
        <v>30</v>
      </c>
      <c r="D54" s="6" t="s">
        <v>31</v>
      </c>
      <c r="E54" t="s">
        <v>794</v>
      </c>
      <c r="F54" t="s">
        <v>794</v>
      </c>
      <c r="H54" s="11" t="s">
        <v>27</v>
      </c>
      <c r="I54" s="6" t="s">
        <v>28</v>
      </c>
      <c r="J54" s="6" t="s">
        <v>28</v>
      </c>
      <c r="K54" t="s">
        <v>32</v>
      </c>
      <c r="L54" s="35">
        <v>5.69</v>
      </c>
      <c r="M54" s="6" t="s">
        <v>29</v>
      </c>
      <c r="N54" s="6">
        <v>3105</v>
      </c>
      <c r="P54" s="18"/>
      <c r="Q54" s="17"/>
      <c r="R54" s="19">
        <v>5.95</v>
      </c>
      <c r="S54" s="19">
        <v>0</v>
      </c>
      <c r="T54" s="38">
        <v>550</v>
      </c>
      <c r="U54" s="38"/>
      <c r="V54" s="30">
        <v>5.95</v>
      </c>
      <c r="W54" s="35">
        <v>5.69</v>
      </c>
      <c r="X54" s="32">
        <f t="shared" si="0"/>
        <v>3272.5</v>
      </c>
      <c r="Y54" s="32">
        <f t="shared" si="1"/>
        <v>3129.5</v>
      </c>
      <c r="Z54" s="32">
        <f t="shared" si="2"/>
        <v>143</v>
      </c>
      <c r="AA54" s="38">
        <v>550</v>
      </c>
      <c r="AB54" s="37">
        <f>IFERROR(VLOOKUP(A54,'Tash Lookup'!A:E,3,FALSE),"")</f>
        <v>3115.1</v>
      </c>
      <c r="AC54" s="6">
        <f t="shared" si="3"/>
        <v>0</v>
      </c>
      <c r="AD54" s="2" t="s">
        <v>6703</v>
      </c>
      <c r="AF54" s="56">
        <v>5.69</v>
      </c>
      <c r="AG54" s="56">
        <f>VLOOKUP(A54,Sheet1!$A$2:$C$1140,3,FALSE)</f>
        <v>5.8</v>
      </c>
      <c r="AH54" s="58">
        <v>5.8</v>
      </c>
      <c r="AI54" s="56" t="str">
        <f t="shared" si="4"/>
        <v>Increase</v>
      </c>
      <c r="AJ54" s="81">
        <f t="shared" si="8"/>
        <v>3129.5</v>
      </c>
      <c r="AK54" s="81">
        <f t="shared" si="9"/>
        <v>3190</v>
      </c>
      <c r="AL54" s="58" t="s">
        <v>7206</v>
      </c>
      <c r="AM54" s="58" t="s">
        <v>6703</v>
      </c>
      <c r="AN54" s="75">
        <v>350</v>
      </c>
      <c r="AO54" s="88">
        <v>5.8</v>
      </c>
      <c r="AP54" s="6" t="str">
        <f t="shared" si="5"/>
        <v>Increase</v>
      </c>
      <c r="AQ54" s="81">
        <f t="shared" si="6"/>
        <v>1991.5000000000002</v>
      </c>
      <c r="AR54" s="81">
        <f t="shared" si="7"/>
        <v>2030</v>
      </c>
      <c r="AS54" s="82">
        <f t="shared" si="10"/>
        <v>38.499999999999773</v>
      </c>
    </row>
    <row r="55" spans="1:45" hidden="1" x14ac:dyDescent="0.3">
      <c r="A55">
        <v>5180449</v>
      </c>
      <c r="B55" s="15" t="s">
        <v>5391</v>
      </c>
      <c r="C55" s="16" t="s">
        <v>30</v>
      </c>
      <c r="D55" s="6" t="s">
        <v>31</v>
      </c>
      <c r="E55" t="s">
        <v>195</v>
      </c>
      <c r="F55" t="s">
        <v>195</v>
      </c>
      <c r="H55" s="11" t="s">
        <v>27</v>
      </c>
      <c r="I55" s="6" t="s">
        <v>28</v>
      </c>
      <c r="J55" s="6" t="s">
        <v>28</v>
      </c>
      <c r="K55" t="s">
        <v>32</v>
      </c>
      <c r="L55" s="35">
        <v>38.32</v>
      </c>
      <c r="M55" s="6" t="s">
        <v>29</v>
      </c>
      <c r="N55" s="6">
        <v>3105</v>
      </c>
      <c r="P55" s="18"/>
      <c r="Q55" s="17"/>
      <c r="R55" s="19">
        <v>38.32</v>
      </c>
      <c r="S55" s="19">
        <v>38.32</v>
      </c>
      <c r="T55" s="38">
        <v>544</v>
      </c>
      <c r="U55" s="38"/>
      <c r="V55" s="29">
        <v>38.32</v>
      </c>
      <c r="W55" s="35">
        <v>38.32</v>
      </c>
      <c r="X55" s="32">
        <f t="shared" si="0"/>
        <v>20846.080000000002</v>
      </c>
      <c r="Y55" s="32">
        <f t="shared" si="1"/>
        <v>20846.080000000002</v>
      </c>
      <c r="Z55" s="32">
        <f t="shared" si="2"/>
        <v>0</v>
      </c>
      <c r="AA55" s="38">
        <v>544</v>
      </c>
      <c r="AB55" s="37">
        <f>IFERROR(VLOOKUP(A55,'Tash Lookup'!A:E,3,FALSE),"")</f>
        <v>20525.88</v>
      </c>
      <c r="AC55" s="6">
        <f t="shared" si="3"/>
        <v>0</v>
      </c>
      <c r="AD55" s="2" t="s">
        <v>6703</v>
      </c>
      <c r="AF55" s="56">
        <v>36.44</v>
      </c>
      <c r="AG55" s="56">
        <f>VLOOKUP(A55,Sheet1!$A$2:$C$1140,3,FALSE)</f>
        <v>36.44</v>
      </c>
      <c r="AH55" s="58">
        <v>36.44</v>
      </c>
      <c r="AI55" s="56" t="str">
        <f t="shared" si="4"/>
        <v>Same</v>
      </c>
      <c r="AJ55" s="81">
        <f t="shared" si="8"/>
        <v>19823.36</v>
      </c>
      <c r="AK55" s="81">
        <f t="shared" si="9"/>
        <v>19823.36</v>
      </c>
      <c r="AL55" s="58" t="s">
        <v>32</v>
      </c>
      <c r="AM55" s="58" t="s">
        <v>6703</v>
      </c>
      <c r="AN55" s="75">
        <v>329</v>
      </c>
      <c r="AO55" s="88">
        <v>36.44</v>
      </c>
      <c r="AP55" s="6" t="str">
        <f t="shared" si="5"/>
        <v>Same</v>
      </c>
      <c r="AQ55" s="81">
        <f t="shared" si="6"/>
        <v>11988.759999999998</v>
      </c>
      <c r="AR55" s="81">
        <f t="shared" si="7"/>
        <v>11988.759999999998</v>
      </c>
      <c r="AS55" s="81">
        <f t="shared" si="10"/>
        <v>0</v>
      </c>
    </row>
    <row r="56" spans="1:45" hidden="1" x14ac:dyDescent="0.3">
      <c r="A56">
        <v>6034079</v>
      </c>
      <c r="B56" s="15" t="s">
        <v>5392</v>
      </c>
      <c r="C56" s="16" t="s">
        <v>30</v>
      </c>
      <c r="D56" s="6" t="s">
        <v>31</v>
      </c>
      <c r="E56" t="s">
        <v>2991</v>
      </c>
      <c r="F56" t="s">
        <v>2991</v>
      </c>
      <c r="H56" s="11" t="s">
        <v>27</v>
      </c>
      <c r="I56" s="6" t="s">
        <v>28</v>
      </c>
      <c r="J56" s="6" t="s">
        <v>28</v>
      </c>
      <c r="K56" t="s">
        <v>32</v>
      </c>
      <c r="L56" s="35">
        <v>1.91</v>
      </c>
      <c r="M56" s="6" t="s">
        <v>29</v>
      </c>
      <c r="N56" s="6">
        <v>3105</v>
      </c>
      <c r="P56" s="18"/>
      <c r="Q56" s="17"/>
      <c r="R56" s="19">
        <v>4.03</v>
      </c>
      <c r="S56" s="19">
        <v>4.03</v>
      </c>
      <c r="T56" s="38">
        <v>542</v>
      </c>
      <c r="U56" s="38"/>
      <c r="V56" s="30">
        <v>1.91</v>
      </c>
      <c r="W56" s="35">
        <v>1.91</v>
      </c>
      <c r="X56" s="32">
        <f t="shared" si="0"/>
        <v>1035.22</v>
      </c>
      <c r="Y56" s="32">
        <f t="shared" si="1"/>
        <v>1035.22</v>
      </c>
      <c r="Z56" s="32">
        <f t="shared" si="2"/>
        <v>0</v>
      </c>
      <c r="AA56" s="38">
        <v>542</v>
      </c>
      <c r="AB56" s="37">
        <f>IFERROR(VLOOKUP(A56,'Tash Lookup'!A:E,3,FALSE),"")</f>
        <v>1026.3699999999999</v>
      </c>
      <c r="AC56" s="6">
        <f t="shared" si="3"/>
        <v>0</v>
      </c>
      <c r="AD56" s="2" t="s">
        <v>6703</v>
      </c>
      <c r="AF56" s="56">
        <v>1.72</v>
      </c>
      <c r="AG56" s="56" t="e">
        <f>VLOOKUP(A56,Sheet1!$A$2:$C$1140,3,FALSE)</f>
        <v>#N/A</v>
      </c>
      <c r="AH56" s="58" t="e">
        <v>#N/A</v>
      </c>
      <c r="AI56" s="56" t="str">
        <f t="shared" si="4"/>
        <v>Delete</v>
      </c>
      <c r="AJ56" s="81">
        <f t="shared" si="8"/>
        <v>932.24</v>
      </c>
      <c r="AK56" s="81">
        <f t="shared" si="9"/>
        <v>0</v>
      </c>
      <c r="AL56" s="58" t="s">
        <v>7206</v>
      </c>
      <c r="AM56" s="58" t="s">
        <v>6703</v>
      </c>
      <c r="AN56" s="75">
        <v>252</v>
      </c>
      <c r="AO56" s="88">
        <v>1.75</v>
      </c>
      <c r="AP56" s="6" t="str">
        <f t="shared" si="5"/>
        <v>Increase</v>
      </c>
      <c r="AQ56" s="81">
        <f t="shared" si="6"/>
        <v>433.44</v>
      </c>
      <c r="AR56" s="81">
        <f t="shared" si="7"/>
        <v>441</v>
      </c>
      <c r="AS56" s="82">
        <f t="shared" si="10"/>
        <v>7.5600000000000023</v>
      </c>
    </row>
    <row r="57" spans="1:45" hidden="1" x14ac:dyDescent="0.3">
      <c r="A57">
        <v>6183866</v>
      </c>
      <c r="B57" s="15" t="s">
        <v>5393</v>
      </c>
      <c r="C57" s="16" t="s">
        <v>30</v>
      </c>
      <c r="D57" s="6" t="s">
        <v>31</v>
      </c>
      <c r="E57" t="s">
        <v>873</v>
      </c>
      <c r="F57" t="s">
        <v>873</v>
      </c>
      <c r="H57" s="11" t="s">
        <v>27</v>
      </c>
      <c r="I57" s="6" t="s">
        <v>28</v>
      </c>
      <c r="J57" s="6" t="s">
        <v>28</v>
      </c>
      <c r="K57" t="s">
        <v>32</v>
      </c>
      <c r="L57" s="35">
        <v>2.0499999999999998</v>
      </c>
      <c r="M57" s="6" t="s">
        <v>29</v>
      </c>
      <c r="N57" s="6">
        <v>3105</v>
      </c>
      <c r="P57" s="18"/>
      <c r="Q57" s="17"/>
      <c r="R57" s="19">
        <v>5.58</v>
      </c>
      <c r="S57" s="19">
        <v>5.58</v>
      </c>
      <c r="T57" s="38">
        <v>540</v>
      </c>
      <c r="U57" s="38"/>
      <c r="V57" s="30">
        <v>2.0499999999999998</v>
      </c>
      <c r="W57" s="35">
        <v>2.0499999999999998</v>
      </c>
      <c r="X57" s="32">
        <f t="shared" si="0"/>
        <v>1107</v>
      </c>
      <c r="Y57" s="32">
        <f t="shared" si="1"/>
        <v>1107</v>
      </c>
      <c r="Z57" s="32">
        <f t="shared" si="2"/>
        <v>0</v>
      </c>
      <c r="AA57" s="38">
        <v>540</v>
      </c>
      <c r="AB57" s="37">
        <f>IFERROR(VLOOKUP(A57,'Tash Lookup'!A:E,3,FALSE),"")</f>
        <v>1096.4100000000001</v>
      </c>
      <c r="AC57" s="6">
        <f t="shared" si="3"/>
        <v>0</v>
      </c>
      <c r="AD57" s="2" t="s">
        <v>6703</v>
      </c>
      <c r="AF57" s="56">
        <v>2.0499999999999998</v>
      </c>
      <c r="AG57" s="56">
        <f>VLOOKUP(A57,Sheet1!$A$2:$C$1140,3,FALSE)</f>
        <v>2.09</v>
      </c>
      <c r="AH57" s="58">
        <v>2.09</v>
      </c>
      <c r="AI57" s="56" t="str">
        <f t="shared" si="4"/>
        <v>Increase</v>
      </c>
      <c r="AJ57" s="81">
        <f t="shared" si="8"/>
        <v>1107</v>
      </c>
      <c r="AK57" s="81">
        <f t="shared" si="9"/>
        <v>1128.5999999999999</v>
      </c>
      <c r="AL57" s="58" t="s">
        <v>7206</v>
      </c>
      <c r="AM57" s="58" t="s">
        <v>6703</v>
      </c>
      <c r="AN57" s="75">
        <v>505</v>
      </c>
      <c r="AO57" s="88">
        <v>2.09</v>
      </c>
      <c r="AP57" s="6" t="str">
        <f t="shared" si="5"/>
        <v>Increase</v>
      </c>
      <c r="AQ57" s="81">
        <f t="shared" si="6"/>
        <v>1035.25</v>
      </c>
      <c r="AR57" s="81">
        <f t="shared" si="7"/>
        <v>1055.4499999999998</v>
      </c>
      <c r="AS57" s="82">
        <f t="shared" si="10"/>
        <v>20.199999999999818</v>
      </c>
    </row>
    <row r="58" spans="1:45" hidden="1" x14ac:dyDescent="0.3">
      <c r="A58">
        <v>5091026</v>
      </c>
      <c r="B58" s="15" t="s">
        <v>5394</v>
      </c>
      <c r="C58" s="16" t="s">
        <v>30</v>
      </c>
      <c r="D58" s="6" t="s">
        <v>31</v>
      </c>
      <c r="E58" t="s">
        <v>112</v>
      </c>
      <c r="F58" t="s">
        <v>112</v>
      </c>
      <c r="H58" s="11" t="s">
        <v>27</v>
      </c>
      <c r="I58" s="6" t="s">
        <v>28</v>
      </c>
      <c r="J58" s="6" t="s">
        <v>28</v>
      </c>
      <c r="K58" t="s">
        <v>32</v>
      </c>
      <c r="L58" s="35">
        <v>25.83</v>
      </c>
      <c r="M58" s="6" t="s">
        <v>29</v>
      </c>
      <c r="N58" s="6">
        <v>3105</v>
      </c>
      <c r="P58" s="18"/>
      <c r="Q58" s="17"/>
      <c r="R58" s="19">
        <v>25.83</v>
      </c>
      <c r="S58" s="19">
        <v>25.83</v>
      </c>
      <c r="T58" s="38">
        <v>515</v>
      </c>
      <c r="U58" s="38"/>
      <c r="V58" s="29">
        <v>25.83</v>
      </c>
      <c r="W58" s="35">
        <v>25.83</v>
      </c>
      <c r="X58" s="32">
        <f t="shared" si="0"/>
        <v>13302.449999999999</v>
      </c>
      <c r="Y58" s="32">
        <f t="shared" si="1"/>
        <v>13302.449999999999</v>
      </c>
      <c r="Z58" s="32">
        <f t="shared" si="2"/>
        <v>0</v>
      </c>
      <c r="AA58" s="38">
        <v>515</v>
      </c>
      <c r="AB58" s="37">
        <f>IFERROR(VLOOKUP(A58,'Tash Lookup'!A:E,3,FALSE),"")</f>
        <v>13189.47</v>
      </c>
      <c r="AC58" s="6">
        <f t="shared" si="3"/>
        <v>0</v>
      </c>
      <c r="AD58" s="2" t="s">
        <v>6703</v>
      </c>
      <c r="AF58" s="56">
        <v>26.59</v>
      </c>
      <c r="AG58" s="56">
        <f>VLOOKUP(A58,Sheet1!$A$2:$C$1140,3,FALSE)</f>
        <v>26.59</v>
      </c>
      <c r="AH58" s="58">
        <v>26.59</v>
      </c>
      <c r="AI58" s="56" t="str">
        <f t="shared" si="4"/>
        <v>Same</v>
      </c>
      <c r="AJ58" s="81">
        <f t="shared" si="8"/>
        <v>13693.85</v>
      </c>
      <c r="AK58" s="81">
        <f t="shared" si="9"/>
        <v>13693.85</v>
      </c>
      <c r="AL58" s="58" t="s">
        <v>32</v>
      </c>
      <c r="AM58" s="58" t="s">
        <v>6703</v>
      </c>
      <c r="AN58" s="75">
        <v>192</v>
      </c>
      <c r="AO58" s="88">
        <v>26.59</v>
      </c>
      <c r="AP58" s="6" t="str">
        <f t="shared" si="5"/>
        <v>Same</v>
      </c>
      <c r="AQ58" s="81">
        <f t="shared" si="6"/>
        <v>5105.28</v>
      </c>
      <c r="AR58" s="81">
        <f t="shared" si="7"/>
        <v>5105.28</v>
      </c>
      <c r="AS58" s="81">
        <f t="shared" si="10"/>
        <v>0</v>
      </c>
    </row>
    <row r="59" spans="1:45" hidden="1" x14ac:dyDescent="0.3">
      <c r="A59">
        <v>5183437</v>
      </c>
      <c r="B59" s="15" t="s">
        <v>5395</v>
      </c>
      <c r="C59" s="16" t="s">
        <v>30</v>
      </c>
      <c r="D59" s="6" t="s">
        <v>31</v>
      </c>
      <c r="E59" t="s">
        <v>513</v>
      </c>
      <c r="F59" t="s">
        <v>513</v>
      </c>
      <c r="H59" s="11" t="s">
        <v>27</v>
      </c>
      <c r="I59" s="6" t="s">
        <v>28</v>
      </c>
      <c r="J59" s="6" t="s">
        <v>28</v>
      </c>
      <c r="K59" t="s">
        <v>32</v>
      </c>
      <c r="L59" s="35">
        <v>63.18</v>
      </c>
      <c r="M59" s="6" t="s">
        <v>29</v>
      </c>
      <c r="N59" s="6">
        <v>3105</v>
      </c>
      <c r="P59" s="18"/>
      <c r="Q59" s="17"/>
      <c r="R59" s="19">
        <v>63.18</v>
      </c>
      <c r="S59" s="19">
        <v>63.18</v>
      </c>
      <c r="T59" s="38">
        <v>512</v>
      </c>
      <c r="U59" s="38"/>
      <c r="V59" s="29">
        <v>63.18</v>
      </c>
      <c r="W59" s="35">
        <v>63.18</v>
      </c>
      <c r="X59" s="32">
        <f t="shared" si="0"/>
        <v>32348.16</v>
      </c>
      <c r="Y59" s="32">
        <f t="shared" si="1"/>
        <v>32348.16</v>
      </c>
      <c r="Z59" s="32">
        <f t="shared" si="2"/>
        <v>0</v>
      </c>
      <c r="AA59" s="38">
        <v>512</v>
      </c>
      <c r="AB59" s="37">
        <f>IFERROR(VLOOKUP(A59,'Tash Lookup'!A:E,3,FALSE),"")</f>
        <v>31781.16</v>
      </c>
      <c r="AC59" s="6">
        <f t="shared" si="3"/>
        <v>0</v>
      </c>
      <c r="AD59" s="2" t="s">
        <v>6703</v>
      </c>
      <c r="AF59" s="56">
        <v>66.78</v>
      </c>
      <c r="AG59" s="56">
        <f>VLOOKUP(A59,Sheet1!$A$2:$C$1140,3,FALSE)</f>
        <v>68.78</v>
      </c>
      <c r="AH59" s="58">
        <v>68.78</v>
      </c>
      <c r="AI59" s="56" t="str">
        <f t="shared" si="4"/>
        <v>Increase</v>
      </c>
      <c r="AJ59" s="81">
        <f t="shared" si="8"/>
        <v>34191.360000000001</v>
      </c>
      <c r="AK59" s="81">
        <f t="shared" si="9"/>
        <v>35215.360000000001</v>
      </c>
      <c r="AL59" s="58" t="s">
        <v>32</v>
      </c>
      <c r="AM59" s="58" t="s">
        <v>6703</v>
      </c>
      <c r="AN59" s="75">
        <v>554</v>
      </c>
      <c r="AO59" s="88">
        <v>68.78</v>
      </c>
      <c r="AP59" s="6" t="str">
        <f t="shared" si="5"/>
        <v>Increase</v>
      </c>
      <c r="AQ59" s="81">
        <f t="shared" si="6"/>
        <v>36996.120000000003</v>
      </c>
      <c r="AR59" s="81">
        <f t="shared" si="7"/>
        <v>38104.120000000003</v>
      </c>
      <c r="AS59" s="82">
        <f t="shared" si="10"/>
        <v>1108</v>
      </c>
    </row>
    <row r="60" spans="1:45" hidden="1" x14ac:dyDescent="0.3">
      <c r="A60">
        <v>5090733</v>
      </c>
      <c r="B60" s="15" t="s">
        <v>5396</v>
      </c>
      <c r="C60" s="16" t="s">
        <v>30</v>
      </c>
      <c r="D60" s="6" t="s">
        <v>31</v>
      </c>
      <c r="E60" t="s">
        <v>191</v>
      </c>
      <c r="F60" t="s">
        <v>191</v>
      </c>
      <c r="H60" s="11" t="s">
        <v>27</v>
      </c>
      <c r="I60" s="6" t="s">
        <v>28</v>
      </c>
      <c r="J60" s="6" t="s">
        <v>28</v>
      </c>
      <c r="K60" t="s">
        <v>32</v>
      </c>
      <c r="L60" s="35">
        <v>34.130000000000003</v>
      </c>
      <c r="M60" s="6" t="s">
        <v>29</v>
      </c>
      <c r="N60" s="6">
        <v>3105</v>
      </c>
      <c r="P60" s="18"/>
      <c r="Q60" s="17"/>
      <c r="R60" s="19">
        <v>34.130000000000003</v>
      </c>
      <c r="S60" s="19">
        <v>34.130000000000003</v>
      </c>
      <c r="T60" s="38">
        <v>512</v>
      </c>
      <c r="U60" s="38"/>
      <c r="V60" s="29">
        <v>34.130000000000003</v>
      </c>
      <c r="W60" s="35">
        <v>34.130000000000003</v>
      </c>
      <c r="X60" s="32">
        <f t="shared" si="0"/>
        <v>17474.560000000001</v>
      </c>
      <c r="Y60" s="32">
        <f t="shared" si="1"/>
        <v>17474.560000000001</v>
      </c>
      <c r="Z60" s="32">
        <f t="shared" si="2"/>
        <v>0</v>
      </c>
      <c r="AA60" s="38">
        <v>512</v>
      </c>
      <c r="AB60" s="37">
        <f>IFERROR(VLOOKUP(A60,'Tash Lookup'!A:E,3,FALSE),"")</f>
        <v>17120.650000000001</v>
      </c>
      <c r="AC60" s="6">
        <f t="shared" si="3"/>
        <v>0</v>
      </c>
      <c r="AD60" s="2" t="s">
        <v>6703</v>
      </c>
      <c r="AF60" s="56">
        <v>35.33</v>
      </c>
      <c r="AG60" s="56">
        <f>VLOOKUP(A60,Sheet1!$A$2:$C$1140,3,FALSE)</f>
        <v>35.33</v>
      </c>
      <c r="AH60" s="58">
        <v>35.33</v>
      </c>
      <c r="AI60" s="56" t="str">
        <f t="shared" si="4"/>
        <v>Same</v>
      </c>
      <c r="AJ60" s="81">
        <f t="shared" si="8"/>
        <v>18088.96</v>
      </c>
      <c r="AK60" s="81">
        <f t="shared" si="9"/>
        <v>18088.96</v>
      </c>
      <c r="AL60" s="58" t="s">
        <v>32</v>
      </c>
      <c r="AM60" s="58" t="s">
        <v>6703</v>
      </c>
      <c r="AN60" s="75">
        <v>156</v>
      </c>
      <c r="AO60" s="88">
        <v>35.33</v>
      </c>
      <c r="AP60" s="6" t="str">
        <f t="shared" si="5"/>
        <v>Same</v>
      </c>
      <c r="AQ60" s="81">
        <f t="shared" si="6"/>
        <v>5511.48</v>
      </c>
      <c r="AR60" s="81">
        <f t="shared" si="7"/>
        <v>5511.48</v>
      </c>
      <c r="AS60" s="81">
        <f t="shared" si="10"/>
        <v>0</v>
      </c>
    </row>
    <row r="61" spans="1:45" hidden="1" x14ac:dyDescent="0.3">
      <c r="A61">
        <v>5091012</v>
      </c>
      <c r="B61" s="15" t="s">
        <v>5397</v>
      </c>
      <c r="C61" s="16" t="s">
        <v>30</v>
      </c>
      <c r="D61" s="6" t="s">
        <v>31</v>
      </c>
      <c r="E61" t="s">
        <v>118</v>
      </c>
      <c r="F61" t="s">
        <v>118</v>
      </c>
      <c r="H61" s="11" t="s">
        <v>27</v>
      </c>
      <c r="I61" s="6" t="s">
        <v>28</v>
      </c>
      <c r="J61" s="6" t="s">
        <v>28</v>
      </c>
      <c r="K61" t="s">
        <v>32</v>
      </c>
      <c r="L61" s="35">
        <v>23.38</v>
      </c>
      <c r="M61" s="6" t="s">
        <v>29</v>
      </c>
      <c r="N61" s="6">
        <v>3105</v>
      </c>
      <c r="P61" s="18"/>
      <c r="Q61" s="17"/>
      <c r="R61" s="19">
        <v>23.38</v>
      </c>
      <c r="S61" s="19">
        <v>23.38</v>
      </c>
      <c r="T61" s="38">
        <v>503</v>
      </c>
      <c r="U61" s="38"/>
      <c r="V61" s="29">
        <v>23.38</v>
      </c>
      <c r="W61" s="35">
        <v>23.38</v>
      </c>
      <c r="X61" s="32">
        <f t="shared" si="0"/>
        <v>11760.14</v>
      </c>
      <c r="Y61" s="32">
        <f t="shared" si="1"/>
        <v>11760.14</v>
      </c>
      <c r="Z61" s="32">
        <f t="shared" si="2"/>
        <v>0</v>
      </c>
      <c r="AA61" s="38">
        <v>503</v>
      </c>
      <c r="AB61" s="37">
        <f>IFERROR(VLOOKUP(A61,'Tash Lookup'!A:E,3,FALSE),"")</f>
        <v>11639.24</v>
      </c>
      <c r="AC61" s="6">
        <f t="shared" si="3"/>
        <v>0</v>
      </c>
      <c r="AD61" s="2" t="s">
        <v>6703</v>
      </c>
      <c r="AF61" s="56">
        <v>24.22</v>
      </c>
      <c r="AG61" s="56">
        <f>VLOOKUP(A61,Sheet1!$A$2:$C$1140,3,FALSE)</f>
        <v>24.22</v>
      </c>
      <c r="AH61" s="58">
        <v>24.22</v>
      </c>
      <c r="AI61" s="56" t="str">
        <f t="shared" si="4"/>
        <v>Same</v>
      </c>
      <c r="AJ61" s="81">
        <f t="shared" si="8"/>
        <v>12182.66</v>
      </c>
      <c r="AK61" s="81">
        <f t="shared" si="9"/>
        <v>12182.66</v>
      </c>
      <c r="AL61" s="58" t="s">
        <v>32</v>
      </c>
      <c r="AM61" s="58" t="s">
        <v>6703</v>
      </c>
      <c r="AN61" s="75">
        <v>291</v>
      </c>
      <c r="AO61" s="88">
        <v>24.22</v>
      </c>
      <c r="AP61" s="6" t="str">
        <f t="shared" si="5"/>
        <v>Same</v>
      </c>
      <c r="AQ61" s="81">
        <f t="shared" si="6"/>
        <v>7048.0199999999995</v>
      </c>
      <c r="AR61" s="81">
        <f t="shared" si="7"/>
        <v>7048.0199999999995</v>
      </c>
      <c r="AS61" s="81">
        <f t="shared" si="10"/>
        <v>0</v>
      </c>
    </row>
    <row r="62" spans="1:45" hidden="1" x14ac:dyDescent="0.3">
      <c r="A62">
        <v>6183945</v>
      </c>
      <c r="B62" s="15" t="s">
        <v>5398</v>
      </c>
      <c r="C62" s="16" t="s">
        <v>30</v>
      </c>
      <c r="D62" s="6" t="s">
        <v>31</v>
      </c>
      <c r="E62" t="s">
        <v>797</v>
      </c>
      <c r="F62" t="s">
        <v>797</v>
      </c>
      <c r="H62" s="11" t="s">
        <v>27</v>
      </c>
      <c r="I62" s="6" t="s">
        <v>28</v>
      </c>
      <c r="J62" s="6" t="s">
        <v>28</v>
      </c>
      <c r="K62" t="s">
        <v>32</v>
      </c>
      <c r="L62" s="35">
        <v>6.39</v>
      </c>
      <c r="M62" s="6" t="s">
        <v>29</v>
      </c>
      <c r="N62" s="6">
        <v>3105</v>
      </c>
      <c r="P62" s="18"/>
      <c r="Q62" s="17"/>
      <c r="R62" s="19">
        <v>6.39</v>
      </c>
      <c r="S62" s="19">
        <v>6.39</v>
      </c>
      <c r="T62" s="38">
        <v>498</v>
      </c>
      <c r="U62" s="38"/>
      <c r="V62" s="30">
        <v>6.39</v>
      </c>
      <c r="W62" s="35">
        <v>6.39</v>
      </c>
      <c r="X62" s="32">
        <f t="shared" si="0"/>
        <v>3182.22</v>
      </c>
      <c r="Y62" s="32">
        <f t="shared" si="1"/>
        <v>3182.22</v>
      </c>
      <c r="Z62" s="32">
        <f t="shared" si="2"/>
        <v>0</v>
      </c>
      <c r="AA62" s="38">
        <v>498</v>
      </c>
      <c r="AB62" s="37">
        <f>IFERROR(VLOOKUP(A62,'Tash Lookup'!A:E,3,FALSE),"")</f>
        <v>3155.26</v>
      </c>
      <c r="AC62" s="6">
        <f t="shared" si="3"/>
        <v>0</v>
      </c>
      <c r="AD62" s="2" t="s">
        <v>6703</v>
      </c>
      <c r="AE62" s="29"/>
      <c r="AF62" s="56">
        <v>3.2</v>
      </c>
      <c r="AG62" s="56">
        <f>VLOOKUP(A62,Sheet1!$A$2:$C$1140,3,FALSE)</f>
        <v>3.26</v>
      </c>
      <c r="AH62" s="58">
        <v>3.26</v>
      </c>
      <c r="AI62" s="56" t="str">
        <f t="shared" si="4"/>
        <v>Increase</v>
      </c>
      <c r="AJ62" s="81">
        <f t="shared" si="8"/>
        <v>1593.6000000000001</v>
      </c>
      <c r="AK62" s="81">
        <f t="shared" si="9"/>
        <v>1623.4799999999998</v>
      </c>
      <c r="AL62" s="58" t="s">
        <v>7206</v>
      </c>
      <c r="AM62" s="58" t="s">
        <v>6703</v>
      </c>
      <c r="AN62" s="75">
        <v>219</v>
      </c>
      <c r="AO62" s="88">
        <v>3.26</v>
      </c>
      <c r="AP62" s="6" t="str">
        <f t="shared" si="5"/>
        <v>Increase</v>
      </c>
      <c r="AQ62" s="81">
        <f t="shared" si="6"/>
        <v>700.80000000000007</v>
      </c>
      <c r="AR62" s="81">
        <f t="shared" si="7"/>
        <v>713.93999999999994</v>
      </c>
      <c r="AS62" s="82">
        <f t="shared" si="10"/>
        <v>13.139999999999873</v>
      </c>
    </row>
    <row r="63" spans="1:45" hidden="1" x14ac:dyDescent="0.3">
      <c r="A63">
        <v>5220126</v>
      </c>
      <c r="B63" s="15" t="s">
        <v>5399</v>
      </c>
      <c r="C63" s="16" t="s">
        <v>30</v>
      </c>
      <c r="D63" s="6" t="s">
        <v>31</v>
      </c>
      <c r="E63" t="s">
        <v>122</v>
      </c>
      <c r="F63" t="s">
        <v>122</v>
      </c>
      <c r="H63" s="11" t="s">
        <v>27</v>
      </c>
      <c r="I63" s="6" t="s">
        <v>28</v>
      </c>
      <c r="J63" s="6" t="s">
        <v>28</v>
      </c>
      <c r="K63" t="s">
        <v>32</v>
      </c>
      <c r="L63" s="35">
        <v>32.71</v>
      </c>
      <c r="M63" s="6" t="s">
        <v>29</v>
      </c>
      <c r="N63" s="6">
        <v>3105</v>
      </c>
      <c r="P63" s="18"/>
      <c r="Q63" s="17"/>
      <c r="R63" s="19">
        <v>32.71</v>
      </c>
      <c r="S63" s="19">
        <v>32.71</v>
      </c>
      <c r="T63" s="38">
        <v>462</v>
      </c>
      <c r="U63" s="38"/>
      <c r="V63" s="29">
        <v>32.71</v>
      </c>
      <c r="W63" s="35">
        <v>32.71</v>
      </c>
      <c r="X63" s="32">
        <f t="shared" si="0"/>
        <v>15112.02</v>
      </c>
      <c r="Y63" s="32">
        <f t="shared" si="1"/>
        <v>15112.02</v>
      </c>
      <c r="Z63" s="32">
        <f t="shared" si="2"/>
        <v>0</v>
      </c>
      <c r="AA63" s="38">
        <v>462</v>
      </c>
      <c r="AB63" s="37">
        <f>IFERROR(VLOOKUP(A63,'Tash Lookup'!A:E,3,FALSE),"")</f>
        <v>14715.77</v>
      </c>
      <c r="AC63" s="6">
        <f t="shared" si="3"/>
        <v>0</v>
      </c>
      <c r="AD63" s="2" t="s">
        <v>6703</v>
      </c>
      <c r="AF63" s="56">
        <v>34.159999999999997</v>
      </c>
      <c r="AG63" s="56">
        <f>VLOOKUP(A63,Sheet1!$A$2:$C$1140,3,FALSE)</f>
        <v>34.159999999999997</v>
      </c>
      <c r="AH63" s="58">
        <v>34.159999999999997</v>
      </c>
      <c r="AI63" s="56" t="str">
        <f t="shared" si="4"/>
        <v>Same</v>
      </c>
      <c r="AJ63" s="81">
        <f t="shared" si="8"/>
        <v>15781.919999999998</v>
      </c>
      <c r="AK63" s="81">
        <f t="shared" si="9"/>
        <v>15781.919999999998</v>
      </c>
      <c r="AL63" s="58" t="s">
        <v>32</v>
      </c>
      <c r="AM63" s="58" t="s">
        <v>6703</v>
      </c>
      <c r="AN63" s="75">
        <v>435</v>
      </c>
      <c r="AO63" s="88">
        <v>34.159999999999997</v>
      </c>
      <c r="AP63" s="6" t="str">
        <f t="shared" si="5"/>
        <v>Same</v>
      </c>
      <c r="AQ63" s="81">
        <f t="shared" si="6"/>
        <v>14859.599999999999</v>
      </c>
      <c r="AR63" s="81">
        <f t="shared" si="7"/>
        <v>14859.599999999999</v>
      </c>
      <c r="AS63" s="81">
        <f t="shared" si="10"/>
        <v>0</v>
      </c>
    </row>
    <row r="64" spans="1:45" hidden="1" x14ac:dyDescent="0.3">
      <c r="A64">
        <v>6183858</v>
      </c>
      <c r="B64" s="15" t="s">
        <v>5400</v>
      </c>
      <c r="C64" s="16" t="s">
        <v>30</v>
      </c>
      <c r="D64" s="6" t="s">
        <v>31</v>
      </c>
      <c r="E64" t="s">
        <v>785</v>
      </c>
      <c r="F64" t="s">
        <v>785</v>
      </c>
      <c r="H64" s="11" t="s">
        <v>27</v>
      </c>
      <c r="I64" s="6" t="s">
        <v>28</v>
      </c>
      <c r="J64" s="6" t="s">
        <v>28</v>
      </c>
      <c r="K64" t="s">
        <v>32</v>
      </c>
      <c r="L64" s="35">
        <v>4.08</v>
      </c>
      <c r="M64" s="6" t="s">
        <v>29</v>
      </c>
      <c r="N64" s="6">
        <v>3105</v>
      </c>
      <c r="P64" s="18"/>
      <c r="Q64" s="17"/>
      <c r="R64" s="19">
        <v>4.08</v>
      </c>
      <c r="S64" s="19">
        <v>4.08</v>
      </c>
      <c r="T64" s="38">
        <v>457</v>
      </c>
      <c r="U64" s="38"/>
      <c r="V64" s="30">
        <v>4.08</v>
      </c>
      <c r="W64" s="35">
        <v>4.08</v>
      </c>
      <c r="X64" s="32">
        <f t="shared" si="0"/>
        <v>1864.56</v>
      </c>
      <c r="Y64" s="32">
        <f t="shared" si="1"/>
        <v>1864.56</v>
      </c>
      <c r="Z64" s="32">
        <f t="shared" si="2"/>
        <v>0</v>
      </c>
      <c r="AA64" s="38">
        <v>457</v>
      </c>
      <c r="AB64" s="37">
        <f>IFERROR(VLOOKUP(A64,'Tash Lookup'!A:E,3,FALSE),"")</f>
        <v>1848.19</v>
      </c>
      <c r="AC64" s="6">
        <f t="shared" si="3"/>
        <v>0</v>
      </c>
      <c r="AD64" s="2" t="s">
        <v>6703</v>
      </c>
      <c r="AF64" s="56">
        <v>4.08</v>
      </c>
      <c r="AG64" s="56">
        <f>VLOOKUP(A64,Sheet1!$A$2:$C$1140,3,FALSE)</f>
        <v>4.17</v>
      </c>
      <c r="AH64" s="58">
        <v>4.17</v>
      </c>
      <c r="AI64" s="56" t="str">
        <f t="shared" si="4"/>
        <v>Increase</v>
      </c>
      <c r="AJ64" s="81">
        <f t="shared" si="8"/>
        <v>1864.56</v>
      </c>
      <c r="AK64" s="81">
        <f t="shared" si="9"/>
        <v>1905.69</v>
      </c>
      <c r="AL64" s="58" t="s">
        <v>7206</v>
      </c>
      <c r="AM64" s="58" t="s">
        <v>6703</v>
      </c>
      <c r="AN64" s="75">
        <v>360</v>
      </c>
      <c r="AO64" s="88">
        <v>4.17</v>
      </c>
      <c r="AP64" s="6" t="str">
        <f t="shared" si="5"/>
        <v>Increase</v>
      </c>
      <c r="AQ64" s="81">
        <f t="shared" si="6"/>
        <v>1468.8</v>
      </c>
      <c r="AR64" s="81">
        <f t="shared" si="7"/>
        <v>1501.2</v>
      </c>
      <c r="AS64" s="82">
        <f t="shared" si="10"/>
        <v>32.400000000000091</v>
      </c>
    </row>
    <row r="65" spans="1:45" hidden="1" x14ac:dyDescent="0.3">
      <c r="A65">
        <v>5220152</v>
      </c>
      <c r="B65" s="15" t="s">
        <v>5401</v>
      </c>
      <c r="C65" s="16" t="s">
        <v>30</v>
      </c>
      <c r="D65" s="6" t="s">
        <v>31</v>
      </c>
      <c r="E65" t="s">
        <v>134</v>
      </c>
      <c r="F65" t="s">
        <v>134</v>
      </c>
      <c r="H65" s="11" t="s">
        <v>27</v>
      </c>
      <c r="I65" s="6" t="s">
        <v>28</v>
      </c>
      <c r="J65" s="6" t="s">
        <v>28</v>
      </c>
      <c r="K65" t="s">
        <v>32</v>
      </c>
      <c r="L65" s="35">
        <v>31.5</v>
      </c>
      <c r="M65" s="6" t="s">
        <v>29</v>
      </c>
      <c r="N65" s="6">
        <v>3105</v>
      </c>
      <c r="P65" s="18"/>
      <c r="Q65" s="17"/>
      <c r="R65" s="19">
        <v>31.5</v>
      </c>
      <c r="S65" s="19">
        <v>31.5</v>
      </c>
      <c r="T65" s="38">
        <v>452</v>
      </c>
      <c r="U65" s="38"/>
      <c r="V65" s="29">
        <v>31.5</v>
      </c>
      <c r="W65" s="35">
        <v>31.5</v>
      </c>
      <c r="X65" s="32">
        <f t="shared" si="0"/>
        <v>14238</v>
      </c>
      <c r="Y65" s="32">
        <f t="shared" si="1"/>
        <v>14238</v>
      </c>
      <c r="Z65" s="32">
        <f t="shared" si="2"/>
        <v>0</v>
      </c>
      <c r="AA65" s="38">
        <v>452</v>
      </c>
      <c r="AB65" s="37">
        <f>IFERROR(VLOOKUP(A65,'Tash Lookup'!A:E,3,FALSE),"")</f>
        <v>13987.58</v>
      </c>
      <c r="AC65" s="6">
        <f t="shared" si="3"/>
        <v>0</v>
      </c>
      <c r="AD65" s="2" t="s">
        <v>6703</v>
      </c>
      <c r="AF65" s="56">
        <v>31.01</v>
      </c>
      <c r="AG65" s="56">
        <f>VLOOKUP(A65,Sheet1!$A$2:$C$1140,3,FALSE)</f>
        <v>31.01</v>
      </c>
      <c r="AH65" s="58">
        <v>31.01</v>
      </c>
      <c r="AI65" s="56" t="str">
        <f t="shared" si="4"/>
        <v>Same</v>
      </c>
      <c r="AJ65" s="81">
        <f t="shared" si="8"/>
        <v>14016.52</v>
      </c>
      <c r="AK65" s="81">
        <f t="shared" si="9"/>
        <v>14016.52</v>
      </c>
      <c r="AL65" s="58" t="s">
        <v>32</v>
      </c>
      <c r="AM65" s="58" t="s">
        <v>6703</v>
      </c>
      <c r="AN65" s="75">
        <v>356</v>
      </c>
      <c r="AO65" s="88">
        <v>31.01</v>
      </c>
      <c r="AP65" s="6" t="str">
        <f t="shared" si="5"/>
        <v>Same</v>
      </c>
      <c r="AQ65" s="81">
        <f t="shared" si="6"/>
        <v>11039.560000000001</v>
      </c>
      <c r="AR65" s="81">
        <f t="shared" si="7"/>
        <v>11039.560000000001</v>
      </c>
      <c r="AS65" s="81">
        <f t="shared" si="10"/>
        <v>0</v>
      </c>
    </row>
    <row r="66" spans="1:45" hidden="1" x14ac:dyDescent="0.3">
      <c r="A66">
        <v>5180744</v>
      </c>
      <c r="B66" s="15" t="s">
        <v>5402</v>
      </c>
      <c r="C66" s="16" t="s">
        <v>30</v>
      </c>
      <c r="D66" s="6" t="s">
        <v>31</v>
      </c>
      <c r="E66" t="s">
        <v>598</v>
      </c>
      <c r="F66" t="s">
        <v>598</v>
      </c>
      <c r="H66" s="11" t="s">
        <v>27</v>
      </c>
      <c r="I66" s="6" t="s">
        <v>28</v>
      </c>
      <c r="J66" s="6" t="s">
        <v>28</v>
      </c>
      <c r="K66" t="s">
        <v>32</v>
      </c>
      <c r="L66" s="35">
        <v>67.84</v>
      </c>
      <c r="M66" s="6" t="s">
        <v>29</v>
      </c>
      <c r="N66" s="6">
        <v>3105</v>
      </c>
      <c r="P66" s="18"/>
      <c r="Q66" s="17"/>
      <c r="R66" s="19">
        <v>67.84</v>
      </c>
      <c r="S66" s="19">
        <v>67.84</v>
      </c>
      <c r="T66" s="38">
        <v>431</v>
      </c>
      <c r="U66" s="38"/>
      <c r="V66" s="29">
        <v>67.84</v>
      </c>
      <c r="W66" s="35">
        <v>67.84</v>
      </c>
      <c r="X66" s="32">
        <f t="shared" si="0"/>
        <v>29239.040000000001</v>
      </c>
      <c r="Y66" s="32">
        <f t="shared" si="1"/>
        <v>29239.040000000001</v>
      </c>
      <c r="Z66" s="32">
        <f t="shared" si="2"/>
        <v>0</v>
      </c>
      <c r="AA66" s="38">
        <v>431</v>
      </c>
      <c r="AB66" s="37">
        <f>IFERROR(VLOOKUP(A66,'Tash Lookup'!A:E,3,FALSE),"")</f>
        <v>29169.38</v>
      </c>
      <c r="AC66" s="6">
        <f t="shared" si="3"/>
        <v>0</v>
      </c>
      <c r="AD66" s="2" t="s">
        <v>6703</v>
      </c>
      <c r="AF66" s="56">
        <v>65.010000000000005</v>
      </c>
      <c r="AG66" s="56">
        <f>VLOOKUP(A66,Sheet1!$A$2:$C$1140,3,FALSE)</f>
        <v>66.959999999999994</v>
      </c>
      <c r="AH66" s="58">
        <v>66.959999999999994</v>
      </c>
      <c r="AI66" s="56" t="str">
        <f t="shared" si="4"/>
        <v>Increase</v>
      </c>
      <c r="AJ66" s="81">
        <f t="shared" si="8"/>
        <v>28019.31</v>
      </c>
      <c r="AK66" s="81">
        <f t="shared" si="9"/>
        <v>28859.759999999998</v>
      </c>
      <c r="AL66" s="58" t="s">
        <v>32</v>
      </c>
      <c r="AM66" s="58" t="s">
        <v>6703</v>
      </c>
      <c r="AN66" s="75">
        <v>222</v>
      </c>
      <c r="AO66" s="88">
        <v>66.959999999999994</v>
      </c>
      <c r="AP66" s="6" t="str">
        <f t="shared" si="5"/>
        <v>Increase</v>
      </c>
      <c r="AQ66" s="81">
        <f t="shared" si="6"/>
        <v>14432.220000000001</v>
      </c>
      <c r="AR66" s="81">
        <f t="shared" si="7"/>
        <v>14865.119999999999</v>
      </c>
      <c r="AS66" s="82">
        <f t="shared" si="10"/>
        <v>432.89999999999782</v>
      </c>
    </row>
    <row r="67" spans="1:45" hidden="1" x14ac:dyDescent="0.3">
      <c r="A67">
        <v>5092713</v>
      </c>
      <c r="B67" s="15" t="s">
        <v>5403</v>
      </c>
      <c r="C67" s="16" t="s">
        <v>30</v>
      </c>
      <c r="D67" s="6" t="s">
        <v>31</v>
      </c>
      <c r="E67" t="s">
        <v>402</v>
      </c>
      <c r="F67" t="s">
        <v>402</v>
      </c>
      <c r="H67" s="11" t="s">
        <v>27</v>
      </c>
      <c r="I67" s="6" t="s">
        <v>28</v>
      </c>
      <c r="J67" s="6" t="s">
        <v>28</v>
      </c>
      <c r="K67" t="s">
        <v>32</v>
      </c>
      <c r="L67" s="35">
        <v>32.200000000000003</v>
      </c>
      <c r="M67" s="6" t="s">
        <v>29</v>
      </c>
      <c r="N67" s="6">
        <v>3105</v>
      </c>
      <c r="P67" s="18"/>
      <c r="Q67" s="17"/>
      <c r="R67" s="19">
        <v>0</v>
      </c>
      <c r="S67" s="19">
        <v>0</v>
      </c>
      <c r="T67" s="38">
        <v>424</v>
      </c>
      <c r="U67" s="38"/>
      <c r="V67" s="29">
        <v>32.200000000000003</v>
      </c>
      <c r="W67" s="35">
        <v>32.200000000000003</v>
      </c>
      <c r="X67" s="32">
        <f t="shared" si="0"/>
        <v>13652.800000000001</v>
      </c>
      <c r="Y67" s="32">
        <f t="shared" si="1"/>
        <v>13652.800000000001</v>
      </c>
      <c r="Z67" s="32">
        <f t="shared" si="2"/>
        <v>0</v>
      </c>
      <c r="AA67" s="38">
        <v>424</v>
      </c>
      <c r="AB67" s="37">
        <f>IFERROR(VLOOKUP(A67,'Tash Lookup'!A:E,3,FALSE),"")</f>
        <v>14555.42</v>
      </c>
      <c r="AC67" s="6">
        <f t="shared" si="3"/>
        <v>0</v>
      </c>
      <c r="AD67" s="2" t="s">
        <v>6703</v>
      </c>
      <c r="AF67" s="56">
        <v>32.909999999999997</v>
      </c>
      <c r="AG67" s="56">
        <f>VLOOKUP(A67,Sheet1!$A$2:$C$1140,3,FALSE)</f>
        <v>33.9</v>
      </c>
      <c r="AH67" s="58">
        <v>33.9</v>
      </c>
      <c r="AI67" s="56" t="str">
        <f t="shared" si="4"/>
        <v>Increase</v>
      </c>
      <c r="AJ67" s="81">
        <f t="shared" si="8"/>
        <v>13953.839999999998</v>
      </c>
      <c r="AK67" s="81">
        <f t="shared" si="9"/>
        <v>14373.599999999999</v>
      </c>
      <c r="AL67" s="58" t="s">
        <v>32</v>
      </c>
      <c r="AM67" s="58" t="s">
        <v>6703</v>
      </c>
      <c r="AN67" s="75">
        <v>183</v>
      </c>
      <c r="AO67" s="88">
        <v>33.9</v>
      </c>
      <c r="AP67" s="6" t="str">
        <f t="shared" si="5"/>
        <v>Increase</v>
      </c>
      <c r="AQ67" s="81">
        <f t="shared" si="6"/>
        <v>6022.53</v>
      </c>
      <c r="AR67" s="81">
        <f t="shared" si="7"/>
        <v>6203.7</v>
      </c>
      <c r="AS67" s="82">
        <f t="shared" si="10"/>
        <v>181.17000000000007</v>
      </c>
    </row>
    <row r="68" spans="1:45" hidden="1" x14ac:dyDescent="0.3">
      <c r="A68">
        <v>5090813</v>
      </c>
      <c r="B68" s="15" t="s">
        <v>5404</v>
      </c>
      <c r="C68" s="16" t="s">
        <v>30</v>
      </c>
      <c r="D68" s="6" t="s">
        <v>31</v>
      </c>
      <c r="E68" t="s">
        <v>566</v>
      </c>
      <c r="F68" t="s">
        <v>566</v>
      </c>
      <c r="H68" s="11" t="s">
        <v>27</v>
      </c>
      <c r="I68" s="6" t="s">
        <v>28</v>
      </c>
      <c r="J68" s="6" t="s">
        <v>28</v>
      </c>
      <c r="K68" t="s">
        <v>32</v>
      </c>
      <c r="L68" s="35">
        <v>38.75</v>
      </c>
      <c r="M68" s="6" t="s">
        <v>29</v>
      </c>
      <c r="N68" s="6">
        <v>3105</v>
      </c>
      <c r="P68" s="18"/>
      <c r="Q68" s="17"/>
      <c r="R68" s="19">
        <v>38.75</v>
      </c>
      <c r="S68" s="19">
        <v>38.75</v>
      </c>
      <c r="T68" s="38">
        <v>415</v>
      </c>
      <c r="U68" s="38"/>
      <c r="V68" s="29">
        <v>38.75</v>
      </c>
      <c r="W68" s="35">
        <v>38.75</v>
      </c>
      <c r="X68" s="32">
        <f t="shared" si="0"/>
        <v>16081.25</v>
      </c>
      <c r="Y68" s="32">
        <f t="shared" si="1"/>
        <v>16081.25</v>
      </c>
      <c r="Z68" s="32">
        <f t="shared" si="2"/>
        <v>0</v>
      </c>
      <c r="AA68" s="38">
        <v>415</v>
      </c>
      <c r="AB68" s="37">
        <f>IFERROR(VLOOKUP(A68,'Tash Lookup'!A:E,3,FALSE),"")</f>
        <v>16097.61</v>
      </c>
      <c r="AC68" s="6">
        <f t="shared" si="3"/>
        <v>0</v>
      </c>
      <c r="AD68" s="2" t="s">
        <v>6703</v>
      </c>
      <c r="AF68" s="56">
        <v>39.19</v>
      </c>
      <c r="AG68" s="56">
        <f>VLOOKUP(A68,Sheet1!$A$2:$C$1140,3,FALSE)</f>
        <v>40.36</v>
      </c>
      <c r="AH68" s="58">
        <v>40.36</v>
      </c>
      <c r="AI68" s="56" t="str">
        <f t="shared" si="4"/>
        <v>Increase</v>
      </c>
      <c r="AJ68" s="81">
        <f t="shared" si="8"/>
        <v>16263.849999999999</v>
      </c>
      <c r="AK68" s="81">
        <f t="shared" si="9"/>
        <v>16749.400000000001</v>
      </c>
      <c r="AL68" s="58" t="s">
        <v>32</v>
      </c>
      <c r="AM68" s="58" t="s">
        <v>6703</v>
      </c>
      <c r="AN68" s="75">
        <v>270</v>
      </c>
      <c r="AO68" s="88">
        <v>40.36</v>
      </c>
      <c r="AP68" s="6" t="str">
        <f t="shared" si="5"/>
        <v>Increase</v>
      </c>
      <c r="AQ68" s="81">
        <f t="shared" si="6"/>
        <v>10581.3</v>
      </c>
      <c r="AR68" s="81">
        <f t="shared" si="7"/>
        <v>10897.2</v>
      </c>
      <c r="AS68" s="82">
        <f t="shared" si="10"/>
        <v>315.90000000000146</v>
      </c>
    </row>
    <row r="69" spans="1:45" hidden="1" x14ac:dyDescent="0.3">
      <c r="A69">
        <v>5219315</v>
      </c>
      <c r="B69" s="15" t="s">
        <v>5405</v>
      </c>
      <c r="C69" s="16" t="s">
        <v>30</v>
      </c>
      <c r="D69" s="6" t="s">
        <v>31</v>
      </c>
      <c r="E69" t="s">
        <v>38</v>
      </c>
      <c r="F69" t="s">
        <v>38</v>
      </c>
      <c r="H69" s="11" t="s">
        <v>27</v>
      </c>
      <c r="I69" s="6" t="s">
        <v>28</v>
      </c>
      <c r="J69" s="6" t="s">
        <v>28</v>
      </c>
      <c r="K69" t="s">
        <v>32</v>
      </c>
      <c r="L69" s="29">
        <v>21.11</v>
      </c>
      <c r="M69" s="6" t="s">
        <v>29</v>
      </c>
      <c r="N69" s="6">
        <v>3105</v>
      </c>
      <c r="P69" s="18"/>
      <c r="Q69" s="17"/>
      <c r="R69" s="19">
        <v>21.11</v>
      </c>
      <c r="S69" s="19">
        <v>21.11</v>
      </c>
      <c r="T69" s="38">
        <v>413</v>
      </c>
      <c r="U69" s="38"/>
      <c r="V69" s="29">
        <v>21.11</v>
      </c>
      <c r="W69" s="44">
        <v>14.08</v>
      </c>
      <c r="X69" s="32">
        <f t="shared" si="0"/>
        <v>8718.43</v>
      </c>
      <c r="Y69" s="32">
        <f t="shared" si="1"/>
        <v>8718.43</v>
      </c>
      <c r="Z69" s="32">
        <f t="shared" si="2"/>
        <v>0</v>
      </c>
      <c r="AA69" s="38">
        <v>413</v>
      </c>
      <c r="AB69" s="37">
        <f>IFERROR(VLOOKUP(A69,'Tash Lookup'!A:E,3,FALSE),"")</f>
        <v>6493.75</v>
      </c>
      <c r="AC69" s="6">
        <f t="shared" si="3"/>
        <v>0</v>
      </c>
      <c r="AD69" s="2" t="s">
        <v>6703</v>
      </c>
      <c r="AF69" s="56">
        <v>22.33</v>
      </c>
      <c r="AG69" s="56">
        <f>VLOOKUP(A69,Sheet1!$A$2:$C$1140,3,FALSE)</f>
        <v>22.33</v>
      </c>
      <c r="AH69" s="58">
        <v>22.33</v>
      </c>
      <c r="AI69" s="56" t="str">
        <f t="shared" si="4"/>
        <v>Same</v>
      </c>
      <c r="AJ69" s="81">
        <f t="shared" si="8"/>
        <v>9222.2899999999991</v>
      </c>
      <c r="AK69" s="81">
        <f t="shared" si="9"/>
        <v>9222.2899999999991</v>
      </c>
      <c r="AL69" s="58" t="s">
        <v>32</v>
      </c>
      <c r="AM69" s="58" t="s">
        <v>6703</v>
      </c>
      <c r="AN69" s="75">
        <v>409</v>
      </c>
      <c r="AO69" s="88">
        <v>22.33</v>
      </c>
      <c r="AP69" s="6" t="str">
        <f t="shared" si="5"/>
        <v>Same</v>
      </c>
      <c r="AQ69" s="81">
        <f t="shared" si="6"/>
        <v>9132.9699999999993</v>
      </c>
      <c r="AR69" s="81">
        <f t="shared" si="7"/>
        <v>9132.9699999999993</v>
      </c>
      <c r="AS69" s="81">
        <f t="shared" si="10"/>
        <v>0</v>
      </c>
    </row>
    <row r="70" spans="1:45" x14ac:dyDescent="0.3">
      <c r="A70">
        <v>5086048</v>
      </c>
      <c r="B70" s="15" t="s">
        <v>5406</v>
      </c>
      <c r="C70" s="16" t="s">
        <v>30</v>
      </c>
      <c r="D70" s="6" t="s">
        <v>31</v>
      </c>
      <c r="E70" t="s">
        <v>1186</v>
      </c>
      <c r="F70" t="s">
        <v>1186</v>
      </c>
      <c r="H70" s="11" t="s">
        <v>27</v>
      </c>
      <c r="I70" s="6" t="s">
        <v>28</v>
      </c>
      <c r="J70" s="6" t="s">
        <v>28</v>
      </c>
      <c r="K70" t="s">
        <v>32</v>
      </c>
      <c r="L70" s="35">
        <v>54.67</v>
      </c>
      <c r="M70" s="6" t="s">
        <v>29</v>
      </c>
      <c r="N70" s="6">
        <v>3105</v>
      </c>
      <c r="P70" s="18"/>
      <c r="Q70" s="17"/>
      <c r="R70" s="19">
        <v>54.67</v>
      </c>
      <c r="S70" s="19">
        <v>54.67</v>
      </c>
      <c r="T70" s="38">
        <v>406</v>
      </c>
      <c r="U70" s="38"/>
      <c r="V70" s="30">
        <v>54.67</v>
      </c>
      <c r="W70" s="35">
        <v>54.67</v>
      </c>
      <c r="X70" s="32">
        <f t="shared" ref="X70:X133" si="11">SUM(V70*T70)</f>
        <v>22196.02</v>
      </c>
      <c r="Y70" s="32">
        <f t="shared" ref="Y70:Y133" si="12">SUM(L70*T70)</f>
        <v>22196.02</v>
      </c>
      <c r="Z70" s="32">
        <f t="shared" ref="Z70:Z133" si="13">SUM(X70-Y70)</f>
        <v>0</v>
      </c>
      <c r="AA70" s="38">
        <v>406</v>
      </c>
      <c r="AB70" s="37">
        <f>IFERROR(VLOOKUP(A70,'Tash Lookup'!A:E,3,FALSE),"")</f>
        <v>22002.3</v>
      </c>
      <c r="AC70" s="6">
        <f t="shared" ref="AC70:AC133" si="14">IFERROR(AA70-T70,"")</f>
        <v>0</v>
      </c>
      <c r="AD70" s="2" t="s">
        <v>6703</v>
      </c>
      <c r="AF70" s="56">
        <v>56.84</v>
      </c>
      <c r="AG70" s="56">
        <f>VLOOKUP(A70,Sheet1!$A$2:$C$1140,3,FALSE)</f>
        <v>56.84</v>
      </c>
      <c r="AH70" s="58">
        <v>56.84</v>
      </c>
      <c r="AI70" s="56" t="str">
        <f t="shared" ref="AI70:AI133" si="15">IF(ISNA(AH70),"Delete",IF(AH70=AF70,"Same",IF(AH70&gt;AF70,"Increase","Decrease")))</f>
        <v>Same</v>
      </c>
      <c r="AJ70" s="81">
        <f t="shared" si="8"/>
        <v>23077.040000000001</v>
      </c>
      <c r="AK70" s="81">
        <f t="shared" si="9"/>
        <v>23077.040000000001</v>
      </c>
      <c r="AL70" s="58" t="s">
        <v>7206</v>
      </c>
      <c r="AM70" s="58" t="s">
        <v>6703</v>
      </c>
      <c r="AN70" s="75">
        <v>253</v>
      </c>
      <c r="AO70" s="88">
        <v>56.84</v>
      </c>
      <c r="AP70" s="6" t="str">
        <f t="shared" ref="AP70:AP133" si="16">IF(AM70="Delete","Delete",IF(AO70=AF70,"Same",IF(AO70&gt;AF70,"Increase","Decrease")))</f>
        <v>Same</v>
      </c>
      <c r="AQ70" s="81">
        <f t="shared" ref="AQ70:AQ133" si="17">AN70*AF70</f>
        <v>14380.52</v>
      </c>
      <c r="AR70" s="81">
        <f t="shared" ref="AR70:AR133" si="18">AN70*AO70</f>
        <v>14380.52</v>
      </c>
      <c r="AS70" s="81">
        <f t="shared" si="10"/>
        <v>0</v>
      </c>
    </row>
    <row r="71" spans="1:45" hidden="1" x14ac:dyDescent="0.3">
      <c r="A71">
        <v>5090802</v>
      </c>
      <c r="B71" s="15" t="s">
        <v>5407</v>
      </c>
      <c r="C71" s="16" t="s">
        <v>30</v>
      </c>
      <c r="D71" s="6" t="s">
        <v>31</v>
      </c>
      <c r="E71" t="s">
        <v>174</v>
      </c>
      <c r="F71" t="s">
        <v>174</v>
      </c>
      <c r="H71" s="11" t="s">
        <v>27</v>
      </c>
      <c r="I71" s="6" t="s">
        <v>28</v>
      </c>
      <c r="J71" s="6" t="s">
        <v>28</v>
      </c>
      <c r="K71" t="s">
        <v>32</v>
      </c>
      <c r="L71" s="35">
        <v>52.88</v>
      </c>
      <c r="M71" s="6" t="s">
        <v>29</v>
      </c>
      <c r="N71" s="6">
        <v>3105</v>
      </c>
      <c r="P71" s="18"/>
      <c r="Q71" s="17"/>
      <c r="R71" s="19">
        <v>52.88</v>
      </c>
      <c r="S71" s="19">
        <v>52.88</v>
      </c>
      <c r="T71" s="38">
        <v>403</v>
      </c>
      <c r="U71" s="38"/>
      <c r="V71" s="29">
        <v>44.65</v>
      </c>
      <c r="W71" s="35">
        <v>52.88</v>
      </c>
      <c r="X71" s="32">
        <f t="shared" si="11"/>
        <v>17993.95</v>
      </c>
      <c r="Y71" s="32">
        <f t="shared" si="12"/>
        <v>21310.639999999999</v>
      </c>
      <c r="Z71" s="32">
        <f t="shared" si="13"/>
        <v>-3316.6899999999987</v>
      </c>
      <c r="AA71" s="38">
        <v>403</v>
      </c>
      <c r="AB71" s="37">
        <f>IFERROR(VLOOKUP(A71,'Tash Lookup'!A:E,3,FALSE),"")</f>
        <v>20456.97</v>
      </c>
      <c r="AC71" s="6">
        <f t="shared" si="14"/>
        <v>0</v>
      </c>
      <c r="AD71" s="2" t="s">
        <v>6703</v>
      </c>
      <c r="AF71" s="56">
        <v>44.77</v>
      </c>
      <c r="AG71" s="56">
        <f>VLOOKUP(A71,Sheet1!$A$2:$C$1140,3,FALSE)</f>
        <v>44.77</v>
      </c>
      <c r="AH71" s="58">
        <v>44.77</v>
      </c>
      <c r="AI71" s="56" t="str">
        <f t="shared" si="15"/>
        <v>Same</v>
      </c>
      <c r="AJ71" s="81">
        <f t="shared" ref="AJ71:AJ134" si="19">IFERROR(AA71*AF71,0)</f>
        <v>18042.310000000001</v>
      </c>
      <c r="AK71" s="81">
        <f t="shared" ref="AK71:AK134" si="20">IFERROR(AA71*AH71,0)</f>
        <v>18042.310000000001</v>
      </c>
      <c r="AL71" s="58" t="s">
        <v>32</v>
      </c>
      <c r="AM71" s="58" t="s">
        <v>6703</v>
      </c>
      <c r="AN71" s="75">
        <v>2535</v>
      </c>
      <c r="AO71" s="88">
        <v>44.77</v>
      </c>
      <c r="AP71" s="6" t="str">
        <f t="shared" si="16"/>
        <v>Same</v>
      </c>
      <c r="AQ71" s="81">
        <f t="shared" si="17"/>
        <v>113491.95000000001</v>
      </c>
      <c r="AR71" s="81">
        <f t="shared" si="18"/>
        <v>113491.95000000001</v>
      </c>
      <c r="AS71" s="81">
        <f t="shared" ref="AS71:AS134" si="21">AR71-AQ71</f>
        <v>0</v>
      </c>
    </row>
    <row r="72" spans="1:45" hidden="1" x14ac:dyDescent="0.3">
      <c r="A72">
        <v>6188859</v>
      </c>
      <c r="B72" s="15" t="s">
        <v>5408</v>
      </c>
      <c r="C72" s="16" t="s">
        <v>30</v>
      </c>
      <c r="D72" s="6" t="s">
        <v>31</v>
      </c>
      <c r="E72" t="s">
        <v>796</v>
      </c>
      <c r="F72" t="s">
        <v>796</v>
      </c>
      <c r="H72" s="11" t="s">
        <v>27</v>
      </c>
      <c r="I72" s="6" t="s">
        <v>28</v>
      </c>
      <c r="J72" s="6" t="s">
        <v>28</v>
      </c>
      <c r="K72" t="s">
        <v>32</v>
      </c>
      <c r="L72" s="35">
        <v>3.54</v>
      </c>
      <c r="M72" s="6" t="s">
        <v>29</v>
      </c>
      <c r="N72" s="6">
        <v>3105</v>
      </c>
      <c r="P72" s="18"/>
      <c r="Q72" s="17"/>
      <c r="R72" s="19">
        <v>3.7</v>
      </c>
      <c r="S72" s="19">
        <v>0</v>
      </c>
      <c r="T72" s="38">
        <v>386</v>
      </c>
      <c r="U72" s="38"/>
      <c r="V72" s="30">
        <v>3.7</v>
      </c>
      <c r="W72" s="35">
        <v>3.54</v>
      </c>
      <c r="X72" s="32">
        <f t="shared" si="11"/>
        <v>1428.2</v>
      </c>
      <c r="Y72" s="32">
        <f t="shared" si="12"/>
        <v>1366.44</v>
      </c>
      <c r="Z72" s="32">
        <f t="shared" si="13"/>
        <v>61.759999999999991</v>
      </c>
      <c r="AA72" s="38">
        <v>386</v>
      </c>
      <c r="AB72" s="37">
        <f>IFERROR(VLOOKUP(A72,'Tash Lookup'!A:E,3,FALSE),"")</f>
        <v>1363.72</v>
      </c>
      <c r="AC72" s="6">
        <f t="shared" si="14"/>
        <v>0</v>
      </c>
      <c r="AD72" s="2" t="s">
        <v>6703</v>
      </c>
      <c r="AF72" s="56">
        <v>3.54</v>
      </c>
      <c r="AG72" s="56">
        <f>VLOOKUP(A72,Sheet1!$A$2:$C$1140,3,FALSE)</f>
        <v>3.61</v>
      </c>
      <c r="AH72" s="58">
        <v>3.61</v>
      </c>
      <c r="AI72" s="56" t="str">
        <f t="shared" si="15"/>
        <v>Increase</v>
      </c>
      <c r="AJ72" s="81">
        <f t="shared" si="19"/>
        <v>1366.44</v>
      </c>
      <c r="AK72" s="81">
        <f t="shared" si="20"/>
        <v>1393.46</v>
      </c>
      <c r="AL72" s="58" t="s">
        <v>7206</v>
      </c>
      <c r="AM72" s="58" t="s">
        <v>6703</v>
      </c>
      <c r="AN72" s="75">
        <v>213</v>
      </c>
      <c r="AO72" s="88">
        <v>3.61</v>
      </c>
      <c r="AP72" s="6" t="str">
        <f t="shared" si="16"/>
        <v>Increase</v>
      </c>
      <c r="AQ72" s="81">
        <f t="shared" si="17"/>
        <v>754.02</v>
      </c>
      <c r="AR72" s="81">
        <f t="shared" si="18"/>
        <v>768.93</v>
      </c>
      <c r="AS72" s="82">
        <f t="shared" si="21"/>
        <v>14.909999999999968</v>
      </c>
    </row>
    <row r="73" spans="1:45" hidden="1" x14ac:dyDescent="0.3">
      <c r="A73">
        <v>5583705</v>
      </c>
      <c r="B73" s="15" t="s">
        <v>5409</v>
      </c>
      <c r="C73" s="16" t="s">
        <v>30</v>
      </c>
      <c r="D73" s="6" t="s">
        <v>31</v>
      </c>
      <c r="E73" t="s">
        <v>205</v>
      </c>
      <c r="F73" t="s">
        <v>205</v>
      </c>
      <c r="H73" s="11" t="s">
        <v>27</v>
      </c>
      <c r="I73" s="6" t="s">
        <v>28</v>
      </c>
      <c r="J73" s="6" t="s">
        <v>28</v>
      </c>
      <c r="K73" t="s">
        <v>32</v>
      </c>
      <c r="L73" s="35">
        <v>28.69</v>
      </c>
      <c r="M73" s="6" t="s">
        <v>29</v>
      </c>
      <c r="N73" s="6">
        <v>3105</v>
      </c>
      <c r="P73" s="18"/>
      <c r="Q73" s="17"/>
      <c r="R73" s="19">
        <v>28.69</v>
      </c>
      <c r="S73" s="19">
        <v>28.69</v>
      </c>
      <c r="T73" s="38">
        <v>379</v>
      </c>
      <c r="U73" s="38"/>
      <c r="V73" s="29">
        <v>28.69</v>
      </c>
      <c r="W73" s="35">
        <v>28.69</v>
      </c>
      <c r="X73" s="32">
        <f t="shared" si="11"/>
        <v>10873.51</v>
      </c>
      <c r="Y73" s="32">
        <f t="shared" si="12"/>
        <v>10873.51</v>
      </c>
      <c r="Z73" s="32">
        <f t="shared" si="13"/>
        <v>0</v>
      </c>
      <c r="AA73" s="38">
        <v>379</v>
      </c>
      <c r="AB73" s="37">
        <f>IFERROR(VLOOKUP(A73,'Tash Lookup'!A:E,3,FALSE),"")</f>
        <v>10879.62</v>
      </c>
      <c r="AC73" s="6">
        <f t="shared" si="14"/>
        <v>0</v>
      </c>
      <c r="AD73" s="2" t="s">
        <v>6703</v>
      </c>
      <c r="AF73" s="56">
        <v>27.15</v>
      </c>
      <c r="AG73" s="56">
        <f>VLOOKUP(A73,Sheet1!$A$2:$C$1140,3,FALSE)</f>
        <v>27.15</v>
      </c>
      <c r="AH73" s="58">
        <v>27.15</v>
      </c>
      <c r="AI73" s="56" t="str">
        <f t="shared" si="15"/>
        <v>Same</v>
      </c>
      <c r="AJ73" s="81">
        <f t="shared" si="19"/>
        <v>10289.85</v>
      </c>
      <c r="AK73" s="81">
        <f t="shared" si="20"/>
        <v>10289.85</v>
      </c>
      <c r="AL73" s="58" t="s">
        <v>32</v>
      </c>
      <c r="AM73" s="58" t="s">
        <v>6703</v>
      </c>
      <c r="AN73" s="75">
        <v>463</v>
      </c>
      <c r="AO73" s="88">
        <v>27.15</v>
      </c>
      <c r="AP73" s="6" t="str">
        <f t="shared" si="16"/>
        <v>Same</v>
      </c>
      <c r="AQ73" s="81">
        <f t="shared" si="17"/>
        <v>12570.449999999999</v>
      </c>
      <c r="AR73" s="81">
        <f t="shared" si="18"/>
        <v>12570.449999999999</v>
      </c>
      <c r="AS73" s="81">
        <f t="shared" si="21"/>
        <v>0</v>
      </c>
    </row>
    <row r="74" spans="1:45" hidden="1" x14ac:dyDescent="0.3">
      <c r="A74">
        <v>6188836</v>
      </c>
      <c r="B74" s="15" t="s">
        <v>5410</v>
      </c>
      <c r="C74" s="16" t="s">
        <v>30</v>
      </c>
      <c r="D74" s="6" t="s">
        <v>31</v>
      </c>
      <c r="E74" t="s">
        <v>787</v>
      </c>
      <c r="F74" t="s">
        <v>787</v>
      </c>
      <c r="H74" s="11" t="s">
        <v>27</v>
      </c>
      <c r="I74" s="6" t="s">
        <v>28</v>
      </c>
      <c r="J74" s="6" t="s">
        <v>28</v>
      </c>
      <c r="K74" t="s">
        <v>32</v>
      </c>
      <c r="L74" s="35">
        <v>1.22</v>
      </c>
      <c r="M74" s="6" t="s">
        <v>29</v>
      </c>
      <c r="N74" s="6">
        <v>3105</v>
      </c>
      <c r="P74" s="18"/>
      <c r="Q74" s="17"/>
      <c r="R74" s="19">
        <v>2.5099999999999998</v>
      </c>
      <c r="S74" s="19">
        <v>0</v>
      </c>
      <c r="T74" s="38">
        <v>375</v>
      </c>
      <c r="U74" s="38"/>
      <c r="V74" s="30">
        <v>2.5099999999999998</v>
      </c>
      <c r="W74" s="35">
        <v>1.22</v>
      </c>
      <c r="X74" s="32">
        <f t="shared" si="11"/>
        <v>941.24999999999989</v>
      </c>
      <c r="Y74" s="32">
        <f t="shared" si="12"/>
        <v>457.5</v>
      </c>
      <c r="Z74" s="32">
        <f t="shared" si="13"/>
        <v>483.74999999999989</v>
      </c>
      <c r="AA74" s="38">
        <v>375</v>
      </c>
      <c r="AB74" s="37">
        <f>IFERROR(VLOOKUP(A74,'Tash Lookup'!A:E,3,FALSE),"")</f>
        <v>454.82</v>
      </c>
      <c r="AC74" s="6">
        <f t="shared" si="14"/>
        <v>0</v>
      </c>
      <c r="AD74" s="2" t="s">
        <v>6703</v>
      </c>
      <c r="AF74" s="56">
        <v>2.5099999999999998</v>
      </c>
      <c r="AG74" s="56">
        <f>VLOOKUP(A74,Sheet1!$A$2:$C$1140,3,FALSE)</f>
        <v>2.56</v>
      </c>
      <c r="AH74" s="58">
        <v>2.56</v>
      </c>
      <c r="AI74" s="56" t="str">
        <f t="shared" si="15"/>
        <v>Increase</v>
      </c>
      <c r="AJ74" s="81">
        <f t="shared" si="19"/>
        <v>941.24999999999989</v>
      </c>
      <c r="AK74" s="81">
        <f t="shared" si="20"/>
        <v>960</v>
      </c>
      <c r="AL74" s="58" t="s">
        <v>7206</v>
      </c>
      <c r="AM74" s="58" t="s">
        <v>6703</v>
      </c>
      <c r="AN74" s="75">
        <v>207</v>
      </c>
      <c r="AO74" s="88">
        <v>2.56</v>
      </c>
      <c r="AP74" s="6" t="str">
        <f t="shared" si="16"/>
        <v>Increase</v>
      </c>
      <c r="AQ74" s="81">
        <f t="shared" si="17"/>
        <v>519.56999999999994</v>
      </c>
      <c r="AR74" s="81">
        <f t="shared" si="18"/>
        <v>529.91999999999996</v>
      </c>
      <c r="AS74" s="82">
        <f t="shared" si="21"/>
        <v>10.350000000000023</v>
      </c>
    </row>
    <row r="75" spans="1:45" hidden="1" x14ac:dyDescent="0.3">
      <c r="A75">
        <v>5090728</v>
      </c>
      <c r="B75" s="15" t="s">
        <v>5411</v>
      </c>
      <c r="C75" s="16" t="s">
        <v>30</v>
      </c>
      <c r="D75" s="6" t="s">
        <v>31</v>
      </c>
      <c r="E75" t="s">
        <v>115</v>
      </c>
      <c r="F75" t="s">
        <v>115</v>
      </c>
      <c r="H75" s="11" t="s">
        <v>27</v>
      </c>
      <c r="I75" s="6" t="s">
        <v>28</v>
      </c>
      <c r="J75" s="6" t="s">
        <v>28</v>
      </c>
      <c r="K75" t="s">
        <v>32</v>
      </c>
      <c r="L75" s="35">
        <v>37.33</v>
      </c>
      <c r="M75" s="6" t="s">
        <v>29</v>
      </c>
      <c r="N75" s="6">
        <v>3105</v>
      </c>
      <c r="P75" s="18"/>
      <c r="Q75" s="17"/>
      <c r="R75" s="19">
        <v>37.33</v>
      </c>
      <c r="S75" s="19">
        <v>37.33</v>
      </c>
      <c r="T75" s="38">
        <v>375</v>
      </c>
      <c r="U75" s="38"/>
      <c r="V75" s="29">
        <v>37.33</v>
      </c>
      <c r="W75" s="35">
        <v>37.33</v>
      </c>
      <c r="X75" s="32">
        <f t="shared" si="11"/>
        <v>13998.75</v>
      </c>
      <c r="Y75" s="32">
        <f t="shared" si="12"/>
        <v>13998.75</v>
      </c>
      <c r="Z75" s="32">
        <f t="shared" si="13"/>
        <v>0</v>
      </c>
      <c r="AA75" s="38">
        <v>375</v>
      </c>
      <c r="AB75" s="37">
        <f>IFERROR(VLOOKUP(A75,'Tash Lookup'!A:E,3,FALSE),"")</f>
        <v>13776.83</v>
      </c>
      <c r="AC75" s="6">
        <f t="shared" si="14"/>
        <v>0</v>
      </c>
      <c r="AD75" s="2" t="s">
        <v>6703</v>
      </c>
      <c r="AF75" s="56">
        <v>40.090000000000003</v>
      </c>
      <c r="AG75" s="56">
        <f>VLOOKUP(A75,Sheet1!$A$2:$C$1140,3,FALSE)</f>
        <v>40.090000000000003</v>
      </c>
      <c r="AH75" s="58">
        <v>40.090000000000003</v>
      </c>
      <c r="AI75" s="56" t="str">
        <f t="shared" si="15"/>
        <v>Same</v>
      </c>
      <c r="AJ75" s="81">
        <f t="shared" si="19"/>
        <v>15033.750000000002</v>
      </c>
      <c r="AK75" s="81">
        <f t="shared" si="20"/>
        <v>15033.750000000002</v>
      </c>
      <c r="AL75" s="58" t="s">
        <v>32</v>
      </c>
      <c r="AM75" s="58" t="s">
        <v>6703</v>
      </c>
      <c r="AN75" s="75">
        <v>266</v>
      </c>
      <c r="AO75" s="88">
        <v>40.090000000000003</v>
      </c>
      <c r="AP75" s="6" t="str">
        <f t="shared" si="16"/>
        <v>Same</v>
      </c>
      <c r="AQ75" s="81">
        <f t="shared" si="17"/>
        <v>10663.94</v>
      </c>
      <c r="AR75" s="81">
        <f t="shared" si="18"/>
        <v>10663.94</v>
      </c>
      <c r="AS75" s="81">
        <f t="shared" si="21"/>
        <v>0</v>
      </c>
    </row>
    <row r="76" spans="1:45" hidden="1" x14ac:dyDescent="0.3">
      <c r="A76">
        <v>5183993</v>
      </c>
      <c r="B76" s="15" t="s">
        <v>5412</v>
      </c>
      <c r="C76" s="16" t="s">
        <v>30</v>
      </c>
      <c r="D76" s="6" t="s">
        <v>31</v>
      </c>
      <c r="E76" t="s">
        <v>156</v>
      </c>
      <c r="F76" t="s">
        <v>156</v>
      </c>
      <c r="H76" s="11" t="s">
        <v>27</v>
      </c>
      <c r="I76" s="6" t="s">
        <v>28</v>
      </c>
      <c r="J76" s="6" t="s">
        <v>28</v>
      </c>
      <c r="K76" t="s">
        <v>32</v>
      </c>
      <c r="L76" s="35">
        <v>23.34</v>
      </c>
      <c r="M76" s="6" t="s">
        <v>29</v>
      </c>
      <c r="N76" s="6">
        <v>3105</v>
      </c>
      <c r="P76" s="18"/>
      <c r="Q76" s="17"/>
      <c r="R76" s="19">
        <v>23.34</v>
      </c>
      <c r="S76" s="19">
        <v>23.34</v>
      </c>
      <c r="T76" s="38">
        <v>373</v>
      </c>
      <c r="U76" s="38"/>
      <c r="V76" s="29">
        <v>23.34</v>
      </c>
      <c r="W76" s="35">
        <v>23.34</v>
      </c>
      <c r="X76" s="32">
        <f t="shared" si="11"/>
        <v>8705.82</v>
      </c>
      <c r="Y76" s="32">
        <f t="shared" si="12"/>
        <v>8705.82</v>
      </c>
      <c r="Z76" s="32">
        <f t="shared" si="13"/>
        <v>0</v>
      </c>
      <c r="AA76" s="38">
        <v>373</v>
      </c>
      <c r="AB76" s="37">
        <f>IFERROR(VLOOKUP(A76,'Tash Lookup'!A:E,3,FALSE),"")</f>
        <v>8617.2000000000007</v>
      </c>
      <c r="AC76" s="6">
        <f t="shared" si="14"/>
        <v>0</v>
      </c>
      <c r="AD76" s="2" t="s">
        <v>6703</v>
      </c>
      <c r="AF76" s="56">
        <v>24.22</v>
      </c>
      <c r="AG76" s="56">
        <f>VLOOKUP(A76,Sheet1!$A$2:$C$1140,3,FALSE)</f>
        <v>24.22</v>
      </c>
      <c r="AH76" s="58">
        <v>24.22</v>
      </c>
      <c r="AI76" s="56" t="str">
        <f t="shared" si="15"/>
        <v>Same</v>
      </c>
      <c r="AJ76" s="81">
        <f t="shared" si="19"/>
        <v>9034.06</v>
      </c>
      <c r="AK76" s="81">
        <f t="shared" si="20"/>
        <v>9034.06</v>
      </c>
      <c r="AL76" s="58" t="s">
        <v>32</v>
      </c>
      <c r="AM76" s="58" t="s">
        <v>6703</v>
      </c>
      <c r="AN76" s="75">
        <v>262</v>
      </c>
      <c r="AO76" s="88">
        <v>24.22</v>
      </c>
      <c r="AP76" s="6" t="str">
        <f t="shared" si="16"/>
        <v>Same</v>
      </c>
      <c r="AQ76" s="81">
        <f t="shared" si="17"/>
        <v>6345.6399999999994</v>
      </c>
      <c r="AR76" s="81">
        <f t="shared" si="18"/>
        <v>6345.6399999999994</v>
      </c>
      <c r="AS76" s="81">
        <f t="shared" si="21"/>
        <v>0</v>
      </c>
    </row>
    <row r="77" spans="1:45" hidden="1" x14ac:dyDescent="0.3">
      <c r="A77">
        <v>5090734</v>
      </c>
      <c r="B77" s="15" t="s">
        <v>5413</v>
      </c>
      <c r="C77" s="16" t="s">
        <v>30</v>
      </c>
      <c r="D77" s="6" t="s">
        <v>31</v>
      </c>
      <c r="E77" t="s">
        <v>192</v>
      </c>
      <c r="F77" t="s">
        <v>192</v>
      </c>
      <c r="H77" s="11" t="s">
        <v>27</v>
      </c>
      <c r="I77" s="6" t="s">
        <v>28</v>
      </c>
      <c r="J77" s="6" t="s">
        <v>28</v>
      </c>
      <c r="K77" t="s">
        <v>32</v>
      </c>
      <c r="L77" s="35">
        <v>55.37</v>
      </c>
      <c r="M77" s="6" t="s">
        <v>29</v>
      </c>
      <c r="N77" s="6">
        <v>3105</v>
      </c>
      <c r="P77" s="18"/>
      <c r="Q77" s="17"/>
      <c r="R77" s="19">
        <v>55.37</v>
      </c>
      <c r="S77" s="19">
        <v>55.37</v>
      </c>
      <c r="T77" s="38">
        <v>365</v>
      </c>
      <c r="U77" s="38"/>
      <c r="V77" s="29">
        <v>55.37</v>
      </c>
      <c r="W77" s="35">
        <v>55.37</v>
      </c>
      <c r="X77" s="32">
        <f t="shared" si="11"/>
        <v>20210.05</v>
      </c>
      <c r="Y77" s="32">
        <f t="shared" si="12"/>
        <v>20210.05</v>
      </c>
      <c r="Z77" s="32">
        <f t="shared" si="13"/>
        <v>0</v>
      </c>
      <c r="AA77" s="38">
        <v>365</v>
      </c>
      <c r="AB77" s="37">
        <f>IFERROR(VLOOKUP(A77,'Tash Lookup'!A:E,3,FALSE),"")</f>
        <v>19986.55</v>
      </c>
      <c r="AC77" s="6">
        <f t="shared" si="14"/>
        <v>0</v>
      </c>
      <c r="AD77" s="2" t="s">
        <v>6703</v>
      </c>
      <c r="AF77" s="56">
        <v>59.13</v>
      </c>
      <c r="AG77" s="56">
        <f>VLOOKUP(A77,Sheet1!$A$2:$C$1140,3,FALSE)</f>
        <v>59.13</v>
      </c>
      <c r="AH77" s="58">
        <v>59.13</v>
      </c>
      <c r="AI77" s="56" t="str">
        <f t="shared" si="15"/>
        <v>Same</v>
      </c>
      <c r="AJ77" s="81">
        <f t="shared" si="19"/>
        <v>21582.45</v>
      </c>
      <c r="AK77" s="81">
        <f t="shared" si="20"/>
        <v>21582.45</v>
      </c>
      <c r="AL77" s="58" t="s">
        <v>32</v>
      </c>
      <c r="AM77" s="58" t="s">
        <v>6703</v>
      </c>
      <c r="AN77" s="75">
        <v>442</v>
      </c>
      <c r="AO77" s="88">
        <v>59.13</v>
      </c>
      <c r="AP77" s="6" t="str">
        <f t="shared" si="16"/>
        <v>Same</v>
      </c>
      <c r="AQ77" s="81">
        <f t="shared" si="17"/>
        <v>26135.460000000003</v>
      </c>
      <c r="AR77" s="81">
        <f t="shared" si="18"/>
        <v>26135.460000000003</v>
      </c>
      <c r="AS77" s="81">
        <f t="shared" si="21"/>
        <v>0</v>
      </c>
    </row>
    <row r="78" spans="1:45" hidden="1" x14ac:dyDescent="0.3">
      <c r="A78">
        <v>6188935</v>
      </c>
      <c r="B78" s="15" t="s">
        <v>5414</v>
      </c>
      <c r="C78" s="16" t="s">
        <v>30</v>
      </c>
      <c r="D78" s="6" t="s">
        <v>31</v>
      </c>
      <c r="E78" t="s">
        <v>893</v>
      </c>
      <c r="F78" t="s">
        <v>893</v>
      </c>
      <c r="H78" s="11" t="s">
        <v>27</v>
      </c>
      <c r="I78" s="6" t="s">
        <v>28</v>
      </c>
      <c r="J78" s="6" t="s">
        <v>28</v>
      </c>
      <c r="K78" t="s">
        <v>32</v>
      </c>
      <c r="L78" s="35">
        <v>2.95</v>
      </c>
      <c r="M78" s="6" t="s">
        <v>29</v>
      </c>
      <c r="N78" s="6">
        <v>3105</v>
      </c>
      <c r="P78" s="18"/>
      <c r="Q78" s="17"/>
      <c r="R78" s="19">
        <v>3.76</v>
      </c>
      <c r="S78" s="19">
        <v>3.76</v>
      </c>
      <c r="T78" s="38">
        <v>357</v>
      </c>
      <c r="U78" s="38"/>
      <c r="V78" s="30">
        <v>3.76</v>
      </c>
      <c r="W78" s="35">
        <v>2.95</v>
      </c>
      <c r="X78" s="32">
        <f t="shared" si="11"/>
        <v>1342.32</v>
      </c>
      <c r="Y78" s="32">
        <f t="shared" si="12"/>
        <v>1053.1500000000001</v>
      </c>
      <c r="Z78" s="32">
        <f t="shared" si="13"/>
        <v>289.16999999999985</v>
      </c>
      <c r="AA78" s="38">
        <v>357</v>
      </c>
      <c r="AB78" s="37">
        <f>IFERROR(VLOOKUP(A78,'Tash Lookup'!A:E,3,FALSE),"")</f>
        <v>1051.72</v>
      </c>
      <c r="AC78" s="6">
        <f t="shared" si="14"/>
        <v>0</v>
      </c>
      <c r="AD78" s="2" t="s">
        <v>6703</v>
      </c>
      <c r="AF78" s="56">
        <v>3.76</v>
      </c>
      <c r="AG78" s="56">
        <f>VLOOKUP(A78,Sheet1!$A$2:$C$1140,3,FALSE)</f>
        <v>3.84</v>
      </c>
      <c r="AH78" s="58">
        <v>3.84</v>
      </c>
      <c r="AI78" s="56" t="str">
        <f t="shared" si="15"/>
        <v>Increase</v>
      </c>
      <c r="AJ78" s="81">
        <f t="shared" si="19"/>
        <v>1342.32</v>
      </c>
      <c r="AK78" s="81">
        <f t="shared" si="20"/>
        <v>1370.8799999999999</v>
      </c>
      <c r="AL78" s="58" t="s">
        <v>7206</v>
      </c>
      <c r="AM78" s="58" t="s">
        <v>6703</v>
      </c>
      <c r="AN78" s="75">
        <v>687</v>
      </c>
      <c r="AO78" s="88">
        <v>3.84</v>
      </c>
      <c r="AP78" s="6" t="str">
        <f t="shared" si="16"/>
        <v>Increase</v>
      </c>
      <c r="AQ78" s="81">
        <f t="shared" si="17"/>
        <v>2583.12</v>
      </c>
      <c r="AR78" s="81">
        <f t="shared" si="18"/>
        <v>2638.08</v>
      </c>
      <c r="AS78" s="82">
        <f t="shared" si="21"/>
        <v>54.960000000000036</v>
      </c>
    </row>
    <row r="79" spans="1:45" hidden="1" x14ac:dyDescent="0.3">
      <c r="A79">
        <v>5583722</v>
      </c>
      <c r="B79" s="15" t="s">
        <v>5415</v>
      </c>
      <c r="C79" s="16" t="s">
        <v>30</v>
      </c>
      <c r="D79" s="6" t="s">
        <v>31</v>
      </c>
      <c r="E79" t="s">
        <v>209</v>
      </c>
      <c r="F79" t="s">
        <v>209</v>
      </c>
      <c r="H79" s="11" t="s">
        <v>27</v>
      </c>
      <c r="I79" s="6" t="s">
        <v>28</v>
      </c>
      <c r="J79" s="6" t="s">
        <v>28</v>
      </c>
      <c r="K79" t="s">
        <v>32</v>
      </c>
      <c r="L79" s="35">
        <v>20.74</v>
      </c>
      <c r="M79" s="6" t="s">
        <v>29</v>
      </c>
      <c r="N79" s="6">
        <v>3105</v>
      </c>
      <c r="P79" s="18"/>
      <c r="Q79" s="17"/>
      <c r="R79" s="19">
        <v>20.74</v>
      </c>
      <c r="S79" s="19">
        <v>20.74</v>
      </c>
      <c r="T79" s="38">
        <v>351</v>
      </c>
      <c r="U79" s="38"/>
      <c r="V79" s="29">
        <v>20.74</v>
      </c>
      <c r="W79" s="35">
        <v>20.74</v>
      </c>
      <c r="X79" s="32">
        <f t="shared" si="11"/>
        <v>7279.74</v>
      </c>
      <c r="Y79" s="32">
        <f t="shared" si="12"/>
        <v>7279.74</v>
      </c>
      <c r="Z79" s="32">
        <f t="shared" si="13"/>
        <v>0</v>
      </c>
      <c r="AA79" s="38">
        <v>351</v>
      </c>
      <c r="AB79" s="37">
        <f>IFERROR(VLOOKUP(A79,'Tash Lookup'!A:E,3,FALSE),"")</f>
        <v>7160.8</v>
      </c>
      <c r="AC79" s="6">
        <f t="shared" si="14"/>
        <v>0</v>
      </c>
      <c r="AD79" s="2" t="s">
        <v>6703</v>
      </c>
      <c r="AF79" s="56">
        <v>21.82</v>
      </c>
      <c r="AG79" s="56">
        <f>VLOOKUP(A79,Sheet1!$A$2:$C$1140,3,FALSE)</f>
        <v>21.82</v>
      </c>
      <c r="AH79" s="58">
        <v>21.82</v>
      </c>
      <c r="AI79" s="56" t="str">
        <f t="shared" si="15"/>
        <v>Same</v>
      </c>
      <c r="AJ79" s="81">
        <f t="shared" si="19"/>
        <v>7658.82</v>
      </c>
      <c r="AK79" s="81">
        <f t="shared" si="20"/>
        <v>7658.82</v>
      </c>
      <c r="AL79" s="58" t="s">
        <v>32</v>
      </c>
      <c r="AM79" s="58" t="s">
        <v>6703</v>
      </c>
      <c r="AN79" s="75">
        <v>31</v>
      </c>
      <c r="AO79" s="88">
        <v>21.82</v>
      </c>
      <c r="AP79" s="6" t="str">
        <f t="shared" si="16"/>
        <v>Same</v>
      </c>
      <c r="AQ79" s="81">
        <f t="shared" si="17"/>
        <v>676.42</v>
      </c>
      <c r="AR79" s="81">
        <f t="shared" si="18"/>
        <v>676.42</v>
      </c>
      <c r="AS79" s="81">
        <f t="shared" si="21"/>
        <v>0</v>
      </c>
    </row>
    <row r="80" spans="1:45" hidden="1" x14ac:dyDescent="0.3">
      <c r="A80">
        <v>6059447</v>
      </c>
      <c r="B80" s="15" t="s">
        <v>5416</v>
      </c>
      <c r="C80" s="16" t="s">
        <v>30</v>
      </c>
      <c r="D80" s="6" t="s">
        <v>31</v>
      </c>
      <c r="E80" t="s">
        <v>742</v>
      </c>
      <c r="F80" t="s">
        <v>742</v>
      </c>
      <c r="H80" s="11" t="s">
        <v>27</v>
      </c>
      <c r="I80" s="6" t="s">
        <v>28</v>
      </c>
      <c r="J80" s="6" t="s">
        <v>28</v>
      </c>
      <c r="K80" t="s">
        <v>32</v>
      </c>
      <c r="L80" s="35">
        <v>9.81</v>
      </c>
      <c r="M80" s="6" t="s">
        <v>29</v>
      </c>
      <c r="N80" s="6">
        <v>3105</v>
      </c>
      <c r="P80" s="18"/>
      <c r="Q80" s="17"/>
      <c r="R80" s="19">
        <v>9.81</v>
      </c>
      <c r="S80" s="19">
        <v>9.81</v>
      </c>
      <c r="T80" s="38">
        <v>348</v>
      </c>
      <c r="U80" s="38"/>
      <c r="V80" s="30">
        <v>9.81</v>
      </c>
      <c r="W80" s="35">
        <v>9.81</v>
      </c>
      <c r="X80" s="32">
        <f t="shared" si="11"/>
        <v>3413.88</v>
      </c>
      <c r="Y80" s="32">
        <f t="shared" si="12"/>
        <v>3413.88</v>
      </c>
      <c r="Z80" s="32">
        <f t="shared" si="13"/>
        <v>0</v>
      </c>
      <c r="AA80" s="38">
        <v>348</v>
      </c>
      <c r="AB80" s="37">
        <f>IFERROR(VLOOKUP(A80,'Tash Lookup'!A:E,3,FALSE),"")</f>
        <v>3397.71</v>
      </c>
      <c r="AC80" s="6">
        <f t="shared" si="14"/>
        <v>0</v>
      </c>
      <c r="AD80" s="2" t="s">
        <v>6703</v>
      </c>
      <c r="AF80" s="56">
        <v>9.81</v>
      </c>
      <c r="AG80" s="56">
        <f>VLOOKUP(A80,Sheet1!$A$2:$C$1140,3,FALSE)</f>
        <v>10.01</v>
      </c>
      <c r="AH80" s="58">
        <v>10.01</v>
      </c>
      <c r="AI80" s="56" t="str">
        <f t="shared" si="15"/>
        <v>Increase</v>
      </c>
      <c r="AJ80" s="81">
        <f t="shared" si="19"/>
        <v>3413.88</v>
      </c>
      <c r="AK80" s="81">
        <f t="shared" si="20"/>
        <v>3483.48</v>
      </c>
      <c r="AL80" s="58" t="s">
        <v>7206</v>
      </c>
      <c r="AM80" s="58" t="s">
        <v>6703</v>
      </c>
      <c r="AN80" s="75">
        <v>152</v>
      </c>
      <c r="AO80" s="88">
        <v>10.01</v>
      </c>
      <c r="AP80" s="6" t="str">
        <f t="shared" si="16"/>
        <v>Increase</v>
      </c>
      <c r="AQ80" s="81">
        <f t="shared" si="17"/>
        <v>1491.1200000000001</v>
      </c>
      <c r="AR80" s="81">
        <f t="shared" si="18"/>
        <v>1521.52</v>
      </c>
      <c r="AS80" s="82">
        <f t="shared" si="21"/>
        <v>30.399999999999864</v>
      </c>
    </row>
    <row r="81" spans="1:45" hidden="1" x14ac:dyDescent="0.3">
      <c r="A81">
        <v>5583721</v>
      </c>
      <c r="B81" s="15" t="s">
        <v>5417</v>
      </c>
      <c r="C81" s="16" t="s">
        <v>30</v>
      </c>
      <c r="D81" s="6" t="s">
        <v>31</v>
      </c>
      <c r="E81" t="s">
        <v>213</v>
      </c>
      <c r="F81" t="s">
        <v>213</v>
      </c>
      <c r="H81" s="11" t="s">
        <v>27</v>
      </c>
      <c r="I81" s="6" t="s">
        <v>28</v>
      </c>
      <c r="J81" s="6" t="s">
        <v>28</v>
      </c>
      <c r="K81" t="s">
        <v>32</v>
      </c>
      <c r="L81" s="35">
        <v>20.74</v>
      </c>
      <c r="M81" s="6" t="s">
        <v>29</v>
      </c>
      <c r="N81" s="6">
        <v>3105</v>
      </c>
      <c r="P81" s="18"/>
      <c r="Q81" s="17"/>
      <c r="R81" s="19">
        <v>20.74</v>
      </c>
      <c r="S81" s="19">
        <v>20.74</v>
      </c>
      <c r="T81" s="38">
        <v>340</v>
      </c>
      <c r="U81" s="38"/>
      <c r="V81" s="29">
        <v>20.74</v>
      </c>
      <c r="W81" s="35">
        <v>20.74</v>
      </c>
      <c r="X81" s="32">
        <f t="shared" si="11"/>
        <v>7051.5999999999995</v>
      </c>
      <c r="Y81" s="32">
        <f t="shared" si="12"/>
        <v>7051.5999999999995</v>
      </c>
      <c r="Z81" s="32">
        <f t="shared" si="13"/>
        <v>0</v>
      </c>
      <c r="AA81" s="38">
        <v>340</v>
      </c>
      <c r="AB81" s="37">
        <f>IFERROR(VLOOKUP(A81,'Tash Lookup'!A:E,3,FALSE),"")</f>
        <v>6901.72</v>
      </c>
      <c r="AC81" s="6">
        <f t="shared" si="14"/>
        <v>0</v>
      </c>
      <c r="AD81" s="2" t="s">
        <v>6703</v>
      </c>
      <c r="AF81" s="56">
        <v>21.82</v>
      </c>
      <c r="AG81" s="56">
        <f>VLOOKUP(A81,Sheet1!$A$2:$C$1140,3,FALSE)</f>
        <v>21.82</v>
      </c>
      <c r="AH81" s="58">
        <v>21.82</v>
      </c>
      <c r="AI81" s="56" t="str">
        <f t="shared" si="15"/>
        <v>Same</v>
      </c>
      <c r="AJ81" s="81">
        <f t="shared" si="19"/>
        <v>7418.8</v>
      </c>
      <c r="AK81" s="81">
        <f t="shared" si="20"/>
        <v>7418.8</v>
      </c>
      <c r="AL81" s="58" t="s">
        <v>32</v>
      </c>
      <c r="AM81" s="58" t="s">
        <v>6703</v>
      </c>
      <c r="AN81" s="75">
        <v>406</v>
      </c>
      <c r="AO81" s="88">
        <v>21.82</v>
      </c>
      <c r="AP81" s="6" t="str">
        <f t="shared" si="16"/>
        <v>Same</v>
      </c>
      <c r="AQ81" s="81">
        <f t="shared" si="17"/>
        <v>8858.92</v>
      </c>
      <c r="AR81" s="81">
        <f t="shared" si="18"/>
        <v>8858.92</v>
      </c>
      <c r="AS81" s="81">
        <f t="shared" si="21"/>
        <v>0</v>
      </c>
    </row>
    <row r="82" spans="1:45" hidden="1" x14ac:dyDescent="0.3">
      <c r="A82">
        <v>5091654</v>
      </c>
      <c r="B82" s="15" t="s">
        <v>5418</v>
      </c>
      <c r="C82" s="16" t="s">
        <v>30</v>
      </c>
      <c r="D82" s="6" t="s">
        <v>31</v>
      </c>
      <c r="E82" t="s">
        <v>164</v>
      </c>
      <c r="F82" t="s">
        <v>164</v>
      </c>
      <c r="H82" s="11" t="s">
        <v>27</v>
      </c>
      <c r="I82" s="6" t="s">
        <v>28</v>
      </c>
      <c r="J82" s="6" t="s">
        <v>28</v>
      </c>
      <c r="K82" t="s">
        <v>32</v>
      </c>
      <c r="L82" s="35">
        <v>36.450000000000003</v>
      </c>
      <c r="M82" s="6" t="s">
        <v>29</v>
      </c>
      <c r="N82" s="6">
        <v>3105</v>
      </c>
      <c r="P82" s="18"/>
      <c r="Q82" s="17"/>
      <c r="R82" s="19">
        <v>36.450000000000003</v>
      </c>
      <c r="S82" s="19">
        <v>36.450000000000003</v>
      </c>
      <c r="T82" s="38">
        <v>338</v>
      </c>
      <c r="U82" s="38"/>
      <c r="V82" s="29">
        <v>33.611000000000004</v>
      </c>
      <c r="W82" s="35">
        <v>36.450000000000003</v>
      </c>
      <c r="X82" s="32">
        <f t="shared" si="11"/>
        <v>11360.518000000002</v>
      </c>
      <c r="Y82" s="32">
        <f t="shared" si="12"/>
        <v>12320.1</v>
      </c>
      <c r="Z82" s="32">
        <f t="shared" si="13"/>
        <v>-959.58199999999852</v>
      </c>
      <c r="AA82" s="38">
        <v>338</v>
      </c>
      <c r="AB82" s="37">
        <f>IFERROR(VLOOKUP(A82,'Tash Lookup'!A:E,3,FALSE),"")</f>
        <v>12234.05</v>
      </c>
      <c r="AC82" s="6">
        <f t="shared" si="14"/>
        <v>0</v>
      </c>
      <c r="AD82" s="2" t="s">
        <v>6703</v>
      </c>
      <c r="AF82" s="56">
        <v>33.26</v>
      </c>
      <c r="AG82" s="56">
        <f>VLOOKUP(A82,Sheet1!$A$2:$C$1140,3,FALSE)</f>
        <v>33.26</v>
      </c>
      <c r="AH82" s="58">
        <v>33.26</v>
      </c>
      <c r="AI82" s="56" t="str">
        <f t="shared" si="15"/>
        <v>Same</v>
      </c>
      <c r="AJ82" s="81">
        <f t="shared" si="19"/>
        <v>11241.88</v>
      </c>
      <c r="AK82" s="81">
        <f t="shared" si="20"/>
        <v>11241.88</v>
      </c>
      <c r="AL82" s="58" t="s">
        <v>32</v>
      </c>
      <c r="AM82" s="58" t="s">
        <v>6703</v>
      </c>
      <c r="AN82" s="75">
        <v>176</v>
      </c>
      <c r="AO82" s="88">
        <v>33.26</v>
      </c>
      <c r="AP82" s="6" t="str">
        <f t="shared" si="16"/>
        <v>Same</v>
      </c>
      <c r="AQ82" s="81">
        <f t="shared" si="17"/>
        <v>5853.7599999999993</v>
      </c>
      <c r="AR82" s="81">
        <f t="shared" si="18"/>
        <v>5853.7599999999993</v>
      </c>
      <c r="AS82" s="81">
        <f t="shared" si="21"/>
        <v>0</v>
      </c>
    </row>
    <row r="83" spans="1:45" hidden="1" x14ac:dyDescent="0.3">
      <c r="A83">
        <v>6106492</v>
      </c>
      <c r="B83" s="15" t="s">
        <v>5419</v>
      </c>
      <c r="C83" s="16" t="s">
        <v>30</v>
      </c>
      <c r="D83" s="6" t="s">
        <v>31</v>
      </c>
      <c r="E83" t="s">
        <v>740</v>
      </c>
      <c r="F83" t="s">
        <v>740</v>
      </c>
      <c r="H83" s="11" t="s">
        <v>27</v>
      </c>
      <c r="I83" s="6" t="s">
        <v>28</v>
      </c>
      <c r="J83" s="6" t="s">
        <v>28</v>
      </c>
      <c r="K83" t="s">
        <v>32</v>
      </c>
      <c r="L83" s="35">
        <v>9.9600000000000009</v>
      </c>
      <c r="M83" s="6" t="s">
        <v>29</v>
      </c>
      <c r="N83" s="6">
        <v>3105</v>
      </c>
      <c r="P83" s="18"/>
      <c r="Q83" s="17"/>
      <c r="R83" s="19">
        <v>9.9600000000000009</v>
      </c>
      <c r="S83" s="19">
        <v>9.9600000000000009</v>
      </c>
      <c r="T83" s="38">
        <v>329</v>
      </c>
      <c r="U83" s="38"/>
      <c r="V83" s="30">
        <v>9.9600000000000009</v>
      </c>
      <c r="W83" s="35">
        <v>9.9600000000000009</v>
      </c>
      <c r="X83" s="32">
        <f t="shared" si="11"/>
        <v>3276.84</v>
      </c>
      <c r="Y83" s="32">
        <f t="shared" si="12"/>
        <v>3276.84</v>
      </c>
      <c r="Z83" s="32">
        <f t="shared" si="13"/>
        <v>0</v>
      </c>
      <c r="AA83" s="38">
        <v>329</v>
      </c>
      <c r="AB83" s="37">
        <f>IFERROR(VLOOKUP(A83,'Tash Lookup'!A:E,3,FALSE),"")</f>
        <v>3259.35</v>
      </c>
      <c r="AC83" s="6">
        <f t="shared" si="14"/>
        <v>0</v>
      </c>
      <c r="AD83" s="2" t="s">
        <v>6703</v>
      </c>
      <c r="AF83" s="56">
        <v>9.9600000000000009</v>
      </c>
      <c r="AG83" s="56">
        <f>VLOOKUP(A83,Sheet1!$A$2:$C$1140,3,FALSE)</f>
        <v>10.16</v>
      </c>
      <c r="AH83" s="58">
        <v>10.16</v>
      </c>
      <c r="AI83" s="56" t="str">
        <f t="shared" si="15"/>
        <v>Increase</v>
      </c>
      <c r="AJ83" s="81">
        <f t="shared" si="19"/>
        <v>3276.84</v>
      </c>
      <c r="AK83" s="81">
        <f t="shared" si="20"/>
        <v>3342.64</v>
      </c>
      <c r="AL83" s="58" t="s">
        <v>7206</v>
      </c>
      <c r="AM83" s="58" t="s">
        <v>6703</v>
      </c>
      <c r="AN83" s="75">
        <v>202</v>
      </c>
      <c r="AO83" s="88">
        <v>10.16</v>
      </c>
      <c r="AP83" s="6" t="str">
        <f t="shared" si="16"/>
        <v>Increase</v>
      </c>
      <c r="AQ83" s="81">
        <f t="shared" si="17"/>
        <v>2011.92</v>
      </c>
      <c r="AR83" s="81">
        <f t="shared" si="18"/>
        <v>2052.3200000000002</v>
      </c>
      <c r="AS83" s="82">
        <f t="shared" si="21"/>
        <v>40.400000000000091</v>
      </c>
    </row>
    <row r="84" spans="1:45" hidden="1" x14ac:dyDescent="0.3">
      <c r="A84">
        <v>6183899</v>
      </c>
      <c r="B84" s="15" t="s">
        <v>5420</v>
      </c>
      <c r="C84" s="16" t="s">
        <v>30</v>
      </c>
      <c r="D84" s="6" t="s">
        <v>31</v>
      </c>
      <c r="E84" t="s">
        <v>1250</v>
      </c>
      <c r="F84" t="s">
        <v>1250</v>
      </c>
      <c r="H84" s="11" t="s">
        <v>27</v>
      </c>
      <c r="I84" s="6" t="s">
        <v>28</v>
      </c>
      <c r="J84" s="6" t="s">
        <v>28</v>
      </c>
      <c r="K84" t="s">
        <v>32</v>
      </c>
      <c r="L84" s="35">
        <v>24.21</v>
      </c>
      <c r="M84" s="6" t="s">
        <v>29</v>
      </c>
      <c r="N84" s="6">
        <v>3105</v>
      </c>
      <c r="P84" s="18"/>
      <c r="Q84" s="17"/>
      <c r="R84" s="19">
        <v>24.21</v>
      </c>
      <c r="S84" s="19">
        <v>24.21</v>
      </c>
      <c r="T84" s="38">
        <v>327</v>
      </c>
      <c r="U84" s="38"/>
      <c r="V84" s="30">
        <v>24.21</v>
      </c>
      <c r="W84" s="35">
        <v>24.21</v>
      </c>
      <c r="X84" s="32">
        <f t="shared" si="11"/>
        <v>7916.67</v>
      </c>
      <c r="Y84" s="32">
        <f t="shared" si="12"/>
        <v>7916.67</v>
      </c>
      <c r="Z84" s="32">
        <f t="shared" si="13"/>
        <v>0</v>
      </c>
      <c r="AA84" s="38">
        <v>327</v>
      </c>
      <c r="AB84" s="37">
        <f>IFERROR(VLOOKUP(A84,'Tash Lookup'!A:E,3,FALSE),"")</f>
        <v>7865.65</v>
      </c>
      <c r="AC84" s="6">
        <f t="shared" si="14"/>
        <v>0</v>
      </c>
      <c r="AD84" s="2" t="s">
        <v>6703</v>
      </c>
      <c r="AF84" s="56">
        <v>24.21</v>
      </c>
      <c r="AG84" s="56">
        <f>VLOOKUP(A84,Sheet1!$A$2:$C$1140,3,FALSE)</f>
        <v>24.69</v>
      </c>
      <c r="AH84" s="58">
        <v>24.69</v>
      </c>
      <c r="AI84" s="56" t="str">
        <f t="shared" si="15"/>
        <v>Increase</v>
      </c>
      <c r="AJ84" s="81">
        <f t="shared" si="19"/>
        <v>7916.67</v>
      </c>
      <c r="AK84" s="81">
        <f t="shared" si="20"/>
        <v>8073.63</v>
      </c>
      <c r="AL84" s="58" t="s">
        <v>7206</v>
      </c>
      <c r="AM84" s="58" t="s">
        <v>6703</v>
      </c>
      <c r="AN84" s="75">
        <v>244</v>
      </c>
      <c r="AO84" s="88">
        <v>24.69</v>
      </c>
      <c r="AP84" s="6" t="str">
        <f t="shared" si="16"/>
        <v>Increase</v>
      </c>
      <c r="AQ84" s="81">
        <f t="shared" si="17"/>
        <v>5907.24</v>
      </c>
      <c r="AR84" s="81">
        <f t="shared" si="18"/>
        <v>6024.3600000000006</v>
      </c>
      <c r="AS84" s="82">
        <f t="shared" si="21"/>
        <v>117.1200000000008</v>
      </c>
    </row>
    <row r="85" spans="1:45" hidden="1" x14ac:dyDescent="0.3">
      <c r="A85">
        <v>5093019</v>
      </c>
      <c r="B85" s="15" t="s">
        <v>5421</v>
      </c>
      <c r="C85" s="16" t="s">
        <v>30</v>
      </c>
      <c r="D85" s="6" t="s">
        <v>31</v>
      </c>
      <c r="E85" t="s">
        <v>1119</v>
      </c>
      <c r="F85" t="s">
        <v>1119</v>
      </c>
      <c r="H85" s="11" t="s">
        <v>27</v>
      </c>
      <c r="I85" s="6" t="s">
        <v>28</v>
      </c>
      <c r="J85" s="6" t="s">
        <v>28</v>
      </c>
      <c r="K85" t="s">
        <v>32</v>
      </c>
      <c r="L85" s="35">
        <v>11.03</v>
      </c>
      <c r="M85" s="6" t="s">
        <v>29</v>
      </c>
      <c r="N85" s="6">
        <v>3105</v>
      </c>
      <c r="P85" s="18"/>
      <c r="Q85" s="17"/>
      <c r="R85" s="19">
        <v>11.03</v>
      </c>
      <c r="S85" s="19">
        <v>11.03</v>
      </c>
      <c r="T85" s="38">
        <v>319</v>
      </c>
      <c r="U85" s="38"/>
      <c r="V85" s="30">
        <v>11.03</v>
      </c>
      <c r="W85" s="35">
        <v>11.03</v>
      </c>
      <c r="X85" s="32">
        <f t="shared" si="11"/>
        <v>3518.5699999999997</v>
      </c>
      <c r="Y85" s="32">
        <f t="shared" si="12"/>
        <v>3518.5699999999997</v>
      </c>
      <c r="Z85" s="32">
        <f t="shared" si="13"/>
        <v>0</v>
      </c>
      <c r="AA85" s="38">
        <v>319</v>
      </c>
      <c r="AB85" s="37">
        <f>IFERROR(VLOOKUP(A85,'Tash Lookup'!A:E,3,FALSE),"")</f>
        <v>3475.57</v>
      </c>
      <c r="AC85" s="6">
        <f t="shared" si="14"/>
        <v>0</v>
      </c>
      <c r="AD85" s="2" t="s">
        <v>6703</v>
      </c>
      <c r="AF85" s="56">
        <v>12.02</v>
      </c>
      <c r="AG85" s="56">
        <f>VLOOKUP(A85,Sheet1!$A$2:$C$1140,3,FALSE)</f>
        <v>12.02</v>
      </c>
      <c r="AH85" s="58">
        <v>12.02</v>
      </c>
      <c r="AI85" s="56" t="str">
        <f t="shared" si="15"/>
        <v>Same</v>
      </c>
      <c r="AJ85" s="81">
        <f t="shared" si="19"/>
        <v>3834.3799999999997</v>
      </c>
      <c r="AK85" s="81">
        <f t="shared" si="20"/>
        <v>3834.3799999999997</v>
      </c>
      <c r="AL85" s="58" t="s">
        <v>7206</v>
      </c>
      <c r="AM85" s="58" t="s">
        <v>6703</v>
      </c>
      <c r="AN85" s="75">
        <v>141</v>
      </c>
      <c r="AO85" s="88">
        <v>12.02</v>
      </c>
      <c r="AP85" s="6" t="str">
        <f t="shared" si="16"/>
        <v>Same</v>
      </c>
      <c r="AQ85" s="81">
        <f t="shared" si="17"/>
        <v>1694.82</v>
      </c>
      <c r="AR85" s="81">
        <f t="shared" si="18"/>
        <v>1694.82</v>
      </c>
      <c r="AS85" s="81">
        <f t="shared" si="21"/>
        <v>0</v>
      </c>
    </row>
    <row r="86" spans="1:45" hidden="1" x14ac:dyDescent="0.3">
      <c r="A86">
        <v>5218595</v>
      </c>
      <c r="B86" s="15" t="s">
        <v>5422</v>
      </c>
      <c r="C86" s="16" t="s">
        <v>30</v>
      </c>
      <c r="D86" s="6" t="s">
        <v>31</v>
      </c>
      <c r="E86" t="s">
        <v>36</v>
      </c>
      <c r="F86" t="s">
        <v>36</v>
      </c>
      <c r="H86" s="11" t="s">
        <v>27</v>
      </c>
      <c r="I86" s="6" t="s">
        <v>28</v>
      </c>
      <c r="J86" s="6" t="s">
        <v>28</v>
      </c>
      <c r="K86" t="s">
        <v>32</v>
      </c>
      <c r="L86" s="35">
        <v>16.510000000000002</v>
      </c>
      <c r="M86" s="6" t="s">
        <v>29</v>
      </c>
      <c r="N86" s="6">
        <v>3105</v>
      </c>
      <c r="P86" s="18"/>
      <c r="Q86" s="17"/>
      <c r="R86" s="19">
        <v>18.87</v>
      </c>
      <c r="S86" s="19">
        <v>18.87</v>
      </c>
      <c r="T86" s="38">
        <v>316</v>
      </c>
      <c r="U86" s="38"/>
      <c r="V86" s="29">
        <v>16.510000000000002</v>
      </c>
      <c r="W86" s="45">
        <v>12.62</v>
      </c>
      <c r="X86" s="32">
        <f t="shared" si="11"/>
        <v>5217.1600000000008</v>
      </c>
      <c r="Y86" s="32">
        <f t="shared" si="12"/>
        <v>5217.1600000000008</v>
      </c>
      <c r="Z86" s="32">
        <f t="shared" si="13"/>
        <v>0</v>
      </c>
      <c r="AA86" s="38">
        <v>316</v>
      </c>
      <c r="AB86" s="37">
        <f>IFERROR(VLOOKUP(A86,'Tash Lookup'!A:E,3,FALSE),"")</f>
        <v>4469.63</v>
      </c>
      <c r="AC86" s="6">
        <f t="shared" si="14"/>
        <v>0</v>
      </c>
      <c r="AD86" s="2" t="s">
        <v>6703</v>
      </c>
      <c r="AF86" s="56">
        <v>18</v>
      </c>
      <c r="AG86" s="56">
        <f>VLOOKUP(A86,Sheet1!$A$2:$C$1140,3,FALSE)</f>
        <v>18</v>
      </c>
      <c r="AH86" s="58">
        <v>18</v>
      </c>
      <c r="AI86" s="56" t="str">
        <f t="shared" si="15"/>
        <v>Same</v>
      </c>
      <c r="AJ86" s="81">
        <f t="shared" si="19"/>
        <v>5688</v>
      </c>
      <c r="AK86" s="81">
        <f t="shared" si="20"/>
        <v>5688</v>
      </c>
      <c r="AL86" s="58" t="s">
        <v>32</v>
      </c>
      <c r="AM86" s="58" t="s">
        <v>6703</v>
      </c>
      <c r="AN86" s="75">
        <v>282</v>
      </c>
      <c r="AO86" s="88">
        <v>18</v>
      </c>
      <c r="AP86" s="6" t="str">
        <f t="shared" si="16"/>
        <v>Same</v>
      </c>
      <c r="AQ86" s="81">
        <f t="shared" si="17"/>
        <v>5076</v>
      </c>
      <c r="AR86" s="81">
        <f t="shared" si="18"/>
        <v>5076</v>
      </c>
      <c r="AS86" s="81">
        <f t="shared" si="21"/>
        <v>0</v>
      </c>
    </row>
    <row r="87" spans="1:45" hidden="1" x14ac:dyDescent="0.3">
      <c r="A87">
        <v>6183875</v>
      </c>
      <c r="B87" s="15" t="s">
        <v>5423</v>
      </c>
      <c r="C87" s="16" t="s">
        <v>30</v>
      </c>
      <c r="D87" s="6" t="s">
        <v>31</v>
      </c>
      <c r="E87" t="s">
        <v>855</v>
      </c>
      <c r="F87" t="s">
        <v>855</v>
      </c>
      <c r="H87" s="11" t="s">
        <v>27</v>
      </c>
      <c r="I87" s="6" t="s">
        <v>28</v>
      </c>
      <c r="J87" s="6" t="s">
        <v>28</v>
      </c>
      <c r="K87" t="s">
        <v>32</v>
      </c>
      <c r="L87" s="35">
        <v>10.79</v>
      </c>
      <c r="M87" s="6" t="s">
        <v>29</v>
      </c>
      <c r="N87" s="6">
        <v>3105</v>
      </c>
      <c r="P87" s="18"/>
      <c r="Q87" s="17"/>
      <c r="R87" s="19">
        <v>10.79</v>
      </c>
      <c r="S87" s="19">
        <v>10.79</v>
      </c>
      <c r="T87" s="38">
        <v>310</v>
      </c>
      <c r="U87" s="38"/>
      <c r="V87" s="30">
        <v>10.79</v>
      </c>
      <c r="W87" s="35">
        <v>10.79</v>
      </c>
      <c r="X87" s="32">
        <f t="shared" si="11"/>
        <v>3344.8999999999996</v>
      </c>
      <c r="Y87" s="32">
        <f t="shared" si="12"/>
        <v>3344.8999999999996</v>
      </c>
      <c r="Z87" s="32">
        <f t="shared" si="13"/>
        <v>0</v>
      </c>
      <c r="AA87" s="38">
        <v>310</v>
      </c>
      <c r="AB87" s="37">
        <f>IFERROR(VLOOKUP(A87,'Tash Lookup'!A:E,3,FALSE),"")</f>
        <v>3330.67</v>
      </c>
      <c r="AC87" s="6">
        <f t="shared" si="14"/>
        <v>0</v>
      </c>
      <c r="AD87" s="2" t="s">
        <v>6703</v>
      </c>
      <c r="AF87" s="56">
        <v>11.42</v>
      </c>
      <c r="AG87" s="56">
        <f>VLOOKUP(A87,Sheet1!$A$2:$C$1140,3,FALSE)</f>
        <v>11.65</v>
      </c>
      <c r="AH87" s="58">
        <v>11.65</v>
      </c>
      <c r="AI87" s="56" t="str">
        <f t="shared" si="15"/>
        <v>Increase</v>
      </c>
      <c r="AJ87" s="81">
        <f t="shared" si="19"/>
        <v>3540.2</v>
      </c>
      <c r="AK87" s="81">
        <f t="shared" si="20"/>
        <v>3611.5</v>
      </c>
      <c r="AL87" s="58" t="s">
        <v>7206</v>
      </c>
      <c r="AM87" s="58" t="s">
        <v>6703</v>
      </c>
      <c r="AN87" s="75">
        <v>363</v>
      </c>
      <c r="AO87" s="88">
        <v>11.65</v>
      </c>
      <c r="AP87" s="6" t="str">
        <f t="shared" si="16"/>
        <v>Increase</v>
      </c>
      <c r="AQ87" s="81">
        <f t="shared" si="17"/>
        <v>4145.46</v>
      </c>
      <c r="AR87" s="81">
        <f t="shared" si="18"/>
        <v>4228.95</v>
      </c>
      <c r="AS87" s="82">
        <f t="shared" si="21"/>
        <v>83.489999999999782</v>
      </c>
    </row>
    <row r="88" spans="1:45" hidden="1" x14ac:dyDescent="0.3">
      <c r="A88">
        <v>5220149</v>
      </c>
      <c r="B88" s="15" t="s">
        <v>5424</v>
      </c>
      <c r="C88" s="16" t="s">
        <v>30</v>
      </c>
      <c r="D88" s="6" t="s">
        <v>31</v>
      </c>
      <c r="E88" t="s">
        <v>131</v>
      </c>
      <c r="F88" t="s">
        <v>131</v>
      </c>
      <c r="H88" s="11" t="s">
        <v>27</v>
      </c>
      <c r="I88" s="6" t="s">
        <v>28</v>
      </c>
      <c r="J88" s="6" t="s">
        <v>28</v>
      </c>
      <c r="K88" t="s">
        <v>32</v>
      </c>
      <c r="L88" s="35">
        <v>38.159999999999997</v>
      </c>
      <c r="M88" s="6" t="s">
        <v>29</v>
      </c>
      <c r="N88" s="6">
        <v>3105</v>
      </c>
      <c r="P88" s="18"/>
      <c r="Q88" s="17"/>
      <c r="R88" s="19">
        <v>38.159999999999997</v>
      </c>
      <c r="S88" s="19">
        <v>38.159999999999997</v>
      </c>
      <c r="T88" s="38">
        <v>306</v>
      </c>
      <c r="U88" s="38"/>
      <c r="V88" s="29">
        <v>38.159999999999997</v>
      </c>
      <c r="W88" s="35">
        <v>38.159999999999997</v>
      </c>
      <c r="X88" s="32">
        <f t="shared" si="11"/>
        <v>11676.96</v>
      </c>
      <c r="Y88" s="32">
        <f t="shared" si="12"/>
        <v>11676.96</v>
      </c>
      <c r="Z88" s="32">
        <f t="shared" si="13"/>
        <v>0</v>
      </c>
      <c r="AA88" s="38">
        <v>306</v>
      </c>
      <c r="AB88" s="37">
        <f>IFERROR(VLOOKUP(A88,'Tash Lookup'!A:E,3,FALSE),"")</f>
        <v>11481.8</v>
      </c>
      <c r="AC88" s="6">
        <f t="shared" si="14"/>
        <v>0</v>
      </c>
      <c r="AD88" s="2" t="s">
        <v>6703</v>
      </c>
      <c r="AF88" s="56">
        <v>38.409999999999997</v>
      </c>
      <c r="AG88" s="56">
        <f>VLOOKUP(A88,Sheet1!$A$2:$C$1140,3,FALSE)</f>
        <v>38.409999999999997</v>
      </c>
      <c r="AH88" s="58">
        <v>38.409999999999997</v>
      </c>
      <c r="AI88" s="56" t="str">
        <f t="shared" si="15"/>
        <v>Same</v>
      </c>
      <c r="AJ88" s="81">
        <f t="shared" si="19"/>
        <v>11753.46</v>
      </c>
      <c r="AK88" s="81">
        <f t="shared" si="20"/>
        <v>11753.46</v>
      </c>
      <c r="AL88" s="58" t="s">
        <v>32</v>
      </c>
      <c r="AM88" s="58" t="s">
        <v>6703</v>
      </c>
      <c r="AN88" s="75">
        <v>331</v>
      </c>
      <c r="AO88" s="88">
        <v>38.409999999999997</v>
      </c>
      <c r="AP88" s="6" t="str">
        <f t="shared" si="16"/>
        <v>Same</v>
      </c>
      <c r="AQ88" s="81">
        <f t="shared" si="17"/>
        <v>12713.71</v>
      </c>
      <c r="AR88" s="81">
        <f t="shared" si="18"/>
        <v>12713.71</v>
      </c>
      <c r="AS88" s="81">
        <f t="shared" si="21"/>
        <v>0</v>
      </c>
    </row>
    <row r="89" spans="1:45" hidden="1" x14ac:dyDescent="0.3">
      <c r="A89">
        <v>6183827</v>
      </c>
      <c r="B89" s="15" t="s">
        <v>5425</v>
      </c>
      <c r="C89" s="16" t="s">
        <v>30</v>
      </c>
      <c r="D89" s="6" t="s">
        <v>31</v>
      </c>
      <c r="E89" t="s">
        <v>870</v>
      </c>
      <c r="F89" t="s">
        <v>870</v>
      </c>
      <c r="H89" s="11" t="s">
        <v>27</v>
      </c>
      <c r="I89" s="6" t="s">
        <v>28</v>
      </c>
      <c r="J89" s="6" t="s">
        <v>28</v>
      </c>
      <c r="K89" t="s">
        <v>32</v>
      </c>
      <c r="L89" s="35">
        <v>11.87</v>
      </c>
      <c r="M89" s="6" t="s">
        <v>29</v>
      </c>
      <c r="N89" s="6">
        <v>3105</v>
      </c>
      <c r="P89" s="18"/>
      <c r="Q89" s="17"/>
      <c r="R89" s="19">
        <v>11.87</v>
      </c>
      <c r="S89" s="19">
        <v>11.87</v>
      </c>
      <c r="T89" s="38">
        <v>303</v>
      </c>
      <c r="U89" s="38"/>
      <c r="V89" s="30">
        <v>11.87</v>
      </c>
      <c r="W89" s="35">
        <v>11.87</v>
      </c>
      <c r="X89" s="32">
        <f t="shared" si="11"/>
        <v>3596.6099999999997</v>
      </c>
      <c r="Y89" s="32">
        <f t="shared" si="12"/>
        <v>3596.6099999999997</v>
      </c>
      <c r="Z89" s="32">
        <f t="shared" si="13"/>
        <v>0</v>
      </c>
      <c r="AA89" s="38">
        <v>303</v>
      </c>
      <c r="AB89" s="37">
        <f>IFERROR(VLOOKUP(A89,'Tash Lookup'!A:E,3,FALSE),"")</f>
        <v>3571.8</v>
      </c>
      <c r="AC89" s="6">
        <f t="shared" si="14"/>
        <v>0</v>
      </c>
      <c r="AD89" s="2" t="s">
        <v>6703</v>
      </c>
      <c r="AF89" s="56">
        <v>10.68</v>
      </c>
      <c r="AG89" s="56">
        <f>VLOOKUP(A89,Sheet1!$A$2:$C$1140,3,FALSE)</f>
        <v>10.89</v>
      </c>
      <c r="AH89" s="58">
        <v>10.89</v>
      </c>
      <c r="AI89" s="56" t="str">
        <f t="shared" si="15"/>
        <v>Increase</v>
      </c>
      <c r="AJ89" s="81">
        <f t="shared" si="19"/>
        <v>3236.04</v>
      </c>
      <c r="AK89" s="81">
        <f t="shared" si="20"/>
        <v>3299.67</v>
      </c>
      <c r="AL89" s="58" t="s">
        <v>7206</v>
      </c>
      <c r="AM89" s="58" t="s">
        <v>6703</v>
      </c>
      <c r="AN89" s="75">
        <v>271</v>
      </c>
      <c r="AO89" s="88">
        <v>10.89</v>
      </c>
      <c r="AP89" s="6" t="str">
        <f t="shared" si="16"/>
        <v>Increase</v>
      </c>
      <c r="AQ89" s="81">
        <f t="shared" si="17"/>
        <v>2894.2799999999997</v>
      </c>
      <c r="AR89" s="81">
        <f t="shared" si="18"/>
        <v>2951.19</v>
      </c>
      <c r="AS89" s="82">
        <f t="shared" si="21"/>
        <v>56.910000000000309</v>
      </c>
    </row>
    <row r="90" spans="1:45" hidden="1" x14ac:dyDescent="0.3">
      <c r="A90">
        <v>6183840</v>
      </c>
      <c r="B90" s="15" t="s">
        <v>5426</v>
      </c>
      <c r="C90" s="16" t="s">
        <v>30</v>
      </c>
      <c r="D90" s="6" t="s">
        <v>31</v>
      </c>
      <c r="E90" t="s">
        <v>2559</v>
      </c>
      <c r="F90" t="s">
        <v>2559</v>
      </c>
      <c r="H90" s="11" t="s">
        <v>27</v>
      </c>
      <c r="I90" s="6" t="s">
        <v>28</v>
      </c>
      <c r="J90" s="6" t="s">
        <v>28</v>
      </c>
      <c r="K90" t="s">
        <v>32</v>
      </c>
      <c r="L90" s="35">
        <v>2.57</v>
      </c>
      <c r="M90" s="6" t="s">
        <v>29</v>
      </c>
      <c r="N90" s="6">
        <v>3105</v>
      </c>
      <c r="P90" s="18"/>
      <c r="Q90" s="17"/>
      <c r="R90" s="19">
        <v>5.96</v>
      </c>
      <c r="S90" s="19">
        <v>5.96</v>
      </c>
      <c r="T90" s="38">
        <v>286</v>
      </c>
      <c r="U90" s="38"/>
      <c r="V90" s="30">
        <v>5.96</v>
      </c>
      <c r="W90" s="35">
        <v>2.57</v>
      </c>
      <c r="X90" s="32">
        <f t="shared" si="11"/>
        <v>1704.56</v>
      </c>
      <c r="Y90" s="32">
        <f t="shared" si="12"/>
        <v>735.02</v>
      </c>
      <c r="Z90" s="32">
        <f t="shared" si="13"/>
        <v>969.54</v>
      </c>
      <c r="AA90" s="38">
        <v>286</v>
      </c>
      <c r="AB90" s="37">
        <f>IFERROR(VLOOKUP(A90,'Tash Lookup'!A:E,3,FALSE),"")</f>
        <v>731.75</v>
      </c>
      <c r="AC90" s="6">
        <f t="shared" si="14"/>
        <v>0</v>
      </c>
      <c r="AD90" s="2" t="s">
        <v>6703</v>
      </c>
      <c r="AF90" s="56">
        <v>2.31</v>
      </c>
      <c r="AG90" s="56">
        <f>VLOOKUP(A90,Sheet1!$A$2:$C$1140,3,FALSE)</f>
        <v>2.36</v>
      </c>
      <c r="AH90" s="58">
        <v>2.36</v>
      </c>
      <c r="AI90" s="56" t="str">
        <f t="shared" si="15"/>
        <v>Increase</v>
      </c>
      <c r="AJ90" s="81">
        <f t="shared" si="19"/>
        <v>660.66</v>
      </c>
      <c r="AK90" s="81">
        <f t="shared" si="20"/>
        <v>674.95999999999992</v>
      </c>
      <c r="AL90" s="58" t="s">
        <v>7206</v>
      </c>
      <c r="AM90" s="58" t="s">
        <v>6703</v>
      </c>
      <c r="AN90" s="75">
        <v>152</v>
      </c>
      <c r="AO90" s="88">
        <v>2.36</v>
      </c>
      <c r="AP90" s="6" t="str">
        <f t="shared" si="16"/>
        <v>Increase</v>
      </c>
      <c r="AQ90" s="81">
        <f t="shared" si="17"/>
        <v>351.12</v>
      </c>
      <c r="AR90" s="81">
        <f t="shared" si="18"/>
        <v>358.71999999999997</v>
      </c>
      <c r="AS90" s="82">
        <f t="shared" si="21"/>
        <v>7.5999999999999659</v>
      </c>
    </row>
    <row r="91" spans="1:45" hidden="1" x14ac:dyDescent="0.3">
      <c r="A91">
        <v>5090800</v>
      </c>
      <c r="B91" s="15" t="s">
        <v>5427</v>
      </c>
      <c r="C91" s="16" t="s">
        <v>30</v>
      </c>
      <c r="D91" s="6" t="s">
        <v>31</v>
      </c>
      <c r="E91" t="s">
        <v>176</v>
      </c>
      <c r="F91" t="s">
        <v>176</v>
      </c>
      <c r="H91" s="11" t="s">
        <v>27</v>
      </c>
      <c r="I91" s="6" t="s">
        <v>28</v>
      </c>
      <c r="J91" s="6" t="s">
        <v>28</v>
      </c>
      <c r="K91" t="s">
        <v>32</v>
      </c>
      <c r="L91" s="35">
        <v>16.5</v>
      </c>
      <c r="M91" s="6" t="s">
        <v>29</v>
      </c>
      <c r="N91" s="6">
        <v>3105</v>
      </c>
      <c r="P91" s="18"/>
      <c r="Q91" s="17"/>
      <c r="R91" s="19">
        <v>16.5</v>
      </c>
      <c r="S91" s="19">
        <v>16.5</v>
      </c>
      <c r="T91" s="38">
        <v>286</v>
      </c>
      <c r="U91" s="38"/>
      <c r="V91" s="29">
        <v>14.107499999999998</v>
      </c>
      <c r="W91" s="35">
        <v>16.5</v>
      </c>
      <c r="X91" s="32">
        <f t="shared" si="11"/>
        <v>4034.7449999999994</v>
      </c>
      <c r="Y91" s="32">
        <f t="shared" si="12"/>
        <v>4719</v>
      </c>
      <c r="Z91" s="32">
        <f t="shared" si="13"/>
        <v>-684.25500000000056</v>
      </c>
      <c r="AA91" s="38">
        <v>286</v>
      </c>
      <c r="AB91" s="37">
        <f>IFERROR(VLOOKUP(A91,'Tash Lookup'!A:E,3,FALSE),"")</f>
        <v>4649.6099999999997</v>
      </c>
      <c r="AC91" s="6">
        <f t="shared" si="14"/>
        <v>0</v>
      </c>
      <c r="AD91" s="2" t="s">
        <v>6703</v>
      </c>
      <c r="AF91" s="56">
        <v>14.88</v>
      </c>
      <c r="AG91" s="56">
        <f>VLOOKUP(A91,Sheet1!$A$2:$C$1140,3,FALSE)</f>
        <v>15.48</v>
      </c>
      <c r="AH91" s="58">
        <v>15.48</v>
      </c>
      <c r="AI91" s="56" t="str">
        <f t="shared" si="15"/>
        <v>Increase</v>
      </c>
      <c r="AJ91" s="81">
        <f t="shared" si="19"/>
        <v>4255.68</v>
      </c>
      <c r="AK91" s="81">
        <f t="shared" si="20"/>
        <v>4427.28</v>
      </c>
      <c r="AL91" s="58" t="s">
        <v>32</v>
      </c>
      <c r="AM91" s="58" t="s">
        <v>6703</v>
      </c>
      <c r="AN91" s="75">
        <v>259</v>
      </c>
      <c r="AO91" s="88">
        <v>15.48</v>
      </c>
      <c r="AP91" s="6" t="str">
        <f t="shared" si="16"/>
        <v>Increase</v>
      </c>
      <c r="AQ91" s="81">
        <f t="shared" si="17"/>
        <v>3853.92</v>
      </c>
      <c r="AR91" s="81">
        <f t="shared" si="18"/>
        <v>4009.32</v>
      </c>
      <c r="AS91" s="82">
        <f t="shared" si="21"/>
        <v>155.40000000000009</v>
      </c>
    </row>
    <row r="92" spans="1:45" hidden="1" x14ac:dyDescent="0.3">
      <c r="A92">
        <v>5218584</v>
      </c>
      <c r="B92" s="15" t="s">
        <v>5428</v>
      </c>
      <c r="C92" s="16" t="s">
        <v>30</v>
      </c>
      <c r="D92" s="6" t="s">
        <v>31</v>
      </c>
      <c r="E92" t="s">
        <v>80</v>
      </c>
      <c r="F92" t="s">
        <v>80</v>
      </c>
      <c r="H92" s="11" t="s">
        <v>27</v>
      </c>
      <c r="I92" s="6" t="s">
        <v>28</v>
      </c>
      <c r="J92" s="6" t="s">
        <v>28</v>
      </c>
      <c r="K92" t="s">
        <v>32</v>
      </c>
      <c r="L92" s="35">
        <v>15.4</v>
      </c>
      <c r="M92" s="6" t="s">
        <v>29</v>
      </c>
      <c r="N92" s="6">
        <v>3105</v>
      </c>
      <c r="P92" s="18"/>
      <c r="Q92" s="17"/>
      <c r="R92" s="19">
        <v>15.4</v>
      </c>
      <c r="S92" s="19">
        <v>15.4</v>
      </c>
      <c r="T92" s="38">
        <v>281</v>
      </c>
      <c r="U92" s="38"/>
      <c r="V92" s="29">
        <v>15.4</v>
      </c>
      <c r="W92" s="45">
        <v>13.52</v>
      </c>
      <c r="X92" s="32">
        <f t="shared" si="11"/>
        <v>4327.4000000000005</v>
      </c>
      <c r="Y92" s="32">
        <f t="shared" si="12"/>
        <v>4327.4000000000005</v>
      </c>
      <c r="Z92" s="32">
        <f t="shared" si="13"/>
        <v>0</v>
      </c>
      <c r="AA92" s="38">
        <v>281</v>
      </c>
      <c r="AB92" s="37">
        <f>IFERROR(VLOOKUP(A92,'Tash Lookup'!A:E,3,FALSE),"")</f>
        <v>4149.97</v>
      </c>
      <c r="AC92" s="6">
        <f t="shared" si="14"/>
        <v>0</v>
      </c>
      <c r="AD92" s="2" t="s">
        <v>6703</v>
      </c>
      <c r="AF92" s="56">
        <v>17.47</v>
      </c>
      <c r="AG92" s="56">
        <f>VLOOKUP(A92,Sheet1!$A$2:$C$1140,3,FALSE)</f>
        <v>17.47</v>
      </c>
      <c r="AH92" s="58">
        <v>17.47</v>
      </c>
      <c r="AI92" s="56" t="str">
        <f t="shared" si="15"/>
        <v>Same</v>
      </c>
      <c r="AJ92" s="81">
        <f t="shared" si="19"/>
        <v>4909.07</v>
      </c>
      <c r="AK92" s="81">
        <f t="shared" si="20"/>
        <v>4909.07</v>
      </c>
      <c r="AL92" s="58" t="s">
        <v>32</v>
      </c>
      <c r="AM92" s="58" t="s">
        <v>6703</v>
      </c>
      <c r="AN92" s="75">
        <v>82</v>
      </c>
      <c r="AO92" s="88">
        <v>17.47</v>
      </c>
      <c r="AP92" s="6" t="str">
        <f t="shared" si="16"/>
        <v>Same</v>
      </c>
      <c r="AQ92" s="81">
        <f t="shared" si="17"/>
        <v>1432.54</v>
      </c>
      <c r="AR92" s="81">
        <f t="shared" si="18"/>
        <v>1432.54</v>
      </c>
      <c r="AS92" s="81">
        <f t="shared" si="21"/>
        <v>0</v>
      </c>
    </row>
    <row r="93" spans="1:45" hidden="1" x14ac:dyDescent="0.3">
      <c r="A93">
        <v>5183991</v>
      </c>
      <c r="B93" s="15" t="s">
        <v>5429</v>
      </c>
      <c r="C93" s="16" t="s">
        <v>30</v>
      </c>
      <c r="D93" s="6" t="s">
        <v>31</v>
      </c>
      <c r="E93" t="s">
        <v>146</v>
      </c>
      <c r="F93" t="s">
        <v>146</v>
      </c>
      <c r="H93" s="11" t="s">
        <v>27</v>
      </c>
      <c r="I93" s="6" t="s">
        <v>28</v>
      </c>
      <c r="J93" s="6" t="s">
        <v>28</v>
      </c>
      <c r="K93" t="s">
        <v>32</v>
      </c>
      <c r="L93" s="35">
        <v>26.85</v>
      </c>
      <c r="M93" s="6" t="s">
        <v>29</v>
      </c>
      <c r="N93" s="6">
        <v>3105</v>
      </c>
      <c r="P93" s="18"/>
      <c r="Q93" s="17"/>
      <c r="R93" s="19">
        <v>26.85</v>
      </c>
      <c r="S93" s="19">
        <v>26.85</v>
      </c>
      <c r="T93" s="38">
        <v>277</v>
      </c>
      <c r="U93" s="38"/>
      <c r="V93" s="29">
        <v>26.85</v>
      </c>
      <c r="W93" s="35">
        <v>26.85</v>
      </c>
      <c r="X93" s="32">
        <f t="shared" si="11"/>
        <v>7437.4500000000007</v>
      </c>
      <c r="Y93" s="32">
        <f t="shared" si="12"/>
        <v>7437.4500000000007</v>
      </c>
      <c r="Z93" s="32">
        <f t="shared" si="13"/>
        <v>0</v>
      </c>
      <c r="AA93" s="38">
        <v>277</v>
      </c>
      <c r="AB93" s="37">
        <f>IFERROR(VLOOKUP(A93,'Tash Lookup'!A:E,3,FALSE),"")</f>
        <v>7342.7</v>
      </c>
      <c r="AC93" s="6">
        <f t="shared" si="14"/>
        <v>0</v>
      </c>
      <c r="AD93" s="2" t="s">
        <v>6703</v>
      </c>
      <c r="AF93" s="56">
        <v>26.59</v>
      </c>
      <c r="AG93" s="56">
        <f>VLOOKUP(A93,Sheet1!$A$2:$C$1140,3,FALSE)</f>
        <v>26.59</v>
      </c>
      <c r="AH93" s="58">
        <v>26.59</v>
      </c>
      <c r="AI93" s="56" t="str">
        <f t="shared" si="15"/>
        <v>Same</v>
      </c>
      <c r="AJ93" s="81">
        <f t="shared" si="19"/>
        <v>7365.43</v>
      </c>
      <c r="AK93" s="81">
        <f t="shared" si="20"/>
        <v>7365.43</v>
      </c>
      <c r="AL93" s="58" t="s">
        <v>32</v>
      </c>
      <c r="AM93" s="58" t="s">
        <v>6703</v>
      </c>
      <c r="AN93" s="75">
        <v>52</v>
      </c>
      <c r="AO93" s="88">
        <v>26.59</v>
      </c>
      <c r="AP93" s="6" t="str">
        <f t="shared" si="16"/>
        <v>Same</v>
      </c>
      <c r="AQ93" s="81">
        <f t="shared" si="17"/>
        <v>1382.68</v>
      </c>
      <c r="AR93" s="81">
        <f t="shared" si="18"/>
        <v>1382.68</v>
      </c>
      <c r="AS93" s="81">
        <f t="shared" si="21"/>
        <v>0</v>
      </c>
    </row>
    <row r="94" spans="1:45" hidden="1" x14ac:dyDescent="0.3">
      <c r="A94">
        <v>5085009</v>
      </c>
      <c r="B94" s="15" t="s">
        <v>5430</v>
      </c>
      <c r="C94" s="16" t="s">
        <v>30</v>
      </c>
      <c r="D94" s="6" t="s">
        <v>31</v>
      </c>
      <c r="E94" t="s">
        <v>1102</v>
      </c>
      <c r="F94" t="s">
        <v>1102</v>
      </c>
      <c r="H94" s="11" t="s">
        <v>27</v>
      </c>
      <c r="I94" s="6" t="s">
        <v>28</v>
      </c>
      <c r="J94" s="6" t="s">
        <v>28</v>
      </c>
      <c r="K94" t="s">
        <v>32</v>
      </c>
      <c r="L94" s="35">
        <v>2.42</v>
      </c>
      <c r="M94" s="6" t="s">
        <v>29</v>
      </c>
      <c r="N94" s="6">
        <v>3105</v>
      </c>
      <c r="P94" s="18"/>
      <c r="Q94" s="17"/>
      <c r="R94" s="19">
        <v>2.42</v>
      </c>
      <c r="S94" s="19">
        <v>2.42</v>
      </c>
      <c r="T94" s="38">
        <v>276</v>
      </c>
      <c r="U94" s="38"/>
      <c r="V94" s="30">
        <v>2.42</v>
      </c>
      <c r="W94" s="35">
        <v>2.42</v>
      </c>
      <c r="X94" s="32">
        <f t="shared" si="11"/>
        <v>667.92</v>
      </c>
      <c r="Y94" s="32">
        <f t="shared" si="12"/>
        <v>667.92</v>
      </c>
      <c r="Z94" s="32">
        <f t="shared" si="13"/>
        <v>0</v>
      </c>
      <c r="AA94" s="38">
        <v>276</v>
      </c>
      <c r="AB94" s="37">
        <f>IFERROR(VLOOKUP(A94,'Tash Lookup'!A:E,3,FALSE),"")</f>
        <v>660.44</v>
      </c>
      <c r="AC94" s="6">
        <f t="shared" si="14"/>
        <v>0</v>
      </c>
      <c r="AD94" s="2" t="s">
        <v>6703</v>
      </c>
      <c r="AF94" s="56">
        <v>2.66</v>
      </c>
      <c r="AG94" s="56">
        <f>VLOOKUP(A94,Sheet1!$A$2:$C$1140,3,FALSE)</f>
        <v>2.66</v>
      </c>
      <c r="AH94" s="58">
        <v>2.66</v>
      </c>
      <c r="AI94" s="56" t="str">
        <f t="shared" si="15"/>
        <v>Same</v>
      </c>
      <c r="AJ94" s="81">
        <f t="shared" si="19"/>
        <v>734.16000000000008</v>
      </c>
      <c r="AK94" s="81">
        <f t="shared" si="20"/>
        <v>734.16000000000008</v>
      </c>
      <c r="AL94" s="58" t="s">
        <v>7206</v>
      </c>
      <c r="AM94" s="58" t="s">
        <v>6703</v>
      </c>
      <c r="AN94" s="75">
        <v>194</v>
      </c>
      <c r="AO94" s="88">
        <v>2.66</v>
      </c>
      <c r="AP94" s="6" t="str">
        <f t="shared" si="16"/>
        <v>Same</v>
      </c>
      <c r="AQ94" s="81">
        <f t="shared" si="17"/>
        <v>516.04000000000008</v>
      </c>
      <c r="AR94" s="81">
        <f t="shared" si="18"/>
        <v>516.04000000000008</v>
      </c>
      <c r="AS94" s="81">
        <f t="shared" si="21"/>
        <v>0</v>
      </c>
    </row>
    <row r="95" spans="1:45" hidden="1" x14ac:dyDescent="0.3">
      <c r="A95">
        <v>6410384</v>
      </c>
      <c r="B95" s="15" t="s">
        <v>5431</v>
      </c>
      <c r="C95" s="16" t="s">
        <v>30</v>
      </c>
      <c r="D95" s="6" t="s">
        <v>31</v>
      </c>
      <c r="E95" t="s">
        <v>2976</v>
      </c>
      <c r="F95" t="s">
        <v>5215</v>
      </c>
      <c r="H95" s="11" t="s">
        <v>27</v>
      </c>
      <c r="I95" s="6" t="s">
        <v>28</v>
      </c>
      <c r="J95" s="6" t="s">
        <v>28</v>
      </c>
      <c r="K95" t="s">
        <v>32</v>
      </c>
      <c r="L95" s="35">
        <v>59.54</v>
      </c>
      <c r="M95" s="6" t="s">
        <v>29</v>
      </c>
      <c r="N95" s="6">
        <v>3105</v>
      </c>
      <c r="P95" s="18"/>
      <c r="Q95" s="17"/>
      <c r="R95" s="19">
        <v>59.54</v>
      </c>
      <c r="S95" s="19">
        <v>59.54</v>
      </c>
      <c r="T95" s="38">
        <v>273</v>
      </c>
      <c r="U95" s="38"/>
      <c r="V95" s="29">
        <v>59.54</v>
      </c>
      <c r="W95" s="35">
        <v>59.54</v>
      </c>
      <c r="X95" s="32">
        <f t="shared" si="11"/>
        <v>16254.42</v>
      </c>
      <c r="Y95" s="32">
        <f t="shared" si="12"/>
        <v>16254.42</v>
      </c>
      <c r="Z95" s="32">
        <f t="shared" si="13"/>
        <v>0</v>
      </c>
      <c r="AA95" s="38">
        <v>273</v>
      </c>
      <c r="AB95" s="37">
        <f>IFERROR(VLOOKUP(A95,'Tash Lookup'!A:E,3,FALSE),"")</f>
        <v>15722.3</v>
      </c>
      <c r="AC95" s="6">
        <f t="shared" si="14"/>
        <v>0</v>
      </c>
      <c r="AD95" s="2" t="s">
        <v>6705</v>
      </c>
      <c r="AF95" s="56">
        <v>63.11</v>
      </c>
      <c r="AG95" s="56">
        <f>VLOOKUP(A95,Sheet1!$A$2:$C$1140,3,FALSE)</f>
        <v>65</v>
      </c>
      <c r="AH95" s="58">
        <v>65</v>
      </c>
      <c r="AI95" s="56" t="str">
        <f t="shared" si="15"/>
        <v>Increase</v>
      </c>
      <c r="AJ95" s="81">
        <f t="shared" si="19"/>
        <v>17229.03</v>
      </c>
      <c r="AK95" s="81">
        <f t="shared" si="20"/>
        <v>17745</v>
      </c>
      <c r="AL95" s="58" t="s">
        <v>32</v>
      </c>
      <c r="AM95" s="58" t="s">
        <v>6705</v>
      </c>
      <c r="AN95" s="75">
        <v>116</v>
      </c>
      <c r="AO95" s="88">
        <v>65</v>
      </c>
      <c r="AP95" s="6" t="str">
        <f t="shared" si="16"/>
        <v>Increase</v>
      </c>
      <c r="AQ95" s="81">
        <f t="shared" si="17"/>
        <v>7320.76</v>
      </c>
      <c r="AR95" s="81">
        <f t="shared" si="18"/>
        <v>7540</v>
      </c>
      <c r="AS95" s="82">
        <f t="shared" si="21"/>
        <v>219.23999999999978</v>
      </c>
    </row>
    <row r="96" spans="1:45" hidden="1" x14ac:dyDescent="0.3">
      <c r="A96">
        <v>6183909</v>
      </c>
      <c r="B96" s="15" t="s">
        <v>5432</v>
      </c>
      <c r="C96" s="16" t="s">
        <v>30</v>
      </c>
      <c r="D96" s="6" t="s">
        <v>31</v>
      </c>
      <c r="E96" t="s">
        <v>880</v>
      </c>
      <c r="F96" t="s">
        <v>880</v>
      </c>
      <c r="H96" s="11" t="s">
        <v>27</v>
      </c>
      <c r="I96" s="6" t="s">
        <v>28</v>
      </c>
      <c r="J96" s="6" t="s">
        <v>28</v>
      </c>
      <c r="K96" t="s">
        <v>32</v>
      </c>
      <c r="L96" s="35">
        <v>7.76</v>
      </c>
      <c r="M96" s="6" t="s">
        <v>29</v>
      </c>
      <c r="N96" s="6">
        <v>3105</v>
      </c>
      <c r="P96" s="18"/>
      <c r="Q96" s="17"/>
      <c r="R96" s="19">
        <v>7.76</v>
      </c>
      <c r="S96" s="19">
        <v>7.76</v>
      </c>
      <c r="T96" s="38">
        <v>273</v>
      </c>
      <c r="U96" s="38"/>
      <c r="V96" s="30">
        <v>7.76</v>
      </c>
      <c r="W96" s="35">
        <v>7.76</v>
      </c>
      <c r="X96" s="32">
        <f t="shared" si="11"/>
        <v>2118.48</v>
      </c>
      <c r="Y96" s="32">
        <f t="shared" si="12"/>
        <v>2118.48</v>
      </c>
      <c r="Z96" s="32">
        <f t="shared" si="13"/>
        <v>0</v>
      </c>
      <c r="AA96" s="38">
        <v>273</v>
      </c>
      <c r="AB96" s="37">
        <f>IFERROR(VLOOKUP(A96,'Tash Lookup'!A:E,3,FALSE),"")</f>
        <v>2077.27</v>
      </c>
      <c r="AC96" s="6">
        <f t="shared" si="14"/>
        <v>0</v>
      </c>
      <c r="AD96" s="2" t="s">
        <v>6703</v>
      </c>
      <c r="AF96" s="56">
        <v>7.76</v>
      </c>
      <c r="AG96" s="56">
        <f>VLOOKUP(A96,Sheet1!$A$2:$C$1140,3,FALSE)</f>
        <v>7.92</v>
      </c>
      <c r="AH96" s="58">
        <v>7.92</v>
      </c>
      <c r="AI96" s="56" t="str">
        <f t="shared" si="15"/>
        <v>Increase</v>
      </c>
      <c r="AJ96" s="81">
        <f t="shared" si="19"/>
        <v>2118.48</v>
      </c>
      <c r="AK96" s="81">
        <f t="shared" si="20"/>
        <v>2162.16</v>
      </c>
      <c r="AL96" s="58" t="s">
        <v>7206</v>
      </c>
      <c r="AM96" s="58" t="s">
        <v>6703</v>
      </c>
      <c r="AN96" s="75">
        <v>156</v>
      </c>
      <c r="AO96" s="88">
        <v>7.92</v>
      </c>
      <c r="AP96" s="6" t="str">
        <f t="shared" si="16"/>
        <v>Increase</v>
      </c>
      <c r="AQ96" s="81">
        <f t="shared" si="17"/>
        <v>1210.56</v>
      </c>
      <c r="AR96" s="81">
        <f t="shared" si="18"/>
        <v>1235.52</v>
      </c>
      <c r="AS96" s="82">
        <f t="shared" si="21"/>
        <v>24.960000000000036</v>
      </c>
    </row>
    <row r="97" spans="1:45" hidden="1" x14ac:dyDescent="0.3">
      <c r="A97">
        <v>5220433</v>
      </c>
      <c r="B97" s="15" t="s">
        <v>5433</v>
      </c>
      <c r="C97" s="16" t="s">
        <v>30</v>
      </c>
      <c r="D97" s="6" t="s">
        <v>31</v>
      </c>
      <c r="E97" t="s">
        <v>128</v>
      </c>
      <c r="F97" t="s">
        <v>128</v>
      </c>
      <c r="H97" s="11" t="s">
        <v>27</v>
      </c>
      <c r="I97" s="6" t="s">
        <v>28</v>
      </c>
      <c r="J97" s="6" t="s">
        <v>28</v>
      </c>
      <c r="K97" t="s">
        <v>32</v>
      </c>
      <c r="L97" s="35">
        <v>58.1</v>
      </c>
      <c r="M97" s="6" t="s">
        <v>29</v>
      </c>
      <c r="N97" s="6">
        <v>3105</v>
      </c>
      <c r="P97" s="18"/>
      <c r="Q97" s="17"/>
      <c r="R97" s="19">
        <v>58.1</v>
      </c>
      <c r="S97" s="19">
        <v>58.1</v>
      </c>
      <c r="T97" s="38">
        <v>272</v>
      </c>
      <c r="U97" s="38"/>
      <c r="V97" s="29">
        <v>58.1</v>
      </c>
      <c r="W97" s="35">
        <v>58.1</v>
      </c>
      <c r="X97" s="32">
        <f t="shared" si="11"/>
        <v>15803.2</v>
      </c>
      <c r="Y97" s="32">
        <f t="shared" si="12"/>
        <v>15803.2</v>
      </c>
      <c r="Z97" s="32">
        <f t="shared" si="13"/>
        <v>0</v>
      </c>
      <c r="AA97" s="38">
        <v>272</v>
      </c>
      <c r="AB97" s="37">
        <f>IFERROR(VLOOKUP(A97,'Tash Lookup'!A:E,3,FALSE),"")</f>
        <v>15342.56</v>
      </c>
      <c r="AC97" s="6">
        <f t="shared" si="14"/>
        <v>0</v>
      </c>
      <c r="AD97" s="2" t="s">
        <v>6703</v>
      </c>
      <c r="AF97" s="56">
        <v>57.54</v>
      </c>
      <c r="AG97" s="56">
        <f>VLOOKUP(A97,Sheet1!$A$2:$C$1140,3,FALSE)</f>
        <v>57.54</v>
      </c>
      <c r="AH97" s="58">
        <v>57.54</v>
      </c>
      <c r="AI97" s="56" t="str">
        <f t="shared" si="15"/>
        <v>Same</v>
      </c>
      <c r="AJ97" s="81">
        <f t="shared" si="19"/>
        <v>15650.88</v>
      </c>
      <c r="AK97" s="81">
        <f t="shared" si="20"/>
        <v>15650.88</v>
      </c>
      <c r="AL97" s="58" t="s">
        <v>32</v>
      </c>
      <c r="AM97" s="58" t="s">
        <v>6703</v>
      </c>
      <c r="AN97" s="75">
        <v>155</v>
      </c>
      <c r="AO97" s="88">
        <v>57.54</v>
      </c>
      <c r="AP97" s="6" t="str">
        <f t="shared" si="16"/>
        <v>Same</v>
      </c>
      <c r="AQ97" s="81">
        <f t="shared" si="17"/>
        <v>8918.7000000000007</v>
      </c>
      <c r="AR97" s="81">
        <f t="shared" si="18"/>
        <v>8918.7000000000007</v>
      </c>
      <c r="AS97" s="81">
        <f t="shared" si="21"/>
        <v>0</v>
      </c>
    </row>
    <row r="98" spans="1:45" hidden="1" x14ac:dyDescent="0.3">
      <c r="A98">
        <v>5218581</v>
      </c>
      <c r="B98" s="15" t="s">
        <v>5434</v>
      </c>
      <c r="C98" s="16" t="s">
        <v>30</v>
      </c>
      <c r="D98" s="6" t="s">
        <v>31</v>
      </c>
      <c r="E98" t="s">
        <v>239</v>
      </c>
      <c r="F98" t="s">
        <v>239</v>
      </c>
      <c r="H98" s="11" t="s">
        <v>27</v>
      </c>
      <c r="I98" s="6" t="s">
        <v>28</v>
      </c>
      <c r="J98" s="6" t="s">
        <v>28</v>
      </c>
      <c r="K98" t="s">
        <v>32</v>
      </c>
      <c r="L98" s="35">
        <v>26.07</v>
      </c>
      <c r="M98" s="6" t="s">
        <v>29</v>
      </c>
      <c r="N98" s="6">
        <v>3105</v>
      </c>
      <c r="P98" s="18"/>
      <c r="Q98" s="17"/>
      <c r="R98" s="19">
        <v>26.07</v>
      </c>
      <c r="S98" s="19">
        <v>26.07</v>
      </c>
      <c r="T98" s="38">
        <v>268</v>
      </c>
      <c r="U98" s="38"/>
      <c r="V98" s="29">
        <v>26.07</v>
      </c>
      <c r="W98" s="45">
        <v>18.09</v>
      </c>
      <c r="X98" s="32">
        <f t="shared" si="11"/>
        <v>6986.76</v>
      </c>
      <c r="Y98" s="32">
        <f t="shared" si="12"/>
        <v>6986.76</v>
      </c>
      <c r="Z98" s="32">
        <f t="shared" si="13"/>
        <v>0</v>
      </c>
      <c r="AA98" s="38">
        <v>268</v>
      </c>
      <c r="AB98" s="37">
        <f>IFERROR(VLOOKUP(A98,'Tash Lookup'!A:E,3,FALSE),"")</f>
        <v>5573.97</v>
      </c>
      <c r="AC98" s="6">
        <f t="shared" si="14"/>
        <v>0</v>
      </c>
      <c r="AD98" s="2" t="s">
        <v>6703</v>
      </c>
      <c r="AF98" s="56">
        <v>27.54</v>
      </c>
      <c r="AG98" s="56">
        <f>VLOOKUP(A98,Sheet1!$A$2:$C$1140,3,FALSE)</f>
        <v>28.37</v>
      </c>
      <c r="AH98" s="58">
        <v>28.37</v>
      </c>
      <c r="AI98" s="56" t="str">
        <f t="shared" si="15"/>
        <v>Increase</v>
      </c>
      <c r="AJ98" s="81">
        <f t="shared" si="19"/>
        <v>7380.7199999999993</v>
      </c>
      <c r="AK98" s="81">
        <f t="shared" si="20"/>
        <v>7603.16</v>
      </c>
      <c r="AL98" s="58" t="s">
        <v>32</v>
      </c>
      <c r="AM98" s="58" t="s">
        <v>6703</v>
      </c>
      <c r="AN98" s="75">
        <v>216</v>
      </c>
      <c r="AO98" s="88">
        <v>28.37</v>
      </c>
      <c r="AP98" s="6" t="str">
        <f t="shared" si="16"/>
        <v>Increase</v>
      </c>
      <c r="AQ98" s="81">
        <f t="shared" si="17"/>
        <v>5948.6399999999994</v>
      </c>
      <c r="AR98" s="81">
        <f t="shared" si="18"/>
        <v>6127.92</v>
      </c>
      <c r="AS98" s="82">
        <f t="shared" si="21"/>
        <v>179.28000000000065</v>
      </c>
    </row>
    <row r="99" spans="1:45" hidden="1" x14ac:dyDescent="0.3">
      <c r="A99">
        <v>5091535</v>
      </c>
      <c r="B99" s="15" t="s">
        <v>5435</v>
      </c>
      <c r="C99" s="16" t="s">
        <v>30</v>
      </c>
      <c r="D99" s="6" t="s">
        <v>31</v>
      </c>
      <c r="E99" t="s">
        <v>516</v>
      </c>
      <c r="F99" t="s">
        <v>516</v>
      </c>
      <c r="H99" s="11" t="s">
        <v>27</v>
      </c>
      <c r="I99" s="6" t="s">
        <v>28</v>
      </c>
      <c r="J99" s="6" t="s">
        <v>28</v>
      </c>
      <c r="K99" t="s">
        <v>32</v>
      </c>
      <c r="L99" s="35">
        <v>41.72</v>
      </c>
      <c r="M99" s="6" t="s">
        <v>29</v>
      </c>
      <c r="N99" s="6">
        <v>3105</v>
      </c>
      <c r="P99" s="18"/>
      <c r="Q99" s="17"/>
      <c r="R99" s="19">
        <v>41.72</v>
      </c>
      <c r="S99" s="19">
        <v>41.72</v>
      </c>
      <c r="T99" s="38">
        <v>267</v>
      </c>
      <c r="U99" s="38"/>
      <c r="V99" s="29">
        <v>41.72</v>
      </c>
      <c r="W99" s="35">
        <v>41.72</v>
      </c>
      <c r="X99" s="32">
        <f t="shared" si="11"/>
        <v>11139.24</v>
      </c>
      <c r="Y99" s="32">
        <f t="shared" si="12"/>
        <v>11139.24</v>
      </c>
      <c r="Z99" s="32">
        <f t="shared" si="13"/>
        <v>0</v>
      </c>
      <c r="AA99" s="38">
        <v>267</v>
      </c>
      <c r="AB99" s="37">
        <f>IFERROR(VLOOKUP(A99,'Tash Lookup'!A:E,3,FALSE),"")</f>
        <v>10908.45</v>
      </c>
      <c r="AC99" s="6">
        <f t="shared" si="14"/>
        <v>0</v>
      </c>
      <c r="AD99" s="2" t="s">
        <v>6703</v>
      </c>
      <c r="AF99" s="56">
        <v>37.9</v>
      </c>
      <c r="AG99" s="56">
        <f>VLOOKUP(A99,Sheet1!$A$2:$C$1140,3,FALSE)</f>
        <v>37.9</v>
      </c>
      <c r="AH99" s="58">
        <v>37.9</v>
      </c>
      <c r="AI99" s="56" t="str">
        <f t="shared" si="15"/>
        <v>Same</v>
      </c>
      <c r="AJ99" s="81">
        <f t="shared" si="19"/>
        <v>10119.299999999999</v>
      </c>
      <c r="AK99" s="81">
        <f t="shared" si="20"/>
        <v>10119.299999999999</v>
      </c>
      <c r="AL99" s="58" t="s">
        <v>32</v>
      </c>
      <c r="AM99" s="58" t="s">
        <v>6703</v>
      </c>
      <c r="AN99" s="75">
        <v>78</v>
      </c>
      <c r="AO99" s="88">
        <v>37.9</v>
      </c>
      <c r="AP99" s="6" t="str">
        <f t="shared" si="16"/>
        <v>Same</v>
      </c>
      <c r="AQ99" s="81">
        <f t="shared" si="17"/>
        <v>2956.2</v>
      </c>
      <c r="AR99" s="81">
        <f t="shared" si="18"/>
        <v>2956.2</v>
      </c>
      <c r="AS99" s="81">
        <f t="shared" si="21"/>
        <v>0</v>
      </c>
    </row>
    <row r="100" spans="1:45" hidden="1" x14ac:dyDescent="0.3">
      <c r="A100">
        <v>5218610</v>
      </c>
      <c r="B100" s="15" t="s">
        <v>5436</v>
      </c>
      <c r="C100" s="16" t="s">
        <v>30</v>
      </c>
      <c r="D100" s="6" t="s">
        <v>31</v>
      </c>
      <c r="E100" t="s">
        <v>249</v>
      </c>
      <c r="F100" t="s">
        <v>249</v>
      </c>
      <c r="H100" s="11" t="s">
        <v>27</v>
      </c>
      <c r="I100" s="6" t="s">
        <v>28</v>
      </c>
      <c r="J100" s="6" t="s">
        <v>28</v>
      </c>
      <c r="K100" t="s">
        <v>32</v>
      </c>
      <c r="L100" s="29">
        <v>28.47</v>
      </c>
      <c r="M100" s="6" t="s">
        <v>29</v>
      </c>
      <c r="N100" s="6">
        <v>3105</v>
      </c>
      <c r="P100" s="18"/>
      <c r="Q100" s="17"/>
      <c r="R100" s="19">
        <v>28.47</v>
      </c>
      <c r="S100" s="19">
        <v>28.47</v>
      </c>
      <c r="T100" s="38">
        <v>263</v>
      </c>
      <c r="U100" s="38"/>
      <c r="V100" s="29">
        <v>28.47</v>
      </c>
      <c r="W100" s="44">
        <v>21.94</v>
      </c>
      <c r="X100" s="32">
        <f t="shared" si="11"/>
        <v>7487.61</v>
      </c>
      <c r="Y100" s="32">
        <f t="shared" si="12"/>
        <v>7487.61</v>
      </c>
      <c r="Z100" s="32">
        <f t="shared" si="13"/>
        <v>0</v>
      </c>
      <c r="AA100" s="38">
        <v>263</v>
      </c>
      <c r="AB100" s="37">
        <f>IFERROR(VLOOKUP(A100,'Tash Lookup'!A:E,3,FALSE),"")</f>
        <v>6678.01</v>
      </c>
      <c r="AC100" s="6">
        <f t="shared" si="14"/>
        <v>0</v>
      </c>
      <c r="AD100" s="2" t="s">
        <v>6703</v>
      </c>
      <c r="AF100" s="56">
        <v>28.95</v>
      </c>
      <c r="AG100" s="56">
        <f>VLOOKUP(A100,Sheet1!$A$2:$C$1140,3,FALSE)</f>
        <v>29.82</v>
      </c>
      <c r="AH100" s="58">
        <v>29.82</v>
      </c>
      <c r="AI100" s="56" t="str">
        <f t="shared" si="15"/>
        <v>Increase</v>
      </c>
      <c r="AJ100" s="81">
        <f t="shared" si="19"/>
        <v>7613.8499999999995</v>
      </c>
      <c r="AK100" s="81">
        <f t="shared" si="20"/>
        <v>7842.66</v>
      </c>
      <c r="AL100" s="58" t="s">
        <v>32</v>
      </c>
      <c r="AM100" s="58" t="s">
        <v>6703</v>
      </c>
      <c r="AN100" s="75">
        <v>180</v>
      </c>
      <c r="AO100" s="88">
        <v>29.82</v>
      </c>
      <c r="AP100" s="6" t="str">
        <f t="shared" si="16"/>
        <v>Increase</v>
      </c>
      <c r="AQ100" s="81">
        <f t="shared" si="17"/>
        <v>5211</v>
      </c>
      <c r="AR100" s="81">
        <f t="shared" si="18"/>
        <v>5367.6</v>
      </c>
      <c r="AS100" s="82">
        <f t="shared" si="21"/>
        <v>156.60000000000036</v>
      </c>
    </row>
    <row r="101" spans="1:45" hidden="1" x14ac:dyDescent="0.3">
      <c r="A101">
        <v>6083792</v>
      </c>
      <c r="B101" s="15" t="s">
        <v>5437</v>
      </c>
      <c r="C101" s="16" t="s">
        <v>30</v>
      </c>
      <c r="D101" s="6" t="s">
        <v>31</v>
      </c>
      <c r="E101" t="s">
        <v>905</v>
      </c>
      <c r="F101" t="s">
        <v>905</v>
      </c>
      <c r="H101" s="11" t="s">
        <v>27</v>
      </c>
      <c r="I101" s="6" t="s">
        <v>28</v>
      </c>
      <c r="J101" s="6" t="s">
        <v>28</v>
      </c>
      <c r="K101" t="s">
        <v>32</v>
      </c>
      <c r="L101" s="35">
        <v>7.08</v>
      </c>
      <c r="M101" s="6" t="s">
        <v>29</v>
      </c>
      <c r="N101" s="6">
        <v>3105</v>
      </c>
      <c r="P101" s="18"/>
      <c r="Q101" s="17"/>
      <c r="R101" s="19">
        <v>7.08</v>
      </c>
      <c r="S101" s="19">
        <v>7.08</v>
      </c>
      <c r="T101" s="38">
        <v>260</v>
      </c>
      <c r="U101" s="38"/>
      <c r="V101" s="30">
        <v>7.08</v>
      </c>
      <c r="W101" s="35">
        <v>7.08</v>
      </c>
      <c r="X101" s="32">
        <f t="shared" si="11"/>
        <v>1840.8</v>
      </c>
      <c r="Y101" s="32">
        <f t="shared" si="12"/>
        <v>1840.8</v>
      </c>
      <c r="Z101" s="32">
        <f t="shared" si="13"/>
        <v>0</v>
      </c>
      <c r="AA101" s="38">
        <v>260</v>
      </c>
      <c r="AB101" s="37">
        <f>IFERROR(VLOOKUP(A101,'Tash Lookup'!A:E,3,FALSE),"")</f>
        <v>1821.39</v>
      </c>
      <c r="AC101" s="6">
        <f t="shared" si="14"/>
        <v>0</v>
      </c>
      <c r="AD101" s="2" t="s">
        <v>6703</v>
      </c>
      <c r="AF101" s="56">
        <v>7.08</v>
      </c>
      <c r="AG101" s="56">
        <f>VLOOKUP(A101,Sheet1!$A$2:$C$1140,3,FALSE)</f>
        <v>7.22</v>
      </c>
      <c r="AH101" s="58">
        <v>7.22</v>
      </c>
      <c r="AI101" s="56" t="str">
        <f t="shared" si="15"/>
        <v>Increase</v>
      </c>
      <c r="AJ101" s="81">
        <f t="shared" si="19"/>
        <v>1840.8</v>
      </c>
      <c r="AK101" s="81">
        <f t="shared" si="20"/>
        <v>1877.2</v>
      </c>
      <c r="AL101" s="58" t="s">
        <v>7206</v>
      </c>
      <c r="AM101" s="58" t="s">
        <v>6703</v>
      </c>
      <c r="AN101" s="75">
        <v>301</v>
      </c>
      <c r="AO101" s="88">
        <v>7.22</v>
      </c>
      <c r="AP101" s="6" t="str">
        <f t="shared" si="16"/>
        <v>Increase</v>
      </c>
      <c r="AQ101" s="81">
        <f t="shared" si="17"/>
        <v>2131.08</v>
      </c>
      <c r="AR101" s="81">
        <f t="shared" si="18"/>
        <v>2173.2199999999998</v>
      </c>
      <c r="AS101" s="82">
        <f t="shared" si="21"/>
        <v>42.139999999999873</v>
      </c>
    </row>
    <row r="102" spans="1:45" hidden="1" x14ac:dyDescent="0.3">
      <c r="A102">
        <v>6316838</v>
      </c>
      <c r="B102" s="15" t="s">
        <v>5438</v>
      </c>
      <c r="C102" s="16" t="s">
        <v>30</v>
      </c>
      <c r="D102" s="6" t="s">
        <v>31</v>
      </c>
      <c r="E102" t="s">
        <v>725</v>
      </c>
      <c r="F102" t="s">
        <v>725</v>
      </c>
      <c r="H102" s="11" t="s">
        <v>27</v>
      </c>
      <c r="I102" s="6" t="s">
        <v>28</v>
      </c>
      <c r="J102" s="6" t="s">
        <v>28</v>
      </c>
      <c r="K102" t="s">
        <v>32</v>
      </c>
      <c r="L102" s="35">
        <v>9.2899999999999991</v>
      </c>
      <c r="M102" s="6" t="s">
        <v>29</v>
      </c>
      <c r="N102" s="6">
        <v>3105</v>
      </c>
      <c r="P102" s="18"/>
      <c r="Q102" s="17"/>
      <c r="R102" s="19">
        <v>9.2899999999999991</v>
      </c>
      <c r="S102" s="19">
        <v>9.2899999999999991</v>
      </c>
      <c r="T102" s="38">
        <v>258</v>
      </c>
      <c r="U102" s="38"/>
      <c r="V102" s="30">
        <v>9.2899999999999991</v>
      </c>
      <c r="W102" s="35">
        <v>9.2899999999999991</v>
      </c>
      <c r="X102" s="32">
        <f t="shared" si="11"/>
        <v>2396.8199999999997</v>
      </c>
      <c r="Y102" s="32">
        <f t="shared" si="12"/>
        <v>2396.8199999999997</v>
      </c>
      <c r="Z102" s="32">
        <f t="shared" si="13"/>
        <v>0</v>
      </c>
      <c r="AA102" s="38">
        <v>258</v>
      </c>
      <c r="AB102" s="37">
        <f>IFERROR(VLOOKUP(A102,'Tash Lookup'!A:E,3,FALSE),"")</f>
        <v>2353.16</v>
      </c>
      <c r="AC102" s="6">
        <f t="shared" si="14"/>
        <v>0</v>
      </c>
      <c r="AD102" s="2" t="s">
        <v>6703</v>
      </c>
      <c r="AF102" s="56">
        <v>9.2899999999999991</v>
      </c>
      <c r="AG102" s="56">
        <f>VLOOKUP(A102,Sheet1!$A$2:$C$1140,3,FALSE)</f>
        <v>9.4700000000000006</v>
      </c>
      <c r="AH102" s="58">
        <v>9.4700000000000006</v>
      </c>
      <c r="AI102" s="56" t="str">
        <f t="shared" si="15"/>
        <v>Increase</v>
      </c>
      <c r="AJ102" s="81">
        <f t="shared" si="19"/>
        <v>2396.8199999999997</v>
      </c>
      <c r="AK102" s="81">
        <f t="shared" si="20"/>
        <v>2443.2600000000002</v>
      </c>
      <c r="AL102" s="58" t="s">
        <v>7206</v>
      </c>
      <c r="AM102" s="58" t="s">
        <v>6703</v>
      </c>
      <c r="AN102" s="75">
        <v>99</v>
      </c>
      <c r="AO102" s="88">
        <v>9.4700000000000006</v>
      </c>
      <c r="AP102" s="6" t="str">
        <f t="shared" si="16"/>
        <v>Increase</v>
      </c>
      <c r="AQ102" s="81">
        <f t="shared" si="17"/>
        <v>919.70999999999992</v>
      </c>
      <c r="AR102" s="81">
        <f t="shared" si="18"/>
        <v>937.53000000000009</v>
      </c>
      <c r="AS102" s="82">
        <f t="shared" si="21"/>
        <v>17.820000000000164</v>
      </c>
    </row>
    <row r="103" spans="1:45" hidden="1" x14ac:dyDescent="0.3">
      <c r="A103">
        <v>5218726</v>
      </c>
      <c r="B103" s="15" t="s">
        <v>5439</v>
      </c>
      <c r="C103" s="16" t="s">
        <v>30</v>
      </c>
      <c r="D103" s="6" t="s">
        <v>31</v>
      </c>
      <c r="E103" t="s">
        <v>264</v>
      </c>
      <c r="F103" t="s">
        <v>264</v>
      </c>
      <c r="H103" s="11" t="s">
        <v>27</v>
      </c>
      <c r="I103" s="6" t="s">
        <v>28</v>
      </c>
      <c r="J103" s="6" t="s">
        <v>28</v>
      </c>
      <c r="K103" t="s">
        <v>32</v>
      </c>
      <c r="L103" s="35">
        <v>23.99</v>
      </c>
      <c r="M103" s="6" t="s">
        <v>29</v>
      </c>
      <c r="N103" s="6">
        <v>3105</v>
      </c>
      <c r="P103" s="18"/>
      <c r="Q103" s="17"/>
      <c r="R103" s="19">
        <v>23.99</v>
      </c>
      <c r="S103" s="19">
        <v>23.99</v>
      </c>
      <c r="T103" s="38">
        <v>255</v>
      </c>
      <c r="U103" s="38"/>
      <c r="V103" s="29">
        <v>23.99</v>
      </c>
      <c r="W103" s="45">
        <v>17.61</v>
      </c>
      <c r="X103" s="32">
        <f t="shared" si="11"/>
        <v>6117.45</v>
      </c>
      <c r="Y103" s="32">
        <f t="shared" si="12"/>
        <v>6117.45</v>
      </c>
      <c r="Z103" s="32">
        <f t="shared" si="13"/>
        <v>0</v>
      </c>
      <c r="AA103" s="38">
        <v>255</v>
      </c>
      <c r="AB103" s="37">
        <f>IFERROR(VLOOKUP(A103,'Tash Lookup'!A:E,3,FALSE),"")</f>
        <v>4918.09</v>
      </c>
      <c r="AC103" s="6">
        <f t="shared" si="14"/>
        <v>0</v>
      </c>
      <c r="AD103" s="2" t="s">
        <v>6703</v>
      </c>
      <c r="AF103" s="56">
        <v>25.4</v>
      </c>
      <c r="AG103" s="56">
        <f>VLOOKUP(A103,Sheet1!$A$2:$C$1140,3,FALSE)</f>
        <v>26.16</v>
      </c>
      <c r="AH103" s="58">
        <v>26.16</v>
      </c>
      <c r="AI103" s="56" t="str">
        <f t="shared" si="15"/>
        <v>Increase</v>
      </c>
      <c r="AJ103" s="81">
        <f t="shared" si="19"/>
        <v>6477</v>
      </c>
      <c r="AK103" s="81">
        <f t="shared" si="20"/>
        <v>6670.8</v>
      </c>
      <c r="AL103" s="58" t="s">
        <v>32</v>
      </c>
      <c r="AM103" s="58" t="s">
        <v>6703</v>
      </c>
      <c r="AN103" s="75">
        <v>106</v>
      </c>
      <c r="AO103" s="88">
        <v>26.16</v>
      </c>
      <c r="AP103" s="6" t="str">
        <f t="shared" si="16"/>
        <v>Increase</v>
      </c>
      <c r="AQ103" s="81">
        <f t="shared" si="17"/>
        <v>2692.3999999999996</v>
      </c>
      <c r="AR103" s="81">
        <f t="shared" si="18"/>
        <v>2772.96</v>
      </c>
      <c r="AS103" s="82">
        <f t="shared" si="21"/>
        <v>80.5600000000004</v>
      </c>
    </row>
    <row r="104" spans="1:45" hidden="1" x14ac:dyDescent="0.3">
      <c r="A104">
        <v>5219327</v>
      </c>
      <c r="B104" s="15" t="s">
        <v>5440</v>
      </c>
      <c r="C104" s="16" t="s">
        <v>30</v>
      </c>
      <c r="D104" s="6" t="s">
        <v>31</v>
      </c>
      <c r="E104" t="s">
        <v>296</v>
      </c>
      <c r="F104" t="s">
        <v>296</v>
      </c>
      <c r="H104" s="11" t="s">
        <v>27</v>
      </c>
      <c r="I104" s="6" t="s">
        <v>28</v>
      </c>
      <c r="J104" s="6" t="s">
        <v>28</v>
      </c>
      <c r="K104" t="s">
        <v>32</v>
      </c>
      <c r="L104" s="29">
        <v>17.78</v>
      </c>
      <c r="M104" s="6" t="s">
        <v>29</v>
      </c>
      <c r="N104" s="6">
        <v>3105</v>
      </c>
      <c r="P104" s="18"/>
      <c r="Q104" s="17"/>
      <c r="R104" s="19">
        <v>24.45</v>
      </c>
      <c r="S104" s="19">
        <v>24.45</v>
      </c>
      <c r="T104" s="38">
        <v>253</v>
      </c>
      <c r="U104" s="38"/>
      <c r="V104" s="29">
        <v>17.78</v>
      </c>
      <c r="W104" s="44">
        <v>13.27</v>
      </c>
      <c r="X104" s="32">
        <f t="shared" si="11"/>
        <v>4498.34</v>
      </c>
      <c r="Y104" s="32">
        <f t="shared" si="12"/>
        <v>4498.34</v>
      </c>
      <c r="Z104" s="32">
        <f t="shared" si="13"/>
        <v>0</v>
      </c>
      <c r="AA104" s="38">
        <v>253</v>
      </c>
      <c r="AB104" s="37">
        <f>IFERROR(VLOOKUP(A104,'Tash Lookup'!A:E,3,FALSE),"")</f>
        <v>3715.41</v>
      </c>
      <c r="AC104" s="6">
        <f t="shared" si="14"/>
        <v>0</v>
      </c>
      <c r="AD104" s="2" t="s">
        <v>6703</v>
      </c>
      <c r="AF104" s="56">
        <v>18.809999999999999</v>
      </c>
      <c r="AG104" s="56">
        <f>VLOOKUP(A104,Sheet1!$A$2:$C$1140,3,FALSE)</f>
        <v>19.37</v>
      </c>
      <c r="AH104" s="58">
        <v>19.37</v>
      </c>
      <c r="AI104" s="56" t="str">
        <f t="shared" si="15"/>
        <v>Increase</v>
      </c>
      <c r="AJ104" s="81">
        <f t="shared" si="19"/>
        <v>4758.9299999999994</v>
      </c>
      <c r="AK104" s="81">
        <f t="shared" si="20"/>
        <v>4900.6100000000006</v>
      </c>
      <c r="AL104" s="58" t="s">
        <v>32</v>
      </c>
      <c r="AM104" s="58" t="s">
        <v>6703</v>
      </c>
      <c r="AN104" s="75">
        <v>10</v>
      </c>
      <c r="AO104" s="88">
        <v>19.37</v>
      </c>
      <c r="AP104" s="6" t="str">
        <f t="shared" si="16"/>
        <v>Increase</v>
      </c>
      <c r="AQ104" s="81">
        <f t="shared" si="17"/>
        <v>188.1</v>
      </c>
      <c r="AR104" s="81">
        <f t="shared" si="18"/>
        <v>193.70000000000002</v>
      </c>
      <c r="AS104" s="82">
        <f t="shared" si="21"/>
        <v>5.6000000000000227</v>
      </c>
    </row>
    <row r="105" spans="1:45" hidden="1" x14ac:dyDescent="0.3">
      <c r="A105">
        <v>6361908</v>
      </c>
      <c r="B105" s="15" t="s">
        <v>5441</v>
      </c>
      <c r="C105" s="16" t="s">
        <v>30</v>
      </c>
      <c r="D105" s="6" t="s">
        <v>31</v>
      </c>
      <c r="E105" t="s">
        <v>897</v>
      </c>
      <c r="F105" t="s">
        <v>897</v>
      </c>
      <c r="H105" s="11" t="s">
        <v>27</v>
      </c>
      <c r="I105" s="6" t="s">
        <v>28</v>
      </c>
      <c r="J105" s="6" t="s">
        <v>28</v>
      </c>
      <c r="K105" t="s">
        <v>32</v>
      </c>
      <c r="L105" s="35">
        <v>21.09</v>
      </c>
      <c r="M105" s="6" t="s">
        <v>29</v>
      </c>
      <c r="N105" s="6">
        <v>3105</v>
      </c>
      <c r="P105" s="18"/>
      <c r="Q105" s="17"/>
      <c r="R105" s="19">
        <v>21.09</v>
      </c>
      <c r="S105" s="19">
        <v>21.09</v>
      </c>
      <c r="T105" s="38">
        <v>249</v>
      </c>
      <c r="U105" s="38"/>
      <c r="V105" s="30">
        <v>21.09</v>
      </c>
      <c r="W105" s="35">
        <v>21.09</v>
      </c>
      <c r="X105" s="32">
        <f t="shared" si="11"/>
        <v>5251.41</v>
      </c>
      <c r="Y105" s="32">
        <f t="shared" si="12"/>
        <v>5251.41</v>
      </c>
      <c r="Z105" s="32">
        <f t="shared" si="13"/>
        <v>0</v>
      </c>
      <c r="AA105" s="38">
        <v>249</v>
      </c>
      <c r="AB105" s="37">
        <f>IFERROR(VLOOKUP(A105,'Tash Lookup'!A:E,3,FALSE),"")</f>
        <v>5223.24</v>
      </c>
      <c r="AC105" s="6">
        <f t="shared" si="14"/>
        <v>0</v>
      </c>
      <c r="AD105" s="2" t="s">
        <v>6703</v>
      </c>
      <c r="AF105" s="56">
        <v>21.09</v>
      </c>
      <c r="AG105" s="56">
        <f>VLOOKUP(A105,Sheet1!$A$2:$C$1140,3,FALSE)</f>
        <v>21.51</v>
      </c>
      <c r="AH105" s="58">
        <v>21.51</v>
      </c>
      <c r="AI105" s="56" t="str">
        <f t="shared" si="15"/>
        <v>Increase</v>
      </c>
      <c r="AJ105" s="81">
        <f t="shared" si="19"/>
        <v>5251.41</v>
      </c>
      <c r="AK105" s="81">
        <f t="shared" si="20"/>
        <v>5355.9900000000007</v>
      </c>
      <c r="AL105" s="58" t="s">
        <v>7206</v>
      </c>
      <c r="AM105" s="58" t="s">
        <v>6703</v>
      </c>
      <c r="AN105" s="75">
        <v>104</v>
      </c>
      <c r="AO105" s="88">
        <v>21.51</v>
      </c>
      <c r="AP105" s="6" t="str">
        <f t="shared" si="16"/>
        <v>Increase</v>
      </c>
      <c r="AQ105" s="81">
        <f t="shared" si="17"/>
        <v>2193.36</v>
      </c>
      <c r="AR105" s="81">
        <f t="shared" si="18"/>
        <v>2237.04</v>
      </c>
      <c r="AS105" s="82">
        <f t="shared" si="21"/>
        <v>43.679999999999836</v>
      </c>
    </row>
    <row r="106" spans="1:45" hidden="1" x14ac:dyDescent="0.3">
      <c r="A106">
        <v>5583716</v>
      </c>
      <c r="B106" s="15" t="s">
        <v>5442</v>
      </c>
      <c r="C106" s="16" t="s">
        <v>30</v>
      </c>
      <c r="D106" s="6" t="s">
        <v>31</v>
      </c>
      <c r="E106" t="s">
        <v>215</v>
      </c>
      <c r="F106" t="s">
        <v>215</v>
      </c>
      <c r="H106" s="11" t="s">
        <v>27</v>
      </c>
      <c r="I106" s="6" t="s">
        <v>28</v>
      </c>
      <c r="J106" s="6" t="s">
        <v>28</v>
      </c>
      <c r="K106" t="s">
        <v>32</v>
      </c>
      <c r="L106" s="35">
        <v>31.59</v>
      </c>
      <c r="M106" s="6" t="s">
        <v>29</v>
      </c>
      <c r="N106" s="6">
        <v>3105</v>
      </c>
      <c r="P106" s="18"/>
      <c r="Q106" s="17"/>
      <c r="R106" s="19">
        <v>31.59</v>
      </c>
      <c r="S106" s="19">
        <v>31.59</v>
      </c>
      <c r="T106" s="38">
        <v>246</v>
      </c>
      <c r="U106" s="38"/>
      <c r="V106" s="29">
        <v>31.59</v>
      </c>
      <c r="W106" s="35">
        <v>31.59</v>
      </c>
      <c r="X106" s="32">
        <f t="shared" si="11"/>
        <v>7771.14</v>
      </c>
      <c r="Y106" s="32">
        <f t="shared" si="12"/>
        <v>7771.14</v>
      </c>
      <c r="Z106" s="32">
        <f t="shared" si="13"/>
        <v>0</v>
      </c>
      <c r="AA106" s="38">
        <v>246</v>
      </c>
      <c r="AB106" s="37">
        <f>IFERROR(VLOOKUP(A106,'Tash Lookup'!A:E,3,FALSE),"")</f>
        <v>7766.31</v>
      </c>
      <c r="AC106" s="6">
        <f t="shared" si="14"/>
        <v>0</v>
      </c>
      <c r="AD106" s="2" t="s">
        <v>6703</v>
      </c>
      <c r="AF106" s="56">
        <v>27.68</v>
      </c>
      <c r="AG106" s="56">
        <f>VLOOKUP(A106,Sheet1!$A$2:$C$1140,3,FALSE)</f>
        <v>27.68</v>
      </c>
      <c r="AH106" s="58">
        <v>27.68</v>
      </c>
      <c r="AI106" s="56" t="str">
        <f t="shared" si="15"/>
        <v>Same</v>
      </c>
      <c r="AJ106" s="81">
        <f t="shared" si="19"/>
        <v>6809.28</v>
      </c>
      <c r="AK106" s="81">
        <f t="shared" si="20"/>
        <v>6809.28</v>
      </c>
      <c r="AL106" s="58" t="s">
        <v>32</v>
      </c>
      <c r="AM106" s="58" t="s">
        <v>6703</v>
      </c>
      <c r="AN106" s="75">
        <v>19</v>
      </c>
      <c r="AO106" s="88">
        <v>27.68</v>
      </c>
      <c r="AP106" s="6" t="str">
        <f t="shared" si="16"/>
        <v>Same</v>
      </c>
      <c r="AQ106" s="81">
        <f t="shared" si="17"/>
        <v>525.91999999999996</v>
      </c>
      <c r="AR106" s="81">
        <f t="shared" si="18"/>
        <v>525.91999999999996</v>
      </c>
      <c r="AS106" s="81">
        <f t="shared" si="21"/>
        <v>0</v>
      </c>
    </row>
    <row r="107" spans="1:45" hidden="1" x14ac:dyDescent="0.3">
      <c r="A107">
        <v>5236726</v>
      </c>
      <c r="B107" s="15" t="s">
        <v>5443</v>
      </c>
      <c r="C107" s="16" t="s">
        <v>30</v>
      </c>
      <c r="D107" s="6" t="s">
        <v>31</v>
      </c>
      <c r="E107" t="s">
        <v>97</v>
      </c>
      <c r="F107" t="s">
        <v>97</v>
      </c>
      <c r="H107" s="11" t="s">
        <v>27</v>
      </c>
      <c r="I107" s="6" t="s">
        <v>28</v>
      </c>
      <c r="J107" s="6" t="s">
        <v>28</v>
      </c>
      <c r="K107" t="s">
        <v>32</v>
      </c>
      <c r="L107" s="29">
        <v>31.8</v>
      </c>
      <c r="M107" s="6" t="s">
        <v>29</v>
      </c>
      <c r="N107" s="6">
        <v>3105</v>
      </c>
      <c r="P107" s="18"/>
      <c r="Q107" s="17"/>
      <c r="R107" s="19">
        <v>31.8</v>
      </c>
      <c r="S107" s="19">
        <v>31.8</v>
      </c>
      <c r="T107" s="38">
        <v>243</v>
      </c>
      <c r="U107" s="38"/>
      <c r="V107" s="29">
        <v>31.8</v>
      </c>
      <c r="W107" s="44">
        <v>21.24</v>
      </c>
      <c r="X107" s="32">
        <f t="shared" si="11"/>
        <v>7727.4000000000005</v>
      </c>
      <c r="Y107" s="32">
        <f t="shared" si="12"/>
        <v>7727.4000000000005</v>
      </c>
      <c r="Z107" s="32">
        <f t="shared" si="13"/>
        <v>0</v>
      </c>
      <c r="AA107" s="38">
        <v>243</v>
      </c>
      <c r="AB107" s="37">
        <f>IFERROR(VLOOKUP(A107,'Tash Lookup'!A:E,3,FALSE),"")</f>
        <v>6672.95</v>
      </c>
      <c r="AC107" s="6">
        <f t="shared" si="14"/>
        <v>0</v>
      </c>
      <c r="AD107" s="2" t="s">
        <v>6703</v>
      </c>
      <c r="AF107" s="56">
        <v>33.58</v>
      </c>
      <c r="AG107" s="56">
        <f>VLOOKUP(A107,Sheet1!$A$2:$C$1140,3,FALSE)</f>
        <v>33.58</v>
      </c>
      <c r="AH107" s="58">
        <v>33.58</v>
      </c>
      <c r="AI107" s="56" t="str">
        <f t="shared" si="15"/>
        <v>Same</v>
      </c>
      <c r="AJ107" s="81">
        <f t="shared" si="19"/>
        <v>8159.94</v>
      </c>
      <c r="AK107" s="81">
        <f t="shared" si="20"/>
        <v>8159.94</v>
      </c>
      <c r="AL107" s="58" t="s">
        <v>32</v>
      </c>
      <c r="AM107" s="58" t="s">
        <v>6703</v>
      </c>
      <c r="AN107" s="75">
        <v>126</v>
      </c>
      <c r="AO107" s="88">
        <v>33.58</v>
      </c>
      <c r="AP107" s="6" t="str">
        <f t="shared" si="16"/>
        <v>Same</v>
      </c>
      <c r="AQ107" s="81">
        <f t="shared" si="17"/>
        <v>4231.08</v>
      </c>
      <c r="AR107" s="81">
        <f t="shared" si="18"/>
        <v>4231.08</v>
      </c>
      <c r="AS107" s="81">
        <f t="shared" si="21"/>
        <v>0</v>
      </c>
    </row>
    <row r="108" spans="1:45" hidden="1" x14ac:dyDescent="0.3">
      <c r="A108">
        <v>6183836</v>
      </c>
      <c r="B108" s="15" t="s">
        <v>5444</v>
      </c>
      <c r="C108" s="16" t="s">
        <v>30</v>
      </c>
      <c r="D108" s="6" t="s">
        <v>31</v>
      </c>
      <c r="E108" t="s">
        <v>2562</v>
      </c>
      <c r="F108" t="s">
        <v>2562</v>
      </c>
      <c r="H108" s="11" t="s">
        <v>27</v>
      </c>
      <c r="I108" s="6" t="s">
        <v>28</v>
      </c>
      <c r="J108" s="6" t="s">
        <v>28</v>
      </c>
      <c r="K108" t="s">
        <v>32</v>
      </c>
      <c r="L108" s="35">
        <v>8.2200000000000006</v>
      </c>
      <c r="M108" s="6" t="s">
        <v>29</v>
      </c>
      <c r="N108" s="6">
        <v>3105</v>
      </c>
      <c r="P108" s="18"/>
      <c r="Q108" s="17"/>
      <c r="R108" s="19">
        <v>19.29</v>
      </c>
      <c r="S108" s="19">
        <v>19.29</v>
      </c>
      <c r="T108" s="38">
        <v>240</v>
      </c>
      <c r="U108" s="38"/>
      <c r="V108" s="30">
        <v>19.29</v>
      </c>
      <c r="W108" s="35">
        <v>8.2200000000000006</v>
      </c>
      <c r="X108" s="32">
        <f t="shared" si="11"/>
        <v>4629.5999999999995</v>
      </c>
      <c r="Y108" s="32">
        <f t="shared" si="12"/>
        <v>1972.8000000000002</v>
      </c>
      <c r="Z108" s="32">
        <f t="shared" si="13"/>
        <v>2656.7999999999993</v>
      </c>
      <c r="AA108" s="38">
        <v>240</v>
      </c>
      <c r="AB108" s="37">
        <f>IFERROR(VLOOKUP(A108,'Tash Lookup'!A:E,3,FALSE),"")</f>
        <v>1965.07</v>
      </c>
      <c r="AC108" s="6">
        <f t="shared" si="14"/>
        <v>0</v>
      </c>
      <c r="AD108" s="2" t="s">
        <v>6703</v>
      </c>
      <c r="AF108" s="56">
        <v>17.36</v>
      </c>
      <c r="AG108" s="56">
        <f>VLOOKUP(A108,Sheet1!$A$2:$C$1140,3,FALSE)</f>
        <v>17.71</v>
      </c>
      <c r="AH108" s="58">
        <v>17.71</v>
      </c>
      <c r="AI108" s="56" t="str">
        <f t="shared" si="15"/>
        <v>Increase</v>
      </c>
      <c r="AJ108" s="81">
        <f t="shared" si="19"/>
        <v>4166.3999999999996</v>
      </c>
      <c r="AK108" s="81">
        <f t="shared" si="20"/>
        <v>4250.4000000000005</v>
      </c>
      <c r="AL108" s="58" t="s">
        <v>7206</v>
      </c>
      <c r="AM108" s="58" t="s">
        <v>6703</v>
      </c>
      <c r="AN108" s="75">
        <v>81</v>
      </c>
      <c r="AO108" s="88">
        <v>17.71</v>
      </c>
      <c r="AP108" s="6" t="str">
        <f t="shared" si="16"/>
        <v>Increase</v>
      </c>
      <c r="AQ108" s="81">
        <f t="shared" si="17"/>
        <v>1406.1599999999999</v>
      </c>
      <c r="AR108" s="81">
        <f t="shared" si="18"/>
        <v>1434.51</v>
      </c>
      <c r="AS108" s="82">
        <f t="shared" si="21"/>
        <v>28.350000000000136</v>
      </c>
    </row>
    <row r="109" spans="1:45" hidden="1" x14ac:dyDescent="0.3">
      <c r="A109">
        <v>6092863</v>
      </c>
      <c r="B109" s="15" t="s">
        <v>5445</v>
      </c>
      <c r="C109" s="16" t="s">
        <v>30</v>
      </c>
      <c r="D109" s="6" t="s">
        <v>31</v>
      </c>
      <c r="E109" t="s">
        <v>1251</v>
      </c>
      <c r="F109" t="s">
        <v>1251</v>
      </c>
      <c r="H109" s="11" t="s">
        <v>27</v>
      </c>
      <c r="I109" s="6" t="s">
        <v>28</v>
      </c>
      <c r="J109" s="6" t="s">
        <v>28</v>
      </c>
      <c r="K109" t="s">
        <v>32</v>
      </c>
      <c r="L109" s="35">
        <v>5.03</v>
      </c>
      <c r="M109" s="6" t="s">
        <v>29</v>
      </c>
      <c r="N109" s="6">
        <v>3105</v>
      </c>
      <c r="P109" s="18"/>
      <c r="Q109" s="17"/>
      <c r="R109" s="19">
        <v>6.01</v>
      </c>
      <c r="S109" s="19">
        <v>0</v>
      </c>
      <c r="T109" s="38">
        <v>238</v>
      </c>
      <c r="U109" s="38"/>
      <c r="V109" s="30">
        <v>6.01</v>
      </c>
      <c r="W109" s="35">
        <v>5.03</v>
      </c>
      <c r="X109" s="32">
        <f t="shared" si="11"/>
        <v>1430.3799999999999</v>
      </c>
      <c r="Y109" s="32">
        <f t="shared" si="12"/>
        <v>1197.1400000000001</v>
      </c>
      <c r="Z109" s="32">
        <f t="shared" si="13"/>
        <v>233.23999999999978</v>
      </c>
      <c r="AA109" s="38">
        <v>238</v>
      </c>
      <c r="AB109" s="37">
        <f>IFERROR(VLOOKUP(A109,'Tash Lookup'!A:E,3,FALSE),"")</f>
        <v>1222.33</v>
      </c>
      <c r="AC109" s="6">
        <f t="shared" si="14"/>
        <v>0</v>
      </c>
      <c r="AD109" s="2" t="s">
        <v>6707</v>
      </c>
      <c r="AF109" s="56">
        <v>6.01</v>
      </c>
      <c r="AG109" s="56" t="e">
        <f>VLOOKUP(A109,Sheet1!$A$2:$C$1140,3,FALSE)</f>
        <v>#N/A</v>
      </c>
      <c r="AH109" s="58" t="e">
        <v>#N/A</v>
      </c>
      <c r="AI109" s="56" t="str">
        <f t="shared" si="15"/>
        <v>Delete</v>
      </c>
      <c r="AJ109" s="81">
        <f t="shared" si="19"/>
        <v>1430.3799999999999</v>
      </c>
      <c r="AK109" s="81">
        <f t="shared" si="20"/>
        <v>0</v>
      </c>
      <c r="AL109" s="58" t="s">
        <v>7206</v>
      </c>
      <c r="AM109" s="58" t="s">
        <v>6708</v>
      </c>
      <c r="AN109" s="75">
        <v>0</v>
      </c>
      <c r="AO109" s="88">
        <v>6.01</v>
      </c>
      <c r="AP109" s="6" t="str">
        <f t="shared" si="16"/>
        <v>Same</v>
      </c>
      <c r="AQ109" s="81">
        <f t="shared" si="17"/>
        <v>0</v>
      </c>
      <c r="AR109" s="81">
        <f t="shared" si="18"/>
        <v>0</v>
      </c>
      <c r="AS109" s="81">
        <f t="shared" si="21"/>
        <v>0</v>
      </c>
    </row>
    <row r="110" spans="1:45" hidden="1" x14ac:dyDescent="0.3">
      <c r="A110">
        <v>5091366</v>
      </c>
      <c r="B110" s="15" t="s">
        <v>5446</v>
      </c>
      <c r="C110" s="16" t="s">
        <v>30</v>
      </c>
      <c r="D110" s="6" t="s">
        <v>31</v>
      </c>
      <c r="E110" t="s">
        <v>543</v>
      </c>
      <c r="F110" t="s">
        <v>543</v>
      </c>
      <c r="H110" s="11" t="s">
        <v>27</v>
      </c>
      <c r="I110" s="6" t="s">
        <v>28</v>
      </c>
      <c r="J110" s="6" t="s">
        <v>28</v>
      </c>
      <c r="K110" t="s">
        <v>32</v>
      </c>
      <c r="L110" s="35">
        <v>64.45</v>
      </c>
      <c r="M110" s="6" t="s">
        <v>29</v>
      </c>
      <c r="N110" s="6">
        <v>3105</v>
      </c>
      <c r="P110" s="18"/>
      <c r="Q110" s="17"/>
      <c r="R110" s="19">
        <v>64.45</v>
      </c>
      <c r="S110" s="19">
        <v>64.45</v>
      </c>
      <c r="T110" s="38">
        <v>235</v>
      </c>
      <c r="U110" s="38"/>
      <c r="V110" s="29">
        <v>64.45</v>
      </c>
      <c r="W110" s="35">
        <v>64.45</v>
      </c>
      <c r="X110" s="32">
        <f t="shared" si="11"/>
        <v>15145.75</v>
      </c>
      <c r="Y110" s="32">
        <f t="shared" si="12"/>
        <v>15145.75</v>
      </c>
      <c r="Z110" s="32">
        <f t="shared" si="13"/>
        <v>0</v>
      </c>
      <c r="AA110" s="38">
        <v>235</v>
      </c>
      <c r="AB110" s="37">
        <f>IFERROR(VLOOKUP(A110,'Tash Lookup'!A:E,3,FALSE),"")</f>
        <v>15182.5</v>
      </c>
      <c r="AC110" s="6">
        <f t="shared" si="14"/>
        <v>0</v>
      </c>
      <c r="AD110" s="2" t="s">
        <v>6703</v>
      </c>
      <c r="AF110" s="56">
        <v>65.66</v>
      </c>
      <c r="AG110" s="56">
        <f>VLOOKUP(A110,Sheet1!$A$2:$C$1140,3,FALSE)</f>
        <v>67.63</v>
      </c>
      <c r="AH110" s="58">
        <v>67.63</v>
      </c>
      <c r="AI110" s="56" t="str">
        <f t="shared" si="15"/>
        <v>Increase</v>
      </c>
      <c r="AJ110" s="81">
        <f t="shared" si="19"/>
        <v>15430.099999999999</v>
      </c>
      <c r="AK110" s="81">
        <f t="shared" si="20"/>
        <v>15893.05</v>
      </c>
      <c r="AL110" s="58" t="s">
        <v>32</v>
      </c>
      <c r="AM110" s="58" t="s">
        <v>6703</v>
      </c>
      <c r="AN110" s="75">
        <v>197</v>
      </c>
      <c r="AO110" s="88">
        <v>67.63</v>
      </c>
      <c r="AP110" s="6" t="str">
        <f t="shared" si="16"/>
        <v>Increase</v>
      </c>
      <c r="AQ110" s="81">
        <f t="shared" si="17"/>
        <v>12935.019999999999</v>
      </c>
      <c r="AR110" s="81">
        <f t="shared" si="18"/>
        <v>13323.109999999999</v>
      </c>
      <c r="AS110" s="82">
        <f t="shared" si="21"/>
        <v>388.09000000000015</v>
      </c>
    </row>
    <row r="111" spans="1:45" hidden="1" x14ac:dyDescent="0.3">
      <c r="A111">
        <v>6183944</v>
      </c>
      <c r="B111" s="15" t="s">
        <v>5447</v>
      </c>
      <c r="C111" s="16" t="s">
        <v>30</v>
      </c>
      <c r="D111" s="6" t="s">
        <v>31</v>
      </c>
      <c r="E111" t="s">
        <v>801</v>
      </c>
      <c r="F111" t="s">
        <v>801</v>
      </c>
      <c r="H111" s="11" t="s">
        <v>27</v>
      </c>
      <c r="I111" s="6" t="s">
        <v>28</v>
      </c>
      <c r="J111" s="6" t="s">
        <v>28</v>
      </c>
      <c r="K111" t="s">
        <v>32</v>
      </c>
      <c r="L111" s="35">
        <v>6.39</v>
      </c>
      <c r="M111" s="6" t="s">
        <v>29</v>
      </c>
      <c r="N111" s="6">
        <v>3105</v>
      </c>
      <c r="P111" s="18"/>
      <c r="Q111" s="17"/>
      <c r="R111" s="19">
        <v>6.39</v>
      </c>
      <c r="S111" s="19">
        <v>6.39</v>
      </c>
      <c r="T111" s="38">
        <v>231</v>
      </c>
      <c r="U111" s="38"/>
      <c r="V111" s="30">
        <v>6.39</v>
      </c>
      <c r="W111" s="35">
        <v>6.39</v>
      </c>
      <c r="X111" s="32">
        <f t="shared" si="11"/>
        <v>1476.09</v>
      </c>
      <c r="Y111" s="32">
        <f t="shared" si="12"/>
        <v>1476.09</v>
      </c>
      <c r="Z111" s="32">
        <f t="shared" si="13"/>
        <v>0</v>
      </c>
      <c r="AA111" s="38">
        <v>231</v>
      </c>
      <c r="AB111" s="37">
        <f>IFERROR(VLOOKUP(A111,'Tash Lookup'!A:E,3,FALSE),"")</f>
        <v>1466.93</v>
      </c>
      <c r="AC111" s="6">
        <f t="shared" si="14"/>
        <v>0</v>
      </c>
      <c r="AD111" s="2" t="s">
        <v>6703</v>
      </c>
      <c r="AF111" s="56">
        <v>6.39</v>
      </c>
      <c r="AG111" s="56">
        <f>VLOOKUP(A111,Sheet1!$A$2:$C$1140,3,FALSE)</f>
        <v>6.52</v>
      </c>
      <c r="AH111" s="58">
        <v>6.52</v>
      </c>
      <c r="AI111" s="56" t="str">
        <f t="shared" si="15"/>
        <v>Increase</v>
      </c>
      <c r="AJ111" s="81">
        <f t="shared" si="19"/>
        <v>1476.09</v>
      </c>
      <c r="AK111" s="81">
        <f t="shared" si="20"/>
        <v>1506.12</v>
      </c>
      <c r="AL111" s="58" t="s">
        <v>7206</v>
      </c>
      <c r="AM111" s="58" t="s">
        <v>6703</v>
      </c>
      <c r="AN111" s="75">
        <v>131</v>
      </c>
      <c r="AO111" s="88">
        <v>6.52</v>
      </c>
      <c r="AP111" s="6" t="str">
        <f t="shared" si="16"/>
        <v>Increase</v>
      </c>
      <c r="AQ111" s="81">
        <f t="shared" si="17"/>
        <v>837.08999999999992</v>
      </c>
      <c r="AR111" s="81">
        <f t="shared" si="18"/>
        <v>854.11999999999989</v>
      </c>
      <c r="AS111" s="82">
        <f t="shared" si="21"/>
        <v>17.029999999999973</v>
      </c>
    </row>
    <row r="112" spans="1:45" hidden="1" x14ac:dyDescent="0.3">
      <c r="A112">
        <v>6188760</v>
      </c>
      <c r="B112" s="15" t="s">
        <v>5448</v>
      </c>
      <c r="C112" s="16" t="s">
        <v>30</v>
      </c>
      <c r="D112" s="6" t="s">
        <v>31</v>
      </c>
      <c r="E112" t="s">
        <v>823</v>
      </c>
      <c r="F112" t="s">
        <v>823</v>
      </c>
      <c r="H112" s="11" t="s">
        <v>27</v>
      </c>
      <c r="I112" s="6" t="s">
        <v>28</v>
      </c>
      <c r="J112" s="6" t="s">
        <v>28</v>
      </c>
      <c r="K112" t="s">
        <v>32</v>
      </c>
      <c r="L112" s="35">
        <v>3.55</v>
      </c>
      <c r="M112" s="6" t="s">
        <v>29</v>
      </c>
      <c r="N112" s="6">
        <v>3105</v>
      </c>
      <c r="P112" s="18"/>
      <c r="Q112" s="17"/>
      <c r="R112" s="19">
        <v>3.55</v>
      </c>
      <c r="S112" s="19">
        <v>3.55</v>
      </c>
      <c r="T112" s="38">
        <v>229</v>
      </c>
      <c r="U112" s="38"/>
      <c r="V112" s="30">
        <v>3.55</v>
      </c>
      <c r="W112" s="35">
        <v>3.55</v>
      </c>
      <c r="X112" s="32">
        <f t="shared" si="11"/>
        <v>812.94999999999993</v>
      </c>
      <c r="Y112" s="32">
        <f t="shared" si="12"/>
        <v>812.94999999999993</v>
      </c>
      <c r="Z112" s="32">
        <f t="shared" si="13"/>
        <v>0</v>
      </c>
      <c r="AA112" s="38">
        <v>229</v>
      </c>
      <c r="AB112" s="37">
        <f>IFERROR(VLOOKUP(A112,'Tash Lookup'!A:E,3,FALSE),"")</f>
        <v>807.36</v>
      </c>
      <c r="AC112" s="6">
        <f t="shared" si="14"/>
        <v>0</v>
      </c>
      <c r="AD112" s="2" t="s">
        <v>6703</v>
      </c>
      <c r="AF112" s="56">
        <v>3.55</v>
      </c>
      <c r="AG112" s="56">
        <f>VLOOKUP(A112,Sheet1!$A$2:$C$1140,3,FALSE)</f>
        <v>3.62</v>
      </c>
      <c r="AH112" s="58">
        <v>3.62</v>
      </c>
      <c r="AI112" s="56" t="str">
        <f t="shared" si="15"/>
        <v>Increase</v>
      </c>
      <c r="AJ112" s="81">
        <f t="shared" si="19"/>
        <v>812.94999999999993</v>
      </c>
      <c r="AK112" s="81">
        <f t="shared" si="20"/>
        <v>828.98</v>
      </c>
      <c r="AL112" s="58" t="s">
        <v>7206</v>
      </c>
      <c r="AM112" s="58" t="s">
        <v>6703</v>
      </c>
      <c r="AN112" s="75">
        <v>165</v>
      </c>
      <c r="AO112" s="88">
        <v>3.62</v>
      </c>
      <c r="AP112" s="6" t="str">
        <f t="shared" si="16"/>
        <v>Increase</v>
      </c>
      <c r="AQ112" s="81">
        <f t="shared" si="17"/>
        <v>585.75</v>
      </c>
      <c r="AR112" s="81">
        <f t="shared" si="18"/>
        <v>597.30000000000007</v>
      </c>
      <c r="AS112" s="82">
        <f t="shared" si="21"/>
        <v>11.550000000000068</v>
      </c>
    </row>
    <row r="113" spans="1:45" hidden="1" x14ac:dyDescent="0.3">
      <c r="A113">
        <v>5180447</v>
      </c>
      <c r="B113" s="15" t="s">
        <v>5449</v>
      </c>
      <c r="C113" s="16" t="s">
        <v>30</v>
      </c>
      <c r="D113" s="6" t="s">
        <v>31</v>
      </c>
      <c r="E113" t="s">
        <v>186</v>
      </c>
      <c r="F113" t="s">
        <v>186</v>
      </c>
      <c r="H113" s="11" t="s">
        <v>27</v>
      </c>
      <c r="I113" s="6" t="s">
        <v>28</v>
      </c>
      <c r="J113" s="6" t="s">
        <v>28</v>
      </c>
      <c r="K113" t="s">
        <v>32</v>
      </c>
      <c r="L113" s="35">
        <v>54.09</v>
      </c>
      <c r="M113" s="6" t="s">
        <v>29</v>
      </c>
      <c r="N113" s="6">
        <v>3105</v>
      </c>
      <c r="P113" s="18"/>
      <c r="Q113" s="17"/>
      <c r="R113" s="19">
        <v>54.09</v>
      </c>
      <c r="S113" s="19">
        <v>54.09</v>
      </c>
      <c r="T113" s="38">
        <v>229</v>
      </c>
      <c r="U113" s="38"/>
      <c r="V113" s="29">
        <v>54.09</v>
      </c>
      <c r="W113" s="35">
        <v>54.09</v>
      </c>
      <c r="X113" s="32">
        <f t="shared" si="11"/>
        <v>12386.61</v>
      </c>
      <c r="Y113" s="32">
        <f t="shared" si="12"/>
        <v>12386.61</v>
      </c>
      <c r="Z113" s="32">
        <f t="shared" si="13"/>
        <v>0</v>
      </c>
      <c r="AA113" s="38">
        <v>229</v>
      </c>
      <c r="AB113" s="37">
        <f>IFERROR(VLOOKUP(A113,'Tash Lookup'!A:E,3,FALSE),"")</f>
        <v>12308.74</v>
      </c>
      <c r="AC113" s="6">
        <f t="shared" si="14"/>
        <v>0</v>
      </c>
      <c r="AD113" s="2" t="s">
        <v>6703</v>
      </c>
      <c r="AF113" s="56">
        <v>59.14</v>
      </c>
      <c r="AG113" s="56">
        <f>VLOOKUP(A113,Sheet1!$A$2:$C$1140,3,FALSE)</f>
        <v>59.14</v>
      </c>
      <c r="AH113" s="58">
        <v>59.14</v>
      </c>
      <c r="AI113" s="56" t="str">
        <f t="shared" si="15"/>
        <v>Same</v>
      </c>
      <c r="AJ113" s="81">
        <f t="shared" si="19"/>
        <v>13543.06</v>
      </c>
      <c r="AK113" s="81">
        <f t="shared" si="20"/>
        <v>13543.06</v>
      </c>
      <c r="AL113" s="58" t="s">
        <v>32</v>
      </c>
      <c r="AM113" s="58" t="s">
        <v>6703</v>
      </c>
      <c r="AN113" s="75">
        <v>221</v>
      </c>
      <c r="AO113" s="88">
        <v>59.14</v>
      </c>
      <c r="AP113" s="6" t="str">
        <f t="shared" si="16"/>
        <v>Same</v>
      </c>
      <c r="AQ113" s="81">
        <f t="shared" si="17"/>
        <v>13069.94</v>
      </c>
      <c r="AR113" s="81">
        <f t="shared" si="18"/>
        <v>13069.94</v>
      </c>
      <c r="AS113" s="81">
        <f t="shared" si="21"/>
        <v>0</v>
      </c>
    </row>
    <row r="114" spans="1:45" hidden="1" x14ac:dyDescent="0.3">
      <c r="A114">
        <v>5089681</v>
      </c>
      <c r="B114" s="15" t="s">
        <v>5450</v>
      </c>
      <c r="C114" s="16" t="s">
        <v>30</v>
      </c>
      <c r="D114" s="6" t="s">
        <v>31</v>
      </c>
      <c r="E114" t="s">
        <v>117</v>
      </c>
      <c r="F114" t="s">
        <v>117</v>
      </c>
      <c r="H114" s="11" t="s">
        <v>27</v>
      </c>
      <c r="I114" s="6" t="s">
        <v>28</v>
      </c>
      <c r="J114" s="6" t="s">
        <v>28</v>
      </c>
      <c r="K114" t="s">
        <v>32</v>
      </c>
      <c r="L114" s="35">
        <v>14</v>
      </c>
      <c r="M114" s="6" t="s">
        <v>29</v>
      </c>
      <c r="N114" s="6">
        <v>3105</v>
      </c>
      <c r="P114" s="18"/>
      <c r="Q114" s="17"/>
      <c r="R114" s="19">
        <v>14</v>
      </c>
      <c r="S114" s="19">
        <v>14</v>
      </c>
      <c r="T114" s="38">
        <v>228</v>
      </c>
      <c r="U114" s="38"/>
      <c r="V114" s="29">
        <v>14</v>
      </c>
      <c r="W114" s="35">
        <v>14</v>
      </c>
      <c r="X114" s="32">
        <f t="shared" si="11"/>
        <v>3192</v>
      </c>
      <c r="Y114" s="32">
        <f t="shared" si="12"/>
        <v>3192</v>
      </c>
      <c r="Z114" s="32">
        <f t="shared" si="13"/>
        <v>0</v>
      </c>
      <c r="AA114" s="38">
        <v>228</v>
      </c>
      <c r="AB114" s="37">
        <f>IFERROR(VLOOKUP(A114,'Tash Lookup'!A:E,3,FALSE),"")</f>
        <v>3149.35</v>
      </c>
      <c r="AC114" s="6">
        <f t="shared" si="14"/>
        <v>0</v>
      </c>
      <c r="AD114" s="2" t="s">
        <v>6703</v>
      </c>
      <c r="AF114" s="56">
        <v>14.7</v>
      </c>
      <c r="AG114" s="56">
        <f>VLOOKUP(A114,Sheet1!$A$2:$C$1140,3,FALSE)</f>
        <v>14.7</v>
      </c>
      <c r="AH114" s="58">
        <v>14.7</v>
      </c>
      <c r="AI114" s="56" t="str">
        <f t="shared" si="15"/>
        <v>Same</v>
      </c>
      <c r="AJ114" s="81">
        <f t="shared" si="19"/>
        <v>3351.6</v>
      </c>
      <c r="AK114" s="81">
        <f t="shared" si="20"/>
        <v>3351.6</v>
      </c>
      <c r="AL114" s="58" t="s">
        <v>32</v>
      </c>
      <c r="AM114" s="58" t="s">
        <v>6703</v>
      </c>
      <c r="AN114" s="75">
        <v>161</v>
      </c>
      <c r="AO114" s="88">
        <v>14.7</v>
      </c>
      <c r="AP114" s="6" t="str">
        <f t="shared" si="16"/>
        <v>Same</v>
      </c>
      <c r="AQ114" s="81">
        <f t="shared" si="17"/>
        <v>2366.6999999999998</v>
      </c>
      <c r="AR114" s="81">
        <f t="shared" si="18"/>
        <v>2366.6999999999998</v>
      </c>
      <c r="AS114" s="81">
        <f t="shared" si="21"/>
        <v>0</v>
      </c>
    </row>
    <row r="115" spans="1:45" hidden="1" x14ac:dyDescent="0.3">
      <c r="A115">
        <v>5242791</v>
      </c>
      <c r="B115" s="15" t="s">
        <v>5451</v>
      </c>
      <c r="C115" s="16" t="s">
        <v>30</v>
      </c>
      <c r="D115" s="6" t="s">
        <v>31</v>
      </c>
      <c r="E115" t="s">
        <v>137</v>
      </c>
      <c r="F115" t="s">
        <v>137</v>
      </c>
      <c r="H115" s="11" t="s">
        <v>27</v>
      </c>
      <c r="I115" s="6" t="s">
        <v>28</v>
      </c>
      <c r="J115" s="6" t="s">
        <v>28</v>
      </c>
      <c r="K115" t="s">
        <v>32</v>
      </c>
      <c r="L115" s="35">
        <v>43.28</v>
      </c>
      <c r="M115" s="6" t="s">
        <v>29</v>
      </c>
      <c r="N115" s="6">
        <v>3105</v>
      </c>
      <c r="P115" s="18"/>
      <c r="Q115" s="17"/>
      <c r="R115" s="19">
        <v>43.28</v>
      </c>
      <c r="S115" s="19">
        <v>43.28</v>
      </c>
      <c r="T115" s="38">
        <v>223</v>
      </c>
      <c r="U115" s="38"/>
      <c r="V115" s="29">
        <v>43.28</v>
      </c>
      <c r="W115" s="35">
        <v>43.28</v>
      </c>
      <c r="X115" s="32">
        <f t="shared" si="11"/>
        <v>9651.44</v>
      </c>
      <c r="Y115" s="32">
        <f t="shared" si="12"/>
        <v>9651.44</v>
      </c>
      <c r="Z115" s="32">
        <f t="shared" si="13"/>
        <v>0</v>
      </c>
      <c r="AA115" s="38">
        <v>223</v>
      </c>
      <c r="AB115" s="37">
        <f>IFERROR(VLOOKUP(A115,'Tash Lookup'!A:E,3,FALSE),"")</f>
        <v>9583.4700000000012</v>
      </c>
      <c r="AC115" s="6">
        <f t="shared" si="14"/>
        <v>0</v>
      </c>
      <c r="AD115" s="2" t="s">
        <v>6703</v>
      </c>
      <c r="AE115" s="54"/>
      <c r="AF115" s="56">
        <v>37.25</v>
      </c>
      <c r="AG115" s="56">
        <f>VLOOKUP(A115,Sheet1!$A$2:$C$1140,3,FALSE)</f>
        <v>37.25</v>
      </c>
      <c r="AH115" s="58">
        <v>37.25</v>
      </c>
      <c r="AI115" s="56" t="str">
        <f t="shared" si="15"/>
        <v>Same</v>
      </c>
      <c r="AJ115" s="81">
        <f t="shared" si="19"/>
        <v>8306.75</v>
      </c>
      <c r="AK115" s="81">
        <f t="shared" si="20"/>
        <v>8306.75</v>
      </c>
      <c r="AL115" s="58" t="s">
        <v>32</v>
      </c>
      <c r="AM115" s="58" t="s">
        <v>6703</v>
      </c>
      <c r="AN115" s="75">
        <v>114</v>
      </c>
      <c r="AO115" s="88">
        <v>37.25</v>
      </c>
      <c r="AP115" s="6" t="str">
        <f t="shared" si="16"/>
        <v>Same</v>
      </c>
      <c r="AQ115" s="81">
        <f t="shared" si="17"/>
        <v>4246.5</v>
      </c>
      <c r="AR115" s="81">
        <f t="shared" si="18"/>
        <v>4246.5</v>
      </c>
      <c r="AS115" s="81">
        <f t="shared" si="21"/>
        <v>0</v>
      </c>
    </row>
    <row r="116" spans="1:45" hidden="1" x14ac:dyDescent="0.3">
      <c r="A116">
        <v>5220397</v>
      </c>
      <c r="B116" s="15" t="s">
        <v>5452</v>
      </c>
      <c r="C116" s="16" t="s">
        <v>30</v>
      </c>
      <c r="D116" s="6" t="s">
        <v>31</v>
      </c>
      <c r="E116" t="s">
        <v>125</v>
      </c>
      <c r="F116" t="s">
        <v>125</v>
      </c>
      <c r="H116" s="11" t="s">
        <v>27</v>
      </c>
      <c r="I116" s="6" t="s">
        <v>28</v>
      </c>
      <c r="J116" s="6" t="s">
        <v>28</v>
      </c>
      <c r="K116" t="s">
        <v>32</v>
      </c>
      <c r="L116" s="35">
        <v>46.62</v>
      </c>
      <c r="M116" s="6" t="s">
        <v>29</v>
      </c>
      <c r="N116" s="6">
        <v>3105</v>
      </c>
      <c r="P116" s="18"/>
      <c r="Q116" s="17"/>
      <c r="R116" s="19">
        <v>46.62</v>
      </c>
      <c r="S116" s="19">
        <v>46.62</v>
      </c>
      <c r="T116" s="38">
        <v>217</v>
      </c>
      <c r="U116" s="38"/>
      <c r="V116" s="29">
        <v>46.62</v>
      </c>
      <c r="W116" s="35">
        <v>46.62</v>
      </c>
      <c r="X116" s="32">
        <f t="shared" si="11"/>
        <v>10116.539999999999</v>
      </c>
      <c r="Y116" s="32">
        <f t="shared" si="12"/>
        <v>10116.539999999999</v>
      </c>
      <c r="Z116" s="32">
        <f t="shared" si="13"/>
        <v>0</v>
      </c>
      <c r="AA116" s="38">
        <v>217</v>
      </c>
      <c r="AB116" s="37">
        <f>IFERROR(VLOOKUP(A116,'Tash Lookup'!A:E,3,FALSE),"")</f>
        <v>9940.67</v>
      </c>
      <c r="AC116" s="6">
        <f t="shared" si="14"/>
        <v>0</v>
      </c>
      <c r="AD116" s="2" t="s">
        <v>6703</v>
      </c>
      <c r="AF116" s="56">
        <v>49</v>
      </c>
      <c r="AG116" s="56">
        <f>VLOOKUP(A116,Sheet1!$A$2:$C$1140,3,FALSE)</f>
        <v>49</v>
      </c>
      <c r="AH116" s="58">
        <v>49</v>
      </c>
      <c r="AI116" s="56" t="str">
        <f t="shared" si="15"/>
        <v>Same</v>
      </c>
      <c r="AJ116" s="81">
        <f t="shared" si="19"/>
        <v>10633</v>
      </c>
      <c r="AK116" s="81">
        <f t="shared" si="20"/>
        <v>10633</v>
      </c>
      <c r="AL116" s="58" t="s">
        <v>32</v>
      </c>
      <c r="AM116" s="58" t="s">
        <v>6703</v>
      </c>
      <c r="AN116" s="75">
        <v>155</v>
      </c>
      <c r="AO116" s="88">
        <v>49</v>
      </c>
      <c r="AP116" s="6" t="str">
        <f t="shared" si="16"/>
        <v>Same</v>
      </c>
      <c r="AQ116" s="81">
        <f t="shared" si="17"/>
        <v>7595</v>
      </c>
      <c r="AR116" s="81">
        <f t="shared" si="18"/>
        <v>7595</v>
      </c>
      <c r="AS116" s="81">
        <f t="shared" si="21"/>
        <v>0</v>
      </c>
    </row>
    <row r="117" spans="1:45" hidden="1" x14ac:dyDescent="0.3">
      <c r="A117">
        <v>5090727</v>
      </c>
      <c r="B117" s="15" t="s">
        <v>5453</v>
      </c>
      <c r="C117" s="16" t="s">
        <v>30</v>
      </c>
      <c r="D117" s="6" t="s">
        <v>31</v>
      </c>
      <c r="E117" t="s">
        <v>114</v>
      </c>
      <c r="F117" t="s">
        <v>114</v>
      </c>
      <c r="H117" s="11" t="s">
        <v>27</v>
      </c>
      <c r="I117" s="6" t="s">
        <v>28</v>
      </c>
      <c r="J117" s="6" t="s">
        <v>28</v>
      </c>
      <c r="K117" t="s">
        <v>32</v>
      </c>
      <c r="L117" s="35">
        <v>22.3</v>
      </c>
      <c r="M117" s="6" t="s">
        <v>29</v>
      </c>
      <c r="N117" s="6">
        <v>3105</v>
      </c>
      <c r="P117" s="18"/>
      <c r="Q117" s="17"/>
      <c r="R117" s="19">
        <v>22.3</v>
      </c>
      <c r="S117" s="19">
        <v>22.3</v>
      </c>
      <c r="T117" s="38">
        <v>216</v>
      </c>
      <c r="U117" s="38"/>
      <c r="V117" s="29">
        <v>22.3</v>
      </c>
      <c r="W117" s="35">
        <v>22.3</v>
      </c>
      <c r="X117" s="32">
        <f t="shared" si="11"/>
        <v>4816.8</v>
      </c>
      <c r="Y117" s="32">
        <f t="shared" si="12"/>
        <v>4816.8</v>
      </c>
      <c r="Z117" s="32">
        <f t="shared" si="13"/>
        <v>0</v>
      </c>
      <c r="AA117" s="38">
        <v>216</v>
      </c>
      <c r="AB117" s="37">
        <f>IFERROR(VLOOKUP(A117,'Tash Lookup'!A:E,3,FALSE),"")</f>
        <v>4691.4000000000005</v>
      </c>
      <c r="AC117" s="6">
        <f t="shared" si="14"/>
        <v>0</v>
      </c>
      <c r="AD117" s="2" t="s">
        <v>6703</v>
      </c>
      <c r="AF117" s="56">
        <v>23.84</v>
      </c>
      <c r="AG117" s="56">
        <f>VLOOKUP(A117,Sheet1!$A$2:$C$1140,3,FALSE)</f>
        <v>23.84</v>
      </c>
      <c r="AH117" s="58">
        <v>23.84</v>
      </c>
      <c r="AI117" s="56" t="str">
        <f t="shared" si="15"/>
        <v>Same</v>
      </c>
      <c r="AJ117" s="81">
        <f t="shared" si="19"/>
        <v>5149.4399999999996</v>
      </c>
      <c r="AK117" s="81">
        <f t="shared" si="20"/>
        <v>5149.4399999999996</v>
      </c>
      <c r="AL117" s="58" t="s">
        <v>32</v>
      </c>
      <c r="AM117" s="58" t="s">
        <v>6703</v>
      </c>
      <c r="AN117" s="75">
        <v>167</v>
      </c>
      <c r="AO117" s="88">
        <v>23.84</v>
      </c>
      <c r="AP117" s="6" t="str">
        <f t="shared" si="16"/>
        <v>Same</v>
      </c>
      <c r="AQ117" s="81">
        <f t="shared" si="17"/>
        <v>3981.28</v>
      </c>
      <c r="AR117" s="81">
        <f t="shared" si="18"/>
        <v>3981.28</v>
      </c>
      <c r="AS117" s="81">
        <f t="shared" si="21"/>
        <v>0</v>
      </c>
    </row>
    <row r="118" spans="1:45" hidden="1" x14ac:dyDescent="0.3">
      <c r="A118">
        <v>5180263</v>
      </c>
      <c r="B118" s="15" t="s">
        <v>5454</v>
      </c>
      <c r="C118" s="16" t="s">
        <v>30</v>
      </c>
      <c r="D118" s="6" t="s">
        <v>31</v>
      </c>
      <c r="E118" t="s">
        <v>188</v>
      </c>
      <c r="F118" t="s">
        <v>188</v>
      </c>
      <c r="H118" s="11" t="s">
        <v>27</v>
      </c>
      <c r="I118" s="6" t="s">
        <v>28</v>
      </c>
      <c r="J118" s="6" t="s">
        <v>28</v>
      </c>
      <c r="K118" t="s">
        <v>32</v>
      </c>
      <c r="L118" s="35">
        <v>21.11</v>
      </c>
      <c r="M118" s="6" t="s">
        <v>29</v>
      </c>
      <c r="N118" s="6">
        <v>3105</v>
      </c>
      <c r="P118" s="18"/>
      <c r="Q118" s="17"/>
      <c r="R118" s="19">
        <v>21.11</v>
      </c>
      <c r="S118" s="19">
        <v>21.11</v>
      </c>
      <c r="T118" s="38">
        <v>211</v>
      </c>
      <c r="U118" s="38"/>
      <c r="V118" s="29">
        <v>21.11</v>
      </c>
      <c r="W118" s="35">
        <v>21.11</v>
      </c>
      <c r="X118" s="32">
        <f t="shared" si="11"/>
        <v>4454.21</v>
      </c>
      <c r="Y118" s="32">
        <f t="shared" si="12"/>
        <v>4454.21</v>
      </c>
      <c r="Z118" s="32">
        <f t="shared" si="13"/>
        <v>0</v>
      </c>
      <c r="AA118" s="38">
        <v>211</v>
      </c>
      <c r="AB118" s="37">
        <f>IFERROR(VLOOKUP(A118,'Tash Lookup'!A:E,3,FALSE),"")</f>
        <v>4414.5200000000004</v>
      </c>
      <c r="AC118" s="6">
        <f t="shared" si="14"/>
        <v>0</v>
      </c>
      <c r="AD118" s="2" t="s">
        <v>6703</v>
      </c>
      <c r="AF118" s="56">
        <v>21.8</v>
      </c>
      <c r="AG118" s="56">
        <f>VLOOKUP(A118,Sheet1!$A$2:$C$1140,3,FALSE)</f>
        <v>21.8</v>
      </c>
      <c r="AH118" s="58">
        <v>21.8</v>
      </c>
      <c r="AI118" s="56" t="str">
        <f t="shared" si="15"/>
        <v>Same</v>
      </c>
      <c r="AJ118" s="81">
        <f t="shared" si="19"/>
        <v>4599.8</v>
      </c>
      <c r="AK118" s="81">
        <f t="shared" si="20"/>
        <v>4599.8</v>
      </c>
      <c r="AL118" s="58" t="s">
        <v>32</v>
      </c>
      <c r="AM118" s="58" t="s">
        <v>6703</v>
      </c>
      <c r="AN118" s="75">
        <v>71</v>
      </c>
      <c r="AO118" s="88">
        <v>21.8</v>
      </c>
      <c r="AP118" s="6" t="str">
        <f t="shared" si="16"/>
        <v>Same</v>
      </c>
      <c r="AQ118" s="81">
        <f t="shared" si="17"/>
        <v>1547.8</v>
      </c>
      <c r="AR118" s="81">
        <f t="shared" si="18"/>
        <v>1547.8</v>
      </c>
      <c r="AS118" s="81">
        <f t="shared" si="21"/>
        <v>0</v>
      </c>
    </row>
    <row r="119" spans="1:45" hidden="1" x14ac:dyDescent="0.3">
      <c r="A119">
        <v>5090787</v>
      </c>
      <c r="B119" s="15" t="s">
        <v>5455</v>
      </c>
      <c r="C119" s="16" t="s">
        <v>30</v>
      </c>
      <c r="D119" s="6" t="s">
        <v>31</v>
      </c>
      <c r="E119" t="s">
        <v>234</v>
      </c>
      <c r="F119" t="s">
        <v>234</v>
      </c>
      <c r="H119" s="11" t="s">
        <v>27</v>
      </c>
      <c r="I119" s="6" t="s">
        <v>28</v>
      </c>
      <c r="J119" s="6" t="s">
        <v>28</v>
      </c>
      <c r="K119" t="s">
        <v>32</v>
      </c>
      <c r="L119" s="35">
        <v>43.35</v>
      </c>
      <c r="M119" s="6" t="s">
        <v>29</v>
      </c>
      <c r="N119" s="6">
        <v>3105</v>
      </c>
      <c r="P119" s="18"/>
      <c r="Q119" s="17"/>
      <c r="R119" s="19">
        <v>43.35</v>
      </c>
      <c r="S119" s="19">
        <v>43.35</v>
      </c>
      <c r="T119" s="38">
        <v>206</v>
      </c>
      <c r="U119" s="38"/>
      <c r="V119" s="29">
        <v>43.35</v>
      </c>
      <c r="W119" s="35">
        <v>43.35</v>
      </c>
      <c r="X119" s="32">
        <f t="shared" si="11"/>
        <v>8930.1</v>
      </c>
      <c r="Y119" s="32">
        <f t="shared" si="12"/>
        <v>8930.1</v>
      </c>
      <c r="Z119" s="32">
        <f t="shared" si="13"/>
        <v>0</v>
      </c>
      <c r="AA119" s="38">
        <v>206</v>
      </c>
      <c r="AB119" s="37">
        <f>IFERROR(VLOOKUP(A119,'Tash Lookup'!A:E,3,FALSE),"")</f>
        <v>8894.56</v>
      </c>
      <c r="AC119" s="6">
        <f t="shared" si="14"/>
        <v>0</v>
      </c>
      <c r="AD119" s="2" t="s">
        <v>6703</v>
      </c>
      <c r="AF119" s="56">
        <v>47.18</v>
      </c>
      <c r="AG119" s="56">
        <f>VLOOKUP(A119,Sheet1!$A$2:$C$1140,3,FALSE)</f>
        <v>47.18</v>
      </c>
      <c r="AH119" s="58">
        <v>47.18</v>
      </c>
      <c r="AI119" s="56" t="str">
        <f t="shared" si="15"/>
        <v>Same</v>
      </c>
      <c r="AJ119" s="81">
        <f t="shared" si="19"/>
        <v>9719.08</v>
      </c>
      <c r="AK119" s="81">
        <f t="shared" si="20"/>
        <v>9719.08</v>
      </c>
      <c r="AL119" s="58" t="s">
        <v>32</v>
      </c>
      <c r="AM119" s="58" t="s">
        <v>6703</v>
      </c>
      <c r="AN119" s="75">
        <v>185</v>
      </c>
      <c r="AO119" s="88">
        <v>47.18</v>
      </c>
      <c r="AP119" s="6" t="str">
        <f t="shared" si="16"/>
        <v>Same</v>
      </c>
      <c r="AQ119" s="81">
        <f t="shared" si="17"/>
        <v>8728.2999999999993</v>
      </c>
      <c r="AR119" s="81">
        <f t="shared" si="18"/>
        <v>8728.2999999999993</v>
      </c>
      <c r="AS119" s="81">
        <f t="shared" si="21"/>
        <v>0</v>
      </c>
    </row>
    <row r="120" spans="1:45" hidden="1" x14ac:dyDescent="0.3">
      <c r="A120">
        <v>5090808</v>
      </c>
      <c r="B120" s="15" t="s">
        <v>5456</v>
      </c>
      <c r="C120" s="16" t="s">
        <v>30</v>
      </c>
      <c r="D120" s="6" t="s">
        <v>31</v>
      </c>
      <c r="E120" t="s">
        <v>53</v>
      </c>
      <c r="F120" t="s">
        <v>53</v>
      </c>
      <c r="H120" s="11" t="s">
        <v>27</v>
      </c>
      <c r="I120" s="6" t="s">
        <v>28</v>
      </c>
      <c r="J120" s="6" t="s">
        <v>28</v>
      </c>
      <c r="K120" t="s">
        <v>32</v>
      </c>
      <c r="L120" s="35">
        <v>21.24</v>
      </c>
      <c r="M120" s="6" t="s">
        <v>29</v>
      </c>
      <c r="N120" s="6">
        <v>3105</v>
      </c>
      <c r="P120" s="18"/>
      <c r="Q120" s="17"/>
      <c r="R120" s="19">
        <v>21.24</v>
      </c>
      <c r="S120" s="19">
        <v>21.24</v>
      </c>
      <c r="T120" s="38">
        <v>200</v>
      </c>
      <c r="U120" s="38"/>
      <c r="V120" s="29">
        <v>19.237500000000001</v>
      </c>
      <c r="W120" s="35">
        <v>21.24</v>
      </c>
      <c r="X120" s="32">
        <f t="shared" si="11"/>
        <v>3847.5</v>
      </c>
      <c r="Y120" s="32">
        <f t="shared" si="12"/>
        <v>4248</v>
      </c>
      <c r="Z120" s="32">
        <f t="shared" si="13"/>
        <v>-400.5</v>
      </c>
      <c r="AA120" s="38">
        <v>200</v>
      </c>
      <c r="AB120" s="37">
        <f>IFERROR(VLOOKUP(A120,'Tash Lookup'!A:E,3,FALSE),"")</f>
        <v>4192.5499999999993</v>
      </c>
      <c r="AC120" s="6">
        <f t="shared" si="14"/>
        <v>0</v>
      </c>
      <c r="AD120" s="2" t="s">
        <v>6703</v>
      </c>
      <c r="AF120" s="56">
        <v>20.41</v>
      </c>
      <c r="AG120" s="56">
        <f>VLOOKUP(A120,Sheet1!$A$2:$C$1140,3,FALSE)</f>
        <v>20.41</v>
      </c>
      <c r="AH120" s="58">
        <v>20.41</v>
      </c>
      <c r="AI120" s="56" t="str">
        <f t="shared" si="15"/>
        <v>Same</v>
      </c>
      <c r="AJ120" s="81">
        <f t="shared" si="19"/>
        <v>4082</v>
      </c>
      <c r="AK120" s="81">
        <f t="shared" si="20"/>
        <v>4082</v>
      </c>
      <c r="AL120" s="58" t="s">
        <v>32</v>
      </c>
      <c r="AM120" s="58" t="s">
        <v>6703</v>
      </c>
      <c r="AN120" s="75">
        <v>334</v>
      </c>
      <c r="AO120" s="88">
        <v>20.41</v>
      </c>
      <c r="AP120" s="6" t="str">
        <f t="shared" si="16"/>
        <v>Same</v>
      </c>
      <c r="AQ120" s="81">
        <f t="shared" si="17"/>
        <v>6816.94</v>
      </c>
      <c r="AR120" s="81">
        <f t="shared" si="18"/>
        <v>6816.94</v>
      </c>
      <c r="AS120" s="81">
        <f t="shared" si="21"/>
        <v>0</v>
      </c>
    </row>
    <row r="121" spans="1:45" hidden="1" x14ac:dyDescent="0.3">
      <c r="A121">
        <v>5222325</v>
      </c>
      <c r="B121" s="15" t="s">
        <v>5457</v>
      </c>
      <c r="C121" s="16" t="s">
        <v>30</v>
      </c>
      <c r="D121" s="6" t="s">
        <v>31</v>
      </c>
      <c r="E121" t="s">
        <v>648</v>
      </c>
      <c r="F121" t="s">
        <v>648</v>
      </c>
      <c r="H121" s="11" t="s">
        <v>27</v>
      </c>
      <c r="I121" s="6" t="s">
        <v>28</v>
      </c>
      <c r="J121" s="6" t="s">
        <v>28</v>
      </c>
      <c r="K121" t="s">
        <v>32</v>
      </c>
      <c r="L121" s="35">
        <v>79.56</v>
      </c>
      <c r="M121" s="6" t="s">
        <v>29</v>
      </c>
      <c r="N121" s="6">
        <v>3105</v>
      </c>
      <c r="P121" s="18"/>
      <c r="Q121" s="17"/>
      <c r="R121" s="19">
        <v>79.56</v>
      </c>
      <c r="S121" s="19">
        <v>79.56</v>
      </c>
      <c r="T121" s="38">
        <v>199</v>
      </c>
      <c r="U121" s="38"/>
      <c r="V121" s="30">
        <v>79.56</v>
      </c>
      <c r="W121" s="35">
        <v>79.56</v>
      </c>
      <c r="X121" s="32">
        <f t="shared" si="11"/>
        <v>15832.44</v>
      </c>
      <c r="Y121" s="32">
        <f t="shared" si="12"/>
        <v>15832.44</v>
      </c>
      <c r="Z121" s="32">
        <f t="shared" si="13"/>
        <v>0</v>
      </c>
      <c r="AA121" s="38">
        <v>199</v>
      </c>
      <c r="AB121" s="37">
        <f>IFERROR(VLOOKUP(A121,'Tash Lookup'!A:E,3,FALSE),"")</f>
        <v>15650.78</v>
      </c>
      <c r="AC121" s="6">
        <f t="shared" si="14"/>
        <v>0</v>
      </c>
      <c r="AD121" s="2" t="s">
        <v>6703</v>
      </c>
      <c r="AF121" s="56">
        <v>82.74</v>
      </c>
      <c r="AG121" s="56">
        <f>VLOOKUP(A121,Sheet1!$A$2:$C$1140,3,FALSE)</f>
        <v>82.74</v>
      </c>
      <c r="AH121" s="58">
        <v>82.74</v>
      </c>
      <c r="AI121" s="56" t="str">
        <f t="shared" si="15"/>
        <v>Same</v>
      </c>
      <c r="AJ121" s="81">
        <f t="shared" si="19"/>
        <v>16465.259999999998</v>
      </c>
      <c r="AK121" s="81">
        <f t="shared" si="20"/>
        <v>16465.259999999998</v>
      </c>
      <c r="AL121" s="58" t="s">
        <v>7206</v>
      </c>
      <c r="AM121" s="58" t="s">
        <v>6703</v>
      </c>
      <c r="AN121" s="75">
        <v>92</v>
      </c>
      <c r="AO121" s="88">
        <v>82.74</v>
      </c>
      <c r="AP121" s="6" t="str">
        <f t="shared" si="16"/>
        <v>Same</v>
      </c>
      <c r="AQ121" s="81">
        <f t="shared" si="17"/>
        <v>7612.08</v>
      </c>
      <c r="AR121" s="81">
        <f t="shared" si="18"/>
        <v>7612.08</v>
      </c>
      <c r="AS121" s="81">
        <f t="shared" si="21"/>
        <v>0</v>
      </c>
    </row>
    <row r="122" spans="1:45" hidden="1" x14ac:dyDescent="0.3">
      <c r="A122">
        <v>5218563</v>
      </c>
      <c r="B122" s="15" t="s">
        <v>5458</v>
      </c>
      <c r="C122" s="16" t="s">
        <v>30</v>
      </c>
      <c r="D122" s="6" t="s">
        <v>31</v>
      </c>
      <c r="E122" t="s">
        <v>277</v>
      </c>
      <c r="F122" t="s">
        <v>277</v>
      </c>
      <c r="H122" s="11" t="s">
        <v>27</v>
      </c>
      <c r="I122" s="6" t="s">
        <v>28</v>
      </c>
      <c r="J122" s="6" t="s">
        <v>28</v>
      </c>
      <c r="K122" t="s">
        <v>32</v>
      </c>
      <c r="L122" s="35">
        <v>21.04</v>
      </c>
      <c r="M122" s="6" t="s">
        <v>29</v>
      </c>
      <c r="N122" s="6">
        <v>3105</v>
      </c>
      <c r="P122" s="18"/>
      <c r="Q122" s="17"/>
      <c r="R122" s="19">
        <v>25.71</v>
      </c>
      <c r="S122" s="19">
        <v>25.71</v>
      </c>
      <c r="T122" s="38">
        <v>197</v>
      </c>
      <c r="U122" s="38"/>
      <c r="V122" s="29">
        <v>21.04</v>
      </c>
      <c r="W122" s="45">
        <v>15.86</v>
      </c>
      <c r="X122" s="32">
        <f t="shared" si="11"/>
        <v>4144.88</v>
      </c>
      <c r="Y122" s="32">
        <f t="shared" si="12"/>
        <v>4144.88</v>
      </c>
      <c r="Z122" s="32">
        <f t="shared" si="13"/>
        <v>0</v>
      </c>
      <c r="AA122" s="38">
        <v>197</v>
      </c>
      <c r="AB122" s="37">
        <f>IFERROR(VLOOKUP(A122,'Tash Lookup'!A:E,3,FALSE),"")</f>
        <v>3664.5</v>
      </c>
      <c r="AC122" s="6">
        <f t="shared" si="14"/>
        <v>0</v>
      </c>
      <c r="AD122" s="2" t="s">
        <v>6703</v>
      </c>
      <c r="AF122" s="56">
        <v>21.92</v>
      </c>
      <c r="AG122" s="56">
        <f>VLOOKUP(A122,Sheet1!$A$2:$C$1140,3,FALSE)</f>
        <v>22.58</v>
      </c>
      <c r="AH122" s="58">
        <v>22.58</v>
      </c>
      <c r="AI122" s="56" t="str">
        <f t="shared" si="15"/>
        <v>Increase</v>
      </c>
      <c r="AJ122" s="81">
        <f t="shared" si="19"/>
        <v>4318.2400000000007</v>
      </c>
      <c r="AK122" s="81">
        <f t="shared" si="20"/>
        <v>4448.2599999999993</v>
      </c>
      <c r="AL122" s="58" t="s">
        <v>32</v>
      </c>
      <c r="AM122" s="58" t="s">
        <v>6703</v>
      </c>
      <c r="AN122" s="75">
        <v>81</v>
      </c>
      <c r="AO122" s="88">
        <v>22.58</v>
      </c>
      <c r="AP122" s="6" t="str">
        <f t="shared" si="16"/>
        <v>Increase</v>
      </c>
      <c r="AQ122" s="81">
        <f t="shared" si="17"/>
        <v>1775.5200000000002</v>
      </c>
      <c r="AR122" s="81">
        <f t="shared" si="18"/>
        <v>1828.9799999999998</v>
      </c>
      <c r="AS122" s="82">
        <f t="shared" si="21"/>
        <v>53.459999999999582</v>
      </c>
    </row>
    <row r="123" spans="1:45" hidden="1" x14ac:dyDescent="0.3">
      <c r="A123">
        <v>5180492</v>
      </c>
      <c r="B123" s="15" t="s">
        <v>5459</v>
      </c>
      <c r="C123" s="16" t="s">
        <v>30</v>
      </c>
      <c r="D123" s="6" t="s">
        <v>31</v>
      </c>
      <c r="E123" t="s">
        <v>327</v>
      </c>
      <c r="F123" t="s">
        <v>327</v>
      </c>
      <c r="H123" s="11" t="s">
        <v>27</v>
      </c>
      <c r="I123" s="6" t="s">
        <v>28</v>
      </c>
      <c r="J123" s="6" t="s">
        <v>28</v>
      </c>
      <c r="K123" t="s">
        <v>32</v>
      </c>
      <c r="L123" s="35">
        <v>35.4</v>
      </c>
      <c r="M123" s="6" t="s">
        <v>29</v>
      </c>
      <c r="N123" s="6">
        <v>3105</v>
      </c>
      <c r="P123" s="18"/>
      <c r="Q123" s="17"/>
      <c r="R123" s="19">
        <v>35.4</v>
      </c>
      <c r="S123" s="19">
        <v>35.4</v>
      </c>
      <c r="T123" s="38">
        <v>195</v>
      </c>
      <c r="U123" s="38"/>
      <c r="V123" s="29">
        <v>35.4</v>
      </c>
      <c r="W123" s="35">
        <v>35.4</v>
      </c>
      <c r="X123" s="32">
        <f t="shared" si="11"/>
        <v>6903</v>
      </c>
      <c r="Y123" s="32">
        <f t="shared" si="12"/>
        <v>6903</v>
      </c>
      <c r="Z123" s="32">
        <f t="shared" si="13"/>
        <v>0</v>
      </c>
      <c r="AA123" s="38">
        <v>195</v>
      </c>
      <c r="AB123" s="37">
        <f>IFERROR(VLOOKUP(A123,'Tash Lookup'!A:E,3,FALSE),"")</f>
        <v>6905.55</v>
      </c>
      <c r="AC123" s="6">
        <f t="shared" si="14"/>
        <v>0</v>
      </c>
      <c r="AD123" s="2" t="s">
        <v>6707</v>
      </c>
      <c r="AF123" s="56">
        <v>37.21</v>
      </c>
      <c r="AG123" s="56" t="e">
        <f>VLOOKUP(A123,Sheet1!$A$2:$C$1140,3,FALSE)</f>
        <v>#N/A</v>
      </c>
      <c r="AH123" s="58" t="e">
        <v>#N/A</v>
      </c>
      <c r="AI123" s="56" t="str">
        <f t="shared" si="15"/>
        <v>Delete</v>
      </c>
      <c r="AJ123" s="81">
        <f t="shared" si="19"/>
        <v>7255.95</v>
      </c>
      <c r="AK123" s="81">
        <f t="shared" si="20"/>
        <v>0</v>
      </c>
      <c r="AL123" s="58" t="s">
        <v>32</v>
      </c>
      <c r="AM123" s="58" t="s">
        <v>6708</v>
      </c>
      <c r="AN123" s="75">
        <v>0</v>
      </c>
      <c r="AO123" s="88">
        <v>37.21</v>
      </c>
      <c r="AP123" s="6" t="str">
        <f t="shared" si="16"/>
        <v>Same</v>
      </c>
      <c r="AQ123" s="81">
        <f t="shared" si="17"/>
        <v>0</v>
      </c>
      <c r="AR123" s="81">
        <f t="shared" si="18"/>
        <v>0</v>
      </c>
      <c r="AS123" s="81">
        <f t="shared" si="21"/>
        <v>0</v>
      </c>
    </row>
    <row r="124" spans="1:45" hidden="1" x14ac:dyDescent="0.3">
      <c r="A124">
        <v>5218668</v>
      </c>
      <c r="B124" s="15" t="s">
        <v>5460</v>
      </c>
      <c r="C124" s="16" t="s">
        <v>30</v>
      </c>
      <c r="D124" s="6" t="s">
        <v>31</v>
      </c>
      <c r="E124" t="s">
        <v>86</v>
      </c>
      <c r="F124" t="s">
        <v>86</v>
      </c>
      <c r="H124" s="11" t="s">
        <v>27</v>
      </c>
      <c r="I124" s="6" t="s">
        <v>28</v>
      </c>
      <c r="J124" s="6" t="s">
        <v>28</v>
      </c>
      <c r="K124" t="s">
        <v>32</v>
      </c>
      <c r="L124" s="35">
        <v>22.05</v>
      </c>
      <c r="M124" s="6" t="s">
        <v>29</v>
      </c>
      <c r="N124" s="6">
        <v>3105</v>
      </c>
      <c r="P124" s="18"/>
      <c r="Q124" s="17"/>
      <c r="R124" s="19">
        <v>26.94</v>
      </c>
      <c r="S124" s="19">
        <v>26.94</v>
      </c>
      <c r="T124" s="38">
        <v>194</v>
      </c>
      <c r="U124" s="38"/>
      <c r="V124" s="29">
        <v>22.05</v>
      </c>
      <c r="W124" s="45">
        <v>16.48</v>
      </c>
      <c r="X124" s="32">
        <f t="shared" si="11"/>
        <v>4277.7</v>
      </c>
      <c r="Y124" s="32">
        <f t="shared" si="12"/>
        <v>4277.7</v>
      </c>
      <c r="Z124" s="32">
        <f t="shared" si="13"/>
        <v>0</v>
      </c>
      <c r="AA124" s="38">
        <v>194</v>
      </c>
      <c r="AB124" s="37">
        <f>IFERROR(VLOOKUP(A124,'Tash Lookup'!A:E,3,FALSE),"")</f>
        <v>3609.04</v>
      </c>
      <c r="AC124" s="6">
        <f t="shared" si="14"/>
        <v>0</v>
      </c>
      <c r="AD124" s="2" t="s">
        <v>6703</v>
      </c>
      <c r="AF124" s="56">
        <v>21.13</v>
      </c>
      <c r="AG124" s="56">
        <f>VLOOKUP(A124,Sheet1!$A$2:$C$1140,3,FALSE)</f>
        <v>21.13</v>
      </c>
      <c r="AH124" s="58">
        <v>21.13</v>
      </c>
      <c r="AI124" s="56" t="str">
        <f t="shared" si="15"/>
        <v>Same</v>
      </c>
      <c r="AJ124" s="81">
        <f t="shared" si="19"/>
        <v>4099.22</v>
      </c>
      <c r="AK124" s="81">
        <f t="shared" si="20"/>
        <v>4099.22</v>
      </c>
      <c r="AL124" s="58" t="s">
        <v>32</v>
      </c>
      <c r="AM124" s="58" t="s">
        <v>6703</v>
      </c>
      <c r="AN124" s="75">
        <v>95</v>
      </c>
      <c r="AO124" s="88">
        <v>21.13</v>
      </c>
      <c r="AP124" s="6" t="str">
        <f t="shared" si="16"/>
        <v>Same</v>
      </c>
      <c r="AQ124" s="81">
        <f t="shared" si="17"/>
        <v>2007.35</v>
      </c>
      <c r="AR124" s="81">
        <f t="shared" si="18"/>
        <v>2007.35</v>
      </c>
      <c r="AS124" s="81">
        <f t="shared" si="21"/>
        <v>0</v>
      </c>
    </row>
    <row r="125" spans="1:45" hidden="1" x14ac:dyDescent="0.3">
      <c r="A125">
        <v>5191768</v>
      </c>
      <c r="B125" s="15" t="s">
        <v>5461</v>
      </c>
      <c r="C125" s="16" t="s">
        <v>30</v>
      </c>
      <c r="D125" s="6" t="s">
        <v>31</v>
      </c>
      <c r="E125" t="s">
        <v>58</v>
      </c>
      <c r="F125" t="s">
        <v>58</v>
      </c>
      <c r="H125" s="11" t="s">
        <v>27</v>
      </c>
      <c r="I125" s="6" t="s">
        <v>28</v>
      </c>
      <c r="J125" s="6" t="s">
        <v>28</v>
      </c>
      <c r="K125" t="s">
        <v>32</v>
      </c>
      <c r="L125" s="35">
        <v>21.32</v>
      </c>
      <c r="M125" s="6" t="s">
        <v>29</v>
      </c>
      <c r="N125" s="6">
        <v>3105</v>
      </c>
      <c r="P125" s="18"/>
      <c r="Q125" s="17"/>
      <c r="R125" s="19">
        <v>21.32</v>
      </c>
      <c r="S125" s="19">
        <v>21.32</v>
      </c>
      <c r="T125" s="38">
        <v>194</v>
      </c>
      <c r="U125" s="38"/>
      <c r="V125" s="29">
        <v>18.429999999999996</v>
      </c>
      <c r="W125" s="35">
        <v>21.32</v>
      </c>
      <c r="X125" s="32">
        <f t="shared" si="11"/>
        <v>3575.4199999999992</v>
      </c>
      <c r="Y125" s="32">
        <f t="shared" si="12"/>
        <v>4136.08</v>
      </c>
      <c r="Z125" s="32">
        <f t="shared" si="13"/>
        <v>-560.66000000000076</v>
      </c>
      <c r="AA125" s="38">
        <v>194</v>
      </c>
      <c r="AB125" s="37">
        <f>IFERROR(VLOOKUP(A125,'Tash Lookup'!A:E,3,FALSE),"")</f>
        <v>4070.3</v>
      </c>
      <c r="AC125" s="6">
        <f t="shared" si="14"/>
        <v>0</v>
      </c>
      <c r="AD125" s="2" t="s">
        <v>6703</v>
      </c>
      <c r="AF125" s="56">
        <v>19.13</v>
      </c>
      <c r="AG125" s="56">
        <f>VLOOKUP(A125,Sheet1!$A$2:$C$1140,3,FALSE)</f>
        <v>19.13</v>
      </c>
      <c r="AH125" s="58">
        <v>19.13</v>
      </c>
      <c r="AI125" s="56" t="str">
        <f t="shared" si="15"/>
        <v>Same</v>
      </c>
      <c r="AJ125" s="81">
        <f t="shared" si="19"/>
        <v>3711.22</v>
      </c>
      <c r="AK125" s="81">
        <f t="shared" si="20"/>
        <v>3711.22</v>
      </c>
      <c r="AL125" s="58" t="s">
        <v>32</v>
      </c>
      <c r="AM125" s="58" t="s">
        <v>6703</v>
      </c>
      <c r="AN125" s="75">
        <v>110</v>
      </c>
      <c r="AO125" s="88">
        <v>19.13</v>
      </c>
      <c r="AP125" s="6" t="str">
        <f t="shared" si="16"/>
        <v>Same</v>
      </c>
      <c r="AQ125" s="81">
        <f t="shared" si="17"/>
        <v>2104.2999999999997</v>
      </c>
      <c r="AR125" s="81">
        <f t="shared" si="18"/>
        <v>2104.2999999999997</v>
      </c>
      <c r="AS125" s="81">
        <f t="shared" si="21"/>
        <v>0</v>
      </c>
    </row>
    <row r="126" spans="1:45" hidden="1" x14ac:dyDescent="0.3">
      <c r="A126">
        <v>6183862</v>
      </c>
      <c r="B126" s="15" t="s">
        <v>5462</v>
      </c>
      <c r="C126" s="16" t="s">
        <v>30</v>
      </c>
      <c r="D126" s="6" t="s">
        <v>31</v>
      </c>
      <c r="E126" t="s">
        <v>892</v>
      </c>
      <c r="F126" t="s">
        <v>892</v>
      </c>
      <c r="H126" s="11" t="s">
        <v>27</v>
      </c>
      <c r="I126" s="6" t="s">
        <v>28</v>
      </c>
      <c r="J126" s="6" t="s">
        <v>28</v>
      </c>
      <c r="K126" t="s">
        <v>32</v>
      </c>
      <c r="L126" s="35">
        <v>2.09</v>
      </c>
      <c r="M126" s="6" t="s">
        <v>29</v>
      </c>
      <c r="N126" s="6">
        <v>3105</v>
      </c>
      <c r="P126" s="18"/>
      <c r="Q126" s="17"/>
      <c r="R126" s="19">
        <v>2.09</v>
      </c>
      <c r="S126" s="19">
        <v>2.09</v>
      </c>
      <c r="T126" s="38">
        <v>188</v>
      </c>
      <c r="U126" s="38"/>
      <c r="V126" s="30">
        <v>2.09</v>
      </c>
      <c r="W126" s="35">
        <v>2.09</v>
      </c>
      <c r="X126" s="32">
        <f t="shared" si="11"/>
        <v>392.91999999999996</v>
      </c>
      <c r="Y126" s="32">
        <f t="shared" si="12"/>
        <v>392.91999999999996</v>
      </c>
      <c r="Z126" s="32">
        <f t="shared" si="13"/>
        <v>0</v>
      </c>
      <c r="AA126" s="38">
        <v>188</v>
      </c>
      <c r="AB126" s="37">
        <f>IFERROR(VLOOKUP(A126,'Tash Lookup'!A:E,3,FALSE),"")</f>
        <v>392.07</v>
      </c>
      <c r="AC126" s="6">
        <f t="shared" si="14"/>
        <v>0</v>
      </c>
      <c r="AD126" s="2" t="s">
        <v>6703</v>
      </c>
      <c r="AF126" s="56">
        <v>2.09</v>
      </c>
      <c r="AG126" s="56">
        <f>VLOOKUP(A126,Sheet1!$A$2:$C$1140,3,FALSE)</f>
        <v>2.14</v>
      </c>
      <c r="AH126" s="58">
        <v>2.14</v>
      </c>
      <c r="AI126" s="56" t="str">
        <f t="shared" si="15"/>
        <v>Increase</v>
      </c>
      <c r="AJ126" s="81">
        <f t="shared" si="19"/>
        <v>392.91999999999996</v>
      </c>
      <c r="AK126" s="81">
        <f t="shared" si="20"/>
        <v>402.32000000000005</v>
      </c>
      <c r="AL126" s="58" t="s">
        <v>7206</v>
      </c>
      <c r="AM126" s="58" t="s">
        <v>6703</v>
      </c>
      <c r="AN126" s="75">
        <v>109</v>
      </c>
      <c r="AO126" s="88">
        <v>2.14</v>
      </c>
      <c r="AP126" s="6" t="str">
        <f t="shared" si="16"/>
        <v>Increase</v>
      </c>
      <c r="AQ126" s="81">
        <f t="shared" si="17"/>
        <v>227.80999999999997</v>
      </c>
      <c r="AR126" s="81">
        <f t="shared" si="18"/>
        <v>233.26000000000002</v>
      </c>
      <c r="AS126" s="82">
        <f t="shared" si="21"/>
        <v>5.4500000000000455</v>
      </c>
    </row>
    <row r="127" spans="1:45" hidden="1" x14ac:dyDescent="0.3">
      <c r="A127">
        <v>5090797</v>
      </c>
      <c r="B127" s="15" t="s">
        <v>5463</v>
      </c>
      <c r="C127" s="16" t="s">
        <v>30</v>
      </c>
      <c r="D127" s="6" t="s">
        <v>31</v>
      </c>
      <c r="E127" t="s">
        <v>204</v>
      </c>
      <c r="F127" t="s">
        <v>204</v>
      </c>
      <c r="H127" s="11" t="s">
        <v>27</v>
      </c>
      <c r="I127" s="6" t="s">
        <v>28</v>
      </c>
      <c r="J127" s="6" t="s">
        <v>28</v>
      </c>
      <c r="K127" t="s">
        <v>32</v>
      </c>
      <c r="L127" s="35">
        <v>38.630000000000003</v>
      </c>
      <c r="M127" s="6" t="s">
        <v>29</v>
      </c>
      <c r="N127" s="6">
        <v>3105</v>
      </c>
      <c r="P127" s="18"/>
      <c r="Q127" s="17"/>
      <c r="R127" s="19">
        <v>38.630000000000003</v>
      </c>
      <c r="S127" s="19">
        <v>38.630000000000003</v>
      </c>
      <c r="T127" s="38">
        <v>183</v>
      </c>
      <c r="U127" s="38"/>
      <c r="V127" s="29">
        <v>38.630000000000003</v>
      </c>
      <c r="W127" s="35">
        <v>38.630000000000003</v>
      </c>
      <c r="X127" s="32">
        <f t="shared" si="11"/>
        <v>7069.2900000000009</v>
      </c>
      <c r="Y127" s="32">
        <f t="shared" si="12"/>
        <v>7069.2900000000009</v>
      </c>
      <c r="Z127" s="32">
        <f t="shared" si="13"/>
        <v>0</v>
      </c>
      <c r="AA127" s="38">
        <v>183</v>
      </c>
      <c r="AB127" s="37">
        <f>IFERROR(VLOOKUP(A127,'Tash Lookup'!A:E,3,FALSE),"")</f>
        <v>7027.4</v>
      </c>
      <c r="AC127" s="6">
        <f t="shared" si="14"/>
        <v>0</v>
      </c>
      <c r="AD127" s="2" t="s">
        <v>6703</v>
      </c>
      <c r="AF127" s="56">
        <v>40.46</v>
      </c>
      <c r="AG127" s="56">
        <f>VLOOKUP(A127,Sheet1!$A$2:$C$1140,3,FALSE)</f>
        <v>40.46</v>
      </c>
      <c r="AH127" s="58">
        <v>40.46</v>
      </c>
      <c r="AI127" s="56" t="str">
        <f t="shared" si="15"/>
        <v>Same</v>
      </c>
      <c r="AJ127" s="81">
        <f t="shared" si="19"/>
        <v>7404.18</v>
      </c>
      <c r="AK127" s="81">
        <f t="shared" si="20"/>
        <v>7404.18</v>
      </c>
      <c r="AL127" s="58" t="s">
        <v>32</v>
      </c>
      <c r="AM127" s="58" t="s">
        <v>6703</v>
      </c>
      <c r="AN127" s="75">
        <v>5</v>
      </c>
      <c r="AO127" s="88">
        <v>40.46</v>
      </c>
      <c r="AP127" s="6" t="str">
        <f t="shared" si="16"/>
        <v>Same</v>
      </c>
      <c r="AQ127" s="81">
        <f t="shared" si="17"/>
        <v>202.3</v>
      </c>
      <c r="AR127" s="81">
        <f t="shared" si="18"/>
        <v>202.3</v>
      </c>
      <c r="AS127" s="81">
        <f t="shared" si="21"/>
        <v>0</v>
      </c>
    </row>
    <row r="128" spans="1:45" hidden="1" x14ac:dyDescent="0.3">
      <c r="A128">
        <v>6365220</v>
      </c>
      <c r="B128" s="15" t="s">
        <v>5464</v>
      </c>
      <c r="C128" s="16" t="s">
        <v>30</v>
      </c>
      <c r="D128" s="6" t="s">
        <v>31</v>
      </c>
      <c r="E128" t="s">
        <v>1026</v>
      </c>
      <c r="F128" t="s">
        <v>1026</v>
      </c>
      <c r="H128" s="11" t="s">
        <v>27</v>
      </c>
      <c r="I128" s="6" t="s">
        <v>28</v>
      </c>
      <c r="J128" s="6" t="s">
        <v>28</v>
      </c>
      <c r="K128" t="s">
        <v>32</v>
      </c>
      <c r="L128" s="35">
        <v>6.22</v>
      </c>
      <c r="M128" s="6" t="s">
        <v>29</v>
      </c>
      <c r="N128" s="6">
        <v>3105</v>
      </c>
      <c r="P128" s="18"/>
      <c r="Q128" s="17"/>
      <c r="R128" s="19">
        <v>6.22</v>
      </c>
      <c r="S128" s="19">
        <v>6.22</v>
      </c>
      <c r="T128" s="38">
        <v>175</v>
      </c>
      <c r="U128" s="38"/>
      <c r="V128" s="30">
        <v>6.22</v>
      </c>
      <c r="W128" s="35">
        <v>6.22</v>
      </c>
      <c r="X128" s="32">
        <f t="shared" si="11"/>
        <v>1088.5</v>
      </c>
      <c r="Y128" s="32">
        <f t="shared" si="12"/>
        <v>1088.5</v>
      </c>
      <c r="Z128" s="32">
        <f t="shared" si="13"/>
        <v>0</v>
      </c>
      <c r="AA128" s="38">
        <v>175</v>
      </c>
      <c r="AB128" s="37">
        <f>IFERROR(VLOOKUP(A128,'Tash Lookup'!A:E,3,FALSE),"")</f>
        <v>1049.8499999999999</v>
      </c>
      <c r="AC128" s="6">
        <f t="shared" si="14"/>
        <v>0</v>
      </c>
      <c r="AD128" s="2" t="s">
        <v>6703</v>
      </c>
      <c r="AF128" s="56">
        <v>6.22</v>
      </c>
      <c r="AG128" s="56">
        <f>VLOOKUP(A128,Sheet1!$A$2:$C$1140,3,FALSE)</f>
        <v>6.34</v>
      </c>
      <c r="AH128" s="58">
        <v>6.34</v>
      </c>
      <c r="AI128" s="56" t="str">
        <f t="shared" si="15"/>
        <v>Increase</v>
      </c>
      <c r="AJ128" s="81">
        <f t="shared" si="19"/>
        <v>1088.5</v>
      </c>
      <c r="AK128" s="81">
        <f t="shared" si="20"/>
        <v>1109.5</v>
      </c>
      <c r="AL128" s="58" t="s">
        <v>7206</v>
      </c>
      <c r="AM128" s="58" t="s">
        <v>6703</v>
      </c>
      <c r="AN128" s="75">
        <v>187</v>
      </c>
      <c r="AO128" s="88">
        <v>6.34</v>
      </c>
      <c r="AP128" s="6" t="str">
        <f t="shared" si="16"/>
        <v>Increase</v>
      </c>
      <c r="AQ128" s="81">
        <f t="shared" si="17"/>
        <v>1163.1399999999999</v>
      </c>
      <c r="AR128" s="81">
        <f t="shared" si="18"/>
        <v>1185.58</v>
      </c>
      <c r="AS128" s="82">
        <f t="shared" si="21"/>
        <v>22.440000000000055</v>
      </c>
    </row>
    <row r="129" spans="1:45" hidden="1" x14ac:dyDescent="0.3">
      <c r="A129">
        <v>6365228</v>
      </c>
      <c r="B129" s="15" t="s">
        <v>5465</v>
      </c>
      <c r="C129" s="16" t="s">
        <v>30</v>
      </c>
      <c r="D129" s="6" t="s">
        <v>31</v>
      </c>
      <c r="E129" t="s">
        <v>1001</v>
      </c>
      <c r="F129" t="s">
        <v>1001</v>
      </c>
      <c r="H129" s="11" t="s">
        <v>27</v>
      </c>
      <c r="I129" s="6" t="s">
        <v>28</v>
      </c>
      <c r="J129" s="6" t="s">
        <v>28</v>
      </c>
      <c r="K129" t="s">
        <v>32</v>
      </c>
      <c r="L129" s="35">
        <v>3.79</v>
      </c>
      <c r="M129" s="6" t="s">
        <v>29</v>
      </c>
      <c r="N129" s="6">
        <v>3105</v>
      </c>
      <c r="P129" s="18"/>
      <c r="Q129" s="17"/>
      <c r="R129" s="19">
        <v>3.79</v>
      </c>
      <c r="S129" s="19">
        <v>3.79</v>
      </c>
      <c r="T129" s="38">
        <v>174</v>
      </c>
      <c r="U129" s="38"/>
      <c r="V129" s="30">
        <v>3.79</v>
      </c>
      <c r="W129" s="35">
        <v>3.79</v>
      </c>
      <c r="X129" s="32">
        <f t="shared" si="11"/>
        <v>659.46</v>
      </c>
      <c r="Y129" s="32">
        <f t="shared" si="12"/>
        <v>659.46</v>
      </c>
      <c r="Z129" s="32">
        <f t="shared" si="13"/>
        <v>0</v>
      </c>
      <c r="AA129" s="38">
        <v>174</v>
      </c>
      <c r="AB129" s="37">
        <f>IFERROR(VLOOKUP(A129,'Tash Lookup'!A:E,3,FALSE),"")</f>
        <v>655.58</v>
      </c>
      <c r="AC129" s="6">
        <f t="shared" si="14"/>
        <v>0</v>
      </c>
      <c r="AD129" s="2" t="s">
        <v>6703</v>
      </c>
      <c r="AF129" s="56">
        <v>3.79</v>
      </c>
      <c r="AG129" s="56">
        <f>VLOOKUP(A129,Sheet1!$A$2:$C$1140,3,FALSE)</f>
        <v>3.86</v>
      </c>
      <c r="AH129" s="58">
        <v>3.86</v>
      </c>
      <c r="AI129" s="56" t="str">
        <f t="shared" si="15"/>
        <v>Increase</v>
      </c>
      <c r="AJ129" s="81">
        <f t="shared" si="19"/>
        <v>659.46</v>
      </c>
      <c r="AK129" s="81">
        <f t="shared" si="20"/>
        <v>671.64</v>
      </c>
      <c r="AL129" s="58" t="s">
        <v>7206</v>
      </c>
      <c r="AM129" s="58" t="s">
        <v>6703</v>
      </c>
      <c r="AN129" s="75">
        <v>129</v>
      </c>
      <c r="AO129" s="88">
        <v>3.86</v>
      </c>
      <c r="AP129" s="6" t="str">
        <f t="shared" si="16"/>
        <v>Increase</v>
      </c>
      <c r="AQ129" s="81">
        <f t="shared" si="17"/>
        <v>488.91</v>
      </c>
      <c r="AR129" s="81">
        <f t="shared" si="18"/>
        <v>497.94</v>
      </c>
      <c r="AS129" s="82">
        <f t="shared" si="21"/>
        <v>9.0299999999999727</v>
      </c>
    </row>
    <row r="130" spans="1:45" hidden="1" x14ac:dyDescent="0.3">
      <c r="A130">
        <v>5218666</v>
      </c>
      <c r="B130" s="15" t="s">
        <v>5466</v>
      </c>
      <c r="C130" s="16" t="s">
        <v>30</v>
      </c>
      <c r="D130" s="6" t="s">
        <v>31</v>
      </c>
      <c r="E130" t="s">
        <v>292</v>
      </c>
      <c r="F130" t="s">
        <v>292</v>
      </c>
      <c r="H130" s="11" t="s">
        <v>27</v>
      </c>
      <c r="I130" s="6" t="s">
        <v>28</v>
      </c>
      <c r="J130" s="6" t="s">
        <v>28</v>
      </c>
      <c r="K130" t="s">
        <v>32</v>
      </c>
      <c r="L130" s="35">
        <v>16</v>
      </c>
      <c r="M130" s="6" t="s">
        <v>29</v>
      </c>
      <c r="N130" s="6">
        <v>3105</v>
      </c>
      <c r="P130" s="18"/>
      <c r="Q130" s="17"/>
      <c r="R130" s="19">
        <v>19.559999999999999</v>
      </c>
      <c r="S130" s="19">
        <v>19.559999999999999</v>
      </c>
      <c r="T130" s="38">
        <v>168</v>
      </c>
      <c r="U130" s="38"/>
      <c r="V130" s="29">
        <v>16</v>
      </c>
      <c r="W130" s="45">
        <v>12.23</v>
      </c>
      <c r="X130" s="32">
        <f t="shared" si="11"/>
        <v>2688</v>
      </c>
      <c r="Y130" s="32">
        <f t="shared" si="12"/>
        <v>2688</v>
      </c>
      <c r="Z130" s="32">
        <f t="shared" si="13"/>
        <v>0</v>
      </c>
      <c r="AA130" s="38">
        <v>168</v>
      </c>
      <c r="AB130" s="37">
        <f>IFERROR(VLOOKUP(A130,'Tash Lookup'!A:E,3,FALSE),"")</f>
        <v>2362.4</v>
      </c>
      <c r="AC130" s="6">
        <f t="shared" si="14"/>
        <v>0</v>
      </c>
      <c r="AD130" s="2" t="s">
        <v>6703</v>
      </c>
      <c r="AF130" s="56">
        <v>17.170000000000002</v>
      </c>
      <c r="AG130" s="56">
        <f>VLOOKUP(A130,Sheet1!$A$2:$C$1140,3,FALSE)</f>
        <v>17.690000000000001</v>
      </c>
      <c r="AH130" s="58">
        <v>17.690000000000001</v>
      </c>
      <c r="AI130" s="56" t="str">
        <f t="shared" si="15"/>
        <v>Increase</v>
      </c>
      <c r="AJ130" s="81">
        <f t="shared" si="19"/>
        <v>2884.5600000000004</v>
      </c>
      <c r="AK130" s="81">
        <f t="shared" si="20"/>
        <v>2971.92</v>
      </c>
      <c r="AL130" s="58" t="s">
        <v>32</v>
      </c>
      <c r="AM130" s="58" t="s">
        <v>6703</v>
      </c>
      <c r="AN130" s="75">
        <v>84</v>
      </c>
      <c r="AO130" s="88">
        <v>17.690000000000001</v>
      </c>
      <c r="AP130" s="6" t="str">
        <f t="shared" si="16"/>
        <v>Increase</v>
      </c>
      <c r="AQ130" s="81">
        <f t="shared" si="17"/>
        <v>1442.2800000000002</v>
      </c>
      <c r="AR130" s="81">
        <f t="shared" si="18"/>
        <v>1485.96</v>
      </c>
      <c r="AS130" s="82">
        <f t="shared" si="21"/>
        <v>43.679999999999836</v>
      </c>
    </row>
    <row r="131" spans="1:45" hidden="1" x14ac:dyDescent="0.3">
      <c r="A131">
        <v>6188877</v>
      </c>
      <c r="B131" s="15" t="s">
        <v>5467</v>
      </c>
      <c r="C131" s="16" t="s">
        <v>30</v>
      </c>
      <c r="D131" s="6" t="s">
        <v>31</v>
      </c>
      <c r="E131" t="s">
        <v>838</v>
      </c>
      <c r="F131" t="s">
        <v>838</v>
      </c>
      <c r="H131" s="11" t="s">
        <v>27</v>
      </c>
      <c r="I131" s="6" t="s">
        <v>28</v>
      </c>
      <c r="J131" s="6" t="s">
        <v>28</v>
      </c>
      <c r="K131" t="s">
        <v>32</v>
      </c>
      <c r="L131" s="35">
        <v>11.97</v>
      </c>
      <c r="M131" s="6" t="s">
        <v>29</v>
      </c>
      <c r="N131" s="6">
        <v>3105</v>
      </c>
      <c r="P131" s="18"/>
      <c r="Q131" s="17"/>
      <c r="R131" s="19">
        <v>11.97</v>
      </c>
      <c r="S131" s="19">
        <v>11.97</v>
      </c>
      <c r="T131" s="38">
        <v>168</v>
      </c>
      <c r="U131" s="38"/>
      <c r="V131" s="30">
        <v>11.97</v>
      </c>
      <c r="W131" s="35">
        <v>11.97</v>
      </c>
      <c r="X131" s="32">
        <f t="shared" si="11"/>
        <v>2010.96</v>
      </c>
      <c r="Y131" s="32">
        <f t="shared" si="12"/>
        <v>2010.96</v>
      </c>
      <c r="Z131" s="32">
        <f t="shared" si="13"/>
        <v>0</v>
      </c>
      <c r="AA131" s="38">
        <v>168</v>
      </c>
      <c r="AB131" s="37">
        <f>IFERROR(VLOOKUP(A131,'Tash Lookup'!A:E,3,FALSE),"")</f>
        <v>1996.46</v>
      </c>
      <c r="AC131" s="6">
        <f t="shared" si="14"/>
        <v>0</v>
      </c>
      <c r="AD131" s="2" t="s">
        <v>6703</v>
      </c>
      <c r="AF131" s="56">
        <v>10.77</v>
      </c>
      <c r="AG131" s="56">
        <f>VLOOKUP(A131,Sheet1!$A$2:$C$1140,3,FALSE)</f>
        <v>10.99</v>
      </c>
      <c r="AH131" s="58">
        <v>10.99</v>
      </c>
      <c r="AI131" s="56" t="str">
        <f t="shared" si="15"/>
        <v>Increase</v>
      </c>
      <c r="AJ131" s="81">
        <f t="shared" si="19"/>
        <v>1809.36</v>
      </c>
      <c r="AK131" s="81">
        <f t="shared" si="20"/>
        <v>1846.32</v>
      </c>
      <c r="AL131" s="58" t="s">
        <v>7206</v>
      </c>
      <c r="AM131" s="58" t="s">
        <v>6703</v>
      </c>
      <c r="AN131" s="75">
        <v>104</v>
      </c>
      <c r="AO131" s="88">
        <v>10.99</v>
      </c>
      <c r="AP131" s="6" t="str">
        <f t="shared" si="16"/>
        <v>Increase</v>
      </c>
      <c r="AQ131" s="81">
        <f t="shared" si="17"/>
        <v>1120.08</v>
      </c>
      <c r="AR131" s="81">
        <f t="shared" si="18"/>
        <v>1142.96</v>
      </c>
      <c r="AS131" s="82">
        <f t="shared" si="21"/>
        <v>22.880000000000109</v>
      </c>
    </row>
    <row r="132" spans="1:45" hidden="1" x14ac:dyDescent="0.3">
      <c r="A132">
        <v>6183904</v>
      </c>
      <c r="B132" s="15" t="s">
        <v>5468</v>
      </c>
      <c r="C132" s="16" t="s">
        <v>30</v>
      </c>
      <c r="D132" s="6" t="s">
        <v>31</v>
      </c>
      <c r="E132" t="s">
        <v>687</v>
      </c>
      <c r="F132" t="s">
        <v>687</v>
      </c>
      <c r="H132" s="11" t="s">
        <v>27</v>
      </c>
      <c r="I132" s="6" t="s">
        <v>28</v>
      </c>
      <c r="J132" s="6" t="s">
        <v>28</v>
      </c>
      <c r="K132" t="s">
        <v>32</v>
      </c>
      <c r="L132" s="35">
        <v>13.49</v>
      </c>
      <c r="M132" s="6" t="s">
        <v>29</v>
      </c>
      <c r="N132" s="6">
        <v>3105</v>
      </c>
      <c r="P132" s="18"/>
      <c r="Q132" s="17"/>
      <c r="R132" s="19">
        <v>13.49</v>
      </c>
      <c r="S132" s="19">
        <v>13.49</v>
      </c>
      <c r="T132" s="38">
        <v>167</v>
      </c>
      <c r="U132" s="38"/>
      <c r="V132" s="30">
        <v>13.49</v>
      </c>
      <c r="W132" s="35">
        <v>13.49</v>
      </c>
      <c r="X132" s="32">
        <f t="shared" si="11"/>
        <v>2252.83</v>
      </c>
      <c r="Y132" s="32">
        <f t="shared" si="12"/>
        <v>2252.83</v>
      </c>
      <c r="Z132" s="32">
        <f t="shared" si="13"/>
        <v>0</v>
      </c>
      <c r="AA132" s="38">
        <v>167</v>
      </c>
      <c r="AB132" s="37">
        <f>IFERROR(VLOOKUP(A132,'Tash Lookup'!A:E,3,FALSE),"")</f>
        <v>2224.2399999999998</v>
      </c>
      <c r="AC132" s="6">
        <f t="shared" si="14"/>
        <v>0</v>
      </c>
      <c r="AD132" s="2" t="s">
        <v>6703</v>
      </c>
      <c r="AF132" s="56">
        <v>13.49</v>
      </c>
      <c r="AG132" s="56">
        <f>VLOOKUP(A132,Sheet1!$A$2:$C$1140,3,FALSE)</f>
        <v>13.76</v>
      </c>
      <c r="AH132" s="58">
        <v>13.76</v>
      </c>
      <c r="AI132" s="56" t="str">
        <f t="shared" si="15"/>
        <v>Increase</v>
      </c>
      <c r="AJ132" s="81">
        <f t="shared" si="19"/>
        <v>2252.83</v>
      </c>
      <c r="AK132" s="81">
        <f t="shared" si="20"/>
        <v>2297.92</v>
      </c>
      <c r="AL132" s="58" t="s">
        <v>7206</v>
      </c>
      <c r="AM132" s="58" t="s">
        <v>6703</v>
      </c>
      <c r="AN132" s="75">
        <v>99</v>
      </c>
      <c r="AO132" s="88">
        <v>13.76</v>
      </c>
      <c r="AP132" s="6" t="str">
        <f t="shared" si="16"/>
        <v>Increase</v>
      </c>
      <c r="AQ132" s="81">
        <f t="shared" si="17"/>
        <v>1335.51</v>
      </c>
      <c r="AR132" s="81">
        <f t="shared" si="18"/>
        <v>1362.24</v>
      </c>
      <c r="AS132" s="82">
        <f t="shared" si="21"/>
        <v>26.730000000000018</v>
      </c>
    </row>
    <row r="133" spans="1:45" hidden="1" x14ac:dyDescent="0.3">
      <c r="A133">
        <v>5091282</v>
      </c>
      <c r="B133" s="15" t="s">
        <v>5469</v>
      </c>
      <c r="C133" s="16" t="s">
        <v>30</v>
      </c>
      <c r="D133" s="6" t="s">
        <v>31</v>
      </c>
      <c r="E133" t="s">
        <v>71</v>
      </c>
      <c r="F133" t="s">
        <v>71</v>
      </c>
      <c r="H133" s="11" t="s">
        <v>27</v>
      </c>
      <c r="I133" s="6" t="s">
        <v>28</v>
      </c>
      <c r="J133" s="6" t="s">
        <v>28</v>
      </c>
      <c r="K133" t="s">
        <v>32</v>
      </c>
      <c r="L133" s="35">
        <v>30.37</v>
      </c>
      <c r="M133" s="6" t="s">
        <v>29</v>
      </c>
      <c r="N133" s="6">
        <v>3105</v>
      </c>
      <c r="P133" s="18"/>
      <c r="Q133" s="17"/>
      <c r="R133" s="19">
        <v>30.37</v>
      </c>
      <c r="S133" s="19">
        <v>30.37</v>
      </c>
      <c r="T133" s="38">
        <v>166</v>
      </c>
      <c r="U133" s="38"/>
      <c r="V133" s="29">
        <v>30.37</v>
      </c>
      <c r="W133" s="35">
        <v>30.37</v>
      </c>
      <c r="X133" s="32">
        <f t="shared" si="11"/>
        <v>5041.42</v>
      </c>
      <c r="Y133" s="32">
        <f t="shared" si="12"/>
        <v>5041.42</v>
      </c>
      <c r="Z133" s="32">
        <f t="shared" si="13"/>
        <v>0</v>
      </c>
      <c r="AA133" s="38">
        <v>166</v>
      </c>
      <c r="AB133" s="37">
        <f>IFERROR(VLOOKUP(A133,'Tash Lookup'!A:E,3,FALSE),"")</f>
        <v>4867.7299999999996</v>
      </c>
      <c r="AC133" s="6">
        <f t="shared" si="14"/>
        <v>0</v>
      </c>
      <c r="AD133" s="2" t="s">
        <v>6708</v>
      </c>
      <c r="AF133" s="56">
        <v>29.13</v>
      </c>
      <c r="AG133" s="56">
        <f>VLOOKUP(A133,Sheet1!$A$2:$C$1140,3,FALSE)</f>
        <v>30.37</v>
      </c>
      <c r="AH133" s="58">
        <v>30.37</v>
      </c>
      <c r="AI133" s="56" t="str">
        <f t="shared" si="15"/>
        <v>Increase</v>
      </c>
      <c r="AJ133" s="81">
        <f t="shared" si="19"/>
        <v>4835.58</v>
      </c>
      <c r="AK133" s="81">
        <f t="shared" si="20"/>
        <v>5041.42</v>
      </c>
      <c r="AL133" s="58" t="s">
        <v>32</v>
      </c>
      <c r="AM133" s="58" t="s">
        <v>6708</v>
      </c>
      <c r="AN133" s="75">
        <v>6</v>
      </c>
      <c r="AO133" s="88">
        <v>30.37</v>
      </c>
      <c r="AP133" s="6" t="str">
        <f t="shared" si="16"/>
        <v>Increase</v>
      </c>
      <c r="AQ133" s="81">
        <f t="shared" si="17"/>
        <v>174.78</v>
      </c>
      <c r="AR133" s="81">
        <f t="shared" si="18"/>
        <v>182.22</v>
      </c>
      <c r="AS133" s="82">
        <f t="shared" si="21"/>
        <v>7.4399999999999977</v>
      </c>
    </row>
    <row r="134" spans="1:45" hidden="1" x14ac:dyDescent="0.3">
      <c r="A134">
        <v>5090757</v>
      </c>
      <c r="B134" s="15" t="s">
        <v>5470</v>
      </c>
      <c r="C134" s="16" t="s">
        <v>30</v>
      </c>
      <c r="D134" s="6" t="s">
        <v>31</v>
      </c>
      <c r="E134" t="s">
        <v>153</v>
      </c>
      <c r="F134" t="s">
        <v>153</v>
      </c>
      <c r="H134" s="11" t="s">
        <v>27</v>
      </c>
      <c r="I134" s="6" t="s">
        <v>28</v>
      </c>
      <c r="J134" s="6" t="s">
        <v>28</v>
      </c>
      <c r="K134" t="s">
        <v>32</v>
      </c>
      <c r="L134" s="35">
        <v>39.65</v>
      </c>
      <c r="M134" s="6" t="s">
        <v>29</v>
      </c>
      <c r="N134" s="6">
        <v>3105</v>
      </c>
      <c r="P134" s="18"/>
      <c r="Q134" s="17"/>
      <c r="R134" s="19">
        <v>39.65</v>
      </c>
      <c r="S134" s="19">
        <v>39.65</v>
      </c>
      <c r="T134" s="38">
        <v>166</v>
      </c>
      <c r="U134" s="38"/>
      <c r="V134" s="29">
        <v>39.65</v>
      </c>
      <c r="W134" s="35">
        <v>39.65</v>
      </c>
      <c r="X134" s="32">
        <f t="shared" ref="X134:X197" si="22">SUM(V134*T134)</f>
        <v>6581.9</v>
      </c>
      <c r="Y134" s="32">
        <f t="shared" ref="Y134:Y197" si="23">SUM(L134*T134)</f>
        <v>6581.9</v>
      </c>
      <c r="Z134" s="32">
        <f t="shared" ref="Z134:Z197" si="24">SUM(X134-Y134)</f>
        <v>0</v>
      </c>
      <c r="AA134" s="38">
        <v>166</v>
      </c>
      <c r="AB134" s="37">
        <f>IFERROR(VLOOKUP(A134,'Tash Lookup'!A:E,3,FALSE),"")</f>
        <v>6403.74</v>
      </c>
      <c r="AC134" s="6">
        <f t="shared" ref="AC134:AC197" si="25">IFERROR(AA134-T134,"")</f>
        <v>0</v>
      </c>
      <c r="AD134" s="2" t="s">
        <v>6703</v>
      </c>
      <c r="AF134" s="56">
        <v>44.1</v>
      </c>
      <c r="AG134" s="56">
        <f>VLOOKUP(A134,Sheet1!$A$2:$C$1140,3,FALSE)</f>
        <v>44.1</v>
      </c>
      <c r="AH134" s="58">
        <v>44.1</v>
      </c>
      <c r="AI134" s="56" t="str">
        <f t="shared" ref="AI134:AI197" si="26">IF(ISNA(AH134),"Delete",IF(AH134=AF134,"Same",IF(AH134&gt;AF134,"Increase","Decrease")))</f>
        <v>Same</v>
      </c>
      <c r="AJ134" s="81">
        <f t="shared" si="19"/>
        <v>7320.6</v>
      </c>
      <c r="AK134" s="81">
        <f t="shared" si="20"/>
        <v>7320.6</v>
      </c>
      <c r="AL134" s="58" t="s">
        <v>32</v>
      </c>
      <c r="AM134" s="58" t="s">
        <v>6703</v>
      </c>
      <c r="AN134" s="75">
        <v>125</v>
      </c>
      <c r="AO134" s="88">
        <v>44.1</v>
      </c>
      <c r="AP134" s="6" t="str">
        <f t="shared" ref="AP134:AP197" si="27">IF(AM134="Delete","Delete",IF(AO134=AF134,"Same",IF(AO134&gt;AF134,"Increase","Decrease")))</f>
        <v>Same</v>
      </c>
      <c r="AQ134" s="81">
        <f t="shared" ref="AQ134:AQ197" si="28">AN134*AF134</f>
        <v>5512.5</v>
      </c>
      <c r="AR134" s="81">
        <f t="shared" ref="AR134:AR197" si="29">AN134*AO134</f>
        <v>5512.5</v>
      </c>
      <c r="AS134" s="81">
        <f t="shared" si="21"/>
        <v>0</v>
      </c>
    </row>
    <row r="135" spans="1:45" hidden="1" x14ac:dyDescent="0.3">
      <c r="A135">
        <v>5083924</v>
      </c>
      <c r="B135" s="15" t="s">
        <v>5471</v>
      </c>
      <c r="C135" s="16" t="s">
        <v>30</v>
      </c>
      <c r="D135" s="6" t="s">
        <v>31</v>
      </c>
      <c r="E135" t="s">
        <v>592</v>
      </c>
      <c r="F135" t="s">
        <v>592</v>
      </c>
      <c r="H135" s="11" t="s">
        <v>27</v>
      </c>
      <c r="I135" s="6" t="s">
        <v>28</v>
      </c>
      <c r="J135" s="6" t="s">
        <v>28</v>
      </c>
      <c r="K135" t="s">
        <v>32</v>
      </c>
      <c r="L135" s="35">
        <v>14.04</v>
      </c>
      <c r="M135" s="6" t="s">
        <v>29</v>
      </c>
      <c r="N135" s="6">
        <v>3105</v>
      </c>
      <c r="P135" s="18"/>
      <c r="Q135" s="17"/>
      <c r="R135" s="19">
        <v>14.04</v>
      </c>
      <c r="S135" s="19">
        <v>14.04</v>
      </c>
      <c r="T135" s="38">
        <v>163</v>
      </c>
      <c r="U135" s="38"/>
      <c r="V135" s="29">
        <v>14.04</v>
      </c>
      <c r="W135" s="35">
        <v>14.04</v>
      </c>
      <c r="X135" s="32">
        <f t="shared" si="22"/>
        <v>2288.52</v>
      </c>
      <c r="Y135" s="32">
        <f t="shared" si="23"/>
        <v>2288.52</v>
      </c>
      <c r="Z135" s="32">
        <f t="shared" si="24"/>
        <v>0</v>
      </c>
      <c r="AA135" s="38">
        <v>163</v>
      </c>
      <c r="AB135" s="37">
        <f>IFERROR(VLOOKUP(A135,'Tash Lookup'!A:E,3,FALSE),"")</f>
        <v>2367.9899999999998</v>
      </c>
      <c r="AC135" s="6">
        <f t="shared" si="25"/>
        <v>0</v>
      </c>
      <c r="AD135" s="2" t="s">
        <v>6707</v>
      </c>
      <c r="AF135" s="56">
        <v>15.34</v>
      </c>
      <c r="AG135" s="56" t="e">
        <f>VLOOKUP(A135,Sheet1!$A$2:$C$1140,3,FALSE)</f>
        <v>#N/A</v>
      </c>
      <c r="AH135" s="58" t="e">
        <v>#N/A</v>
      </c>
      <c r="AI135" s="56" t="str">
        <f t="shared" si="26"/>
        <v>Delete</v>
      </c>
      <c r="AJ135" s="81">
        <f t="shared" ref="AJ135:AJ198" si="30">IFERROR(AA135*AF135,0)</f>
        <v>2500.42</v>
      </c>
      <c r="AK135" s="81">
        <f t="shared" ref="AK135:AK198" si="31">IFERROR(AA135*AH135,0)</f>
        <v>0</v>
      </c>
      <c r="AL135" s="58" t="s">
        <v>32</v>
      </c>
      <c r="AM135" s="58" t="s">
        <v>6708</v>
      </c>
      <c r="AN135" s="75">
        <v>0</v>
      </c>
      <c r="AO135" s="88">
        <v>15.34</v>
      </c>
      <c r="AP135" s="6" t="str">
        <f t="shared" si="27"/>
        <v>Same</v>
      </c>
      <c r="AQ135" s="81">
        <f t="shared" si="28"/>
        <v>0</v>
      </c>
      <c r="AR135" s="81">
        <f t="shared" si="29"/>
        <v>0</v>
      </c>
      <c r="AS135" s="81">
        <f t="shared" ref="AS135:AS198" si="32">AR135-AQ135</f>
        <v>0</v>
      </c>
    </row>
    <row r="136" spans="1:45" hidden="1" x14ac:dyDescent="0.3">
      <c r="A136">
        <v>5222655</v>
      </c>
      <c r="B136" s="15" t="s">
        <v>5472</v>
      </c>
      <c r="C136" s="16" t="s">
        <v>30</v>
      </c>
      <c r="D136" s="6" t="s">
        <v>31</v>
      </c>
      <c r="E136" t="s">
        <v>964</v>
      </c>
      <c r="F136" t="s">
        <v>964</v>
      </c>
      <c r="H136" s="11" t="s">
        <v>27</v>
      </c>
      <c r="I136" s="6" t="s">
        <v>28</v>
      </c>
      <c r="J136" s="6" t="s">
        <v>28</v>
      </c>
      <c r="K136" t="s">
        <v>32</v>
      </c>
      <c r="L136" s="35">
        <v>32.53</v>
      </c>
      <c r="M136" s="6" t="s">
        <v>29</v>
      </c>
      <c r="N136" s="6">
        <v>3105</v>
      </c>
      <c r="P136" s="18"/>
      <c r="Q136" s="17"/>
      <c r="R136" s="19">
        <v>0</v>
      </c>
      <c r="S136" s="19">
        <v>0</v>
      </c>
      <c r="T136" s="38">
        <v>163</v>
      </c>
      <c r="U136" s="38"/>
      <c r="V136" s="29">
        <v>32.53</v>
      </c>
      <c r="W136" s="35">
        <v>32.53</v>
      </c>
      <c r="X136" s="32">
        <f t="shared" si="22"/>
        <v>5302.39</v>
      </c>
      <c r="Y136" s="32">
        <f t="shared" si="23"/>
        <v>5302.39</v>
      </c>
      <c r="Z136" s="32">
        <f t="shared" si="24"/>
        <v>0</v>
      </c>
      <c r="AA136" s="38">
        <v>163</v>
      </c>
      <c r="AB136" s="37">
        <f>IFERROR(VLOOKUP(A136,'Tash Lookup'!A:E,3,FALSE),"")</f>
        <v>5302.34</v>
      </c>
      <c r="AC136" s="6">
        <f t="shared" si="25"/>
        <v>0</v>
      </c>
      <c r="AD136" s="2" t="s">
        <v>6708</v>
      </c>
      <c r="AF136" s="56">
        <v>32.53</v>
      </c>
      <c r="AG136" s="56">
        <f>VLOOKUP(A136,Sheet1!$A$2:$C$1140,3,FALSE)</f>
        <v>32.53</v>
      </c>
      <c r="AH136" s="58">
        <v>32.53</v>
      </c>
      <c r="AI136" s="56" t="str">
        <f t="shared" si="26"/>
        <v>Same</v>
      </c>
      <c r="AJ136" s="81">
        <f t="shared" si="30"/>
        <v>5302.39</v>
      </c>
      <c r="AK136" s="81">
        <f t="shared" si="31"/>
        <v>5302.39</v>
      </c>
      <c r="AL136" s="58" t="s">
        <v>7206</v>
      </c>
      <c r="AM136" s="58" t="s">
        <v>6708</v>
      </c>
      <c r="AN136" s="75">
        <v>5</v>
      </c>
      <c r="AO136" s="88">
        <v>32.53</v>
      </c>
      <c r="AP136" s="6" t="str">
        <f t="shared" si="27"/>
        <v>Same</v>
      </c>
      <c r="AQ136" s="81">
        <f t="shared" si="28"/>
        <v>162.65</v>
      </c>
      <c r="AR136" s="81">
        <f t="shared" si="29"/>
        <v>162.65</v>
      </c>
      <c r="AS136" s="81">
        <f t="shared" si="32"/>
        <v>0</v>
      </c>
    </row>
    <row r="137" spans="1:45" hidden="1" x14ac:dyDescent="0.3">
      <c r="A137">
        <v>5090783</v>
      </c>
      <c r="B137" s="15" t="s">
        <v>5473</v>
      </c>
      <c r="C137" s="16" t="s">
        <v>30</v>
      </c>
      <c r="D137" s="6" t="s">
        <v>31</v>
      </c>
      <c r="E137" t="s">
        <v>561</v>
      </c>
      <c r="F137" t="s">
        <v>561</v>
      </c>
      <c r="H137" s="11" t="s">
        <v>27</v>
      </c>
      <c r="I137" s="6" t="s">
        <v>28</v>
      </c>
      <c r="J137" s="6" t="s">
        <v>28</v>
      </c>
      <c r="K137" t="s">
        <v>32</v>
      </c>
      <c r="L137" s="35">
        <v>67.84</v>
      </c>
      <c r="M137" s="6" t="s">
        <v>29</v>
      </c>
      <c r="N137" s="6">
        <v>3105</v>
      </c>
      <c r="P137" s="18"/>
      <c r="Q137" s="17"/>
      <c r="R137" s="19">
        <v>64.44</v>
      </c>
      <c r="S137" s="19">
        <v>0</v>
      </c>
      <c r="T137" s="38">
        <v>163</v>
      </c>
      <c r="U137" s="38"/>
      <c r="V137" s="29">
        <v>64.44</v>
      </c>
      <c r="W137" s="35">
        <v>67.84</v>
      </c>
      <c r="X137" s="32">
        <f t="shared" si="22"/>
        <v>10503.72</v>
      </c>
      <c r="Y137" s="32">
        <f t="shared" si="23"/>
        <v>11057.92</v>
      </c>
      <c r="Z137" s="32">
        <f t="shared" si="24"/>
        <v>-554.20000000000073</v>
      </c>
      <c r="AA137" s="38">
        <v>163</v>
      </c>
      <c r="AB137" s="37">
        <f>IFERROR(VLOOKUP(A137,'Tash Lookup'!A:E,3,FALSE),"")</f>
        <v>10625.33</v>
      </c>
      <c r="AC137" s="6">
        <f t="shared" si="25"/>
        <v>0</v>
      </c>
      <c r="AD137" s="2" t="s">
        <v>6703</v>
      </c>
      <c r="AF137" s="56">
        <v>68.13</v>
      </c>
      <c r="AG137" s="56">
        <f>VLOOKUP(A137,Sheet1!$A$2:$C$1140,3,FALSE)</f>
        <v>70.17</v>
      </c>
      <c r="AH137" s="58">
        <v>70.17</v>
      </c>
      <c r="AI137" s="56" t="str">
        <f t="shared" si="26"/>
        <v>Increase</v>
      </c>
      <c r="AJ137" s="81">
        <f t="shared" si="30"/>
        <v>11105.189999999999</v>
      </c>
      <c r="AK137" s="81">
        <f t="shared" si="31"/>
        <v>11437.710000000001</v>
      </c>
      <c r="AL137" s="58" t="s">
        <v>32</v>
      </c>
      <c r="AM137" s="58" t="s">
        <v>6703</v>
      </c>
      <c r="AN137" s="75">
        <v>94</v>
      </c>
      <c r="AO137" s="88">
        <v>70.17</v>
      </c>
      <c r="AP137" s="6" t="str">
        <f t="shared" si="27"/>
        <v>Increase</v>
      </c>
      <c r="AQ137" s="81">
        <f t="shared" si="28"/>
        <v>6404.2199999999993</v>
      </c>
      <c r="AR137" s="81">
        <f t="shared" si="29"/>
        <v>6595.9800000000005</v>
      </c>
      <c r="AS137" s="82">
        <f t="shared" si="32"/>
        <v>191.76000000000113</v>
      </c>
    </row>
    <row r="138" spans="1:45" hidden="1" x14ac:dyDescent="0.3">
      <c r="A138">
        <v>5583719</v>
      </c>
      <c r="B138" s="15" t="s">
        <v>5474</v>
      </c>
      <c r="C138" s="16" t="s">
        <v>30</v>
      </c>
      <c r="D138" s="6" t="s">
        <v>31</v>
      </c>
      <c r="E138" t="s">
        <v>214</v>
      </c>
      <c r="F138" t="s">
        <v>214</v>
      </c>
      <c r="H138" s="11" t="s">
        <v>27</v>
      </c>
      <c r="I138" s="6" t="s">
        <v>28</v>
      </c>
      <c r="J138" s="6" t="s">
        <v>28</v>
      </c>
      <c r="K138" t="s">
        <v>32</v>
      </c>
      <c r="L138" s="35">
        <v>31.59</v>
      </c>
      <c r="M138" s="6" t="s">
        <v>29</v>
      </c>
      <c r="N138" s="6">
        <v>3105</v>
      </c>
      <c r="P138" s="18"/>
      <c r="Q138" s="17"/>
      <c r="R138" s="19">
        <v>31.59</v>
      </c>
      <c r="S138" s="19">
        <v>31.59</v>
      </c>
      <c r="T138" s="38">
        <v>159</v>
      </c>
      <c r="U138" s="38"/>
      <c r="V138" s="29">
        <v>31.59</v>
      </c>
      <c r="W138" s="35">
        <v>31.59</v>
      </c>
      <c r="X138" s="32">
        <f t="shared" si="22"/>
        <v>5022.8100000000004</v>
      </c>
      <c r="Y138" s="32">
        <f t="shared" si="23"/>
        <v>5022.8100000000004</v>
      </c>
      <c r="Z138" s="32">
        <f t="shared" si="24"/>
        <v>0</v>
      </c>
      <c r="AA138" s="38">
        <v>159</v>
      </c>
      <c r="AB138" s="37">
        <f>IFERROR(VLOOKUP(A138,'Tash Lookup'!A:E,3,FALSE),"")</f>
        <v>4892.5</v>
      </c>
      <c r="AC138" s="6">
        <f t="shared" si="25"/>
        <v>0</v>
      </c>
      <c r="AD138" s="2" t="s">
        <v>6703</v>
      </c>
      <c r="AF138" s="56">
        <v>30.6</v>
      </c>
      <c r="AG138" s="56">
        <f>VLOOKUP(A138,Sheet1!$A$2:$C$1140,3,FALSE)</f>
        <v>30.6</v>
      </c>
      <c r="AH138" s="58">
        <v>30.6</v>
      </c>
      <c r="AI138" s="56" t="str">
        <f t="shared" si="26"/>
        <v>Same</v>
      </c>
      <c r="AJ138" s="81">
        <f t="shared" si="30"/>
        <v>4865.4000000000005</v>
      </c>
      <c r="AK138" s="81">
        <f t="shared" si="31"/>
        <v>4865.4000000000005</v>
      </c>
      <c r="AL138" s="58" t="s">
        <v>32</v>
      </c>
      <c r="AM138" s="58" t="s">
        <v>6703</v>
      </c>
      <c r="AN138" s="75">
        <v>71</v>
      </c>
      <c r="AO138" s="88">
        <v>30.6</v>
      </c>
      <c r="AP138" s="6" t="str">
        <f t="shared" si="27"/>
        <v>Same</v>
      </c>
      <c r="AQ138" s="81">
        <f t="shared" si="28"/>
        <v>2172.6</v>
      </c>
      <c r="AR138" s="81">
        <f t="shared" si="29"/>
        <v>2172.6</v>
      </c>
      <c r="AS138" s="81">
        <f t="shared" si="32"/>
        <v>0</v>
      </c>
    </row>
    <row r="139" spans="1:45" hidden="1" x14ac:dyDescent="0.3">
      <c r="A139">
        <v>5091647</v>
      </c>
      <c r="B139" s="15" t="s">
        <v>5475</v>
      </c>
      <c r="C139" s="16" t="s">
        <v>30</v>
      </c>
      <c r="D139" s="6" t="s">
        <v>31</v>
      </c>
      <c r="E139" t="s">
        <v>180</v>
      </c>
      <c r="F139" t="s">
        <v>180</v>
      </c>
      <c r="H139" s="11" t="s">
        <v>27</v>
      </c>
      <c r="I139" s="6" t="s">
        <v>28</v>
      </c>
      <c r="J139" s="6" t="s">
        <v>28</v>
      </c>
      <c r="K139" t="s">
        <v>32</v>
      </c>
      <c r="L139" s="35">
        <v>19.41</v>
      </c>
      <c r="M139" s="6" t="s">
        <v>29</v>
      </c>
      <c r="N139" s="6">
        <v>3105</v>
      </c>
      <c r="P139" s="18"/>
      <c r="Q139" s="17"/>
      <c r="R139" s="19">
        <v>19.41</v>
      </c>
      <c r="S139" s="19">
        <v>19.41</v>
      </c>
      <c r="T139" s="38">
        <v>158</v>
      </c>
      <c r="U139" s="38"/>
      <c r="V139" s="29">
        <v>16.140499999999999</v>
      </c>
      <c r="W139" s="35">
        <v>19.41</v>
      </c>
      <c r="X139" s="32">
        <f t="shared" si="22"/>
        <v>2550.1990000000001</v>
      </c>
      <c r="Y139" s="32">
        <f t="shared" si="23"/>
        <v>3066.78</v>
      </c>
      <c r="Z139" s="32">
        <f t="shared" si="24"/>
        <v>-516.58100000000013</v>
      </c>
      <c r="AA139" s="38">
        <v>158</v>
      </c>
      <c r="AB139" s="37">
        <f>IFERROR(VLOOKUP(A139,'Tash Lookup'!A:E,3,FALSE),"")</f>
        <v>2996.51</v>
      </c>
      <c r="AC139" s="6">
        <f t="shared" si="25"/>
        <v>0</v>
      </c>
      <c r="AD139" s="2" t="s">
        <v>6703</v>
      </c>
      <c r="AF139" s="56">
        <v>15.92</v>
      </c>
      <c r="AG139" s="56">
        <f>VLOOKUP(A139,Sheet1!$A$2:$C$1140,3,FALSE)</f>
        <v>15.92</v>
      </c>
      <c r="AH139" s="58">
        <v>15.92</v>
      </c>
      <c r="AI139" s="56" t="str">
        <f t="shared" si="26"/>
        <v>Same</v>
      </c>
      <c r="AJ139" s="81">
        <f t="shared" si="30"/>
        <v>2515.36</v>
      </c>
      <c r="AK139" s="81">
        <f t="shared" si="31"/>
        <v>2515.36</v>
      </c>
      <c r="AL139" s="58" t="s">
        <v>32</v>
      </c>
      <c r="AM139" s="58" t="s">
        <v>6703</v>
      </c>
      <c r="AN139" s="75">
        <v>144</v>
      </c>
      <c r="AO139" s="88">
        <v>15.92</v>
      </c>
      <c r="AP139" s="6" t="str">
        <f t="shared" si="27"/>
        <v>Same</v>
      </c>
      <c r="AQ139" s="81">
        <f t="shared" si="28"/>
        <v>2292.48</v>
      </c>
      <c r="AR139" s="81">
        <f t="shared" si="29"/>
        <v>2292.48</v>
      </c>
      <c r="AS139" s="81">
        <f t="shared" si="32"/>
        <v>0</v>
      </c>
    </row>
    <row r="140" spans="1:45" hidden="1" x14ac:dyDescent="0.3">
      <c r="A140">
        <v>5220092</v>
      </c>
      <c r="B140" s="15" t="s">
        <v>5476</v>
      </c>
      <c r="C140" s="16" t="s">
        <v>30</v>
      </c>
      <c r="D140" s="6" t="s">
        <v>31</v>
      </c>
      <c r="E140" t="s">
        <v>121</v>
      </c>
      <c r="F140" t="s">
        <v>121</v>
      </c>
      <c r="H140" s="11" t="s">
        <v>27</v>
      </c>
      <c r="I140" s="6" t="s">
        <v>28</v>
      </c>
      <c r="J140" s="6" t="s">
        <v>28</v>
      </c>
      <c r="K140" t="s">
        <v>32</v>
      </c>
      <c r="L140" s="35">
        <v>19.62</v>
      </c>
      <c r="M140" s="6" t="s">
        <v>29</v>
      </c>
      <c r="N140" s="6">
        <v>3105</v>
      </c>
      <c r="P140" s="18"/>
      <c r="Q140" s="17"/>
      <c r="R140" s="19">
        <v>19.62</v>
      </c>
      <c r="S140" s="19">
        <v>19.62</v>
      </c>
      <c r="T140" s="38">
        <v>157</v>
      </c>
      <c r="U140" s="38"/>
      <c r="V140" s="29">
        <v>19.62</v>
      </c>
      <c r="W140" s="35">
        <v>19.62</v>
      </c>
      <c r="X140" s="32">
        <f t="shared" si="22"/>
        <v>3080.34</v>
      </c>
      <c r="Y140" s="32">
        <f t="shared" si="23"/>
        <v>3080.34</v>
      </c>
      <c r="Z140" s="32">
        <f t="shared" si="24"/>
        <v>0</v>
      </c>
      <c r="AA140" s="38">
        <v>157</v>
      </c>
      <c r="AB140" s="37">
        <f>IFERROR(VLOOKUP(A140,'Tash Lookup'!A:E,3,FALSE),"")</f>
        <v>2997.54</v>
      </c>
      <c r="AC140" s="6">
        <f t="shared" si="25"/>
        <v>0</v>
      </c>
      <c r="AD140" s="2" t="s">
        <v>6703</v>
      </c>
      <c r="AF140" s="56">
        <v>20.239999999999998</v>
      </c>
      <c r="AG140" s="56">
        <f>VLOOKUP(A140,Sheet1!$A$2:$C$1140,3,FALSE)</f>
        <v>20.239999999999998</v>
      </c>
      <c r="AH140" s="58">
        <v>20.239999999999998</v>
      </c>
      <c r="AI140" s="56" t="str">
        <f t="shared" si="26"/>
        <v>Same</v>
      </c>
      <c r="AJ140" s="81">
        <f t="shared" si="30"/>
        <v>3177.68</v>
      </c>
      <c r="AK140" s="81">
        <f t="shared" si="31"/>
        <v>3177.68</v>
      </c>
      <c r="AL140" s="58" t="s">
        <v>32</v>
      </c>
      <c r="AM140" s="58" t="s">
        <v>6703</v>
      </c>
      <c r="AN140" s="75">
        <v>159</v>
      </c>
      <c r="AO140" s="88">
        <v>20.239999999999998</v>
      </c>
      <c r="AP140" s="6" t="str">
        <f t="shared" si="27"/>
        <v>Same</v>
      </c>
      <c r="AQ140" s="81">
        <f t="shared" si="28"/>
        <v>3218.16</v>
      </c>
      <c r="AR140" s="81">
        <f t="shared" si="29"/>
        <v>3218.16</v>
      </c>
      <c r="AS140" s="81">
        <f t="shared" si="32"/>
        <v>0</v>
      </c>
    </row>
    <row r="141" spans="1:45" hidden="1" x14ac:dyDescent="0.3">
      <c r="A141">
        <v>6034080</v>
      </c>
      <c r="B141" s="15" t="s">
        <v>5477</v>
      </c>
      <c r="C141" s="16" t="s">
        <v>30</v>
      </c>
      <c r="D141" s="6" t="s">
        <v>31</v>
      </c>
      <c r="E141" t="s">
        <v>2992</v>
      </c>
      <c r="F141" t="s">
        <v>2992</v>
      </c>
      <c r="H141" s="11" t="s">
        <v>27</v>
      </c>
      <c r="I141" s="6" t="s">
        <v>28</v>
      </c>
      <c r="J141" s="6" t="s">
        <v>28</v>
      </c>
      <c r="K141" t="s">
        <v>32</v>
      </c>
      <c r="L141" s="35">
        <v>2.66</v>
      </c>
      <c r="M141" s="6" t="s">
        <v>29</v>
      </c>
      <c r="N141" s="6">
        <v>3105</v>
      </c>
      <c r="P141" s="18"/>
      <c r="Q141" s="17"/>
      <c r="R141" s="19">
        <v>5.51</v>
      </c>
      <c r="S141" s="19">
        <v>5.51</v>
      </c>
      <c r="T141" s="38">
        <v>157</v>
      </c>
      <c r="U141" s="38"/>
      <c r="V141" s="30">
        <v>2.66</v>
      </c>
      <c r="W141" s="35">
        <v>2.66</v>
      </c>
      <c r="X141" s="32">
        <f t="shared" si="22"/>
        <v>417.62</v>
      </c>
      <c r="Y141" s="32">
        <f t="shared" si="23"/>
        <v>417.62</v>
      </c>
      <c r="Z141" s="32">
        <f t="shared" si="24"/>
        <v>0</v>
      </c>
      <c r="AA141" s="38">
        <v>157</v>
      </c>
      <c r="AB141" s="37">
        <f>IFERROR(VLOOKUP(A141,'Tash Lookup'!A:E,3,FALSE),"")</f>
        <v>415.1</v>
      </c>
      <c r="AC141" s="6">
        <f t="shared" si="25"/>
        <v>0</v>
      </c>
      <c r="AD141" s="2" t="s">
        <v>6703</v>
      </c>
      <c r="AF141" s="56">
        <v>2.39</v>
      </c>
      <c r="AG141" s="56" t="e">
        <f>VLOOKUP(A141,Sheet1!$A$2:$C$1140,3,FALSE)</f>
        <v>#N/A</v>
      </c>
      <c r="AH141" s="58" t="e">
        <v>#N/A</v>
      </c>
      <c r="AI141" s="56" t="str">
        <f t="shared" si="26"/>
        <v>Delete</v>
      </c>
      <c r="AJ141" s="81">
        <f t="shared" si="30"/>
        <v>375.23</v>
      </c>
      <c r="AK141" s="81">
        <f t="shared" si="31"/>
        <v>0</v>
      </c>
      <c r="AL141" s="58" t="s">
        <v>7206</v>
      </c>
      <c r="AM141" s="58" t="s">
        <v>6708</v>
      </c>
      <c r="AN141" s="75">
        <v>37</v>
      </c>
      <c r="AO141" s="88">
        <v>2.39</v>
      </c>
      <c r="AP141" s="6" t="str">
        <f t="shared" si="27"/>
        <v>Same</v>
      </c>
      <c r="AQ141" s="81">
        <f t="shared" si="28"/>
        <v>88.43</v>
      </c>
      <c r="AR141" s="81">
        <f t="shared" si="29"/>
        <v>88.43</v>
      </c>
      <c r="AS141" s="81">
        <f t="shared" si="32"/>
        <v>0</v>
      </c>
    </row>
    <row r="142" spans="1:45" hidden="1" x14ac:dyDescent="0.3">
      <c r="A142">
        <v>5184007</v>
      </c>
      <c r="B142" s="15" t="s">
        <v>5478</v>
      </c>
      <c r="C142" s="16" t="s">
        <v>30</v>
      </c>
      <c r="D142" s="6" t="s">
        <v>31</v>
      </c>
      <c r="E142" t="s">
        <v>109</v>
      </c>
      <c r="F142" t="s">
        <v>109</v>
      </c>
      <c r="H142" s="11" t="s">
        <v>27</v>
      </c>
      <c r="I142" s="6" t="s">
        <v>28</v>
      </c>
      <c r="J142" s="6" t="s">
        <v>28</v>
      </c>
      <c r="K142" t="s">
        <v>32</v>
      </c>
      <c r="L142" s="35">
        <v>38.85</v>
      </c>
      <c r="M142" s="6" t="s">
        <v>29</v>
      </c>
      <c r="N142" s="6">
        <v>3105</v>
      </c>
      <c r="P142" s="18"/>
      <c r="Q142" s="17"/>
      <c r="R142" s="19">
        <v>38.85</v>
      </c>
      <c r="S142" s="19">
        <v>38.85</v>
      </c>
      <c r="T142" s="38">
        <v>156</v>
      </c>
      <c r="U142" s="38"/>
      <c r="V142" s="29">
        <v>38.85</v>
      </c>
      <c r="W142" s="35">
        <v>38.85</v>
      </c>
      <c r="X142" s="32">
        <f t="shared" si="22"/>
        <v>6060.6</v>
      </c>
      <c r="Y142" s="32">
        <f t="shared" si="23"/>
        <v>6060.6</v>
      </c>
      <c r="Z142" s="32">
        <f t="shared" si="24"/>
        <v>0</v>
      </c>
      <c r="AA142" s="38">
        <v>156</v>
      </c>
      <c r="AB142" s="37">
        <f>IFERROR(VLOOKUP(A142,'Tash Lookup'!A:E,3,FALSE),"")</f>
        <v>5971.96</v>
      </c>
      <c r="AC142" s="6">
        <f t="shared" si="25"/>
        <v>0</v>
      </c>
      <c r="AD142" s="2" t="s">
        <v>6703</v>
      </c>
      <c r="AF142" s="56">
        <v>38.42</v>
      </c>
      <c r="AG142" s="56">
        <f>VLOOKUP(A142,Sheet1!$A$2:$C$1140,3,FALSE)</f>
        <v>38.42</v>
      </c>
      <c r="AH142" s="58">
        <v>38.42</v>
      </c>
      <c r="AI142" s="56" t="str">
        <f t="shared" si="26"/>
        <v>Same</v>
      </c>
      <c r="AJ142" s="81">
        <f t="shared" si="30"/>
        <v>5993.52</v>
      </c>
      <c r="AK142" s="81">
        <f t="shared" si="31"/>
        <v>5993.52</v>
      </c>
      <c r="AL142" s="58" t="s">
        <v>32</v>
      </c>
      <c r="AM142" s="58" t="s">
        <v>6703</v>
      </c>
      <c r="AN142" s="75">
        <v>177</v>
      </c>
      <c r="AO142" s="88">
        <v>38.42</v>
      </c>
      <c r="AP142" s="6" t="str">
        <f t="shared" si="27"/>
        <v>Same</v>
      </c>
      <c r="AQ142" s="81">
        <f t="shared" si="28"/>
        <v>6800.34</v>
      </c>
      <c r="AR142" s="81">
        <f t="shared" si="29"/>
        <v>6800.34</v>
      </c>
      <c r="AS142" s="81">
        <f t="shared" si="32"/>
        <v>0</v>
      </c>
    </row>
    <row r="143" spans="1:45" hidden="1" x14ac:dyDescent="0.3">
      <c r="A143">
        <v>5219312</v>
      </c>
      <c r="B143" s="15" t="s">
        <v>5479</v>
      </c>
      <c r="C143" s="16" t="s">
        <v>30</v>
      </c>
      <c r="D143" s="6" t="s">
        <v>31</v>
      </c>
      <c r="E143" t="s">
        <v>82</v>
      </c>
      <c r="F143" t="s">
        <v>82</v>
      </c>
      <c r="H143" s="11" t="s">
        <v>27</v>
      </c>
      <c r="I143" s="6" t="s">
        <v>28</v>
      </c>
      <c r="J143" s="6" t="s">
        <v>28</v>
      </c>
      <c r="K143" t="s">
        <v>32</v>
      </c>
      <c r="L143" s="35">
        <v>16.88</v>
      </c>
      <c r="M143" s="6" t="s">
        <v>29</v>
      </c>
      <c r="N143" s="6">
        <v>3105</v>
      </c>
      <c r="P143" s="18"/>
      <c r="Q143" s="17"/>
      <c r="R143" s="19">
        <v>28.65</v>
      </c>
      <c r="S143" s="19">
        <v>28.65</v>
      </c>
      <c r="T143" s="38">
        <v>154</v>
      </c>
      <c r="U143" s="38"/>
      <c r="V143" s="29">
        <v>16.035999999999998</v>
      </c>
      <c r="W143" s="35">
        <v>16.88</v>
      </c>
      <c r="X143" s="32">
        <f t="shared" si="22"/>
        <v>2469.5439999999999</v>
      </c>
      <c r="Y143" s="32">
        <f t="shared" si="23"/>
        <v>2599.52</v>
      </c>
      <c r="Z143" s="32">
        <f t="shared" si="24"/>
        <v>-129.97600000000011</v>
      </c>
      <c r="AA143" s="38">
        <v>154</v>
      </c>
      <c r="AB143" s="37">
        <f>IFERROR(VLOOKUP(A143,'Tash Lookup'!A:E,3,FALSE),"")</f>
        <v>2866.36</v>
      </c>
      <c r="AC143" s="6">
        <f t="shared" si="25"/>
        <v>0</v>
      </c>
      <c r="AD143" s="2" t="s">
        <v>6703</v>
      </c>
      <c r="AF143" s="56">
        <v>17.04</v>
      </c>
      <c r="AG143" s="56">
        <f>VLOOKUP(A143,Sheet1!$A$2:$C$1140,3,FALSE)</f>
        <v>17.04</v>
      </c>
      <c r="AH143" s="58">
        <v>17.04</v>
      </c>
      <c r="AI143" s="56" t="str">
        <f t="shared" si="26"/>
        <v>Same</v>
      </c>
      <c r="AJ143" s="81">
        <f t="shared" si="30"/>
        <v>2624.16</v>
      </c>
      <c r="AK143" s="81">
        <f t="shared" si="31"/>
        <v>2624.16</v>
      </c>
      <c r="AL143" s="58" t="s">
        <v>32</v>
      </c>
      <c r="AM143" s="58" t="s">
        <v>6703</v>
      </c>
      <c r="AN143" s="75">
        <v>17</v>
      </c>
      <c r="AO143" s="88">
        <v>17.04</v>
      </c>
      <c r="AP143" s="6" t="str">
        <f t="shared" si="27"/>
        <v>Same</v>
      </c>
      <c r="AQ143" s="81">
        <f t="shared" si="28"/>
        <v>289.68</v>
      </c>
      <c r="AR143" s="81">
        <f t="shared" si="29"/>
        <v>289.68</v>
      </c>
      <c r="AS143" s="81">
        <f t="shared" si="32"/>
        <v>0</v>
      </c>
    </row>
    <row r="144" spans="1:45" hidden="1" x14ac:dyDescent="0.3">
      <c r="A144">
        <v>5219320</v>
      </c>
      <c r="B144" s="15" t="s">
        <v>5480</v>
      </c>
      <c r="C144" s="16" t="s">
        <v>30</v>
      </c>
      <c r="D144" s="6" t="s">
        <v>31</v>
      </c>
      <c r="E144" t="s">
        <v>260</v>
      </c>
      <c r="F144" t="s">
        <v>260</v>
      </c>
      <c r="H144" s="11" t="s">
        <v>27</v>
      </c>
      <c r="I144" s="6" t="s">
        <v>28</v>
      </c>
      <c r="J144" s="6" t="s">
        <v>28</v>
      </c>
      <c r="K144" t="s">
        <v>32</v>
      </c>
      <c r="L144" s="29">
        <v>24.34</v>
      </c>
      <c r="M144" s="6" t="s">
        <v>29</v>
      </c>
      <c r="N144" s="6">
        <v>3105</v>
      </c>
      <c r="P144" s="18"/>
      <c r="Q144" s="17"/>
      <c r="R144" s="19">
        <v>26.77</v>
      </c>
      <c r="S144" s="19">
        <v>26.77</v>
      </c>
      <c r="T144" s="38">
        <v>152</v>
      </c>
      <c r="U144" s="38"/>
      <c r="V144" s="29">
        <v>24.34</v>
      </c>
      <c r="W144" s="44">
        <v>17.71</v>
      </c>
      <c r="X144" s="32">
        <f t="shared" si="22"/>
        <v>3699.68</v>
      </c>
      <c r="Y144" s="32">
        <f t="shared" si="23"/>
        <v>3699.68</v>
      </c>
      <c r="Z144" s="32">
        <f t="shared" si="24"/>
        <v>0</v>
      </c>
      <c r="AA144" s="38">
        <v>152</v>
      </c>
      <c r="AB144" s="37">
        <f>IFERROR(VLOOKUP(A144,'Tash Lookup'!A:E,3,FALSE),"")</f>
        <v>3192.91</v>
      </c>
      <c r="AC144" s="6">
        <f t="shared" si="25"/>
        <v>0</v>
      </c>
      <c r="AD144" s="2" t="s">
        <v>6703</v>
      </c>
      <c r="AF144" s="56">
        <v>26.63</v>
      </c>
      <c r="AG144" s="56">
        <f>VLOOKUP(A144,Sheet1!$A$2:$C$1140,3,FALSE)</f>
        <v>27.43</v>
      </c>
      <c r="AH144" s="58">
        <v>27.43</v>
      </c>
      <c r="AI144" s="56" t="str">
        <f t="shared" si="26"/>
        <v>Increase</v>
      </c>
      <c r="AJ144" s="81">
        <f t="shared" si="30"/>
        <v>4047.7599999999998</v>
      </c>
      <c r="AK144" s="81">
        <f t="shared" si="31"/>
        <v>4169.3599999999997</v>
      </c>
      <c r="AL144" s="58" t="s">
        <v>32</v>
      </c>
      <c r="AM144" s="58" t="s">
        <v>6703</v>
      </c>
      <c r="AN144" s="75">
        <v>162</v>
      </c>
      <c r="AO144" s="88">
        <v>27.43</v>
      </c>
      <c r="AP144" s="6" t="str">
        <f t="shared" si="27"/>
        <v>Increase</v>
      </c>
      <c r="AQ144" s="81">
        <f t="shared" si="28"/>
        <v>4314.0599999999995</v>
      </c>
      <c r="AR144" s="81">
        <f t="shared" si="29"/>
        <v>4443.66</v>
      </c>
      <c r="AS144" s="82">
        <f t="shared" si="32"/>
        <v>129.60000000000036</v>
      </c>
    </row>
    <row r="145" spans="1:45" hidden="1" x14ac:dyDescent="0.3">
      <c r="A145">
        <v>5219311</v>
      </c>
      <c r="B145" s="15" t="s">
        <v>5481</v>
      </c>
      <c r="C145" s="16" t="s">
        <v>30</v>
      </c>
      <c r="D145" s="6" t="s">
        <v>31</v>
      </c>
      <c r="E145" t="s">
        <v>238</v>
      </c>
      <c r="F145" t="s">
        <v>238</v>
      </c>
      <c r="H145" s="11" t="s">
        <v>27</v>
      </c>
      <c r="I145" s="6" t="s">
        <v>28</v>
      </c>
      <c r="J145" s="6" t="s">
        <v>28</v>
      </c>
      <c r="K145" t="s">
        <v>32</v>
      </c>
      <c r="L145" s="29">
        <v>27.86</v>
      </c>
      <c r="M145" s="6" t="s">
        <v>29</v>
      </c>
      <c r="N145" s="6">
        <v>3105</v>
      </c>
      <c r="P145" s="18"/>
      <c r="Q145" s="17"/>
      <c r="R145" s="19">
        <v>27.86</v>
      </c>
      <c r="S145" s="19">
        <v>27.86</v>
      </c>
      <c r="T145" s="38">
        <v>151</v>
      </c>
      <c r="U145" s="38"/>
      <c r="V145" s="29">
        <v>27.86</v>
      </c>
      <c r="W145" s="44">
        <v>19.98</v>
      </c>
      <c r="X145" s="32">
        <f t="shared" si="22"/>
        <v>4206.8599999999997</v>
      </c>
      <c r="Y145" s="32">
        <f t="shared" si="23"/>
        <v>4206.8599999999997</v>
      </c>
      <c r="Z145" s="32">
        <f t="shared" si="24"/>
        <v>0</v>
      </c>
      <c r="AA145" s="38">
        <v>151</v>
      </c>
      <c r="AB145" s="37">
        <f>IFERROR(VLOOKUP(A145,'Tash Lookup'!A:E,3,FALSE),"")</f>
        <v>3405.66</v>
      </c>
      <c r="AC145" s="6">
        <f t="shared" si="25"/>
        <v>0</v>
      </c>
      <c r="AD145" s="2" t="s">
        <v>6703</v>
      </c>
      <c r="AF145" s="56">
        <v>25.8</v>
      </c>
      <c r="AG145" s="56">
        <f>VLOOKUP(A145,Sheet1!$A$2:$C$1140,3,FALSE)</f>
        <v>26.57</v>
      </c>
      <c r="AH145" s="58">
        <v>26.57</v>
      </c>
      <c r="AI145" s="56" t="str">
        <f t="shared" si="26"/>
        <v>Increase</v>
      </c>
      <c r="AJ145" s="81">
        <f t="shared" si="30"/>
        <v>3895.8</v>
      </c>
      <c r="AK145" s="81">
        <f t="shared" si="31"/>
        <v>4012.07</v>
      </c>
      <c r="AL145" s="58" t="s">
        <v>32</v>
      </c>
      <c r="AM145" s="58" t="s">
        <v>6703</v>
      </c>
      <c r="AN145" s="75">
        <v>52</v>
      </c>
      <c r="AO145" s="88">
        <v>26.57</v>
      </c>
      <c r="AP145" s="6" t="str">
        <f t="shared" si="27"/>
        <v>Increase</v>
      </c>
      <c r="AQ145" s="81">
        <f t="shared" si="28"/>
        <v>1341.6000000000001</v>
      </c>
      <c r="AR145" s="81">
        <f t="shared" si="29"/>
        <v>1381.64</v>
      </c>
      <c r="AS145" s="82">
        <f t="shared" si="32"/>
        <v>40.039999999999964</v>
      </c>
    </row>
    <row r="146" spans="1:45" hidden="1" x14ac:dyDescent="0.3">
      <c r="A146">
        <v>5220151</v>
      </c>
      <c r="B146" s="15" t="s">
        <v>5482</v>
      </c>
      <c r="C146" s="16" t="s">
        <v>30</v>
      </c>
      <c r="D146" s="6" t="s">
        <v>31</v>
      </c>
      <c r="E146" t="s">
        <v>133</v>
      </c>
      <c r="F146" t="s">
        <v>133</v>
      </c>
      <c r="H146" s="11" t="s">
        <v>27</v>
      </c>
      <c r="I146" s="6" t="s">
        <v>28</v>
      </c>
      <c r="J146" s="6" t="s">
        <v>28</v>
      </c>
      <c r="K146" t="s">
        <v>32</v>
      </c>
      <c r="L146" s="35">
        <v>17.75</v>
      </c>
      <c r="M146" s="6" t="s">
        <v>29</v>
      </c>
      <c r="N146" s="6">
        <v>3105</v>
      </c>
      <c r="P146" s="18"/>
      <c r="Q146" s="17"/>
      <c r="R146" s="19">
        <v>17.75</v>
      </c>
      <c r="S146" s="19">
        <v>17.75</v>
      </c>
      <c r="T146" s="38">
        <v>149</v>
      </c>
      <c r="U146" s="38"/>
      <c r="V146" s="29">
        <v>17.75</v>
      </c>
      <c r="W146" s="35">
        <v>17.75</v>
      </c>
      <c r="X146" s="32">
        <f t="shared" si="22"/>
        <v>2644.75</v>
      </c>
      <c r="Y146" s="32">
        <f t="shared" si="23"/>
        <v>2644.75</v>
      </c>
      <c r="Z146" s="32">
        <f t="shared" si="24"/>
        <v>0</v>
      </c>
      <c r="AA146" s="38">
        <v>149</v>
      </c>
      <c r="AB146" s="37">
        <f>IFERROR(VLOOKUP(A146,'Tash Lookup'!A:E,3,FALSE),"")</f>
        <v>2632.69</v>
      </c>
      <c r="AC146" s="6">
        <f t="shared" si="25"/>
        <v>0</v>
      </c>
      <c r="AD146" s="2" t="s">
        <v>6703</v>
      </c>
      <c r="AF146" s="56">
        <v>18.43</v>
      </c>
      <c r="AG146" s="56">
        <f>VLOOKUP(A146,Sheet1!$A$2:$C$1140,3,FALSE)</f>
        <v>18.43</v>
      </c>
      <c r="AH146" s="58">
        <v>18.43</v>
      </c>
      <c r="AI146" s="56" t="str">
        <f t="shared" si="26"/>
        <v>Same</v>
      </c>
      <c r="AJ146" s="81">
        <f t="shared" si="30"/>
        <v>2746.07</v>
      </c>
      <c r="AK146" s="81">
        <f t="shared" si="31"/>
        <v>2746.07</v>
      </c>
      <c r="AL146" s="58" t="s">
        <v>32</v>
      </c>
      <c r="AM146" s="58" t="s">
        <v>6703</v>
      </c>
      <c r="AN146" s="75">
        <v>113</v>
      </c>
      <c r="AO146" s="88">
        <v>18.43</v>
      </c>
      <c r="AP146" s="6" t="str">
        <f t="shared" si="27"/>
        <v>Same</v>
      </c>
      <c r="AQ146" s="81">
        <f t="shared" si="28"/>
        <v>2082.59</v>
      </c>
      <c r="AR146" s="81">
        <f t="shared" si="29"/>
        <v>2082.59</v>
      </c>
      <c r="AS146" s="81">
        <f t="shared" si="32"/>
        <v>0</v>
      </c>
    </row>
    <row r="147" spans="1:45" hidden="1" x14ac:dyDescent="0.3">
      <c r="A147">
        <v>6188759</v>
      </c>
      <c r="B147" s="15" t="s">
        <v>5483</v>
      </c>
      <c r="C147" s="16" t="s">
        <v>30</v>
      </c>
      <c r="D147" s="6" t="s">
        <v>31</v>
      </c>
      <c r="E147" t="s">
        <v>822</v>
      </c>
      <c r="F147" t="s">
        <v>822</v>
      </c>
      <c r="H147" s="11" t="s">
        <v>27</v>
      </c>
      <c r="I147" s="6" t="s">
        <v>28</v>
      </c>
      <c r="J147" s="6" t="s">
        <v>28</v>
      </c>
      <c r="K147" t="s">
        <v>32</v>
      </c>
      <c r="L147" s="35">
        <v>3.79</v>
      </c>
      <c r="M147" s="6" t="s">
        <v>29</v>
      </c>
      <c r="N147" s="6">
        <v>3105</v>
      </c>
      <c r="P147" s="18"/>
      <c r="Q147" s="17"/>
      <c r="R147" s="19">
        <v>3.79</v>
      </c>
      <c r="S147" s="19">
        <v>3.79</v>
      </c>
      <c r="T147" s="38">
        <v>147</v>
      </c>
      <c r="U147" s="38"/>
      <c r="V147" s="30">
        <v>3.79</v>
      </c>
      <c r="W147" s="35">
        <v>3.79</v>
      </c>
      <c r="X147" s="32">
        <f t="shared" si="22"/>
        <v>557.13</v>
      </c>
      <c r="Y147" s="32">
        <f t="shared" si="23"/>
        <v>557.13</v>
      </c>
      <c r="Z147" s="32">
        <f t="shared" si="24"/>
        <v>0</v>
      </c>
      <c r="AA147" s="38">
        <v>147</v>
      </c>
      <c r="AB147" s="37">
        <f>IFERROR(VLOOKUP(A147,'Tash Lookup'!A:E,3,FALSE),"")</f>
        <v>554.87</v>
      </c>
      <c r="AC147" s="6">
        <f t="shared" si="25"/>
        <v>0</v>
      </c>
      <c r="AD147" s="2" t="s">
        <v>6703</v>
      </c>
      <c r="AF147" s="56">
        <v>3.41</v>
      </c>
      <c r="AG147" s="56">
        <f>VLOOKUP(A147,Sheet1!$A$2:$C$1140,3,FALSE)</f>
        <v>3.48</v>
      </c>
      <c r="AH147" s="58">
        <v>3.48</v>
      </c>
      <c r="AI147" s="56" t="str">
        <f t="shared" si="26"/>
        <v>Increase</v>
      </c>
      <c r="AJ147" s="81">
        <f t="shared" si="30"/>
        <v>501.27000000000004</v>
      </c>
      <c r="AK147" s="81">
        <f t="shared" si="31"/>
        <v>511.56</v>
      </c>
      <c r="AL147" s="58" t="s">
        <v>7206</v>
      </c>
      <c r="AM147" s="58" t="s">
        <v>6703</v>
      </c>
      <c r="AN147" s="75">
        <v>104</v>
      </c>
      <c r="AO147" s="88">
        <v>3.48</v>
      </c>
      <c r="AP147" s="6" t="str">
        <f t="shared" si="27"/>
        <v>Increase</v>
      </c>
      <c r="AQ147" s="81">
        <f t="shared" si="28"/>
        <v>354.64</v>
      </c>
      <c r="AR147" s="81">
        <f t="shared" si="29"/>
        <v>361.92</v>
      </c>
      <c r="AS147" s="82">
        <f t="shared" si="32"/>
        <v>7.2800000000000296</v>
      </c>
    </row>
    <row r="148" spans="1:45" hidden="1" x14ac:dyDescent="0.3">
      <c r="A148">
        <v>6188831</v>
      </c>
      <c r="B148" s="15" t="s">
        <v>5484</v>
      </c>
      <c r="C148" s="16" t="s">
        <v>30</v>
      </c>
      <c r="D148" s="6" t="s">
        <v>31</v>
      </c>
      <c r="E148" t="s">
        <v>824</v>
      </c>
      <c r="F148" t="s">
        <v>824</v>
      </c>
      <c r="H148" s="11" t="s">
        <v>27</v>
      </c>
      <c r="I148" s="6" t="s">
        <v>28</v>
      </c>
      <c r="J148" s="6" t="s">
        <v>28</v>
      </c>
      <c r="K148" t="s">
        <v>32</v>
      </c>
      <c r="L148" s="35">
        <v>4.26</v>
      </c>
      <c r="M148" s="6" t="s">
        <v>29</v>
      </c>
      <c r="N148" s="6">
        <v>3105</v>
      </c>
      <c r="P148" s="18"/>
      <c r="Q148" s="17"/>
      <c r="R148" s="19">
        <v>4.26</v>
      </c>
      <c r="S148" s="19">
        <v>4.26</v>
      </c>
      <c r="T148" s="38">
        <v>146</v>
      </c>
      <c r="U148" s="38"/>
      <c r="V148" s="30">
        <v>4.26</v>
      </c>
      <c r="W148" s="35">
        <v>4.26</v>
      </c>
      <c r="X148" s="32">
        <f t="shared" si="22"/>
        <v>621.95999999999992</v>
      </c>
      <c r="Y148" s="32">
        <f t="shared" si="23"/>
        <v>621.95999999999992</v>
      </c>
      <c r="Z148" s="32">
        <f t="shared" si="24"/>
        <v>0</v>
      </c>
      <c r="AA148" s="38">
        <v>146</v>
      </c>
      <c r="AB148" s="37">
        <f>IFERROR(VLOOKUP(A148,'Tash Lookup'!A:E,3,FALSE),"")</f>
        <v>615.47</v>
      </c>
      <c r="AC148" s="6">
        <f t="shared" si="25"/>
        <v>0</v>
      </c>
      <c r="AD148" s="2" t="s">
        <v>6703</v>
      </c>
      <c r="AF148" s="56">
        <v>4.26</v>
      </c>
      <c r="AG148" s="56">
        <f>VLOOKUP(A148,Sheet1!$A$2:$C$1140,3,FALSE)</f>
        <v>4.3499999999999996</v>
      </c>
      <c r="AH148" s="58">
        <v>4.3499999999999996</v>
      </c>
      <c r="AI148" s="56" t="str">
        <f t="shared" si="26"/>
        <v>Increase</v>
      </c>
      <c r="AJ148" s="81">
        <f t="shared" si="30"/>
        <v>621.95999999999992</v>
      </c>
      <c r="AK148" s="81">
        <f t="shared" si="31"/>
        <v>635.09999999999991</v>
      </c>
      <c r="AL148" s="58" t="s">
        <v>7206</v>
      </c>
      <c r="AM148" s="58" t="s">
        <v>6703</v>
      </c>
      <c r="AN148" s="75">
        <v>37</v>
      </c>
      <c r="AO148" s="88">
        <v>4.3499999999999996</v>
      </c>
      <c r="AP148" s="6" t="str">
        <f t="shared" si="27"/>
        <v>Increase</v>
      </c>
      <c r="AQ148" s="81">
        <f t="shared" si="28"/>
        <v>157.62</v>
      </c>
      <c r="AR148" s="81">
        <f t="shared" si="29"/>
        <v>160.94999999999999</v>
      </c>
      <c r="AS148" s="82">
        <f t="shared" si="32"/>
        <v>3.3299999999999841</v>
      </c>
    </row>
    <row r="149" spans="1:45" hidden="1" x14ac:dyDescent="0.3">
      <c r="A149">
        <v>5110653</v>
      </c>
      <c r="B149" s="15" t="s">
        <v>5485</v>
      </c>
      <c r="C149" s="16" t="s">
        <v>30</v>
      </c>
      <c r="D149" s="6" t="s">
        <v>31</v>
      </c>
      <c r="E149" t="s">
        <v>619</v>
      </c>
      <c r="F149" t="s">
        <v>619</v>
      </c>
      <c r="H149" s="11" t="s">
        <v>27</v>
      </c>
      <c r="I149" s="6" t="s">
        <v>28</v>
      </c>
      <c r="J149" s="6" t="s">
        <v>28</v>
      </c>
      <c r="K149" t="s">
        <v>32</v>
      </c>
      <c r="L149" s="35">
        <v>61.05</v>
      </c>
      <c r="M149" s="6" t="s">
        <v>29</v>
      </c>
      <c r="N149" s="6">
        <v>3105</v>
      </c>
      <c r="P149" s="18"/>
      <c r="Q149" s="17"/>
      <c r="R149" s="19">
        <v>58</v>
      </c>
      <c r="S149" s="19">
        <v>0</v>
      </c>
      <c r="T149" s="38">
        <v>146</v>
      </c>
      <c r="U149" s="38"/>
      <c r="V149" s="29">
        <v>58</v>
      </c>
      <c r="W149" s="35">
        <v>61.05</v>
      </c>
      <c r="X149" s="32">
        <f t="shared" si="22"/>
        <v>8468</v>
      </c>
      <c r="Y149" s="32">
        <f t="shared" si="23"/>
        <v>8913.2999999999993</v>
      </c>
      <c r="Z149" s="32">
        <f t="shared" si="24"/>
        <v>-445.29999999999927</v>
      </c>
      <c r="AA149" s="38">
        <v>146</v>
      </c>
      <c r="AB149" s="37">
        <f>IFERROR(VLOOKUP(A149,'Tash Lookup'!A:E,3,FALSE),"")</f>
        <v>8577.4500000000007</v>
      </c>
      <c r="AC149" s="6">
        <f t="shared" si="25"/>
        <v>0</v>
      </c>
      <c r="AD149" s="2" t="s">
        <v>6703</v>
      </c>
      <c r="AF149" s="56">
        <v>68.13</v>
      </c>
      <c r="AG149" s="56">
        <f>VLOOKUP(A149,Sheet1!$A$2:$C$1140,3,FALSE)</f>
        <v>70.17</v>
      </c>
      <c r="AH149" s="58">
        <v>70.17</v>
      </c>
      <c r="AI149" s="56" t="str">
        <f t="shared" si="26"/>
        <v>Increase</v>
      </c>
      <c r="AJ149" s="81">
        <f t="shared" si="30"/>
        <v>9946.98</v>
      </c>
      <c r="AK149" s="81">
        <f t="shared" si="31"/>
        <v>10244.82</v>
      </c>
      <c r="AL149" s="58" t="s">
        <v>32</v>
      </c>
      <c r="AM149" s="58" t="s">
        <v>6703</v>
      </c>
      <c r="AN149" s="75">
        <v>95</v>
      </c>
      <c r="AO149" s="88">
        <v>70.17</v>
      </c>
      <c r="AP149" s="6" t="str">
        <f t="shared" si="27"/>
        <v>Increase</v>
      </c>
      <c r="AQ149" s="81">
        <f t="shared" si="28"/>
        <v>6472.3499999999995</v>
      </c>
      <c r="AR149" s="81">
        <f t="shared" si="29"/>
        <v>6666.1500000000005</v>
      </c>
      <c r="AS149" s="82">
        <f t="shared" si="32"/>
        <v>193.80000000000109</v>
      </c>
    </row>
    <row r="150" spans="1:45" hidden="1" x14ac:dyDescent="0.3">
      <c r="A150">
        <v>5218641</v>
      </c>
      <c r="B150" s="15" t="s">
        <v>5486</v>
      </c>
      <c r="C150" s="16" t="s">
        <v>30</v>
      </c>
      <c r="D150" s="6" t="s">
        <v>31</v>
      </c>
      <c r="E150" t="s">
        <v>262</v>
      </c>
      <c r="F150" t="s">
        <v>262</v>
      </c>
      <c r="H150" s="11" t="s">
        <v>27</v>
      </c>
      <c r="I150" s="6" t="s">
        <v>28</v>
      </c>
      <c r="J150" s="6" t="s">
        <v>28</v>
      </c>
      <c r="K150" t="s">
        <v>32</v>
      </c>
      <c r="L150" s="35">
        <v>16.61</v>
      </c>
      <c r="M150" s="6" t="s">
        <v>29</v>
      </c>
      <c r="N150" s="6">
        <v>3105</v>
      </c>
      <c r="P150" s="18"/>
      <c r="Q150" s="17"/>
      <c r="R150" s="19">
        <v>20.3</v>
      </c>
      <c r="S150" s="19">
        <v>20.3</v>
      </c>
      <c r="T150" s="38">
        <v>144</v>
      </c>
      <c r="U150" s="38"/>
      <c r="V150" s="29">
        <v>16.61</v>
      </c>
      <c r="W150" s="45">
        <v>12.23</v>
      </c>
      <c r="X150" s="32">
        <f t="shared" si="22"/>
        <v>2391.84</v>
      </c>
      <c r="Y150" s="32">
        <f t="shared" si="23"/>
        <v>2391.84</v>
      </c>
      <c r="Z150" s="32">
        <f t="shared" si="24"/>
        <v>0</v>
      </c>
      <c r="AA150" s="38">
        <v>144</v>
      </c>
      <c r="AB150" s="37">
        <f>IFERROR(VLOOKUP(A150,'Tash Lookup'!A:E,3,FALSE),"")</f>
        <v>2092.56</v>
      </c>
      <c r="AC150" s="6">
        <f t="shared" si="25"/>
        <v>0</v>
      </c>
      <c r="AD150" s="2" t="s">
        <v>6703</v>
      </c>
      <c r="AF150" s="56">
        <v>17.170000000000002</v>
      </c>
      <c r="AG150" s="56">
        <f>VLOOKUP(A150,Sheet1!$A$2:$C$1140,3,FALSE)</f>
        <v>17.690000000000001</v>
      </c>
      <c r="AH150" s="58">
        <v>17.690000000000001</v>
      </c>
      <c r="AI150" s="56" t="str">
        <f t="shared" si="26"/>
        <v>Increase</v>
      </c>
      <c r="AJ150" s="81">
        <f t="shared" si="30"/>
        <v>2472.4800000000005</v>
      </c>
      <c r="AK150" s="81">
        <f t="shared" si="31"/>
        <v>2547.36</v>
      </c>
      <c r="AL150" s="58" t="s">
        <v>32</v>
      </c>
      <c r="AM150" s="58" t="s">
        <v>6703</v>
      </c>
      <c r="AN150" s="75">
        <v>60</v>
      </c>
      <c r="AO150" s="88">
        <v>17.690000000000001</v>
      </c>
      <c r="AP150" s="6" t="str">
        <f t="shared" si="27"/>
        <v>Increase</v>
      </c>
      <c r="AQ150" s="81">
        <f t="shared" si="28"/>
        <v>1030.2</v>
      </c>
      <c r="AR150" s="81">
        <f t="shared" si="29"/>
        <v>1061.4000000000001</v>
      </c>
      <c r="AS150" s="82">
        <f t="shared" si="32"/>
        <v>31.200000000000045</v>
      </c>
    </row>
    <row r="151" spans="1:45" hidden="1" x14ac:dyDescent="0.3">
      <c r="A151">
        <v>5180262</v>
      </c>
      <c r="B151" s="15" t="s">
        <v>5487</v>
      </c>
      <c r="C151" s="16" t="s">
        <v>30</v>
      </c>
      <c r="D151" s="6" t="s">
        <v>31</v>
      </c>
      <c r="E151" t="s">
        <v>185</v>
      </c>
      <c r="F151" t="s">
        <v>185</v>
      </c>
      <c r="H151" s="11" t="s">
        <v>27</v>
      </c>
      <c r="I151" s="6" t="s">
        <v>28</v>
      </c>
      <c r="J151" s="6" t="s">
        <v>28</v>
      </c>
      <c r="K151" t="s">
        <v>32</v>
      </c>
      <c r="L151" s="35">
        <v>34.130000000000003</v>
      </c>
      <c r="M151" s="6" t="s">
        <v>29</v>
      </c>
      <c r="N151" s="6">
        <v>3105</v>
      </c>
      <c r="P151" s="18"/>
      <c r="Q151" s="17"/>
      <c r="R151" s="19">
        <v>34.130000000000003</v>
      </c>
      <c r="S151" s="19">
        <v>34.130000000000003</v>
      </c>
      <c r="T151" s="38">
        <v>143</v>
      </c>
      <c r="U151" s="38"/>
      <c r="V151" s="29">
        <v>34.130000000000003</v>
      </c>
      <c r="W151" s="35">
        <v>34.130000000000003</v>
      </c>
      <c r="X151" s="32">
        <f t="shared" si="22"/>
        <v>4880.59</v>
      </c>
      <c r="Y151" s="32">
        <f t="shared" si="23"/>
        <v>4880.59</v>
      </c>
      <c r="Z151" s="32">
        <f t="shared" si="24"/>
        <v>0</v>
      </c>
      <c r="AA151" s="38">
        <v>143</v>
      </c>
      <c r="AB151" s="37">
        <f>IFERROR(VLOOKUP(A151,'Tash Lookup'!A:E,3,FALSE),"")</f>
        <v>4821.3599999999997</v>
      </c>
      <c r="AC151" s="6">
        <f t="shared" si="25"/>
        <v>0</v>
      </c>
      <c r="AD151" s="2" t="s">
        <v>6703</v>
      </c>
      <c r="AF151" s="56">
        <v>35.33</v>
      </c>
      <c r="AG151" s="56">
        <f>VLOOKUP(A151,Sheet1!$A$2:$C$1140,3,FALSE)</f>
        <v>35.33</v>
      </c>
      <c r="AH151" s="58">
        <v>35.33</v>
      </c>
      <c r="AI151" s="56" t="str">
        <f t="shared" si="26"/>
        <v>Same</v>
      </c>
      <c r="AJ151" s="81">
        <f t="shared" si="30"/>
        <v>5052.1899999999996</v>
      </c>
      <c r="AK151" s="81">
        <f t="shared" si="31"/>
        <v>5052.1899999999996</v>
      </c>
      <c r="AL151" s="58" t="s">
        <v>32</v>
      </c>
      <c r="AM151" s="58" t="s">
        <v>6703</v>
      </c>
      <c r="AN151" s="75">
        <v>37</v>
      </c>
      <c r="AO151" s="88">
        <v>35.33</v>
      </c>
      <c r="AP151" s="6" t="str">
        <f t="shared" si="27"/>
        <v>Same</v>
      </c>
      <c r="AQ151" s="81">
        <f t="shared" si="28"/>
        <v>1307.21</v>
      </c>
      <c r="AR151" s="81">
        <f t="shared" si="29"/>
        <v>1307.21</v>
      </c>
      <c r="AS151" s="81">
        <f t="shared" si="32"/>
        <v>0</v>
      </c>
    </row>
    <row r="152" spans="1:45" hidden="1" x14ac:dyDescent="0.3">
      <c r="A152">
        <v>5090741</v>
      </c>
      <c r="B152" s="15" t="s">
        <v>5488</v>
      </c>
      <c r="C152" s="16" t="s">
        <v>30</v>
      </c>
      <c r="D152" s="6" t="s">
        <v>31</v>
      </c>
      <c r="E152" t="s">
        <v>201</v>
      </c>
      <c r="F152" t="s">
        <v>201</v>
      </c>
      <c r="H152" s="11" t="s">
        <v>27</v>
      </c>
      <c r="I152" s="6" t="s">
        <v>28</v>
      </c>
      <c r="J152" s="6" t="s">
        <v>28</v>
      </c>
      <c r="K152" t="s">
        <v>32</v>
      </c>
      <c r="L152" s="35">
        <v>56.31</v>
      </c>
      <c r="M152" s="6" t="s">
        <v>29</v>
      </c>
      <c r="N152" s="6">
        <v>3105</v>
      </c>
      <c r="P152" s="18"/>
      <c r="Q152" s="17"/>
      <c r="R152" s="19">
        <v>56.31</v>
      </c>
      <c r="S152" s="19">
        <v>56.31</v>
      </c>
      <c r="T152" s="38">
        <v>143</v>
      </c>
      <c r="U152" s="38"/>
      <c r="V152" s="29">
        <v>56.31</v>
      </c>
      <c r="W152" s="35">
        <v>56.31</v>
      </c>
      <c r="X152" s="32">
        <f t="shared" si="22"/>
        <v>8052.33</v>
      </c>
      <c r="Y152" s="32">
        <f t="shared" si="23"/>
        <v>8052.33</v>
      </c>
      <c r="Z152" s="32">
        <f t="shared" si="24"/>
        <v>0</v>
      </c>
      <c r="AA152" s="38">
        <v>143</v>
      </c>
      <c r="AB152" s="37">
        <f>IFERROR(VLOOKUP(A152,'Tash Lookup'!A:E,3,FALSE),"")</f>
        <v>8000.12</v>
      </c>
      <c r="AC152" s="6">
        <f t="shared" si="25"/>
        <v>0</v>
      </c>
      <c r="AD152" s="2" t="s">
        <v>6703</v>
      </c>
      <c r="AF152" s="56">
        <v>59.14</v>
      </c>
      <c r="AG152" s="56">
        <f>VLOOKUP(A152,Sheet1!$A$2:$C$1140,3,FALSE)</f>
        <v>59.14</v>
      </c>
      <c r="AH152" s="58">
        <v>59.14</v>
      </c>
      <c r="AI152" s="56" t="str">
        <f t="shared" si="26"/>
        <v>Same</v>
      </c>
      <c r="AJ152" s="81">
        <f t="shared" si="30"/>
        <v>8457.02</v>
      </c>
      <c r="AK152" s="81">
        <f t="shared" si="31"/>
        <v>8457.02</v>
      </c>
      <c r="AL152" s="58" t="s">
        <v>32</v>
      </c>
      <c r="AM152" s="58" t="s">
        <v>6703</v>
      </c>
      <c r="AN152" s="75">
        <v>200</v>
      </c>
      <c r="AO152" s="88">
        <v>59.14</v>
      </c>
      <c r="AP152" s="6" t="str">
        <f t="shared" si="27"/>
        <v>Same</v>
      </c>
      <c r="AQ152" s="81">
        <f t="shared" si="28"/>
        <v>11828</v>
      </c>
      <c r="AR152" s="81">
        <f t="shared" si="29"/>
        <v>11828</v>
      </c>
      <c r="AS152" s="81">
        <f t="shared" si="32"/>
        <v>0</v>
      </c>
    </row>
    <row r="153" spans="1:45" hidden="1" x14ac:dyDescent="0.3">
      <c r="A153">
        <v>6392301</v>
      </c>
      <c r="B153" s="15" t="s">
        <v>5489</v>
      </c>
      <c r="C153" s="16" t="s">
        <v>30</v>
      </c>
      <c r="D153" s="6" t="s">
        <v>31</v>
      </c>
      <c r="E153" t="s">
        <v>2545</v>
      </c>
      <c r="F153" t="s">
        <v>2545</v>
      </c>
      <c r="H153" s="11" t="s">
        <v>27</v>
      </c>
      <c r="I153" s="6" t="s">
        <v>28</v>
      </c>
      <c r="J153" s="6" t="s">
        <v>28</v>
      </c>
      <c r="K153" t="s">
        <v>32</v>
      </c>
      <c r="L153" s="35">
        <v>5.21</v>
      </c>
      <c r="M153" s="6" t="s">
        <v>29</v>
      </c>
      <c r="N153" s="6">
        <v>3105</v>
      </c>
      <c r="P153" s="18"/>
      <c r="Q153" s="17"/>
      <c r="R153" s="19">
        <v>5.21</v>
      </c>
      <c r="S153" s="19">
        <v>5.21</v>
      </c>
      <c r="T153" s="38">
        <v>142</v>
      </c>
      <c r="U153" s="38"/>
      <c r="V153" s="29">
        <v>5.21</v>
      </c>
      <c r="W153" s="35">
        <v>5.21</v>
      </c>
      <c r="X153" s="32">
        <f t="shared" si="22"/>
        <v>739.82</v>
      </c>
      <c r="Y153" s="32">
        <f t="shared" si="23"/>
        <v>739.82</v>
      </c>
      <c r="Z153" s="32">
        <f t="shared" si="24"/>
        <v>0</v>
      </c>
      <c r="AA153" s="38">
        <v>142</v>
      </c>
      <c r="AB153" s="37">
        <f>IFERROR(VLOOKUP(A153,'Tash Lookup'!A:E,3,FALSE),"")</f>
        <v>735.15</v>
      </c>
      <c r="AC153" s="6">
        <f t="shared" si="25"/>
        <v>0</v>
      </c>
      <c r="AD153" s="2" t="s">
        <v>6703</v>
      </c>
      <c r="AF153" s="56">
        <v>4.95</v>
      </c>
      <c r="AG153" s="56">
        <f>VLOOKUP(A153,Sheet1!$A$2:$C$1140,3,FALSE)</f>
        <v>5.05</v>
      </c>
      <c r="AH153" s="58">
        <v>5.05</v>
      </c>
      <c r="AI153" s="56" t="str">
        <f t="shared" si="26"/>
        <v>Increase</v>
      </c>
      <c r="AJ153" s="81">
        <f t="shared" si="30"/>
        <v>702.9</v>
      </c>
      <c r="AK153" s="81">
        <f t="shared" si="31"/>
        <v>717.1</v>
      </c>
      <c r="AL153" s="58" t="s">
        <v>7206</v>
      </c>
      <c r="AM153" s="58" t="s">
        <v>6703</v>
      </c>
      <c r="AN153" s="75">
        <v>131</v>
      </c>
      <c r="AO153" s="88">
        <v>5.05</v>
      </c>
      <c r="AP153" s="6" t="str">
        <f t="shared" si="27"/>
        <v>Increase</v>
      </c>
      <c r="AQ153" s="81">
        <f t="shared" si="28"/>
        <v>648.45000000000005</v>
      </c>
      <c r="AR153" s="81">
        <f t="shared" si="29"/>
        <v>661.55</v>
      </c>
      <c r="AS153" s="82">
        <f t="shared" si="32"/>
        <v>13.099999999999909</v>
      </c>
    </row>
    <row r="154" spans="1:45" hidden="1" x14ac:dyDescent="0.3">
      <c r="A154">
        <v>5095343</v>
      </c>
      <c r="B154" s="15" t="s">
        <v>5490</v>
      </c>
      <c r="C154" s="16" t="s">
        <v>30</v>
      </c>
      <c r="D154" s="6" t="s">
        <v>31</v>
      </c>
      <c r="E154" t="s">
        <v>779</v>
      </c>
      <c r="F154" t="s">
        <v>779</v>
      </c>
      <c r="H154" s="11" t="s">
        <v>27</v>
      </c>
      <c r="I154" s="6" t="s">
        <v>28</v>
      </c>
      <c r="J154" s="6" t="s">
        <v>28</v>
      </c>
      <c r="K154" t="s">
        <v>32</v>
      </c>
      <c r="L154" s="35">
        <v>16.96</v>
      </c>
      <c r="M154" s="6" t="s">
        <v>29</v>
      </c>
      <c r="N154" s="6">
        <v>3105</v>
      </c>
      <c r="P154" s="18"/>
      <c r="Q154" s="17"/>
      <c r="R154" s="19">
        <v>16.96</v>
      </c>
      <c r="S154" s="19">
        <v>16.96</v>
      </c>
      <c r="T154" s="38">
        <v>140</v>
      </c>
      <c r="U154" s="38"/>
      <c r="V154" s="30">
        <v>16.96</v>
      </c>
      <c r="W154" s="35">
        <v>16.96</v>
      </c>
      <c r="X154" s="32">
        <f t="shared" si="22"/>
        <v>2374.4</v>
      </c>
      <c r="Y154" s="32">
        <f t="shared" si="23"/>
        <v>2374.4</v>
      </c>
      <c r="Z154" s="32">
        <f t="shared" si="24"/>
        <v>0</v>
      </c>
      <c r="AA154" s="38">
        <v>140</v>
      </c>
      <c r="AB154" s="37">
        <f>IFERROR(VLOOKUP(A154,'Tash Lookup'!A:E,3,FALSE),"")</f>
        <v>2326.0700000000002</v>
      </c>
      <c r="AC154" s="6">
        <f t="shared" si="25"/>
        <v>0</v>
      </c>
      <c r="AD154" s="2" t="s">
        <v>6703</v>
      </c>
      <c r="AF154" s="56">
        <v>17.649999999999999</v>
      </c>
      <c r="AG154" s="56">
        <f>VLOOKUP(A154,Sheet1!$A$2:$C$1140,3,FALSE)</f>
        <v>17.649999999999999</v>
      </c>
      <c r="AH154" s="58">
        <v>17.649999999999999</v>
      </c>
      <c r="AI154" s="56" t="str">
        <f t="shared" si="26"/>
        <v>Same</v>
      </c>
      <c r="AJ154" s="81">
        <f t="shared" si="30"/>
        <v>2471</v>
      </c>
      <c r="AK154" s="81">
        <f t="shared" si="31"/>
        <v>2471</v>
      </c>
      <c r="AL154" s="58" t="s">
        <v>7206</v>
      </c>
      <c r="AM154" s="58" t="s">
        <v>6703</v>
      </c>
      <c r="AN154" s="75">
        <v>8</v>
      </c>
      <c r="AO154" s="88">
        <v>17.649999999999999</v>
      </c>
      <c r="AP154" s="6" t="str">
        <f t="shared" si="27"/>
        <v>Same</v>
      </c>
      <c r="AQ154" s="81">
        <f t="shared" si="28"/>
        <v>141.19999999999999</v>
      </c>
      <c r="AR154" s="81">
        <f t="shared" si="29"/>
        <v>141.19999999999999</v>
      </c>
      <c r="AS154" s="81">
        <f t="shared" si="32"/>
        <v>0</v>
      </c>
    </row>
    <row r="155" spans="1:45" hidden="1" x14ac:dyDescent="0.3">
      <c r="A155">
        <v>5326058</v>
      </c>
      <c r="B155" s="15" t="s">
        <v>5491</v>
      </c>
      <c r="C155" s="16" t="s">
        <v>30</v>
      </c>
      <c r="D155" s="6" t="s">
        <v>31</v>
      </c>
      <c r="E155" t="s">
        <v>106</v>
      </c>
      <c r="F155" s="42" t="s">
        <v>106</v>
      </c>
      <c r="H155" s="11" t="s">
        <v>27</v>
      </c>
      <c r="I155" s="6" t="s">
        <v>28</v>
      </c>
      <c r="J155" s="6" t="s">
        <v>28</v>
      </c>
      <c r="K155" t="s">
        <v>32</v>
      </c>
      <c r="L155" s="35">
        <v>61.8</v>
      </c>
      <c r="M155" s="6" t="s">
        <v>29</v>
      </c>
      <c r="N155" s="6">
        <v>3105</v>
      </c>
      <c r="P155" s="18"/>
      <c r="Q155" s="17"/>
      <c r="R155" s="19">
        <v>61.8</v>
      </c>
      <c r="S155" s="19">
        <v>61.8</v>
      </c>
      <c r="T155" s="38">
        <v>139</v>
      </c>
      <c r="U155" s="38"/>
      <c r="V155" s="29">
        <v>61.8</v>
      </c>
      <c r="W155" s="35">
        <v>61.8</v>
      </c>
      <c r="X155" s="32">
        <f t="shared" si="22"/>
        <v>8590.1999999999989</v>
      </c>
      <c r="Y155" s="32">
        <f t="shared" si="23"/>
        <v>8590.1999999999989</v>
      </c>
      <c r="Z155" s="32">
        <f t="shared" si="24"/>
        <v>0</v>
      </c>
      <c r="AA155" s="38">
        <v>139</v>
      </c>
      <c r="AB155" s="37">
        <f>IFERROR(VLOOKUP(A155,'Tash Lookup'!A:E,3,FALSE),"")</f>
        <v>8586.81</v>
      </c>
      <c r="AC155" s="6">
        <f t="shared" si="25"/>
        <v>0</v>
      </c>
      <c r="AD155" s="2" t="s">
        <v>6703</v>
      </c>
      <c r="AF155" s="56">
        <v>59.95</v>
      </c>
      <c r="AG155" s="56">
        <f>VLOOKUP(A155,Sheet1!$A$2:$C$1140,3,FALSE)</f>
        <v>59.95</v>
      </c>
      <c r="AH155" s="58">
        <v>59.95</v>
      </c>
      <c r="AI155" s="56" t="str">
        <f t="shared" si="26"/>
        <v>Same</v>
      </c>
      <c r="AJ155" s="81">
        <f t="shared" si="30"/>
        <v>8333.0500000000011</v>
      </c>
      <c r="AK155" s="81">
        <f t="shared" si="31"/>
        <v>8333.0500000000011</v>
      </c>
      <c r="AL155" s="58" t="s">
        <v>32</v>
      </c>
      <c r="AM155" s="58" t="s">
        <v>6703</v>
      </c>
      <c r="AN155" s="75">
        <v>203</v>
      </c>
      <c r="AO155" s="88">
        <v>59.95</v>
      </c>
      <c r="AP155" s="6" t="str">
        <f t="shared" si="27"/>
        <v>Same</v>
      </c>
      <c r="AQ155" s="81">
        <f t="shared" si="28"/>
        <v>12169.85</v>
      </c>
      <c r="AR155" s="81">
        <f t="shared" si="29"/>
        <v>12169.85</v>
      </c>
      <c r="AS155" s="81">
        <f t="shared" si="32"/>
        <v>0</v>
      </c>
    </row>
    <row r="156" spans="1:45" hidden="1" x14ac:dyDescent="0.3">
      <c r="A156">
        <v>5081997</v>
      </c>
      <c r="B156" s="15" t="s">
        <v>5492</v>
      </c>
      <c r="C156" s="16" t="s">
        <v>30</v>
      </c>
      <c r="D156" s="6" t="s">
        <v>31</v>
      </c>
      <c r="E156" t="s">
        <v>568</v>
      </c>
      <c r="F156" t="s">
        <v>568</v>
      </c>
      <c r="H156" s="11" t="s">
        <v>27</v>
      </c>
      <c r="I156" s="6" t="s">
        <v>28</v>
      </c>
      <c r="J156" s="6" t="s">
        <v>28</v>
      </c>
      <c r="K156" t="s">
        <v>32</v>
      </c>
      <c r="L156" s="35">
        <v>39.409999999999997</v>
      </c>
      <c r="M156" s="6" t="s">
        <v>29</v>
      </c>
      <c r="N156" s="6">
        <v>3105</v>
      </c>
      <c r="P156" s="18"/>
      <c r="Q156" s="17"/>
      <c r="R156" s="19">
        <v>39.409999999999997</v>
      </c>
      <c r="S156" s="19">
        <v>39.409999999999997</v>
      </c>
      <c r="T156" s="38">
        <v>138</v>
      </c>
      <c r="U156" s="38"/>
      <c r="V156" s="29">
        <v>37.439499999999995</v>
      </c>
      <c r="W156" s="35">
        <v>39.409999999999997</v>
      </c>
      <c r="X156" s="32">
        <f t="shared" si="22"/>
        <v>5166.6509999999989</v>
      </c>
      <c r="Y156" s="32">
        <f t="shared" si="23"/>
        <v>5438.58</v>
      </c>
      <c r="Z156" s="32">
        <f t="shared" si="24"/>
        <v>-271.929000000001</v>
      </c>
      <c r="AA156" s="38">
        <v>138</v>
      </c>
      <c r="AB156" s="37">
        <f>IFERROR(VLOOKUP(A156,'Tash Lookup'!A:E,3,FALSE),"")</f>
        <v>5670.81</v>
      </c>
      <c r="AC156" s="6">
        <f t="shared" si="25"/>
        <v>0</v>
      </c>
      <c r="AD156" s="2" t="s">
        <v>6703</v>
      </c>
      <c r="AF156" s="56">
        <v>35.979999999999997</v>
      </c>
      <c r="AG156" s="56">
        <f>VLOOKUP(A156,Sheet1!$A$2:$C$1140,3,FALSE)</f>
        <v>35.979999999999997</v>
      </c>
      <c r="AH156" s="58">
        <v>35.979999999999997</v>
      </c>
      <c r="AI156" s="56" t="str">
        <f t="shared" si="26"/>
        <v>Same</v>
      </c>
      <c r="AJ156" s="81">
        <f t="shared" si="30"/>
        <v>4965.24</v>
      </c>
      <c r="AK156" s="81">
        <f t="shared" si="31"/>
        <v>4965.24</v>
      </c>
      <c r="AL156" s="58" t="s">
        <v>32</v>
      </c>
      <c r="AM156" s="58" t="s">
        <v>6703</v>
      </c>
      <c r="AN156" s="75">
        <v>1</v>
      </c>
      <c r="AO156" s="88">
        <v>35.979999999999997</v>
      </c>
      <c r="AP156" s="6" t="str">
        <f t="shared" si="27"/>
        <v>Same</v>
      </c>
      <c r="AQ156" s="81">
        <f t="shared" si="28"/>
        <v>35.979999999999997</v>
      </c>
      <c r="AR156" s="81">
        <f t="shared" si="29"/>
        <v>35.979999999999997</v>
      </c>
      <c r="AS156" s="81">
        <f t="shared" si="32"/>
        <v>0</v>
      </c>
    </row>
    <row r="157" spans="1:45" hidden="1" x14ac:dyDescent="0.3">
      <c r="A157">
        <v>5090754</v>
      </c>
      <c r="B157" s="15" t="s">
        <v>5493</v>
      </c>
      <c r="C157" s="16" t="s">
        <v>30</v>
      </c>
      <c r="D157" s="6" t="s">
        <v>31</v>
      </c>
      <c r="E157" t="s">
        <v>476</v>
      </c>
      <c r="F157" t="s">
        <v>476</v>
      </c>
      <c r="H157" s="11" t="s">
        <v>27</v>
      </c>
      <c r="I157" s="6" t="s">
        <v>28</v>
      </c>
      <c r="J157" s="6" t="s">
        <v>28</v>
      </c>
      <c r="K157" t="s">
        <v>32</v>
      </c>
      <c r="L157" s="35">
        <v>44.6</v>
      </c>
      <c r="M157" s="6" t="s">
        <v>29</v>
      </c>
      <c r="N157" s="6">
        <v>3105</v>
      </c>
      <c r="P157" s="18"/>
      <c r="Q157" s="17"/>
      <c r="R157" s="19">
        <v>44.6</v>
      </c>
      <c r="S157" s="19">
        <v>44.6</v>
      </c>
      <c r="T157" s="38">
        <v>134</v>
      </c>
      <c r="U157" s="38"/>
      <c r="V157" s="29">
        <v>44.6</v>
      </c>
      <c r="W157" s="35">
        <v>44.6</v>
      </c>
      <c r="X157" s="32">
        <f t="shared" si="22"/>
        <v>5976.4000000000005</v>
      </c>
      <c r="Y157" s="32">
        <f t="shared" si="23"/>
        <v>5976.4000000000005</v>
      </c>
      <c r="Z157" s="32">
        <f t="shared" si="24"/>
        <v>0</v>
      </c>
      <c r="AA157" s="38">
        <v>134</v>
      </c>
      <c r="AB157" s="37">
        <f>IFERROR(VLOOKUP(A157,'Tash Lookup'!A:E,3,FALSE),"")</f>
        <v>5664.6399999999994</v>
      </c>
      <c r="AC157" s="6">
        <f t="shared" si="25"/>
        <v>0</v>
      </c>
      <c r="AD157" s="2" t="s">
        <v>6703</v>
      </c>
      <c r="AF157" s="56">
        <v>45.04</v>
      </c>
      <c r="AG157" s="56">
        <f>VLOOKUP(A157,Sheet1!$A$2:$C$1140,3,FALSE)</f>
        <v>46.39</v>
      </c>
      <c r="AH157" s="58">
        <v>46.39</v>
      </c>
      <c r="AI157" s="56" t="str">
        <f t="shared" si="26"/>
        <v>Increase</v>
      </c>
      <c r="AJ157" s="81">
        <f t="shared" si="30"/>
        <v>6035.36</v>
      </c>
      <c r="AK157" s="81">
        <f t="shared" si="31"/>
        <v>6216.26</v>
      </c>
      <c r="AL157" s="58" t="s">
        <v>32</v>
      </c>
      <c r="AM157" s="58" t="s">
        <v>6703</v>
      </c>
      <c r="AN157" s="75">
        <v>59</v>
      </c>
      <c r="AO157" s="88">
        <v>46.39</v>
      </c>
      <c r="AP157" s="6" t="str">
        <f t="shared" si="27"/>
        <v>Increase</v>
      </c>
      <c r="AQ157" s="81">
        <f t="shared" si="28"/>
        <v>2657.36</v>
      </c>
      <c r="AR157" s="81">
        <f t="shared" si="29"/>
        <v>2737.01</v>
      </c>
      <c r="AS157" s="82">
        <f t="shared" si="32"/>
        <v>79.650000000000091</v>
      </c>
    </row>
    <row r="158" spans="1:45" hidden="1" x14ac:dyDescent="0.3">
      <c r="A158">
        <v>5183328</v>
      </c>
      <c r="B158" s="15" t="s">
        <v>5494</v>
      </c>
      <c r="C158" s="16" t="s">
        <v>30</v>
      </c>
      <c r="D158" s="6" t="s">
        <v>31</v>
      </c>
      <c r="E158" t="s">
        <v>108</v>
      </c>
      <c r="F158" t="s">
        <v>108</v>
      </c>
      <c r="H158" s="11" t="s">
        <v>27</v>
      </c>
      <c r="I158" s="6" t="s">
        <v>28</v>
      </c>
      <c r="J158" s="6" t="s">
        <v>28</v>
      </c>
      <c r="K158" t="s">
        <v>32</v>
      </c>
      <c r="L158" s="35">
        <v>23.31</v>
      </c>
      <c r="M158" s="6" t="s">
        <v>29</v>
      </c>
      <c r="N158" s="6">
        <v>3105</v>
      </c>
      <c r="P158" s="18"/>
      <c r="Q158" s="17"/>
      <c r="R158" s="19">
        <v>23.31</v>
      </c>
      <c r="S158" s="19">
        <v>23.31</v>
      </c>
      <c r="T158" s="38">
        <v>132</v>
      </c>
      <c r="U158" s="38"/>
      <c r="V158" s="29">
        <v>23.31</v>
      </c>
      <c r="W158" s="35">
        <v>23.31</v>
      </c>
      <c r="X158" s="32">
        <f t="shared" si="22"/>
        <v>3076.9199999999996</v>
      </c>
      <c r="Y158" s="32">
        <f t="shared" si="23"/>
        <v>3076.9199999999996</v>
      </c>
      <c r="Z158" s="32">
        <f t="shared" si="24"/>
        <v>0</v>
      </c>
      <c r="AA158" s="38">
        <v>132</v>
      </c>
      <c r="AB158" s="37">
        <f>IFERROR(VLOOKUP(A158,'Tash Lookup'!A:E,3,FALSE),"")</f>
        <v>2994.78</v>
      </c>
      <c r="AC158" s="6">
        <f t="shared" si="25"/>
        <v>0</v>
      </c>
      <c r="AD158" s="2" t="s">
        <v>6703</v>
      </c>
      <c r="AF158" s="56">
        <v>23.16</v>
      </c>
      <c r="AG158" s="56">
        <f>VLOOKUP(A158,Sheet1!$A$2:$C$1140,3,FALSE)</f>
        <v>23.16</v>
      </c>
      <c r="AH158" s="58">
        <v>23.16</v>
      </c>
      <c r="AI158" s="56" t="str">
        <f t="shared" si="26"/>
        <v>Same</v>
      </c>
      <c r="AJ158" s="81">
        <f t="shared" si="30"/>
        <v>3057.12</v>
      </c>
      <c r="AK158" s="81">
        <f t="shared" si="31"/>
        <v>3057.12</v>
      </c>
      <c r="AL158" s="58" t="s">
        <v>32</v>
      </c>
      <c r="AM158" s="58" t="s">
        <v>6703</v>
      </c>
      <c r="AN158" s="75">
        <v>34</v>
      </c>
      <c r="AO158" s="88">
        <v>23.16</v>
      </c>
      <c r="AP158" s="6" t="str">
        <f t="shared" si="27"/>
        <v>Same</v>
      </c>
      <c r="AQ158" s="81">
        <f t="shared" si="28"/>
        <v>787.44</v>
      </c>
      <c r="AR158" s="81">
        <f t="shared" si="29"/>
        <v>787.44</v>
      </c>
      <c r="AS158" s="81">
        <f t="shared" si="32"/>
        <v>0</v>
      </c>
    </row>
    <row r="159" spans="1:45" hidden="1" x14ac:dyDescent="0.3">
      <c r="A159">
        <v>6107976</v>
      </c>
      <c r="B159" s="15" t="s">
        <v>5495</v>
      </c>
      <c r="C159" s="16" t="s">
        <v>30</v>
      </c>
      <c r="D159" s="6" t="s">
        <v>31</v>
      </c>
      <c r="E159" t="s">
        <v>1126</v>
      </c>
      <c r="F159" t="s">
        <v>1126</v>
      </c>
      <c r="H159" s="11" t="s">
        <v>27</v>
      </c>
      <c r="I159" s="6" t="s">
        <v>28</v>
      </c>
      <c r="J159" s="6" t="s">
        <v>28</v>
      </c>
      <c r="K159" t="s">
        <v>32</v>
      </c>
      <c r="L159" s="35">
        <v>6.36</v>
      </c>
      <c r="M159" s="6" t="s">
        <v>29</v>
      </c>
      <c r="N159" s="6">
        <v>3105</v>
      </c>
      <c r="P159" s="18"/>
      <c r="Q159" s="17"/>
      <c r="R159" s="19">
        <v>0</v>
      </c>
      <c r="S159" s="19">
        <v>0</v>
      </c>
      <c r="T159" s="38">
        <v>131</v>
      </c>
      <c r="U159" s="38"/>
      <c r="V159" s="31">
        <v>6.36</v>
      </c>
      <c r="W159" s="35">
        <v>6.36</v>
      </c>
      <c r="X159" s="32">
        <f t="shared" si="22"/>
        <v>833.16000000000008</v>
      </c>
      <c r="Y159" s="32">
        <f t="shared" si="23"/>
        <v>833.16000000000008</v>
      </c>
      <c r="Z159" s="32">
        <f t="shared" si="24"/>
        <v>0</v>
      </c>
      <c r="AA159" s="38">
        <v>131</v>
      </c>
      <c r="AB159" s="37">
        <f>IFERROR(VLOOKUP(A159,'Tash Lookup'!A:E,3,FALSE),"")</f>
        <v>828.34</v>
      </c>
      <c r="AC159" s="6">
        <f t="shared" si="25"/>
        <v>0</v>
      </c>
      <c r="AD159" s="2" t="s">
        <v>6703</v>
      </c>
      <c r="AF159" s="56">
        <v>6.36</v>
      </c>
      <c r="AG159" s="56">
        <f>VLOOKUP(A159,Sheet1!$A$2:$C$1140,3,FALSE)</f>
        <v>6.49</v>
      </c>
      <c r="AH159" s="58">
        <v>6.49</v>
      </c>
      <c r="AI159" s="56" t="str">
        <f t="shared" si="26"/>
        <v>Increase</v>
      </c>
      <c r="AJ159" s="81">
        <f t="shared" si="30"/>
        <v>833.16000000000008</v>
      </c>
      <c r="AK159" s="81">
        <f t="shared" si="31"/>
        <v>850.19</v>
      </c>
      <c r="AL159" s="58" t="s">
        <v>7206</v>
      </c>
      <c r="AM159" s="58" t="s">
        <v>6703</v>
      </c>
      <c r="AN159" s="75">
        <v>48</v>
      </c>
      <c r="AO159" s="88">
        <v>6.49</v>
      </c>
      <c r="AP159" s="6" t="str">
        <f t="shared" si="27"/>
        <v>Increase</v>
      </c>
      <c r="AQ159" s="81">
        <f t="shared" si="28"/>
        <v>305.28000000000003</v>
      </c>
      <c r="AR159" s="81">
        <f t="shared" si="29"/>
        <v>311.52</v>
      </c>
      <c r="AS159" s="82">
        <f t="shared" si="32"/>
        <v>6.2399999999999523</v>
      </c>
    </row>
    <row r="160" spans="1:45" hidden="1" x14ac:dyDescent="0.3">
      <c r="A160">
        <v>6196026</v>
      </c>
      <c r="B160" s="15" t="s">
        <v>5496</v>
      </c>
      <c r="C160" s="16" t="s">
        <v>30</v>
      </c>
      <c r="D160" s="6" t="s">
        <v>31</v>
      </c>
      <c r="E160" t="s">
        <v>673</v>
      </c>
      <c r="F160" t="s">
        <v>673</v>
      </c>
      <c r="H160" s="11" t="s">
        <v>27</v>
      </c>
      <c r="I160" s="6" t="s">
        <v>28</v>
      </c>
      <c r="J160" s="6" t="s">
        <v>28</v>
      </c>
      <c r="K160" t="s">
        <v>32</v>
      </c>
      <c r="L160" s="35">
        <v>8.1300000000000008</v>
      </c>
      <c r="M160" s="6" t="s">
        <v>29</v>
      </c>
      <c r="N160" s="6">
        <v>3105</v>
      </c>
      <c r="P160" s="18"/>
      <c r="Q160" s="17"/>
      <c r="R160" s="19">
        <v>8.1300000000000008</v>
      </c>
      <c r="S160" s="19">
        <v>8.1300000000000008</v>
      </c>
      <c r="T160" s="38">
        <v>131</v>
      </c>
      <c r="U160" s="38"/>
      <c r="V160" s="30">
        <v>8.1300000000000008</v>
      </c>
      <c r="W160" s="35">
        <v>8.1300000000000008</v>
      </c>
      <c r="X160" s="32">
        <f t="shared" si="22"/>
        <v>1065.0300000000002</v>
      </c>
      <c r="Y160" s="32">
        <f t="shared" si="23"/>
        <v>1065.0300000000002</v>
      </c>
      <c r="Z160" s="32">
        <f t="shared" si="24"/>
        <v>0</v>
      </c>
      <c r="AA160" s="38">
        <v>131</v>
      </c>
      <c r="AB160" s="37">
        <f>IFERROR(VLOOKUP(A160,'Tash Lookup'!A:E,3,FALSE),"")</f>
        <v>1064.1199999999999</v>
      </c>
      <c r="AC160" s="6">
        <f t="shared" si="25"/>
        <v>0</v>
      </c>
      <c r="AD160" s="2" t="s">
        <v>6703</v>
      </c>
      <c r="AF160" s="56">
        <v>8.1300000000000008</v>
      </c>
      <c r="AG160" s="56">
        <f>VLOOKUP(A160,Sheet1!$A$2:$C$1140,3,FALSE)</f>
        <v>8.2899999999999991</v>
      </c>
      <c r="AH160" s="58">
        <v>8.2899999999999991</v>
      </c>
      <c r="AI160" s="56" t="str">
        <f t="shared" si="26"/>
        <v>Increase</v>
      </c>
      <c r="AJ160" s="81">
        <f t="shared" si="30"/>
        <v>1065.0300000000002</v>
      </c>
      <c r="AK160" s="81">
        <f t="shared" si="31"/>
        <v>1085.9899999999998</v>
      </c>
      <c r="AL160" s="58" t="s">
        <v>7206</v>
      </c>
      <c r="AM160" s="58" t="s">
        <v>6703</v>
      </c>
      <c r="AN160" s="75">
        <v>43</v>
      </c>
      <c r="AO160" s="88">
        <v>8.2899999999999991</v>
      </c>
      <c r="AP160" s="6" t="str">
        <f t="shared" si="27"/>
        <v>Increase</v>
      </c>
      <c r="AQ160" s="81">
        <f t="shared" si="28"/>
        <v>349.59000000000003</v>
      </c>
      <c r="AR160" s="81">
        <f t="shared" si="29"/>
        <v>356.46999999999997</v>
      </c>
      <c r="AS160" s="82">
        <f t="shared" si="32"/>
        <v>6.8799999999999386</v>
      </c>
    </row>
    <row r="161" spans="1:45" hidden="1" x14ac:dyDescent="0.3">
      <c r="A161">
        <v>6189826</v>
      </c>
      <c r="B161" s="15" t="s">
        <v>5497</v>
      </c>
      <c r="C161" s="16" t="s">
        <v>30</v>
      </c>
      <c r="D161" s="6" t="s">
        <v>31</v>
      </c>
      <c r="E161" t="s">
        <v>782</v>
      </c>
      <c r="F161" t="s">
        <v>782</v>
      </c>
      <c r="H161" s="11" t="s">
        <v>27</v>
      </c>
      <c r="I161" s="6" t="s">
        <v>28</v>
      </c>
      <c r="J161" s="6" t="s">
        <v>28</v>
      </c>
      <c r="K161" t="s">
        <v>32</v>
      </c>
      <c r="L161" s="35">
        <v>6.05</v>
      </c>
      <c r="M161" s="6" t="s">
        <v>29</v>
      </c>
      <c r="N161" s="6">
        <v>3105</v>
      </c>
      <c r="P161" s="18"/>
      <c r="Q161" s="17"/>
      <c r="R161" s="19">
        <v>6.05</v>
      </c>
      <c r="S161" s="19">
        <v>6.05</v>
      </c>
      <c r="T161" s="38">
        <v>130</v>
      </c>
      <c r="U161" s="38"/>
      <c r="V161" s="30">
        <v>6.05</v>
      </c>
      <c r="W161" s="35">
        <v>6.05</v>
      </c>
      <c r="X161" s="32">
        <f t="shared" si="22"/>
        <v>786.5</v>
      </c>
      <c r="Y161" s="32">
        <f t="shared" si="23"/>
        <v>786.5</v>
      </c>
      <c r="Z161" s="32">
        <f t="shared" si="24"/>
        <v>0</v>
      </c>
      <c r="AA161" s="38">
        <v>130</v>
      </c>
      <c r="AB161" s="37">
        <f>IFERROR(VLOOKUP(A161,'Tash Lookup'!A:E,3,FALSE),"")</f>
        <v>739</v>
      </c>
      <c r="AC161" s="6">
        <f t="shared" si="25"/>
        <v>0</v>
      </c>
      <c r="AD161" s="2" t="s">
        <v>6708</v>
      </c>
      <c r="AF161" s="56">
        <v>6.05</v>
      </c>
      <c r="AG161" s="56">
        <f>VLOOKUP(A161,Sheet1!$A$2:$C$1140,3,FALSE)</f>
        <v>3.49</v>
      </c>
      <c r="AH161" s="58">
        <v>3.49</v>
      </c>
      <c r="AI161" s="56" t="str">
        <f t="shared" si="26"/>
        <v>Decrease</v>
      </c>
      <c r="AJ161" s="81">
        <f t="shared" si="30"/>
        <v>786.5</v>
      </c>
      <c r="AK161" s="81">
        <f t="shared" si="31"/>
        <v>453.70000000000005</v>
      </c>
      <c r="AL161" s="58" t="s">
        <v>7206</v>
      </c>
      <c r="AM161" s="58" t="s">
        <v>6708</v>
      </c>
      <c r="AN161" s="75">
        <v>4</v>
      </c>
      <c r="AO161" s="88">
        <v>3.49</v>
      </c>
      <c r="AP161" s="6" t="str">
        <f t="shared" si="27"/>
        <v>Decrease</v>
      </c>
      <c r="AQ161" s="81">
        <f t="shared" si="28"/>
        <v>24.2</v>
      </c>
      <c r="AR161" s="81">
        <f t="shared" si="29"/>
        <v>13.96</v>
      </c>
      <c r="AS161" s="83">
        <f t="shared" si="32"/>
        <v>-10.239999999999998</v>
      </c>
    </row>
    <row r="162" spans="1:45" hidden="1" x14ac:dyDescent="0.3">
      <c r="A162">
        <v>5220826</v>
      </c>
      <c r="B162" s="15" t="s">
        <v>5498</v>
      </c>
      <c r="C162" s="16" t="s">
        <v>30</v>
      </c>
      <c r="D162" s="6" t="s">
        <v>31</v>
      </c>
      <c r="E162" t="s">
        <v>150</v>
      </c>
      <c r="F162" t="s">
        <v>150</v>
      </c>
      <c r="H162" s="11" t="s">
        <v>27</v>
      </c>
      <c r="I162" s="6" t="s">
        <v>28</v>
      </c>
      <c r="J162" s="6" t="s">
        <v>28</v>
      </c>
      <c r="K162" t="s">
        <v>32</v>
      </c>
      <c r="L162" s="35">
        <v>36.520000000000003</v>
      </c>
      <c r="M162" s="6" t="s">
        <v>29</v>
      </c>
      <c r="N162" s="6">
        <v>3105</v>
      </c>
      <c r="P162" s="18"/>
      <c r="Q162" s="17"/>
      <c r="R162" s="19">
        <v>36.520000000000003</v>
      </c>
      <c r="S162" s="19">
        <v>36.520000000000003</v>
      </c>
      <c r="T162" s="38">
        <v>130</v>
      </c>
      <c r="U162" s="38"/>
      <c r="V162" s="29">
        <v>36.520000000000003</v>
      </c>
      <c r="W162" s="35">
        <v>36.520000000000003</v>
      </c>
      <c r="X162" s="32">
        <f t="shared" si="22"/>
        <v>4747.6000000000004</v>
      </c>
      <c r="Y162" s="32">
        <f t="shared" si="23"/>
        <v>4747.6000000000004</v>
      </c>
      <c r="Z162" s="32">
        <f t="shared" si="24"/>
        <v>0</v>
      </c>
      <c r="AA162" s="38">
        <v>130</v>
      </c>
      <c r="AB162" s="37">
        <f>IFERROR(VLOOKUP(A162,'Tash Lookup'!A:E,3,FALSE),"")</f>
        <v>4642</v>
      </c>
      <c r="AC162" s="6">
        <f t="shared" si="25"/>
        <v>0</v>
      </c>
      <c r="AD162" s="2" t="s">
        <v>6703</v>
      </c>
      <c r="AF162" s="56">
        <v>36.74</v>
      </c>
      <c r="AG162" s="56">
        <f>VLOOKUP(A162,Sheet1!$A$2:$C$1140,3,FALSE)</f>
        <v>36.74</v>
      </c>
      <c r="AH162" s="58">
        <v>36.74</v>
      </c>
      <c r="AI162" s="56" t="str">
        <f t="shared" si="26"/>
        <v>Same</v>
      </c>
      <c r="AJ162" s="81">
        <f t="shared" si="30"/>
        <v>4776.2</v>
      </c>
      <c r="AK162" s="81">
        <f t="shared" si="31"/>
        <v>4776.2</v>
      </c>
      <c r="AL162" s="58" t="s">
        <v>32</v>
      </c>
      <c r="AM162" s="58" t="s">
        <v>6703</v>
      </c>
      <c r="AN162" s="75">
        <v>70</v>
      </c>
      <c r="AO162" s="88">
        <v>36.74</v>
      </c>
      <c r="AP162" s="6" t="str">
        <f t="shared" si="27"/>
        <v>Same</v>
      </c>
      <c r="AQ162" s="81">
        <f t="shared" si="28"/>
        <v>2571.8000000000002</v>
      </c>
      <c r="AR162" s="81">
        <f t="shared" si="29"/>
        <v>2571.8000000000002</v>
      </c>
      <c r="AS162" s="81">
        <f t="shared" si="32"/>
        <v>0</v>
      </c>
    </row>
    <row r="163" spans="1:45" hidden="1" x14ac:dyDescent="0.3">
      <c r="A163">
        <v>5090810</v>
      </c>
      <c r="B163" s="15" t="s">
        <v>5499</v>
      </c>
      <c r="C163" s="16" t="s">
        <v>30</v>
      </c>
      <c r="D163" s="6" t="s">
        <v>31</v>
      </c>
      <c r="E163" t="s">
        <v>460</v>
      </c>
      <c r="F163" t="s">
        <v>460</v>
      </c>
      <c r="H163" s="11" t="s">
        <v>27</v>
      </c>
      <c r="I163" s="6" t="s">
        <v>28</v>
      </c>
      <c r="J163" s="6" t="s">
        <v>28</v>
      </c>
      <c r="K163" t="s">
        <v>32</v>
      </c>
      <c r="L163" s="35">
        <v>2.99</v>
      </c>
      <c r="M163" s="6" t="s">
        <v>29</v>
      </c>
      <c r="N163" s="6">
        <v>3105</v>
      </c>
      <c r="P163" s="18"/>
      <c r="Q163" s="17"/>
      <c r="R163" s="19">
        <v>2.99</v>
      </c>
      <c r="S163" s="19">
        <v>2.99</v>
      </c>
      <c r="T163" s="38">
        <v>130</v>
      </c>
      <c r="U163" s="38"/>
      <c r="V163" s="29">
        <v>2.8405</v>
      </c>
      <c r="W163" s="35">
        <v>2.99</v>
      </c>
      <c r="X163" s="32">
        <f t="shared" si="22"/>
        <v>369.26499999999999</v>
      </c>
      <c r="Y163" s="32">
        <f t="shared" si="23"/>
        <v>388.70000000000005</v>
      </c>
      <c r="Z163" s="32">
        <f t="shared" si="24"/>
        <v>-19.435000000000059</v>
      </c>
      <c r="AA163" s="38">
        <v>130</v>
      </c>
      <c r="AB163" s="37">
        <f>IFERROR(VLOOKUP(A163,'Tash Lookup'!A:E,3,FALSE),"")</f>
        <v>472.65999999999997</v>
      </c>
      <c r="AC163" s="6">
        <f t="shared" si="25"/>
        <v>0</v>
      </c>
      <c r="AD163" s="2" t="s">
        <v>6703</v>
      </c>
      <c r="AF163" s="56">
        <v>2.91</v>
      </c>
      <c r="AG163" s="56">
        <f>VLOOKUP(A163,Sheet1!$A$2:$C$1140,3,FALSE)</f>
        <v>3</v>
      </c>
      <c r="AH163" s="58">
        <v>3</v>
      </c>
      <c r="AI163" s="56" t="str">
        <f t="shared" si="26"/>
        <v>Increase</v>
      </c>
      <c r="AJ163" s="81">
        <f t="shared" si="30"/>
        <v>378.3</v>
      </c>
      <c r="AK163" s="81">
        <f t="shared" si="31"/>
        <v>390</v>
      </c>
      <c r="AL163" s="58" t="s">
        <v>32</v>
      </c>
      <c r="AM163" s="58" t="s">
        <v>6703</v>
      </c>
      <c r="AN163" s="75">
        <v>79</v>
      </c>
      <c r="AO163" s="88">
        <v>3</v>
      </c>
      <c r="AP163" s="6" t="str">
        <f t="shared" si="27"/>
        <v>Increase</v>
      </c>
      <c r="AQ163" s="81">
        <f t="shared" si="28"/>
        <v>229.89000000000001</v>
      </c>
      <c r="AR163" s="81">
        <f t="shared" si="29"/>
        <v>237</v>
      </c>
      <c r="AS163" s="82">
        <f t="shared" si="32"/>
        <v>7.1099999999999852</v>
      </c>
    </row>
    <row r="164" spans="1:45" hidden="1" x14ac:dyDescent="0.3">
      <c r="A164">
        <v>5092528</v>
      </c>
      <c r="B164" s="15" t="s">
        <v>5500</v>
      </c>
      <c r="C164" s="16" t="s">
        <v>30</v>
      </c>
      <c r="D164" s="6" t="s">
        <v>31</v>
      </c>
      <c r="E164" t="s">
        <v>419</v>
      </c>
      <c r="F164" t="s">
        <v>419</v>
      </c>
      <c r="H164" s="11" t="s">
        <v>27</v>
      </c>
      <c r="I164" s="6" t="s">
        <v>28</v>
      </c>
      <c r="J164" s="6" t="s">
        <v>28</v>
      </c>
      <c r="K164" t="s">
        <v>32</v>
      </c>
      <c r="L164" s="35">
        <v>8.68</v>
      </c>
      <c r="M164" s="6" t="s">
        <v>29</v>
      </c>
      <c r="N164" s="6">
        <v>3105</v>
      </c>
      <c r="P164" s="18"/>
      <c r="Q164" s="17"/>
      <c r="R164" s="19">
        <v>7.81</v>
      </c>
      <c r="S164" s="19">
        <v>0</v>
      </c>
      <c r="T164" s="38">
        <v>129</v>
      </c>
      <c r="U164" s="38"/>
      <c r="V164" s="29">
        <v>8.68</v>
      </c>
      <c r="W164" s="35">
        <v>8.68</v>
      </c>
      <c r="X164" s="32">
        <f t="shared" si="22"/>
        <v>1119.72</v>
      </c>
      <c r="Y164" s="32">
        <f t="shared" si="23"/>
        <v>1119.72</v>
      </c>
      <c r="Z164" s="32">
        <f t="shared" si="24"/>
        <v>0</v>
      </c>
      <c r="AA164" s="38">
        <v>129</v>
      </c>
      <c r="AB164" s="37">
        <f>IFERROR(VLOOKUP(A164,'Tash Lookup'!A:E,3,FALSE),"")</f>
        <v>1180.68</v>
      </c>
      <c r="AC164" s="6">
        <f t="shared" si="25"/>
        <v>0</v>
      </c>
      <c r="AD164" s="2" t="s">
        <v>6703</v>
      </c>
      <c r="AF164" s="56">
        <v>9.34</v>
      </c>
      <c r="AG164" s="56">
        <f>VLOOKUP(A164,Sheet1!$A$2:$C$1140,3,FALSE)</f>
        <v>9.6199999999999992</v>
      </c>
      <c r="AH164" s="58">
        <v>9.6199999999999992</v>
      </c>
      <c r="AI164" s="56" t="str">
        <f t="shared" si="26"/>
        <v>Increase</v>
      </c>
      <c r="AJ164" s="81">
        <f t="shared" si="30"/>
        <v>1204.8599999999999</v>
      </c>
      <c r="AK164" s="81">
        <f t="shared" si="31"/>
        <v>1240.9799999999998</v>
      </c>
      <c r="AL164" s="58" t="s">
        <v>32</v>
      </c>
      <c r="AM164" s="58" t="s">
        <v>6703</v>
      </c>
      <c r="AN164" s="75">
        <v>24</v>
      </c>
      <c r="AO164" s="88">
        <v>9.6199999999999992</v>
      </c>
      <c r="AP164" s="6" t="str">
        <f t="shared" si="27"/>
        <v>Increase</v>
      </c>
      <c r="AQ164" s="81">
        <f t="shared" si="28"/>
        <v>224.16</v>
      </c>
      <c r="AR164" s="81">
        <f t="shared" si="29"/>
        <v>230.88</v>
      </c>
      <c r="AS164" s="82">
        <f t="shared" si="32"/>
        <v>6.7199999999999989</v>
      </c>
    </row>
    <row r="165" spans="1:45" hidden="1" x14ac:dyDescent="0.3">
      <c r="A165">
        <v>6183947</v>
      </c>
      <c r="B165" s="15" t="s">
        <v>5501</v>
      </c>
      <c r="C165" s="16" t="s">
        <v>30</v>
      </c>
      <c r="D165" s="6" t="s">
        <v>31</v>
      </c>
      <c r="E165" t="s">
        <v>798</v>
      </c>
      <c r="F165" t="s">
        <v>798</v>
      </c>
      <c r="H165" s="11" t="s">
        <v>27</v>
      </c>
      <c r="I165" s="6" t="s">
        <v>28</v>
      </c>
      <c r="J165" s="6" t="s">
        <v>28</v>
      </c>
      <c r="K165" t="s">
        <v>32</v>
      </c>
      <c r="L165" s="35">
        <v>20.71</v>
      </c>
      <c r="M165" s="6" t="s">
        <v>29</v>
      </c>
      <c r="N165" s="6">
        <v>3105</v>
      </c>
      <c r="P165" s="18"/>
      <c r="Q165" s="17"/>
      <c r="R165" s="19">
        <v>20.71</v>
      </c>
      <c r="S165" s="19">
        <v>20.71</v>
      </c>
      <c r="T165" s="38">
        <v>129</v>
      </c>
      <c r="U165" s="38"/>
      <c r="V165" s="30">
        <v>20.71</v>
      </c>
      <c r="W165" s="35">
        <v>20.71</v>
      </c>
      <c r="X165" s="32">
        <f t="shared" si="22"/>
        <v>2671.59</v>
      </c>
      <c r="Y165" s="32">
        <f t="shared" si="23"/>
        <v>2671.59</v>
      </c>
      <c r="Z165" s="32">
        <f t="shared" si="24"/>
        <v>0</v>
      </c>
      <c r="AA165" s="38">
        <v>129</v>
      </c>
      <c r="AB165" s="37">
        <f>IFERROR(VLOOKUP(A165,'Tash Lookup'!A:E,3,FALSE),"")</f>
        <v>2640.59</v>
      </c>
      <c r="AC165" s="6">
        <f t="shared" si="25"/>
        <v>0</v>
      </c>
      <c r="AD165" s="2" t="s">
        <v>6703</v>
      </c>
      <c r="AF165" s="56">
        <v>20.71</v>
      </c>
      <c r="AG165" s="56">
        <f>VLOOKUP(A165,Sheet1!$A$2:$C$1140,3,FALSE)</f>
        <v>21.12</v>
      </c>
      <c r="AH165" s="58">
        <v>21.12</v>
      </c>
      <c r="AI165" s="56" t="str">
        <f t="shared" si="26"/>
        <v>Increase</v>
      </c>
      <c r="AJ165" s="81">
        <f t="shared" si="30"/>
        <v>2671.59</v>
      </c>
      <c r="AK165" s="81">
        <f t="shared" si="31"/>
        <v>2724.48</v>
      </c>
      <c r="AL165" s="58" t="s">
        <v>7206</v>
      </c>
      <c r="AM165" s="58" t="s">
        <v>6703</v>
      </c>
      <c r="AN165" s="75">
        <v>86</v>
      </c>
      <c r="AO165" s="88">
        <v>21.12</v>
      </c>
      <c r="AP165" s="6" t="str">
        <f t="shared" si="27"/>
        <v>Increase</v>
      </c>
      <c r="AQ165" s="81">
        <f t="shared" si="28"/>
        <v>1781.0600000000002</v>
      </c>
      <c r="AR165" s="81">
        <f t="shared" si="29"/>
        <v>1816.3200000000002</v>
      </c>
      <c r="AS165" s="82">
        <f t="shared" si="32"/>
        <v>35.259999999999991</v>
      </c>
    </row>
    <row r="166" spans="1:45" hidden="1" x14ac:dyDescent="0.3">
      <c r="A166">
        <v>5220396</v>
      </c>
      <c r="B166" s="15" t="s">
        <v>5502</v>
      </c>
      <c r="C166" s="16" t="s">
        <v>30</v>
      </c>
      <c r="D166" s="6" t="s">
        <v>31</v>
      </c>
      <c r="E166" t="s">
        <v>124</v>
      </c>
      <c r="F166" t="s">
        <v>124</v>
      </c>
      <c r="H166" s="11" t="s">
        <v>27</v>
      </c>
      <c r="I166" s="6" t="s">
        <v>28</v>
      </c>
      <c r="J166" s="6" t="s">
        <v>28</v>
      </c>
      <c r="K166" t="s">
        <v>32</v>
      </c>
      <c r="L166" s="35">
        <v>27.98</v>
      </c>
      <c r="M166" s="6" t="s">
        <v>29</v>
      </c>
      <c r="N166" s="6">
        <v>3105</v>
      </c>
      <c r="P166" s="18"/>
      <c r="Q166" s="17"/>
      <c r="R166" s="19">
        <v>27.98</v>
      </c>
      <c r="S166" s="19">
        <v>27.98</v>
      </c>
      <c r="T166" s="38">
        <v>128</v>
      </c>
      <c r="U166" s="38"/>
      <c r="V166" s="29">
        <v>27.98</v>
      </c>
      <c r="W166" s="35">
        <v>27.98</v>
      </c>
      <c r="X166" s="32">
        <f t="shared" si="22"/>
        <v>3581.44</v>
      </c>
      <c r="Y166" s="32">
        <f t="shared" si="23"/>
        <v>3581.44</v>
      </c>
      <c r="Z166" s="32">
        <f t="shared" si="24"/>
        <v>0</v>
      </c>
      <c r="AA166" s="38">
        <v>128</v>
      </c>
      <c r="AB166" s="37">
        <f>IFERROR(VLOOKUP(A166,'Tash Lookup'!A:E,3,FALSE),"")</f>
        <v>3491.62</v>
      </c>
      <c r="AC166" s="6">
        <f t="shared" si="25"/>
        <v>0</v>
      </c>
      <c r="AD166" s="2" t="s">
        <v>6703</v>
      </c>
      <c r="AF166" s="56">
        <v>29.21</v>
      </c>
      <c r="AG166" s="56">
        <f>VLOOKUP(A166,Sheet1!$A$2:$C$1140,3,FALSE)</f>
        <v>29.21</v>
      </c>
      <c r="AH166" s="58">
        <v>29.21</v>
      </c>
      <c r="AI166" s="56" t="str">
        <f t="shared" si="26"/>
        <v>Same</v>
      </c>
      <c r="AJ166" s="81">
        <f t="shared" si="30"/>
        <v>3738.88</v>
      </c>
      <c r="AK166" s="81">
        <f t="shared" si="31"/>
        <v>3738.88</v>
      </c>
      <c r="AL166" s="58" t="s">
        <v>32</v>
      </c>
      <c r="AM166" s="58" t="s">
        <v>6703</v>
      </c>
      <c r="AN166" s="75">
        <v>197</v>
      </c>
      <c r="AO166" s="88">
        <v>29.21</v>
      </c>
      <c r="AP166" s="6" t="str">
        <f t="shared" si="27"/>
        <v>Same</v>
      </c>
      <c r="AQ166" s="81">
        <f t="shared" si="28"/>
        <v>5754.37</v>
      </c>
      <c r="AR166" s="81">
        <f t="shared" si="29"/>
        <v>5754.37</v>
      </c>
      <c r="AS166" s="81">
        <f t="shared" si="32"/>
        <v>0</v>
      </c>
    </row>
    <row r="167" spans="1:45" hidden="1" x14ac:dyDescent="0.3">
      <c r="A167">
        <v>6107289</v>
      </c>
      <c r="B167" s="15" t="s">
        <v>5503</v>
      </c>
      <c r="C167" s="16" t="s">
        <v>30</v>
      </c>
      <c r="D167" s="6" t="s">
        <v>31</v>
      </c>
      <c r="E167" t="s">
        <v>956</v>
      </c>
      <c r="F167" t="s">
        <v>956</v>
      </c>
      <c r="H167" s="11" t="s">
        <v>27</v>
      </c>
      <c r="I167" s="6" t="s">
        <v>28</v>
      </c>
      <c r="J167" s="6" t="s">
        <v>28</v>
      </c>
      <c r="K167" t="s">
        <v>32</v>
      </c>
      <c r="L167" s="35">
        <v>19.52</v>
      </c>
      <c r="M167" s="6" t="s">
        <v>29</v>
      </c>
      <c r="N167" s="6">
        <v>3105</v>
      </c>
      <c r="P167" s="18"/>
      <c r="Q167" s="17"/>
      <c r="R167" s="19">
        <v>0</v>
      </c>
      <c r="S167" s="19">
        <v>0</v>
      </c>
      <c r="T167" s="38">
        <v>124</v>
      </c>
      <c r="U167" s="38"/>
      <c r="V167" s="29">
        <v>19.52</v>
      </c>
      <c r="W167" s="35">
        <v>19.52</v>
      </c>
      <c r="X167" s="32">
        <f t="shared" si="22"/>
        <v>2420.48</v>
      </c>
      <c r="Y167" s="32">
        <f t="shared" si="23"/>
        <v>2420.48</v>
      </c>
      <c r="Z167" s="32">
        <f t="shared" si="24"/>
        <v>0</v>
      </c>
      <c r="AA167" s="38">
        <v>124</v>
      </c>
      <c r="AB167" s="37">
        <f>IFERROR(VLOOKUP(A167,'Tash Lookup'!A:E,3,FALSE),"")</f>
        <v>2420.29</v>
      </c>
      <c r="AC167" s="6">
        <f t="shared" si="25"/>
        <v>0</v>
      </c>
      <c r="AD167" s="2" t="s">
        <v>6703</v>
      </c>
      <c r="AF167" s="56">
        <v>19.52</v>
      </c>
      <c r="AG167" s="56">
        <f>VLOOKUP(A167,Sheet1!$A$2:$C$1140,3,FALSE)</f>
        <v>19.52</v>
      </c>
      <c r="AH167" s="58">
        <v>19.52</v>
      </c>
      <c r="AI167" s="56" t="str">
        <f t="shared" si="26"/>
        <v>Same</v>
      </c>
      <c r="AJ167" s="81">
        <f t="shared" si="30"/>
        <v>2420.48</v>
      </c>
      <c r="AK167" s="81">
        <f t="shared" si="31"/>
        <v>2420.48</v>
      </c>
      <c r="AL167" s="58" t="s">
        <v>7206</v>
      </c>
      <c r="AM167" s="58" t="s">
        <v>6703</v>
      </c>
      <c r="AN167" s="75">
        <v>77</v>
      </c>
      <c r="AO167" s="88">
        <v>19.52</v>
      </c>
      <c r="AP167" s="6" t="str">
        <f t="shared" si="27"/>
        <v>Same</v>
      </c>
      <c r="AQ167" s="81">
        <f t="shared" si="28"/>
        <v>1503.04</v>
      </c>
      <c r="AR167" s="81">
        <f t="shared" si="29"/>
        <v>1503.04</v>
      </c>
      <c r="AS167" s="81">
        <f t="shared" si="32"/>
        <v>0</v>
      </c>
    </row>
    <row r="168" spans="1:45" hidden="1" x14ac:dyDescent="0.3">
      <c r="A168">
        <v>5090750</v>
      </c>
      <c r="B168" s="15" t="s">
        <v>5504</v>
      </c>
      <c r="C168" s="16" t="s">
        <v>30</v>
      </c>
      <c r="D168" s="6" t="s">
        <v>31</v>
      </c>
      <c r="E168" t="s">
        <v>63</v>
      </c>
      <c r="F168" t="s">
        <v>63</v>
      </c>
      <c r="H168" s="11" t="s">
        <v>27</v>
      </c>
      <c r="I168" s="6" t="s">
        <v>28</v>
      </c>
      <c r="J168" s="6" t="s">
        <v>28</v>
      </c>
      <c r="K168" t="s">
        <v>32</v>
      </c>
      <c r="L168" s="35">
        <v>19.05</v>
      </c>
      <c r="M168" s="6" t="s">
        <v>29</v>
      </c>
      <c r="N168" s="6">
        <v>3105</v>
      </c>
      <c r="P168" s="18"/>
      <c r="Q168" s="17"/>
      <c r="R168" s="19">
        <v>19.05</v>
      </c>
      <c r="S168" s="19">
        <v>19.05</v>
      </c>
      <c r="T168" s="38">
        <v>123</v>
      </c>
      <c r="U168" s="38"/>
      <c r="V168" s="29">
        <v>16.91</v>
      </c>
      <c r="W168" s="35">
        <v>19.05</v>
      </c>
      <c r="X168" s="32">
        <f t="shared" si="22"/>
        <v>2079.9299999999998</v>
      </c>
      <c r="Y168" s="32">
        <f t="shared" si="23"/>
        <v>2343.15</v>
      </c>
      <c r="Z168" s="32">
        <f t="shared" si="24"/>
        <v>-263.22000000000025</v>
      </c>
      <c r="AA168" s="38">
        <v>123</v>
      </c>
      <c r="AB168" s="37">
        <f>IFERROR(VLOOKUP(A168,'Tash Lookup'!A:E,3,FALSE),"")</f>
        <v>2320.64</v>
      </c>
      <c r="AC168" s="6">
        <f t="shared" si="25"/>
        <v>0</v>
      </c>
      <c r="AD168" s="2" t="s">
        <v>6703</v>
      </c>
      <c r="AF168" s="56">
        <v>18.47</v>
      </c>
      <c r="AG168" s="56">
        <f>VLOOKUP(A168,Sheet1!$A$2:$C$1140,3,FALSE)</f>
        <v>18.47</v>
      </c>
      <c r="AH168" s="58">
        <v>18.47</v>
      </c>
      <c r="AI168" s="56" t="str">
        <f t="shared" si="26"/>
        <v>Same</v>
      </c>
      <c r="AJ168" s="81">
        <f t="shared" si="30"/>
        <v>2271.81</v>
      </c>
      <c r="AK168" s="81">
        <f t="shared" si="31"/>
        <v>2271.81</v>
      </c>
      <c r="AL168" s="58" t="s">
        <v>32</v>
      </c>
      <c r="AM168" s="58" t="s">
        <v>6703</v>
      </c>
      <c r="AN168" s="75">
        <v>132</v>
      </c>
      <c r="AO168" s="88">
        <v>18.47</v>
      </c>
      <c r="AP168" s="6" t="str">
        <f t="shared" si="27"/>
        <v>Same</v>
      </c>
      <c r="AQ168" s="81">
        <f t="shared" si="28"/>
        <v>2438.04</v>
      </c>
      <c r="AR168" s="81">
        <f t="shared" si="29"/>
        <v>2438.04</v>
      </c>
      <c r="AS168" s="81">
        <f t="shared" si="32"/>
        <v>0</v>
      </c>
    </row>
    <row r="169" spans="1:45" hidden="1" x14ac:dyDescent="0.3">
      <c r="A169">
        <v>5183436</v>
      </c>
      <c r="B169" s="15" t="s">
        <v>5505</v>
      </c>
      <c r="C169" s="16" t="s">
        <v>30</v>
      </c>
      <c r="D169" s="6" t="s">
        <v>31</v>
      </c>
      <c r="E169" t="s">
        <v>502</v>
      </c>
      <c r="F169" t="s">
        <v>502</v>
      </c>
      <c r="H169" s="11" t="s">
        <v>27</v>
      </c>
      <c r="I169" s="6" t="s">
        <v>28</v>
      </c>
      <c r="J169" s="6" t="s">
        <v>28</v>
      </c>
      <c r="K169" t="s">
        <v>32</v>
      </c>
      <c r="L169" s="35">
        <v>63.18</v>
      </c>
      <c r="M169" s="6" t="s">
        <v>29</v>
      </c>
      <c r="N169" s="6">
        <v>3105</v>
      </c>
      <c r="P169" s="18"/>
      <c r="Q169" s="17"/>
      <c r="R169" s="19">
        <v>63.18</v>
      </c>
      <c r="S169" s="19">
        <v>63.18</v>
      </c>
      <c r="T169" s="38">
        <v>122</v>
      </c>
      <c r="U169" s="38"/>
      <c r="V169" s="29">
        <v>63.18</v>
      </c>
      <c r="W169" s="35">
        <v>63.18</v>
      </c>
      <c r="X169" s="32">
        <f t="shared" si="22"/>
        <v>7707.96</v>
      </c>
      <c r="Y169" s="32">
        <f t="shared" si="23"/>
        <v>7707.96</v>
      </c>
      <c r="Z169" s="32">
        <f t="shared" si="24"/>
        <v>0</v>
      </c>
      <c r="AA169" s="38">
        <v>122</v>
      </c>
      <c r="AB169" s="37">
        <f>IFERROR(VLOOKUP(A169,'Tash Lookup'!A:E,3,FALSE),"")</f>
        <v>7529.13</v>
      </c>
      <c r="AC169" s="6">
        <f t="shared" si="25"/>
        <v>0</v>
      </c>
      <c r="AD169" s="2" t="s">
        <v>6703</v>
      </c>
      <c r="AF169" s="56">
        <v>66.78</v>
      </c>
      <c r="AG169" s="56">
        <f>VLOOKUP(A169,Sheet1!$A$2:$C$1140,3,FALSE)</f>
        <v>68.78</v>
      </c>
      <c r="AH169" s="58">
        <v>68.78</v>
      </c>
      <c r="AI169" s="56" t="str">
        <f t="shared" si="26"/>
        <v>Increase</v>
      </c>
      <c r="AJ169" s="81">
        <f t="shared" si="30"/>
        <v>8147.16</v>
      </c>
      <c r="AK169" s="81">
        <f t="shared" si="31"/>
        <v>8391.16</v>
      </c>
      <c r="AL169" s="58" t="s">
        <v>32</v>
      </c>
      <c r="AM169" s="58" t="s">
        <v>6703</v>
      </c>
      <c r="AN169" s="75">
        <v>81</v>
      </c>
      <c r="AO169" s="88">
        <v>68.78</v>
      </c>
      <c r="AP169" s="6" t="str">
        <f t="shared" si="27"/>
        <v>Increase</v>
      </c>
      <c r="AQ169" s="81">
        <f t="shared" si="28"/>
        <v>5409.18</v>
      </c>
      <c r="AR169" s="81">
        <f t="shared" si="29"/>
        <v>5571.18</v>
      </c>
      <c r="AS169" s="82">
        <f t="shared" si="32"/>
        <v>162</v>
      </c>
    </row>
    <row r="170" spans="1:45" hidden="1" x14ac:dyDescent="0.3">
      <c r="A170">
        <v>5222326</v>
      </c>
      <c r="B170" s="15" t="s">
        <v>5506</v>
      </c>
      <c r="C170" s="16" t="s">
        <v>30</v>
      </c>
      <c r="D170" s="6" t="s">
        <v>31</v>
      </c>
      <c r="E170" t="s">
        <v>645</v>
      </c>
      <c r="F170" t="s">
        <v>645</v>
      </c>
      <c r="H170" s="11" t="s">
        <v>27</v>
      </c>
      <c r="I170" s="6" t="s">
        <v>28</v>
      </c>
      <c r="J170" s="6" t="s">
        <v>28</v>
      </c>
      <c r="K170" t="s">
        <v>32</v>
      </c>
      <c r="L170" s="35">
        <v>42.42</v>
      </c>
      <c r="M170" s="6" t="s">
        <v>29</v>
      </c>
      <c r="N170" s="6">
        <v>3105</v>
      </c>
      <c r="P170" s="18"/>
      <c r="Q170" s="17"/>
      <c r="R170" s="19">
        <v>42.42</v>
      </c>
      <c r="S170" s="19">
        <v>42.42</v>
      </c>
      <c r="T170" s="38">
        <v>122</v>
      </c>
      <c r="U170" s="38"/>
      <c r="V170" s="30">
        <v>42.42</v>
      </c>
      <c r="W170" s="35">
        <v>42.42</v>
      </c>
      <c r="X170" s="32">
        <f t="shared" si="22"/>
        <v>5175.24</v>
      </c>
      <c r="Y170" s="32">
        <f t="shared" si="23"/>
        <v>5175.24</v>
      </c>
      <c r="Z170" s="32">
        <f t="shared" si="24"/>
        <v>0</v>
      </c>
      <c r="AA170" s="38">
        <v>122</v>
      </c>
      <c r="AB170" s="37">
        <f>IFERROR(VLOOKUP(A170,'Tash Lookup'!A:E,3,FALSE),"")</f>
        <v>5127.66</v>
      </c>
      <c r="AC170" s="6">
        <f t="shared" si="25"/>
        <v>0</v>
      </c>
      <c r="AD170" s="2" t="s">
        <v>6703</v>
      </c>
      <c r="AF170" s="56">
        <v>44.12</v>
      </c>
      <c r="AG170" s="56">
        <f>VLOOKUP(A170,Sheet1!$A$2:$C$1140,3,FALSE)</f>
        <v>44.12</v>
      </c>
      <c r="AH170" s="58">
        <v>44.12</v>
      </c>
      <c r="AI170" s="56" t="str">
        <f t="shared" si="26"/>
        <v>Same</v>
      </c>
      <c r="AJ170" s="81">
        <f t="shared" si="30"/>
        <v>5382.6399999999994</v>
      </c>
      <c r="AK170" s="81">
        <f t="shared" si="31"/>
        <v>5382.6399999999994</v>
      </c>
      <c r="AL170" s="58" t="s">
        <v>7206</v>
      </c>
      <c r="AM170" s="58" t="s">
        <v>6703</v>
      </c>
      <c r="AN170" s="75">
        <v>70</v>
      </c>
      <c r="AO170" s="88">
        <v>44.12</v>
      </c>
      <c r="AP170" s="6" t="str">
        <f t="shared" si="27"/>
        <v>Same</v>
      </c>
      <c r="AQ170" s="81">
        <f t="shared" si="28"/>
        <v>3088.3999999999996</v>
      </c>
      <c r="AR170" s="81">
        <f t="shared" si="29"/>
        <v>3088.3999999999996</v>
      </c>
      <c r="AS170" s="81">
        <f t="shared" si="32"/>
        <v>0</v>
      </c>
    </row>
    <row r="171" spans="1:45" hidden="1" x14ac:dyDescent="0.3">
      <c r="A171">
        <v>6183855</v>
      </c>
      <c r="B171" s="15" t="s">
        <v>5507</v>
      </c>
      <c r="C171" s="16" t="s">
        <v>30</v>
      </c>
      <c r="D171" s="6" t="s">
        <v>31</v>
      </c>
      <c r="E171" t="s">
        <v>819</v>
      </c>
      <c r="F171" t="s">
        <v>819</v>
      </c>
      <c r="H171" s="11" t="s">
        <v>27</v>
      </c>
      <c r="I171" s="6" t="s">
        <v>28</v>
      </c>
      <c r="J171" s="6" t="s">
        <v>28</v>
      </c>
      <c r="K171" t="s">
        <v>32</v>
      </c>
      <c r="L171" s="35">
        <v>12.43</v>
      </c>
      <c r="M171" s="6" t="s">
        <v>29</v>
      </c>
      <c r="N171" s="6">
        <v>3105</v>
      </c>
      <c r="P171" s="18"/>
      <c r="Q171" s="17"/>
      <c r="R171" s="19">
        <v>12.43</v>
      </c>
      <c r="S171" s="19">
        <v>12.43</v>
      </c>
      <c r="T171" s="38">
        <v>122</v>
      </c>
      <c r="U171" s="38"/>
      <c r="V171" s="30">
        <v>12.43</v>
      </c>
      <c r="W171" s="35">
        <v>12.43</v>
      </c>
      <c r="X171" s="32">
        <f t="shared" si="22"/>
        <v>1516.46</v>
      </c>
      <c r="Y171" s="32">
        <f t="shared" si="23"/>
        <v>1516.46</v>
      </c>
      <c r="Z171" s="32">
        <f t="shared" si="24"/>
        <v>0</v>
      </c>
      <c r="AA171" s="38">
        <v>122</v>
      </c>
      <c r="AB171" s="37">
        <f>IFERROR(VLOOKUP(A171,'Tash Lookup'!A:E,3,FALSE),"")</f>
        <v>1511.78</v>
      </c>
      <c r="AC171" s="6">
        <f t="shared" si="25"/>
        <v>0</v>
      </c>
      <c r="AD171" s="2" t="s">
        <v>6708</v>
      </c>
      <c r="AF171" s="56">
        <v>12.43</v>
      </c>
      <c r="AG171" s="56" t="e">
        <f>VLOOKUP(A171,Sheet1!$A$2:$C$1140,3,FALSE)</f>
        <v>#N/A</v>
      </c>
      <c r="AH171" s="58" t="e">
        <v>#N/A</v>
      </c>
      <c r="AI171" s="56" t="str">
        <f t="shared" si="26"/>
        <v>Delete</v>
      </c>
      <c r="AJ171" s="81">
        <f t="shared" si="30"/>
        <v>1516.46</v>
      </c>
      <c r="AK171" s="81">
        <f t="shared" si="31"/>
        <v>0</v>
      </c>
      <c r="AL171" s="58" t="s">
        <v>7206</v>
      </c>
      <c r="AM171" s="58" t="s">
        <v>6708</v>
      </c>
      <c r="AN171" s="75">
        <v>29</v>
      </c>
      <c r="AO171" s="88">
        <v>12.43</v>
      </c>
      <c r="AP171" s="6" t="str">
        <f t="shared" si="27"/>
        <v>Same</v>
      </c>
      <c r="AQ171" s="81">
        <f t="shared" si="28"/>
        <v>360.46999999999997</v>
      </c>
      <c r="AR171" s="81">
        <f t="shared" si="29"/>
        <v>360.46999999999997</v>
      </c>
      <c r="AS171" s="81">
        <f t="shared" si="32"/>
        <v>0</v>
      </c>
    </row>
    <row r="172" spans="1:45" hidden="1" x14ac:dyDescent="0.3">
      <c r="A172">
        <v>6107271</v>
      </c>
      <c r="B172" s="15" t="s">
        <v>5508</v>
      </c>
      <c r="C172" s="16" t="s">
        <v>30</v>
      </c>
      <c r="D172" s="6" t="s">
        <v>31</v>
      </c>
      <c r="E172" t="s">
        <v>953</v>
      </c>
      <c r="F172" t="s">
        <v>953</v>
      </c>
      <c r="H172" s="11" t="s">
        <v>27</v>
      </c>
      <c r="I172" s="6" t="s">
        <v>28</v>
      </c>
      <c r="J172" s="6" t="s">
        <v>28</v>
      </c>
      <c r="K172" t="s">
        <v>32</v>
      </c>
      <c r="L172" s="35">
        <v>19.18</v>
      </c>
      <c r="M172" s="6" t="s">
        <v>29</v>
      </c>
      <c r="N172" s="6">
        <v>3105</v>
      </c>
      <c r="P172" s="18"/>
      <c r="Q172" s="17"/>
      <c r="R172" s="19">
        <v>19.18</v>
      </c>
      <c r="S172" s="19">
        <v>19.18</v>
      </c>
      <c r="T172" s="38">
        <v>121</v>
      </c>
      <c r="U172" s="38"/>
      <c r="V172" s="29">
        <v>19.18</v>
      </c>
      <c r="W172" s="35">
        <v>19.18</v>
      </c>
      <c r="X172" s="32">
        <f t="shared" si="22"/>
        <v>2320.7799999999997</v>
      </c>
      <c r="Y172" s="32">
        <f t="shared" si="23"/>
        <v>2320.7799999999997</v>
      </c>
      <c r="Z172" s="32">
        <f t="shared" si="24"/>
        <v>0</v>
      </c>
      <c r="AA172" s="38">
        <v>121</v>
      </c>
      <c r="AB172" s="37">
        <f>IFERROR(VLOOKUP(A172,'Tash Lookup'!A:E,3,FALSE),"")</f>
        <v>2320.7800000000002</v>
      </c>
      <c r="AC172" s="6">
        <f t="shared" si="25"/>
        <v>0</v>
      </c>
      <c r="AD172" s="2" t="s">
        <v>6707</v>
      </c>
      <c r="AF172" s="56">
        <v>19.18</v>
      </c>
      <c r="AG172" s="56" t="e">
        <f>VLOOKUP(A172,Sheet1!$A$2:$C$1140,3,FALSE)</f>
        <v>#N/A</v>
      </c>
      <c r="AH172" s="58" t="e">
        <v>#N/A</v>
      </c>
      <c r="AI172" s="56" t="str">
        <f t="shared" si="26"/>
        <v>Delete</v>
      </c>
      <c r="AJ172" s="81">
        <f t="shared" si="30"/>
        <v>2320.7799999999997</v>
      </c>
      <c r="AK172" s="81">
        <f t="shared" si="31"/>
        <v>0</v>
      </c>
      <c r="AL172" s="58" t="s">
        <v>7206</v>
      </c>
      <c r="AM172" s="58" t="s">
        <v>6709</v>
      </c>
      <c r="AN172" s="75">
        <v>0</v>
      </c>
      <c r="AO172" s="88">
        <v>19.18</v>
      </c>
      <c r="AP172" s="6" t="str">
        <f t="shared" si="27"/>
        <v>Same</v>
      </c>
      <c r="AQ172" s="81">
        <f t="shared" si="28"/>
        <v>0</v>
      </c>
      <c r="AR172" s="81">
        <f t="shared" si="29"/>
        <v>0</v>
      </c>
      <c r="AS172" s="81">
        <f t="shared" si="32"/>
        <v>0</v>
      </c>
    </row>
    <row r="173" spans="1:45" hidden="1" x14ac:dyDescent="0.3">
      <c r="A173">
        <v>6188890</v>
      </c>
      <c r="B173" s="15" t="s">
        <v>5509</v>
      </c>
      <c r="C173" s="16" t="s">
        <v>30</v>
      </c>
      <c r="D173" s="6" t="s">
        <v>31</v>
      </c>
      <c r="E173" t="s">
        <v>825</v>
      </c>
      <c r="F173" t="s">
        <v>825</v>
      </c>
      <c r="H173" s="11" t="s">
        <v>27</v>
      </c>
      <c r="I173" s="6" t="s">
        <v>28</v>
      </c>
      <c r="J173" s="6" t="s">
        <v>28</v>
      </c>
      <c r="K173" t="s">
        <v>32</v>
      </c>
      <c r="L173" s="35">
        <v>1.1200000000000001</v>
      </c>
      <c r="M173" s="6" t="s">
        <v>29</v>
      </c>
      <c r="N173" s="6">
        <v>3105</v>
      </c>
      <c r="P173" s="18"/>
      <c r="Q173" s="17"/>
      <c r="R173" s="19">
        <v>1.74</v>
      </c>
      <c r="S173" s="19">
        <v>1.74</v>
      </c>
      <c r="T173" s="38">
        <v>120</v>
      </c>
      <c r="U173" s="38"/>
      <c r="V173" s="30">
        <v>1.74</v>
      </c>
      <c r="W173" s="35">
        <v>1.1200000000000001</v>
      </c>
      <c r="X173" s="32">
        <f t="shared" si="22"/>
        <v>208.8</v>
      </c>
      <c r="Y173" s="32">
        <f t="shared" si="23"/>
        <v>134.4</v>
      </c>
      <c r="Z173" s="32">
        <f t="shared" si="24"/>
        <v>74.400000000000006</v>
      </c>
      <c r="AA173" s="38">
        <v>120</v>
      </c>
      <c r="AB173" s="37">
        <f>IFERROR(VLOOKUP(A173,'Tash Lookup'!A:E,3,FALSE),"")</f>
        <v>133.97999999999999</v>
      </c>
      <c r="AC173" s="6">
        <f t="shared" si="25"/>
        <v>0</v>
      </c>
      <c r="AD173" s="2" t="s">
        <v>6709</v>
      </c>
      <c r="AF173" s="56">
        <v>1.74</v>
      </c>
      <c r="AG173" s="56">
        <f>VLOOKUP(A173,Sheet1!$A$2:$C$1140,3,FALSE)</f>
        <v>1.74</v>
      </c>
      <c r="AH173" s="58">
        <v>1.74</v>
      </c>
      <c r="AI173" s="56" t="str">
        <f t="shared" si="26"/>
        <v>Same</v>
      </c>
      <c r="AJ173" s="81">
        <f t="shared" si="30"/>
        <v>208.8</v>
      </c>
      <c r="AK173" s="81">
        <f t="shared" si="31"/>
        <v>208.8</v>
      </c>
      <c r="AL173" s="58" t="s">
        <v>7206</v>
      </c>
      <c r="AM173" s="58" t="s">
        <v>6703</v>
      </c>
      <c r="AN173" s="75">
        <v>175</v>
      </c>
      <c r="AO173" s="88">
        <v>1.74</v>
      </c>
      <c r="AP173" s="6" t="str">
        <f t="shared" si="27"/>
        <v>Same</v>
      </c>
      <c r="AQ173" s="81">
        <f t="shared" si="28"/>
        <v>304.5</v>
      </c>
      <c r="AR173" s="81">
        <f t="shared" si="29"/>
        <v>304.5</v>
      </c>
      <c r="AS173" s="81">
        <f t="shared" si="32"/>
        <v>0</v>
      </c>
    </row>
    <row r="174" spans="1:45" hidden="1" x14ac:dyDescent="0.3">
      <c r="A174">
        <v>5218567</v>
      </c>
      <c r="B174" s="15" t="s">
        <v>5510</v>
      </c>
      <c r="C174" s="16" t="s">
        <v>30</v>
      </c>
      <c r="D174" s="6" t="s">
        <v>31</v>
      </c>
      <c r="E174" t="s">
        <v>242</v>
      </c>
      <c r="F174" t="s">
        <v>242</v>
      </c>
      <c r="H174" s="11" t="s">
        <v>27</v>
      </c>
      <c r="I174" s="6" t="s">
        <v>28</v>
      </c>
      <c r="J174" s="6" t="s">
        <v>28</v>
      </c>
      <c r="K174" t="s">
        <v>32</v>
      </c>
      <c r="L174" s="35">
        <v>44.93</v>
      </c>
      <c r="M174" s="6" t="s">
        <v>29</v>
      </c>
      <c r="N174" s="6">
        <v>3105</v>
      </c>
      <c r="P174" s="18"/>
      <c r="Q174" s="17"/>
      <c r="R174" s="19">
        <v>44.93</v>
      </c>
      <c r="S174" s="19">
        <v>44.93</v>
      </c>
      <c r="T174" s="38">
        <v>120</v>
      </c>
      <c r="U174" s="38"/>
      <c r="V174" s="29">
        <v>44.93</v>
      </c>
      <c r="W174" s="45">
        <v>43.89</v>
      </c>
      <c r="X174" s="32">
        <f t="shared" si="22"/>
        <v>5391.6</v>
      </c>
      <c r="Y174" s="32">
        <f t="shared" si="23"/>
        <v>5391.6</v>
      </c>
      <c r="Z174" s="32">
        <f t="shared" si="24"/>
        <v>0</v>
      </c>
      <c r="AA174" s="38">
        <v>120</v>
      </c>
      <c r="AB174" s="37">
        <f>IFERROR(VLOOKUP(A174,'Tash Lookup'!A:E,3,FALSE),"")</f>
        <v>5427.29</v>
      </c>
      <c r="AC174" s="6">
        <f t="shared" si="25"/>
        <v>0</v>
      </c>
      <c r="AD174" s="2" t="s">
        <v>6703</v>
      </c>
      <c r="AF174" s="56">
        <v>46.33</v>
      </c>
      <c r="AG174" s="56">
        <f>VLOOKUP(A174,Sheet1!$A$2:$C$1140,3,FALSE)</f>
        <v>47.72</v>
      </c>
      <c r="AH174" s="58">
        <v>47.72</v>
      </c>
      <c r="AI174" s="56" t="str">
        <f t="shared" si="26"/>
        <v>Increase</v>
      </c>
      <c r="AJ174" s="81">
        <f t="shared" si="30"/>
        <v>5559.5999999999995</v>
      </c>
      <c r="AK174" s="81">
        <f t="shared" si="31"/>
        <v>5726.4</v>
      </c>
      <c r="AL174" s="58" t="s">
        <v>32</v>
      </c>
      <c r="AM174" s="58" t="s">
        <v>6703</v>
      </c>
      <c r="AN174" s="75">
        <v>69</v>
      </c>
      <c r="AO174" s="88">
        <v>47.72</v>
      </c>
      <c r="AP174" s="6" t="str">
        <f t="shared" si="27"/>
        <v>Increase</v>
      </c>
      <c r="AQ174" s="81">
        <f t="shared" si="28"/>
        <v>3196.77</v>
      </c>
      <c r="AR174" s="81">
        <f t="shared" si="29"/>
        <v>3292.68</v>
      </c>
      <c r="AS174" s="82">
        <f t="shared" si="32"/>
        <v>95.909999999999854</v>
      </c>
    </row>
    <row r="175" spans="1:45" hidden="1" x14ac:dyDescent="0.3">
      <c r="A175">
        <v>6395703</v>
      </c>
      <c r="B175" s="15" t="s">
        <v>5511</v>
      </c>
      <c r="C175" s="16" t="s">
        <v>30</v>
      </c>
      <c r="D175" s="6" t="s">
        <v>31</v>
      </c>
      <c r="E175" t="s">
        <v>890</v>
      </c>
      <c r="F175" t="s">
        <v>890</v>
      </c>
      <c r="H175" s="11" t="s">
        <v>27</v>
      </c>
      <c r="I175" s="6" t="s">
        <v>28</v>
      </c>
      <c r="J175" s="6" t="s">
        <v>28</v>
      </c>
      <c r="K175" t="s">
        <v>32</v>
      </c>
      <c r="L175" s="35">
        <v>4.04</v>
      </c>
      <c r="M175" s="6" t="s">
        <v>29</v>
      </c>
      <c r="N175" s="6">
        <v>3105</v>
      </c>
      <c r="P175" s="18"/>
      <c r="Q175" s="17"/>
      <c r="R175" s="19">
        <v>4.04</v>
      </c>
      <c r="S175" s="19">
        <v>4.04</v>
      </c>
      <c r="T175" s="38">
        <v>120</v>
      </c>
      <c r="U175" s="38"/>
      <c r="V175" s="30">
        <v>4.04</v>
      </c>
      <c r="W175" s="35">
        <v>4.04</v>
      </c>
      <c r="X175" s="32">
        <f t="shared" si="22"/>
        <v>484.8</v>
      </c>
      <c r="Y175" s="32">
        <f t="shared" si="23"/>
        <v>484.8</v>
      </c>
      <c r="Z175" s="32">
        <f t="shared" si="24"/>
        <v>0</v>
      </c>
      <c r="AA175" s="38">
        <v>120</v>
      </c>
      <c r="AB175" s="37">
        <f>IFERROR(VLOOKUP(A175,'Tash Lookup'!A:E,3,FALSE),"")</f>
        <v>481.63</v>
      </c>
      <c r="AC175" s="6">
        <f t="shared" si="25"/>
        <v>0</v>
      </c>
      <c r="AD175" s="2" t="s">
        <v>6703</v>
      </c>
      <c r="AF175" s="56">
        <v>4.04</v>
      </c>
      <c r="AG175" s="56">
        <f>VLOOKUP(A175,Sheet1!$A$2:$C$1140,3,FALSE)</f>
        <v>4.12</v>
      </c>
      <c r="AH175" s="58">
        <v>4.12</v>
      </c>
      <c r="AI175" s="56" t="str">
        <f t="shared" si="26"/>
        <v>Increase</v>
      </c>
      <c r="AJ175" s="81">
        <f t="shared" si="30"/>
        <v>484.8</v>
      </c>
      <c r="AK175" s="81">
        <f t="shared" si="31"/>
        <v>494.40000000000003</v>
      </c>
      <c r="AL175" s="58" t="s">
        <v>7206</v>
      </c>
      <c r="AM175" s="58" t="s">
        <v>6703</v>
      </c>
      <c r="AN175" s="75">
        <v>84</v>
      </c>
      <c r="AO175" s="88">
        <v>4.12</v>
      </c>
      <c r="AP175" s="6" t="str">
        <f t="shared" si="27"/>
        <v>Increase</v>
      </c>
      <c r="AQ175" s="81">
        <f t="shared" si="28"/>
        <v>339.36</v>
      </c>
      <c r="AR175" s="81">
        <f t="shared" si="29"/>
        <v>346.08</v>
      </c>
      <c r="AS175" s="82">
        <f t="shared" si="32"/>
        <v>6.7199999999999704</v>
      </c>
    </row>
    <row r="176" spans="1:45" hidden="1" x14ac:dyDescent="0.3">
      <c r="A176">
        <v>5090726</v>
      </c>
      <c r="B176" s="15" t="s">
        <v>5512</v>
      </c>
      <c r="C176" s="16" t="s">
        <v>30</v>
      </c>
      <c r="D176" s="6" t="s">
        <v>31</v>
      </c>
      <c r="E176" t="s">
        <v>113</v>
      </c>
      <c r="F176" t="s">
        <v>113</v>
      </c>
      <c r="H176" s="11" t="s">
        <v>27</v>
      </c>
      <c r="I176" s="6" t="s">
        <v>28</v>
      </c>
      <c r="J176" s="6" t="s">
        <v>28</v>
      </c>
      <c r="K176" t="s">
        <v>32</v>
      </c>
      <c r="L176" s="35">
        <v>11.2</v>
      </c>
      <c r="M176" s="6" t="s">
        <v>29</v>
      </c>
      <c r="N176" s="6">
        <v>3105</v>
      </c>
      <c r="P176" s="18"/>
      <c r="Q176" s="17"/>
      <c r="R176" s="19">
        <v>11.2</v>
      </c>
      <c r="S176" s="19">
        <v>11.2</v>
      </c>
      <c r="T176" s="38">
        <v>120</v>
      </c>
      <c r="U176" s="38"/>
      <c r="V176" s="29">
        <v>11.2</v>
      </c>
      <c r="W176" s="35">
        <v>11.2</v>
      </c>
      <c r="X176" s="32">
        <f t="shared" si="22"/>
        <v>1344</v>
      </c>
      <c r="Y176" s="32">
        <f t="shared" si="23"/>
        <v>1344</v>
      </c>
      <c r="Z176" s="32">
        <f t="shared" si="24"/>
        <v>0</v>
      </c>
      <c r="AA176" s="38">
        <v>120</v>
      </c>
      <c r="AB176" s="37">
        <f>IFERROR(VLOOKUP(A176,'Tash Lookup'!A:E,3,FALSE),"")</f>
        <v>1323.76</v>
      </c>
      <c r="AC176" s="6">
        <f t="shared" si="25"/>
        <v>0</v>
      </c>
      <c r="AD176" s="2" t="s">
        <v>6703</v>
      </c>
      <c r="AF176" s="56">
        <v>12.31</v>
      </c>
      <c r="AG176" s="56">
        <f>VLOOKUP(A176,Sheet1!$A$2:$C$1140,3,FALSE)</f>
        <v>12.31</v>
      </c>
      <c r="AH176" s="58">
        <v>12.31</v>
      </c>
      <c r="AI176" s="56" t="str">
        <f t="shared" si="26"/>
        <v>Same</v>
      </c>
      <c r="AJ176" s="81">
        <f t="shared" si="30"/>
        <v>1477.2</v>
      </c>
      <c r="AK176" s="81">
        <f t="shared" si="31"/>
        <v>1477.2</v>
      </c>
      <c r="AL176" s="58" t="s">
        <v>32</v>
      </c>
      <c r="AM176" s="58" t="s">
        <v>6703</v>
      </c>
      <c r="AN176" s="75">
        <v>50</v>
      </c>
      <c r="AO176" s="88">
        <v>12.31</v>
      </c>
      <c r="AP176" s="6" t="str">
        <f t="shared" si="27"/>
        <v>Same</v>
      </c>
      <c r="AQ176" s="81">
        <f t="shared" si="28"/>
        <v>615.5</v>
      </c>
      <c r="AR176" s="81">
        <f t="shared" si="29"/>
        <v>615.5</v>
      </c>
      <c r="AS176" s="81">
        <f t="shared" si="32"/>
        <v>0</v>
      </c>
    </row>
    <row r="177" spans="1:45" hidden="1" x14ac:dyDescent="0.3">
      <c r="A177">
        <v>5218604</v>
      </c>
      <c r="B177" s="15" t="s">
        <v>5513</v>
      </c>
      <c r="C177" s="16" t="s">
        <v>30</v>
      </c>
      <c r="D177" s="6" t="s">
        <v>31</v>
      </c>
      <c r="E177" t="s">
        <v>284</v>
      </c>
      <c r="F177" t="s">
        <v>284</v>
      </c>
      <c r="H177" s="11" t="s">
        <v>27</v>
      </c>
      <c r="I177" s="6" t="s">
        <v>28</v>
      </c>
      <c r="J177" s="6" t="s">
        <v>28</v>
      </c>
      <c r="K177" t="s">
        <v>32</v>
      </c>
      <c r="L177" s="35">
        <v>14.4</v>
      </c>
      <c r="M177" s="6" t="s">
        <v>29</v>
      </c>
      <c r="N177" s="6">
        <v>3105</v>
      </c>
      <c r="P177" s="18"/>
      <c r="Q177" s="17"/>
      <c r="R177" s="19">
        <v>14.4</v>
      </c>
      <c r="S177" s="19">
        <v>14.4</v>
      </c>
      <c r="T177" s="38">
        <v>119</v>
      </c>
      <c r="U177" s="38"/>
      <c r="V177" s="29">
        <v>14.4</v>
      </c>
      <c r="W177" s="45">
        <v>12.44</v>
      </c>
      <c r="X177" s="32">
        <f t="shared" si="22"/>
        <v>1713.6000000000001</v>
      </c>
      <c r="Y177" s="32">
        <f t="shared" si="23"/>
        <v>1713.6000000000001</v>
      </c>
      <c r="Z177" s="32">
        <f t="shared" si="24"/>
        <v>0</v>
      </c>
      <c r="AA177" s="38">
        <v>119</v>
      </c>
      <c r="AB177" s="37">
        <f>IFERROR(VLOOKUP(A177,'Tash Lookup'!A:E,3,FALSE),"")</f>
        <v>1652.51</v>
      </c>
      <c r="AC177" s="6">
        <f t="shared" si="25"/>
        <v>0</v>
      </c>
      <c r="AD177" s="2" t="s">
        <v>6703</v>
      </c>
      <c r="AF177" s="56">
        <v>15.17</v>
      </c>
      <c r="AG177" s="56">
        <f>VLOOKUP(A177,Sheet1!$A$2:$C$1140,3,FALSE)</f>
        <v>15.62</v>
      </c>
      <c r="AH177" s="58">
        <v>15.62</v>
      </c>
      <c r="AI177" s="56" t="str">
        <f t="shared" si="26"/>
        <v>Increase</v>
      </c>
      <c r="AJ177" s="81">
        <f t="shared" si="30"/>
        <v>1805.23</v>
      </c>
      <c r="AK177" s="81">
        <f t="shared" si="31"/>
        <v>1858.78</v>
      </c>
      <c r="AL177" s="58" t="s">
        <v>32</v>
      </c>
      <c r="AM177" s="58" t="s">
        <v>6703</v>
      </c>
      <c r="AN177" s="75">
        <v>7</v>
      </c>
      <c r="AO177" s="88">
        <v>15.62</v>
      </c>
      <c r="AP177" s="6" t="str">
        <f t="shared" si="27"/>
        <v>Increase</v>
      </c>
      <c r="AQ177" s="81">
        <f t="shared" si="28"/>
        <v>106.19</v>
      </c>
      <c r="AR177" s="81">
        <f t="shared" si="29"/>
        <v>109.33999999999999</v>
      </c>
      <c r="AS177" s="82">
        <f t="shared" si="32"/>
        <v>3.1499999999999915</v>
      </c>
    </row>
    <row r="178" spans="1:45" hidden="1" x14ac:dyDescent="0.3">
      <c r="A178">
        <v>6383959</v>
      </c>
      <c r="B178" s="15" t="s">
        <v>5514</v>
      </c>
      <c r="C178" s="16" t="s">
        <v>30</v>
      </c>
      <c r="D178" s="6" t="s">
        <v>31</v>
      </c>
      <c r="E178" t="s">
        <v>883</v>
      </c>
      <c r="F178" t="s">
        <v>883</v>
      </c>
      <c r="H178" s="11" t="s">
        <v>27</v>
      </c>
      <c r="I178" s="6" t="s">
        <v>28</v>
      </c>
      <c r="J178" s="6" t="s">
        <v>28</v>
      </c>
      <c r="K178" t="s">
        <v>32</v>
      </c>
      <c r="L178" s="35">
        <v>3.89</v>
      </c>
      <c r="M178" s="6" t="s">
        <v>29</v>
      </c>
      <c r="N178" s="6">
        <v>3105</v>
      </c>
      <c r="P178" s="18"/>
      <c r="Q178" s="17"/>
      <c r="R178" s="19">
        <v>3.89</v>
      </c>
      <c r="S178" s="19">
        <v>3.89</v>
      </c>
      <c r="T178" s="38">
        <v>118</v>
      </c>
      <c r="U178" s="38"/>
      <c r="V178" s="30">
        <v>3.89</v>
      </c>
      <c r="W178" s="35">
        <v>3.89</v>
      </c>
      <c r="X178" s="32">
        <f t="shared" si="22"/>
        <v>459.02000000000004</v>
      </c>
      <c r="Y178" s="32">
        <f t="shared" si="23"/>
        <v>459.02000000000004</v>
      </c>
      <c r="Z178" s="32">
        <f t="shared" si="24"/>
        <v>0</v>
      </c>
      <c r="AA178" s="38">
        <v>118</v>
      </c>
      <c r="AB178" s="37">
        <f>IFERROR(VLOOKUP(A178,'Tash Lookup'!A:E,3,FALSE),"")</f>
        <v>456.97</v>
      </c>
      <c r="AC178" s="6">
        <f t="shared" si="25"/>
        <v>0</v>
      </c>
      <c r="AD178" s="2" t="s">
        <v>6703</v>
      </c>
      <c r="AF178" s="56">
        <v>3.89</v>
      </c>
      <c r="AG178" s="56">
        <f>VLOOKUP(A178,Sheet1!$A$2:$C$1140,3,FALSE)</f>
        <v>3.96</v>
      </c>
      <c r="AH178" s="58">
        <v>3.96</v>
      </c>
      <c r="AI178" s="56" t="str">
        <f t="shared" si="26"/>
        <v>Increase</v>
      </c>
      <c r="AJ178" s="81">
        <f t="shared" si="30"/>
        <v>459.02000000000004</v>
      </c>
      <c r="AK178" s="81">
        <f t="shared" si="31"/>
        <v>467.28</v>
      </c>
      <c r="AL178" s="58" t="s">
        <v>7206</v>
      </c>
      <c r="AM178" s="58" t="s">
        <v>6703</v>
      </c>
      <c r="AN178" s="75">
        <v>72</v>
      </c>
      <c r="AO178" s="88">
        <v>3.96</v>
      </c>
      <c r="AP178" s="6" t="str">
        <f t="shared" si="27"/>
        <v>Increase</v>
      </c>
      <c r="AQ178" s="81">
        <f t="shared" si="28"/>
        <v>280.08</v>
      </c>
      <c r="AR178" s="81">
        <f t="shared" si="29"/>
        <v>285.12</v>
      </c>
      <c r="AS178" s="82">
        <f t="shared" si="32"/>
        <v>5.0400000000000205</v>
      </c>
    </row>
    <row r="179" spans="1:45" hidden="1" x14ac:dyDescent="0.3">
      <c r="A179">
        <v>5091365</v>
      </c>
      <c r="B179" s="15" t="s">
        <v>5515</v>
      </c>
      <c r="C179" s="16" t="s">
        <v>30</v>
      </c>
      <c r="D179" s="6" t="s">
        <v>31</v>
      </c>
      <c r="E179" t="s">
        <v>549</v>
      </c>
      <c r="F179" t="s">
        <v>549</v>
      </c>
      <c r="H179" s="11" t="s">
        <v>27</v>
      </c>
      <c r="I179" s="6" t="s">
        <v>28</v>
      </c>
      <c r="J179" s="6" t="s">
        <v>28</v>
      </c>
      <c r="K179" t="s">
        <v>32</v>
      </c>
      <c r="L179" s="35">
        <v>64.45</v>
      </c>
      <c r="M179" s="6" t="s">
        <v>29</v>
      </c>
      <c r="N179" s="6">
        <v>3105</v>
      </c>
      <c r="P179" s="18"/>
      <c r="Q179" s="17"/>
      <c r="R179" s="19">
        <v>64.45</v>
      </c>
      <c r="S179" s="19">
        <v>64.45</v>
      </c>
      <c r="T179" s="38">
        <v>118</v>
      </c>
      <c r="U179" s="38"/>
      <c r="V179" s="29">
        <v>64.45</v>
      </c>
      <c r="W179" s="35">
        <v>64.45</v>
      </c>
      <c r="X179" s="32">
        <f t="shared" si="22"/>
        <v>7605.1</v>
      </c>
      <c r="Y179" s="32">
        <f t="shared" si="23"/>
        <v>7605.1</v>
      </c>
      <c r="Z179" s="32">
        <f t="shared" si="24"/>
        <v>0</v>
      </c>
      <c r="AA179" s="38">
        <v>118</v>
      </c>
      <c r="AB179" s="37">
        <f>IFERROR(VLOOKUP(A179,'Tash Lookup'!A:E,3,FALSE),"")</f>
        <v>7621.18</v>
      </c>
      <c r="AC179" s="6">
        <f t="shared" si="25"/>
        <v>0</v>
      </c>
      <c r="AD179" s="2" t="s">
        <v>6703</v>
      </c>
      <c r="AF179" s="56">
        <v>65.66</v>
      </c>
      <c r="AG179" s="56">
        <f>VLOOKUP(A179,Sheet1!$A$2:$C$1140,3,FALSE)</f>
        <v>67.63</v>
      </c>
      <c r="AH179" s="58">
        <v>67.63</v>
      </c>
      <c r="AI179" s="56" t="str">
        <f t="shared" si="26"/>
        <v>Increase</v>
      </c>
      <c r="AJ179" s="81">
        <f t="shared" si="30"/>
        <v>7747.8799999999992</v>
      </c>
      <c r="AK179" s="81">
        <f t="shared" si="31"/>
        <v>7980.3399999999992</v>
      </c>
      <c r="AL179" s="58" t="s">
        <v>32</v>
      </c>
      <c r="AM179" s="58" t="s">
        <v>6703</v>
      </c>
      <c r="AN179" s="75">
        <v>166</v>
      </c>
      <c r="AO179" s="88">
        <v>67.63</v>
      </c>
      <c r="AP179" s="6" t="str">
        <f t="shared" si="27"/>
        <v>Increase</v>
      </c>
      <c r="AQ179" s="81">
        <f t="shared" si="28"/>
        <v>10899.56</v>
      </c>
      <c r="AR179" s="81">
        <f t="shared" si="29"/>
        <v>11226.58</v>
      </c>
      <c r="AS179" s="82">
        <f t="shared" si="32"/>
        <v>327.02000000000044</v>
      </c>
    </row>
    <row r="180" spans="1:45" hidden="1" x14ac:dyDescent="0.3">
      <c r="A180">
        <v>5180701</v>
      </c>
      <c r="B180" s="15" t="s">
        <v>5516</v>
      </c>
      <c r="C180" s="16" t="s">
        <v>30</v>
      </c>
      <c r="D180" s="6" t="s">
        <v>31</v>
      </c>
      <c r="E180" t="s">
        <v>604</v>
      </c>
      <c r="F180" t="s">
        <v>604</v>
      </c>
      <c r="H180" s="11" t="s">
        <v>27</v>
      </c>
      <c r="I180" s="6" t="s">
        <v>28</v>
      </c>
      <c r="J180" s="6" t="s">
        <v>28</v>
      </c>
      <c r="K180" t="s">
        <v>32</v>
      </c>
      <c r="L180" s="35">
        <v>67.84</v>
      </c>
      <c r="M180" s="6" t="s">
        <v>29</v>
      </c>
      <c r="N180" s="6">
        <v>3105</v>
      </c>
      <c r="P180" s="18"/>
      <c r="Q180" s="17"/>
      <c r="R180" s="19">
        <v>67.84</v>
      </c>
      <c r="S180" s="19">
        <v>67.84</v>
      </c>
      <c r="T180" s="38">
        <v>115</v>
      </c>
      <c r="U180" s="38"/>
      <c r="V180" s="29">
        <v>67.84</v>
      </c>
      <c r="W180" s="35">
        <v>67.84</v>
      </c>
      <c r="X180" s="32">
        <f t="shared" si="22"/>
        <v>7801.6</v>
      </c>
      <c r="Y180" s="32">
        <f t="shared" si="23"/>
        <v>7801.6</v>
      </c>
      <c r="Z180" s="32">
        <f t="shared" si="24"/>
        <v>0</v>
      </c>
      <c r="AA180" s="38">
        <v>115</v>
      </c>
      <c r="AB180" s="37">
        <f>IFERROR(VLOOKUP(A180,'Tash Lookup'!A:E,3,FALSE),"")</f>
        <v>7795.88</v>
      </c>
      <c r="AC180" s="6">
        <f t="shared" si="25"/>
        <v>0</v>
      </c>
      <c r="AD180" s="2" t="s">
        <v>6703</v>
      </c>
      <c r="AF180" s="56">
        <v>65.010000000000005</v>
      </c>
      <c r="AG180" s="56">
        <f>VLOOKUP(A180,Sheet1!$A$2:$C$1140,3,FALSE)</f>
        <v>66.959999999999994</v>
      </c>
      <c r="AH180" s="58">
        <v>66.959999999999994</v>
      </c>
      <c r="AI180" s="56" t="str">
        <f t="shared" si="26"/>
        <v>Increase</v>
      </c>
      <c r="AJ180" s="81">
        <f t="shared" si="30"/>
        <v>7476.1500000000005</v>
      </c>
      <c r="AK180" s="81">
        <f t="shared" si="31"/>
        <v>7700.4</v>
      </c>
      <c r="AL180" s="58" t="s">
        <v>32</v>
      </c>
      <c r="AM180" s="58" t="s">
        <v>6703</v>
      </c>
      <c r="AN180" s="75">
        <v>135</v>
      </c>
      <c r="AO180" s="88">
        <v>66.959999999999994</v>
      </c>
      <c r="AP180" s="6" t="str">
        <f t="shared" si="27"/>
        <v>Increase</v>
      </c>
      <c r="AQ180" s="81">
        <f t="shared" si="28"/>
        <v>8776.35</v>
      </c>
      <c r="AR180" s="81">
        <f t="shared" si="29"/>
        <v>9039.5999999999985</v>
      </c>
      <c r="AS180" s="82">
        <f t="shared" si="32"/>
        <v>263.24999999999818</v>
      </c>
    </row>
    <row r="181" spans="1:45" hidden="1" x14ac:dyDescent="0.3">
      <c r="A181">
        <v>6188865</v>
      </c>
      <c r="B181" s="15" t="s">
        <v>5517</v>
      </c>
      <c r="C181" s="16" t="s">
        <v>30</v>
      </c>
      <c r="D181" s="6" t="s">
        <v>31</v>
      </c>
      <c r="E181" t="s">
        <v>885</v>
      </c>
      <c r="F181" t="s">
        <v>885</v>
      </c>
      <c r="H181" s="11" t="s">
        <v>27</v>
      </c>
      <c r="I181" s="6" t="s">
        <v>28</v>
      </c>
      <c r="J181" s="6" t="s">
        <v>28</v>
      </c>
      <c r="K181" t="s">
        <v>32</v>
      </c>
      <c r="L181" s="35">
        <v>1.01</v>
      </c>
      <c r="M181" s="6" t="s">
        <v>29</v>
      </c>
      <c r="N181" s="6">
        <v>3105</v>
      </c>
      <c r="P181" s="18"/>
      <c r="Q181" s="17"/>
      <c r="R181" s="19">
        <v>2.0699999999999998</v>
      </c>
      <c r="S181" s="19">
        <v>2.0699999999999998</v>
      </c>
      <c r="T181" s="38">
        <v>115</v>
      </c>
      <c r="U181" s="38"/>
      <c r="V181" s="30">
        <v>2.0699999999999998</v>
      </c>
      <c r="W181" s="35">
        <v>1.01</v>
      </c>
      <c r="X181" s="32">
        <f t="shared" si="22"/>
        <v>238.04999999999998</v>
      </c>
      <c r="Y181" s="32">
        <f t="shared" si="23"/>
        <v>116.15</v>
      </c>
      <c r="Z181" s="32">
        <f t="shared" si="24"/>
        <v>121.89999999999998</v>
      </c>
      <c r="AA181" s="38">
        <v>115</v>
      </c>
      <c r="AB181" s="37">
        <f>IFERROR(VLOOKUP(A181,'Tash Lookup'!A:E,3,FALSE),"")</f>
        <v>115.88</v>
      </c>
      <c r="AC181" s="6">
        <f t="shared" si="25"/>
        <v>0</v>
      </c>
      <c r="AD181" s="2" t="s">
        <v>6703</v>
      </c>
      <c r="AF181" s="56">
        <v>2.0699999999999998</v>
      </c>
      <c r="AG181" s="56">
        <f>VLOOKUP(A181,Sheet1!$A$2:$C$1140,3,FALSE)</f>
        <v>2.11</v>
      </c>
      <c r="AH181" s="58">
        <v>2.11</v>
      </c>
      <c r="AI181" s="56" t="str">
        <f t="shared" si="26"/>
        <v>Increase</v>
      </c>
      <c r="AJ181" s="81">
        <f t="shared" si="30"/>
        <v>238.04999999999998</v>
      </c>
      <c r="AK181" s="81">
        <f t="shared" si="31"/>
        <v>242.64999999999998</v>
      </c>
      <c r="AL181" s="58" t="s">
        <v>7206</v>
      </c>
      <c r="AM181" s="58" t="s">
        <v>6703</v>
      </c>
      <c r="AN181" s="75">
        <v>117</v>
      </c>
      <c r="AO181" s="88">
        <v>2.11</v>
      </c>
      <c r="AP181" s="6" t="str">
        <f t="shared" si="27"/>
        <v>Increase</v>
      </c>
      <c r="AQ181" s="81">
        <f t="shared" si="28"/>
        <v>242.18999999999997</v>
      </c>
      <c r="AR181" s="81">
        <f t="shared" si="29"/>
        <v>246.86999999999998</v>
      </c>
      <c r="AS181" s="82">
        <f t="shared" si="32"/>
        <v>4.6800000000000068</v>
      </c>
    </row>
    <row r="182" spans="1:45" hidden="1" x14ac:dyDescent="0.3">
      <c r="A182">
        <v>6033961</v>
      </c>
      <c r="B182" s="15" t="s">
        <v>5518</v>
      </c>
      <c r="C182" s="16" t="s">
        <v>30</v>
      </c>
      <c r="D182" s="6" t="s">
        <v>31</v>
      </c>
      <c r="E182" t="s">
        <v>704</v>
      </c>
      <c r="F182" t="s">
        <v>704</v>
      </c>
      <c r="H182" s="11" t="s">
        <v>27</v>
      </c>
      <c r="I182" s="6" t="s">
        <v>28</v>
      </c>
      <c r="J182" s="6" t="s">
        <v>28</v>
      </c>
      <c r="K182" t="s">
        <v>32</v>
      </c>
      <c r="L182" s="35">
        <v>5.08</v>
      </c>
      <c r="M182" s="6" t="s">
        <v>29</v>
      </c>
      <c r="N182" s="6">
        <v>3105</v>
      </c>
      <c r="P182" s="18"/>
      <c r="Q182" s="17"/>
      <c r="R182" s="19">
        <v>5.35</v>
      </c>
      <c r="S182" s="19">
        <v>0</v>
      </c>
      <c r="T182" s="38">
        <v>115</v>
      </c>
      <c r="U182" s="38"/>
      <c r="V182" s="30">
        <v>5.35</v>
      </c>
      <c r="W182" s="35">
        <v>5.08</v>
      </c>
      <c r="X182" s="32">
        <f t="shared" si="22"/>
        <v>615.25</v>
      </c>
      <c r="Y182" s="32">
        <f t="shared" si="23"/>
        <v>584.20000000000005</v>
      </c>
      <c r="Z182" s="32">
        <f t="shared" si="24"/>
        <v>31.049999999999955</v>
      </c>
      <c r="AA182" s="38">
        <v>115</v>
      </c>
      <c r="AB182" s="37">
        <f>IFERROR(VLOOKUP(A182,'Tash Lookup'!A:E,3,FALSE),"")</f>
        <v>585.57000000000005</v>
      </c>
      <c r="AC182" s="6">
        <f t="shared" si="25"/>
        <v>0</v>
      </c>
      <c r="AD182" s="2" t="s">
        <v>6703</v>
      </c>
      <c r="AF182" s="56">
        <v>5.35</v>
      </c>
      <c r="AG182" s="56">
        <f>VLOOKUP(A182,Sheet1!$A$2:$C$1140,3,FALSE)</f>
        <v>5.46</v>
      </c>
      <c r="AH182" s="58">
        <v>5.46</v>
      </c>
      <c r="AI182" s="56" t="str">
        <f t="shared" si="26"/>
        <v>Increase</v>
      </c>
      <c r="AJ182" s="81">
        <f t="shared" si="30"/>
        <v>615.25</v>
      </c>
      <c r="AK182" s="81">
        <f t="shared" si="31"/>
        <v>627.9</v>
      </c>
      <c r="AL182" s="58" t="s">
        <v>7206</v>
      </c>
      <c r="AM182" s="58" t="s">
        <v>6703</v>
      </c>
      <c r="AN182" s="75">
        <v>50</v>
      </c>
      <c r="AO182" s="88">
        <v>5.46</v>
      </c>
      <c r="AP182" s="6" t="str">
        <f t="shared" si="27"/>
        <v>Increase</v>
      </c>
      <c r="AQ182" s="81">
        <f t="shared" si="28"/>
        <v>267.5</v>
      </c>
      <c r="AR182" s="81">
        <f t="shared" si="29"/>
        <v>273</v>
      </c>
      <c r="AS182" s="82">
        <f t="shared" si="32"/>
        <v>5.5</v>
      </c>
    </row>
    <row r="183" spans="1:45" hidden="1" x14ac:dyDescent="0.3">
      <c r="A183">
        <v>5583711</v>
      </c>
      <c r="B183" s="15" t="s">
        <v>5519</v>
      </c>
      <c r="C183" s="16" t="s">
        <v>30</v>
      </c>
      <c r="D183" s="6" t="s">
        <v>31</v>
      </c>
      <c r="E183" t="s">
        <v>216</v>
      </c>
      <c r="F183" t="s">
        <v>216</v>
      </c>
      <c r="H183" s="11" t="s">
        <v>27</v>
      </c>
      <c r="I183" s="6" t="s">
        <v>28</v>
      </c>
      <c r="J183" s="6" t="s">
        <v>28</v>
      </c>
      <c r="K183" t="s">
        <v>32</v>
      </c>
      <c r="L183" s="35">
        <v>17.38</v>
      </c>
      <c r="M183" s="6" t="s">
        <v>29</v>
      </c>
      <c r="N183" s="6">
        <v>3105</v>
      </c>
      <c r="P183" s="18"/>
      <c r="Q183" s="17"/>
      <c r="R183" s="19">
        <v>17.38</v>
      </c>
      <c r="S183" s="19">
        <v>17.38</v>
      </c>
      <c r="T183" s="38">
        <v>114</v>
      </c>
      <c r="U183" s="38"/>
      <c r="V183" s="29">
        <v>17.38</v>
      </c>
      <c r="W183" s="35">
        <v>17.38</v>
      </c>
      <c r="X183" s="32">
        <f t="shared" si="22"/>
        <v>1981.32</v>
      </c>
      <c r="Y183" s="32">
        <f t="shared" si="23"/>
        <v>1981.32</v>
      </c>
      <c r="Z183" s="32">
        <f t="shared" si="24"/>
        <v>0</v>
      </c>
      <c r="AA183" s="38">
        <v>114</v>
      </c>
      <c r="AB183" s="37">
        <f>IFERROR(VLOOKUP(A183,'Tash Lookup'!A:E,3,FALSE),"")</f>
        <v>1948.68</v>
      </c>
      <c r="AC183" s="6">
        <f t="shared" si="25"/>
        <v>0</v>
      </c>
      <c r="AD183" s="2" t="s">
        <v>6703</v>
      </c>
      <c r="AF183" s="56">
        <v>18.22</v>
      </c>
      <c r="AG183" s="56">
        <f>VLOOKUP(A183,Sheet1!$A$2:$C$1140,3,FALSE)</f>
        <v>18.22</v>
      </c>
      <c r="AH183" s="58">
        <v>18.22</v>
      </c>
      <c r="AI183" s="56" t="str">
        <f t="shared" si="26"/>
        <v>Same</v>
      </c>
      <c r="AJ183" s="81">
        <f t="shared" si="30"/>
        <v>2077.08</v>
      </c>
      <c r="AK183" s="81">
        <f t="shared" si="31"/>
        <v>2077.08</v>
      </c>
      <c r="AL183" s="58" t="s">
        <v>32</v>
      </c>
      <c r="AM183" s="58" t="s">
        <v>6703</v>
      </c>
      <c r="AN183" s="75">
        <v>62</v>
      </c>
      <c r="AO183" s="88">
        <v>18.22</v>
      </c>
      <c r="AP183" s="6" t="str">
        <f t="shared" si="27"/>
        <v>Same</v>
      </c>
      <c r="AQ183" s="81">
        <f t="shared" si="28"/>
        <v>1129.6399999999999</v>
      </c>
      <c r="AR183" s="81">
        <f t="shared" si="29"/>
        <v>1129.6399999999999</v>
      </c>
      <c r="AS183" s="81">
        <f t="shared" si="32"/>
        <v>0</v>
      </c>
    </row>
    <row r="184" spans="1:45" hidden="1" x14ac:dyDescent="0.3">
      <c r="A184">
        <v>5090779</v>
      </c>
      <c r="B184" s="15" t="s">
        <v>5520</v>
      </c>
      <c r="C184" s="16" t="s">
        <v>30</v>
      </c>
      <c r="D184" s="6" t="s">
        <v>31</v>
      </c>
      <c r="E184" t="s">
        <v>545</v>
      </c>
      <c r="F184" t="s">
        <v>545</v>
      </c>
      <c r="H184" s="11" t="s">
        <v>27</v>
      </c>
      <c r="I184" s="6" t="s">
        <v>28</v>
      </c>
      <c r="J184" s="6" t="s">
        <v>28</v>
      </c>
      <c r="K184" t="s">
        <v>32</v>
      </c>
      <c r="L184" s="35">
        <v>33.630000000000003</v>
      </c>
      <c r="M184" s="6" t="s">
        <v>29</v>
      </c>
      <c r="N184" s="6">
        <v>3105</v>
      </c>
      <c r="P184" s="18"/>
      <c r="Q184" s="17"/>
      <c r="R184" s="19">
        <v>33.630000000000003</v>
      </c>
      <c r="S184" s="19">
        <v>33.630000000000003</v>
      </c>
      <c r="T184" s="38">
        <v>114</v>
      </c>
      <c r="U184" s="38"/>
      <c r="V184" s="29">
        <v>33.630000000000003</v>
      </c>
      <c r="W184" s="35">
        <v>33.630000000000003</v>
      </c>
      <c r="X184" s="32">
        <f t="shared" si="22"/>
        <v>3833.82</v>
      </c>
      <c r="Y184" s="32">
        <f t="shared" si="23"/>
        <v>3833.82</v>
      </c>
      <c r="Z184" s="32">
        <f t="shared" si="24"/>
        <v>0</v>
      </c>
      <c r="AA184" s="38">
        <v>114</v>
      </c>
      <c r="AB184" s="37">
        <f>IFERROR(VLOOKUP(A184,'Tash Lookup'!A:E,3,FALSE),"")</f>
        <v>3824.3900000000003</v>
      </c>
      <c r="AC184" s="6">
        <f t="shared" si="25"/>
        <v>0</v>
      </c>
      <c r="AD184" s="2" t="s">
        <v>6703</v>
      </c>
      <c r="AF184" s="56">
        <v>36</v>
      </c>
      <c r="AG184" s="56">
        <f>VLOOKUP(A184,Sheet1!$A$2:$C$1140,3,FALSE)</f>
        <v>37.08</v>
      </c>
      <c r="AH184" s="58">
        <v>37.08</v>
      </c>
      <c r="AI184" s="56" t="str">
        <f t="shared" si="26"/>
        <v>Increase</v>
      </c>
      <c r="AJ184" s="81">
        <f t="shared" si="30"/>
        <v>4104</v>
      </c>
      <c r="AK184" s="81">
        <f t="shared" si="31"/>
        <v>4227.12</v>
      </c>
      <c r="AL184" s="58" t="s">
        <v>32</v>
      </c>
      <c r="AM184" s="58" t="s">
        <v>6703</v>
      </c>
      <c r="AN184" s="75">
        <v>78</v>
      </c>
      <c r="AO184" s="88">
        <v>37.08</v>
      </c>
      <c r="AP184" s="6" t="str">
        <f t="shared" si="27"/>
        <v>Increase</v>
      </c>
      <c r="AQ184" s="81">
        <f t="shared" si="28"/>
        <v>2808</v>
      </c>
      <c r="AR184" s="81">
        <f t="shared" si="29"/>
        <v>2892.24</v>
      </c>
      <c r="AS184" s="82">
        <f t="shared" si="32"/>
        <v>84.239999999999782</v>
      </c>
    </row>
    <row r="185" spans="1:45" hidden="1" x14ac:dyDescent="0.3">
      <c r="A185">
        <v>6383929</v>
      </c>
      <c r="B185" s="15" t="s">
        <v>5521</v>
      </c>
      <c r="C185" s="16" t="s">
        <v>30</v>
      </c>
      <c r="D185" s="6" t="s">
        <v>31</v>
      </c>
      <c r="E185" t="s">
        <v>760</v>
      </c>
      <c r="F185" t="s">
        <v>760</v>
      </c>
      <c r="H185" s="11" t="s">
        <v>27</v>
      </c>
      <c r="I185" s="6" t="s">
        <v>28</v>
      </c>
      <c r="J185" s="6" t="s">
        <v>28</v>
      </c>
      <c r="K185" t="s">
        <v>32</v>
      </c>
      <c r="L185" s="35">
        <v>5.85</v>
      </c>
      <c r="M185" s="6" t="s">
        <v>29</v>
      </c>
      <c r="N185" s="6">
        <v>3105</v>
      </c>
      <c r="P185" s="18"/>
      <c r="Q185" s="17"/>
      <c r="R185" s="19">
        <v>5.85</v>
      </c>
      <c r="S185" s="19">
        <v>5.85</v>
      </c>
      <c r="T185" s="38">
        <v>111</v>
      </c>
      <c r="U185" s="38"/>
      <c r="V185" s="31">
        <v>5.85</v>
      </c>
      <c r="W185" s="35">
        <v>5.85</v>
      </c>
      <c r="X185" s="32">
        <f t="shared" si="22"/>
        <v>649.34999999999991</v>
      </c>
      <c r="Y185" s="32">
        <f t="shared" si="23"/>
        <v>649.34999999999991</v>
      </c>
      <c r="Z185" s="32">
        <f t="shared" si="24"/>
        <v>0</v>
      </c>
      <c r="AA185" s="38">
        <v>111</v>
      </c>
      <c r="AB185" s="37">
        <f>IFERROR(VLOOKUP(A185,'Tash Lookup'!A:E,3,FALSE),"")</f>
        <v>625.66999999999996</v>
      </c>
      <c r="AC185" s="6">
        <f t="shared" si="25"/>
        <v>0</v>
      </c>
      <c r="AD185" s="2" t="s">
        <v>6709</v>
      </c>
      <c r="AF185" s="56">
        <v>5.85</v>
      </c>
      <c r="AG185" s="56">
        <f>VLOOKUP(A185,Sheet1!$A$2:$C$1140,3,FALSE)</f>
        <v>5.85</v>
      </c>
      <c r="AH185" s="58">
        <v>5.85</v>
      </c>
      <c r="AI185" s="56" t="str">
        <f t="shared" si="26"/>
        <v>Same</v>
      </c>
      <c r="AJ185" s="81">
        <f t="shared" si="30"/>
        <v>649.34999999999991</v>
      </c>
      <c r="AK185" s="81">
        <f t="shared" si="31"/>
        <v>649.34999999999991</v>
      </c>
      <c r="AL185" s="58" t="s">
        <v>7206</v>
      </c>
      <c r="AM185" s="58" t="s">
        <v>6709</v>
      </c>
      <c r="AN185" s="75">
        <v>2</v>
      </c>
      <c r="AO185" s="88">
        <v>5.85</v>
      </c>
      <c r="AP185" s="6" t="str">
        <f t="shared" si="27"/>
        <v>Same</v>
      </c>
      <c r="AQ185" s="81">
        <f t="shared" si="28"/>
        <v>11.7</v>
      </c>
      <c r="AR185" s="81">
        <f t="shared" si="29"/>
        <v>11.7</v>
      </c>
      <c r="AS185" s="81">
        <f t="shared" si="32"/>
        <v>0</v>
      </c>
    </row>
    <row r="186" spans="1:45" hidden="1" x14ac:dyDescent="0.3">
      <c r="A186">
        <v>5222330</v>
      </c>
      <c r="B186" s="15" t="s">
        <v>5522</v>
      </c>
      <c r="C186" s="16" t="s">
        <v>30</v>
      </c>
      <c r="D186" s="6" t="s">
        <v>31</v>
      </c>
      <c r="E186" t="s">
        <v>656</v>
      </c>
      <c r="F186" t="s">
        <v>656</v>
      </c>
      <c r="H186" s="11" t="s">
        <v>27</v>
      </c>
      <c r="I186" s="6" t="s">
        <v>28</v>
      </c>
      <c r="J186" s="6" t="s">
        <v>28</v>
      </c>
      <c r="K186" t="s">
        <v>32</v>
      </c>
      <c r="L186" s="35">
        <v>45.96</v>
      </c>
      <c r="M186" s="6" t="s">
        <v>29</v>
      </c>
      <c r="N186" s="6">
        <v>3105</v>
      </c>
      <c r="P186" s="18"/>
      <c r="Q186" s="17"/>
      <c r="R186" s="19">
        <v>45.96</v>
      </c>
      <c r="S186" s="19">
        <v>45.96</v>
      </c>
      <c r="T186" s="38">
        <v>111</v>
      </c>
      <c r="U186" s="38"/>
      <c r="V186" s="30">
        <v>45.96</v>
      </c>
      <c r="W186" s="35">
        <v>45.96</v>
      </c>
      <c r="X186" s="32">
        <f t="shared" si="22"/>
        <v>5101.5600000000004</v>
      </c>
      <c r="Y186" s="32">
        <f t="shared" si="23"/>
        <v>5101.5600000000004</v>
      </c>
      <c r="Z186" s="32">
        <f t="shared" si="24"/>
        <v>0</v>
      </c>
      <c r="AA186" s="38">
        <v>111</v>
      </c>
      <c r="AB186" s="37">
        <f>IFERROR(VLOOKUP(A186,'Tash Lookup'!A:E,3,FALSE),"")</f>
        <v>5075.82</v>
      </c>
      <c r="AC186" s="6">
        <f t="shared" si="25"/>
        <v>0</v>
      </c>
      <c r="AD186" s="2" t="s">
        <v>6703</v>
      </c>
      <c r="AF186" s="56">
        <v>47.8</v>
      </c>
      <c r="AG186" s="56">
        <f>VLOOKUP(A186,Sheet1!$A$2:$C$1140,3,FALSE)</f>
        <v>47.8</v>
      </c>
      <c r="AH186" s="58">
        <v>47.8</v>
      </c>
      <c r="AI186" s="56" t="str">
        <f t="shared" si="26"/>
        <v>Same</v>
      </c>
      <c r="AJ186" s="81">
        <f t="shared" si="30"/>
        <v>5305.7999999999993</v>
      </c>
      <c r="AK186" s="81">
        <f t="shared" si="31"/>
        <v>5305.7999999999993</v>
      </c>
      <c r="AL186" s="58" t="s">
        <v>7206</v>
      </c>
      <c r="AM186" s="58" t="s">
        <v>6703</v>
      </c>
      <c r="AN186" s="75">
        <v>15</v>
      </c>
      <c r="AO186" s="88">
        <v>47.8</v>
      </c>
      <c r="AP186" s="6" t="str">
        <f t="shared" si="27"/>
        <v>Same</v>
      </c>
      <c r="AQ186" s="81">
        <f t="shared" si="28"/>
        <v>717</v>
      </c>
      <c r="AR186" s="81">
        <f t="shared" si="29"/>
        <v>717</v>
      </c>
      <c r="AS186" s="81">
        <f t="shared" si="32"/>
        <v>0</v>
      </c>
    </row>
    <row r="187" spans="1:45" hidden="1" x14ac:dyDescent="0.3">
      <c r="A187">
        <v>6183851</v>
      </c>
      <c r="B187" s="15" t="s">
        <v>5523</v>
      </c>
      <c r="C187" s="16" t="s">
        <v>30</v>
      </c>
      <c r="D187" s="6" t="s">
        <v>31</v>
      </c>
      <c r="E187" t="s">
        <v>2556</v>
      </c>
      <c r="F187" t="s">
        <v>2556</v>
      </c>
      <c r="H187" s="11" t="s">
        <v>27</v>
      </c>
      <c r="I187" s="6" t="s">
        <v>28</v>
      </c>
      <c r="J187" s="6" t="s">
        <v>28</v>
      </c>
      <c r="K187" t="s">
        <v>32</v>
      </c>
      <c r="L187" s="35">
        <v>2.15</v>
      </c>
      <c r="M187" s="6" t="s">
        <v>29</v>
      </c>
      <c r="N187" s="6">
        <v>3105</v>
      </c>
      <c r="P187" s="18"/>
      <c r="Q187" s="17"/>
      <c r="R187" s="19">
        <v>4.96</v>
      </c>
      <c r="S187" s="19">
        <v>4.96</v>
      </c>
      <c r="T187" s="38">
        <v>110</v>
      </c>
      <c r="U187" s="38"/>
      <c r="V187" s="30">
        <v>4.96</v>
      </c>
      <c r="W187" s="35">
        <v>2.15</v>
      </c>
      <c r="X187" s="32">
        <f t="shared" si="22"/>
        <v>545.6</v>
      </c>
      <c r="Y187" s="32">
        <f t="shared" si="23"/>
        <v>236.5</v>
      </c>
      <c r="Z187" s="32">
        <f t="shared" si="24"/>
        <v>309.10000000000002</v>
      </c>
      <c r="AA187" s="38">
        <v>110</v>
      </c>
      <c r="AB187" s="37">
        <f>IFERROR(VLOOKUP(A187,'Tash Lookup'!A:E,3,FALSE),"")</f>
        <v>236.11</v>
      </c>
      <c r="AC187" s="6">
        <f t="shared" si="25"/>
        <v>0</v>
      </c>
      <c r="AD187" s="2" t="s">
        <v>6703</v>
      </c>
      <c r="AF187" s="56">
        <v>4.46</v>
      </c>
      <c r="AG187" s="56">
        <f>VLOOKUP(A187,Sheet1!$A$2:$C$1140,3,FALSE)</f>
        <v>4.55</v>
      </c>
      <c r="AH187" s="58">
        <v>4.55</v>
      </c>
      <c r="AI187" s="56" t="str">
        <f t="shared" si="26"/>
        <v>Increase</v>
      </c>
      <c r="AJ187" s="81">
        <f t="shared" si="30"/>
        <v>490.6</v>
      </c>
      <c r="AK187" s="81">
        <f t="shared" si="31"/>
        <v>500.5</v>
      </c>
      <c r="AL187" s="58" t="s">
        <v>7206</v>
      </c>
      <c r="AM187" s="58" t="s">
        <v>6703</v>
      </c>
      <c r="AN187" s="75">
        <v>57</v>
      </c>
      <c r="AO187" s="88">
        <v>4.55</v>
      </c>
      <c r="AP187" s="6" t="str">
        <f t="shared" si="27"/>
        <v>Increase</v>
      </c>
      <c r="AQ187" s="81">
        <f t="shared" si="28"/>
        <v>254.22</v>
      </c>
      <c r="AR187" s="81">
        <f t="shared" si="29"/>
        <v>259.34999999999997</v>
      </c>
      <c r="AS187" s="82">
        <f t="shared" si="32"/>
        <v>5.129999999999967</v>
      </c>
    </row>
    <row r="188" spans="1:45" hidden="1" x14ac:dyDescent="0.3">
      <c r="A188">
        <v>5183382</v>
      </c>
      <c r="B188" s="15" t="s">
        <v>5524</v>
      </c>
      <c r="C188" s="16" t="s">
        <v>30</v>
      </c>
      <c r="D188" s="6" t="s">
        <v>31</v>
      </c>
      <c r="E188" t="s">
        <v>155</v>
      </c>
      <c r="F188" t="s">
        <v>155</v>
      </c>
      <c r="H188" s="11" t="s">
        <v>27</v>
      </c>
      <c r="I188" s="6" t="s">
        <v>28</v>
      </c>
      <c r="J188" s="6" t="s">
        <v>28</v>
      </c>
      <c r="K188" t="s">
        <v>32</v>
      </c>
      <c r="L188" s="35">
        <v>14.02</v>
      </c>
      <c r="M188" s="6" t="s">
        <v>29</v>
      </c>
      <c r="N188" s="6">
        <v>3105</v>
      </c>
      <c r="P188" s="18"/>
      <c r="Q188" s="17"/>
      <c r="R188" s="19">
        <v>14.02</v>
      </c>
      <c r="S188" s="19">
        <v>14.02</v>
      </c>
      <c r="T188" s="38">
        <v>110</v>
      </c>
      <c r="U188" s="38"/>
      <c r="V188" s="29">
        <v>14.02</v>
      </c>
      <c r="W188" s="35">
        <v>14.02</v>
      </c>
      <c r="X188" s="32">
        <f t="shared" si="22"/>
        <v>1542.2</v>
      </c>
      <c r="Y188" s="32">
        <f t="shared" si="23"/>
        <v>1542.2</v>
      </c>
      <c r="Z188" s="32">
        <f t="shared" si="24"/>
        <v>0</v>
      </c>
      <c r="AA188" s="38">
        <v>110</v>
      </c>
      <c r="AB188" s="37">
        <f>IFERROR(VLOOKUP(A188,'Tash Lookup'!A:E,3,FALSE),"")</f>
        <v>1520.04</v>
      </c>
      <c r="AC188" s="6">
        <f t="shared" si="25"/>
        <v>0</v>
      </c>
      <c r="AD188" s="2" t="s">
        <v>6703</v>
      </c>
      <c r="AF188" s="56">
        <v>14.7</v>
      </c>
      <c r="AG188" s="56">
        <f>VLOOKUP(A188,Sheet1!$A$2:$C$1140,3,FALSE)</f>
        <v>14.7</v>
      </c>
      <c r="AH188" s="58">
        <v>14.7</v>
      </c>
      <c r="AI188" s="56" t="str">
        <f t="shared" si="26"/>
        <v>Same</v>
      </c>
      <c r="AJ188" s="81">
        <f t="shared" si="30"/>
        <v>1617</v>
      </c>
      <c r="AK188" s="81">
        <f t="shared" si="31"/>
        <v>1617</v>
      </c>
      <c r="AL188" s="58" t="s">
        <v>32</v>
      </c>
      <c r="AM188" s="58" t="s">
        <v>6703</v>
      </c>
      <c r="AN188" s="75">
        <v>33</v>
      </c>
      <c r="AO188" s="88">
        <v>14.7</v>
      </c>
      <c r="AP188" s="6" t="str">
        <f t="shared" si="27"/>
        <v>Same</v>
      </c>
      <c r="AQ188" s="81">
        <f t="shared" si="28"/>
        <v>485.09999999999997</v>
      </c>
      <c r="AR188" s="81">
        <f t="shared" si="29"/>
        <v>485.09999999999997</v>
      </c>
      <c r="AS188" s="81">
        <f t="shared" si="32"/>
        <v>0</v>
      </c>
    </row>
    <row r="189" spans="1:45" hidden="1" x14ac:dyDescent="0.3">
      <c r="A189">
        <v>5218651</v>
      </c>
      <c r="B189" s="15" t="s">
        <v>5525</v>
      </c>
      <c r="C189" s="16" t="s">
        <v>30</v>
      </c>
      <c r="D189" s="6" t="s">
        <v>31</v>
      </c>
      <c r="E189" t="s">
        <v>280</v>
      </c>
      <c r="F189" t="s">
        <v>280</v>
      </c>
      <c r="H189" s="11" t="s">
        <v>27</v>
      </c>
      <c r="I189" s="6" t="s">
        <v>28</v>
      </c>
      <c r="J189" s="6" t="s">
        <v>28</v>
      </c>
      <c r="K189" t="s">
        <v>32</v>
      </c>
      <c r="L189" s="35">
        <v>20.6</v>
      </c>
      <c r="M189" s="6" t="s">
        <v>29</v>
      </c>
      <c r="N189" s="6">
        <v>3105</v>
      </c>
      <c r="P189" s="18"/>
      <c r="Q189" s="17"/>
      <c r="R189" s="19">
        <v>25.17</v>
      </c>
      <c r="S189" s="19">
        <v>25.17</v>
      </c>
      <c r="T189" s="38">
        <v>109</v>
      </c>
      <c r="U189" s="38"/>
      <c r="V189" s="29">
        <v>20.6</v>
      </c>
      <c r="W189" s="45">
        <v>15.43</v>
      </c>
      <c r="X189" s="32">
        <f t="shared" si="22"/>
        <v>2245.4</v>
      </c>
      <c r="Y189" s="32">
        <f t="shared" si="23"/>
        <v>2245.4</v>
      </c>
      <c r="Z189" s="32">
        <f t="shared" si="24"/>
        <v>0</v>
      </c>
      <c r="AA189" s="38">
        <v>109</v>
      </c>
      <c r="AB189" s="37">
        <f>IFERROR(VLOOKUP(A189,'Tash Lookup'!A:E,3,FALSE),"")</f>
        <v>1947.39</v>
      </c>
      <c r="AC189" s="6">
        <f t="shared" si="25"/>
        <v>0</v>
      </c>
      <c r="AD189" s="2" t="s">
        <v>6703</v>
      </c>
      <c r="AF189" s="56">
        <v>22.49</v>
      </c>
      <c r="AG189" s="56">
        <f>VLOOKUP(A189,Sheet1!$A$2:$C$1140,3,FALSE)</f>
        <v>23.16</v>
      </c>
      <c r="AH189" s="58">
        <v>23.16</v>
      </c>
      <c r="AI189" s="56" t="str">
        <f t="shared" si="26"/>
        <v>Increase</v>
      </c>
      <c r="AJ189" s="81">
        <f t="shared" si="30"/>
        <v>2451.41</v>
      </c>
      <c r="AK189" s="81">
        <f t="shared" si="31"/>
        <v>2524.44</v>
      </c>
      <c r="AL189" s="58" t="s">
        <v>32</v>
      </c>
      <c r="AM189" s="58" t="s">
        <v>6703</v>
      </c>
      <c r="AN189" s="75">
        <v>101</v>
      </c>
      <c r="AO189" s="88">
        <v>23.16</v>
      </c>
      <c r="AP189" s="6" t="str">
        <f t="shared" si="27"/>
        <v>Increase</v>
      </c>
      <c r="AQ189" s="81">
        <f t="shared" si="28"/>
        <v>2271.4899999999998</v>
      </c>
      <c r="AR189" s="81">
        <f t="shared" si="29"/>
        <v>2339.16</v>
      </c>
      <c r="AS189" s="82">
        <f t="shared" si="32"/>
        <v>67.670000000000073</v>
      </c>
    </row>
    <row r="190" spans="1:45" hidden="1" x14ac:dyDescent="0.3">
      <c r="A190">
        <v>5090795</v>
      </c>
      <c r="B190" s="15" t="s">
        <v>5526</v>
      </c>
      <c r="C190" s="16" t="s">
        <v>30</v>
      </c>
      <c r="D190" s="6" t="s">
        <v>31</v>
      </c>
      <c r="E190" t="s">
        <v>76</v>
      </c>
      <c r="F190" t="s">
        <v>76</v>
      </c>
      <c r="H190" s="11" t="s">
        <v>27</v>
      </c>
      <c r="I190" s="6" t="s">
        <v>28</v>
      </c>
      <c r="J190" s="6" t="s">
        <v>28</v>
      </c>
      <c r="K190" t="s">
        <v>32</v>
      </c>
      <c r="L190" s="35">
        <v>27.68</v>
      </c>
      <c r="M190" s="6" t="s">
        <v>29</v>
      </c>
      <c r="N190" s="6">
        <v>3105</v>
      </c>
      <c r="P190" s="18"/>
      <c r="Q190" s="17"/>
      <c r="R190" s="19">
        <v>27.68</v>
      </c>
      <c r="S190" s="19">
        <v>27.68</v>
      </c>
      <c r="T190" s="38">
        <v>109</v>
      </c>
      <c r="U190" s="38"/>
      <c r="V190" s="29">
        <v>27.68</v>
      </c>
      <c r="W190" s="35">
        <v>27.68</v>
      </c>
      <c r="X190" s="32">
        <f t="shared" si="22"/>
        <v>3017.12</v>
      </c>
      <c r="Y190" s="32">
        <f t="shared" si="23"/>
        <v>3017.12</v>
      </c>
      <c r="Z190" s="32">
        <f t="shared" si="24"/>
        <v>0</v>
      </c>
      <c r="AA190" s="38">
        <v>109</v>
      </c>
      <c r="AB190" s="37">
        <f>IFERROR(VLOOKUP(A190,'Tash Lookup'!A:E,3,FALSE),"")</f>
        <v>3017.54</v>
      </c>
      <c r="AC190" s="6">
        <f t="shared" si="25"/>
        <v>0</v>
      </c>
      <c r="AD190" s="2" t="s">
        <v>6703</v>
      </c>
      <c r="AF190" s="56">
        <v>27.19</v>
      </c>
      <c r="AG190" s="56">
        <f>VLOOKUP(A190,Sheet1!$A$2:$C$1140,3,FALSE)</f>
        <v>27.19</v>
      </c>
      <c r="AH190" s="58">
        <v>27.19</v>
      </c>
      <c r="AI190" s="56" t="str">
        <f t="shared" si="26"/>
        <v>Same</v>
      </c>
      <c r="AJ190" s="81">
        <f t="shared" si="30"/>
        <v>2963.71</v>
      </c>
      <c r="AK190" s="81">
        <f t="shared" si="31"/>
        <v>2963.71</v>
      </c>
      <c r="AL190" s="58" t="s">
        <v>32</v>
      </c>
      <c r="AM190" s="58" t="s">
        <v>6703</v>
      </c>
      <c r="AN190" s="75">
        <v>15</v>
      </c>
      <c r="AO190" s="88">
        <v>27.19</v>
      </c>
      <c r="AP190" s="6" t="str">
        <f t="shared" si="27"/>
        <v>Same</v>
      </c>
      <c r="AQ190" s="81">
        <f t="shared" si="28"/>
        <v>407.85</v>
      </c>
      <c r="AR190" s="81">
        <f t="shared" si="29"/>
        <v>407.85</v>
      </c>
      <c r="AS190" s="81">
        <f t="shared" si="32"/>
        <v>0</v>
      </c>
    </row>
    <row r="191" spans="1:45" hidden="1" x14ac:dyDescent="0.3">
      <c r="A191">
        <v>6183907</v>
      </c>
      <c r="B191" s="15" t="s">
        <v>5527</v>
      </c>
      <c r="C191" s="16" t="s">
        <v>30</v>
      </c>
      <c r="D191" s="6" t="s">
        <v>31</v>
      </c>
      <c r="E191" t="s">
        <v>879</v>
      </c>
      <c r="F191" t="s">
        <v>879</v>
      </c>
      <c r="H191" s="11" t="s">
        <v>27</v>
      </c>
      <c r="I191" s="6" t="s">
        <v>28</v>
      </c>
      <c r="J191" s="6" t="s">
        <v>28</v>
      </c>
      <c r="K191" t="s">
        <v>32</v>
      </c>
      <c r="L191" s="35">
        <v>1.98</v>
      </c>
      <c r="M191" s="6" t="s">
        <v>29</v>
      </c>
      <c r="N191" s="6">
        <v>3105</v>
      </c>
      <c r="P191" s="18"/>
      <c r="Q191" s="17"/>
      <c r="R191" s="19">
        <v>1.98</v>
      </c>
      <c r="S191" s="19">
        <v>1.98</v>
      </c>
      <c r="T191" s="38">
        <v>108</v>
      </c>
      <c r="U191" s="38"/>
      <c r="V191" s="30">
        <v>1.98</v>
      </c>
      <c r="W191" s="35">
        <v>1.98</v>
      </c>
      <c r="X191" s="32">
        <f t="shared" si="22"/>
        <v>213.84</v>
      </c>
      <c r="Y191" s="32">
        <f t="shared" si="23"/>
        <v>213.84</v>
      </c>
      <c r="Z191" s="32">
        <f t="shared" si="24"/>
        <v>0</v>
      </c>
      <c r="AA191" s="38">
        <v>108</v>
      </c>
      <c r="AB191" s="37">
        <f>IFERROR(VLOOKUP(A191,'Tash Lookup'!A:E,3,FALSE),"")</f>
        <v>208.31</v>
      </c>
      <c r="AC191" s="6">
        <f t="shared" si="25"/>
        <v>0</v>
      </c>
      <c r="AD191" s="2" t="s">
        <v>6703</v>
      </c>
      <c r="AF191" s="56">
        <v>1.98</v>
      </c>
      <c r="AG191" s="56">
        <f>VLOOKUP(A191,Sheet1!$A$2:$C$1140,3,FALSE)</f>
        <v>2.02</v>
      </c>
      <c r="AH191" s="58">
        <v>2.02</v>
      </c>
      <c r="AI191" s="56" t="str">
        <f t="shared" si="26"/>
        <v>Increase</v>
      </c>
      <c r="AJ191" s="81">
        <f t="shared" si="30"/>
        <v>213.84</v>
      </c>
      <c r="AK191" s="81">
        <f t="shared" si="31"/>
        <v>218.16</v>
      </c>
      <c r="AL191" s="58" t="s">
        <v>7206</v>
      </c>
      <c r="AM191" s="58" t="s">
        <v>6703</v>
      </c>
      <c r="AN191" s="75">
        <v>59</v>
      </c>
      <c r="AO191" s="88">
        <v>2.02</v>
      </c>
      <c r="AP191" s="6" t="str">
        <f t="shared" si="27"/>
        <v>Increase</v>
      </c>
      <c r="AQ191" s="81">
        <f t="shared" si="28"/>
        <v>116.82</v>
      </c>
      <c r="AR191" s="81">
        <f t="shared" si="29"/>
        <v>119.18</v>
      </c>
      <c r="AS191" s="82">
        <f t="shared" si="32"/>
        <v>2.3600000000000136</v>
      </c>
    </row>
    <row r="192" spans="1:45" hidden="1" x14ac:dyDescent="0.3">
      <c r="A192">
        <v>6372916</v>
      </c>
      <c r="B192" s="15" t="s">
        <v>5528</v>
      </c>
      <c r="C192" s="16" t="s">
        <v>30</v>
      </c>
      <c r="D192" s="6" t="s">
        <v>31</v>
      </c>
      <c r="E192" t="s">
        <v>1305</v>
      </c>
      <c r="F192" t="s">
        <v>1305</v>
      </c>
      <c r="H192" s="11" t="s">
        <v>27</v>
      </c>
      <c r="I192" s="6" t="s">
        <v>28</v>
      </c>
      <c r="J192" s="6" t="s">
        <v>28</v>
      </c>
      <c r="K192" t="s">
        <v>32</v>
      </c>
      <c r="L192" s="35">
        <v>5.62</v>
      </c>
      <c r="M192" s="6" t="s">
        <v>29</v>
      </c>
      <c r="N192" s="6">
        <v>3105</v>
      </c>
      <c r="P192" s="18"/>
      <c r="Q192" s="17"/>
      <c r="R192" s="19">
        <v>5.62</v>
      </c>
      <c r="S192" s="19">
        <v>5.62</v>
      </c>
      <c r="T192" s="38">
        <v>106</v>
      </c>
      <c r="U192" s="38"/>
      <c r="V192" s="30">
        <v>5.62</v>
      </c>
      <c r="W192" s="35">
        <v>5.62</v>
      </c>
      <c r="X192" s="32">
        <f t="shared" si="22"/>
        <v>595.72</v>
      </c>
      <c r="Y192" s="32">
        <f t="shared" si="23"/>
        <v>595.72</v>
      </c>
      <c r="Z192" s="32">
        <f t="shared" si="24"/>
        <v>0</v>
      </c>
      <c r="AA192" s="38">
        <v>106</v>
      </c>
      <c r="AB192" s="37">
        <f>IFERROR(VLOOKUP(A192,'Tash Lookup'!A:E,3,FALSE),"")</f>
        <v>595.33000000000004</v>
      </c>
      <c r="AC192" s="6">
        <f t="shared" si="25"/>
        <v>0</v>
      </c>
      <c r="AD192" s="2" t="s">
        <v>6703</v>
      </c>
      <c r="AF192" s="56">
        <v>6.26</v>
      </c>
      <c r="AG192" s="56">
        <f>VLOOKUP(A192,Sheet1!$A$2:$C$1140,3,FALSE)</f>
        <v>6.26</v>
      </c>
      <c r="AH192" s="58">
        <v>6.26</v>
      </c>
      <c r="AI192" s="56" t="str">
        <f t="shared" si="26"/>
        <v>Same</v>
      </c>
      <c r="AJ192" s="81">
        <f t="shared" si="30"/>
        <v>663.56</v>
      </c>
      <c r="AK192" s="81">
        <f t="shared" si="31"/>
        <v>663.56</v>
      </c>
      <c r="AL192" s="58" t="s">
        <v>7206</v>
      </c>
      <c r="AM192" s="58" t="s">
        <v>6708</v>
      </c>
      <c r="AN192" s="75">
        <v>89</v>
      </c>
      <c r="AO192" s="88">
        <v>6.26</v>
      </c>
      <c r="AP192" s="6" t="str">
        <f t="shared" si="27"/>
        <v>Same</v>
      </c>
      <c r="AQ192" s="81">
        <f t="shared" si="28"/>
        <v>557.14</v>
      </c>
      <c r="AR192" s="81">
        <f t="shared" si="29"/>
        <v>557.14</v>
      </c>
      <c r="AS192" s="81">
        <f t="shared" si="32"/>
        <v>0</v>
      </c>
    </row>
    <row r="193" spans="1:45" hidden="1" x14ac:dyDescent="0.3">
      <c r="A193">
        <v>5180491</v>
      </c>
      <c r="B193" s="15" t="s">
        <v>5529</v>
      </c>
      <c r="C193" s="16" t="s">
        <v>30</v>
      </c>
      <c r="D193" s="6" t="s">
        <v>31</v>
      </c>
      <c r="E193" t="s">
        <v>325</v>
      </c>
      <c r="F193" t="s">
        <v>325</v>
      </c>
      <c r="H193" s="11" t="s">
        <v>27</v>
      </c>
      <c r="I193" s="6" t="s">
        <v>28</v>
      </c>
      <c r="J193" s="6" t="s">
        <v>28</v>
      </c>
      <c r="K193" t="s">
        <v>32</v>
      </c>
      <c r="L193" s="35">
        <v>35.4</v>
      </c>
      <c r="M193" s="6" t="s">
        <v>29</v>
      </c>
      <c r="N193" s="6">
        <v>3105</v>
      </c>
      <c r="P193" s="18"/>
      <c r="Q193" s="17"/>
      <c r="R193" s="19">
        <v>35.4</v>
      </c>
      <c r="S193" s="19">
        <v>35.4</v>
      </c>
      <c r="T193" s="38">
        <v>105</v>
      </c>
      <c r="U193" s="38"/>
      <c r="V193" s="29">
        <v>35.4</v>
      </c>
      <c r="W193" s="35">
        <v>35.4</v>
      </c>
      <c r="X193" s="32">
        <f t="shared" si="22"/>
        <v>3717</v>
      </c>
      <c r="Y193" s="32">
        <f t="shared" si="23"/>
        <v>3717</v>
      </c>
      <c r="Z193" s="32">
        <f t="shared" si="24"/>
        <v>0</v>
      </c>
      <c r="AA193" s="38">
        <v>105</v>
      </c>
      <c r="AB193" s="37">
        <f>IFERROR(VLOOKUP(A193,'Tash Lookup'!A:E,3,FALSE),"")</f>
        <v>3743.95</v>
      </c>
      <c r="AC193" s="6">
        <f t="shared" si="25"/>
        <v>0</v>
      </c>
      <c r="AD193" s="2" t="s">
        <v>6704</v>
      </c>
      <c r="AF193" s="56">
        <v>36.86</v>
      </c>
      <c r="AG193" s="56" t="e">
        <f>VLOOKUP(A193,Sheet1!$A$2:$C$1140,3,FALSE)</f>
        <v>#N/A</v>
      </c>
      <c r="AH193" s="58" t="e">
        <v>#N/A</v>
      </c>
      <c r="AI193" s="56" t="str">
        <f t="shared" si="26"/>
        <v>Delete</v>
      </c>
      <c r="AJ193" s="81">
        <f t="shared" si="30"/>
        <v>3870.2999999999997</v>
      </c>
      <c r="AK193" s="81">
        <f t="shared" si="31"/>
        <v>0</v>
      </c>
      <c r="AL193" s="58" t="s">
        <v>32</v>
      </c>
      <c r="AM193" s="58" t="s">
        <v>6708</v>
      </c>
      <c r="AN193" s="75">
        <v>0</v>
      </c>
      <c r="AO193" s="88">
        <v>36.86</v>
      </c>
      <c r="AP193" s="6" t="str">
        <f t="shared" si="27"/>
        <v>Same</v>
      </c>
      <c r="AQ193" s="81">
        <f t="shared" si="28"/>
        <v>0</v>
      </c>
      <c r="AR193" s="81">
        <f t="shared" si="29"/>
        <v>0</v>
      </c>
      <c r="AS193" s="81">
        <f t="shared" si="32"/>
        <v>0</v>
      </c>
    </row>
    <row r="194" spans="1:45" hidden="1" x14ac:dyDescent="0.3">
      <c r="A194">
        <v>5218591</v>
      </c>
      <c r="B194" s="15" t="s">
        <v>5530</v>
      </c>
      <c r="C194" s="16" t="s">
        <v>30</v>
      </c>
      <c r="D194" s="6" t="s">
        <v>31</v>
      </c>
      <c r="E194" t="s">
        <v>34</v>
      </c>
      <c r="F194" t="s">
        <v>34</v>
      </c>
      <c r="H194" s="11" t="s">
        <v>27</v>
      </c>
      <c r="I194" s="6" t="s">
        <v>28</v>
      </c>
      <c r="J194" s="6" t="s">
        <v>28</v>
      </c>
      <c r="K194" t="s">
        <v>32</v>
      </c>
      <c r="L194" s="35">
        <v>18.149999999999999</v>
      </c>
      <c r="M194" s="6" t="s">
        <v>29</v>
      </c>
      <c r="N194" s="6">
        <v>3105</v>
      </c>
      <c r="P194" s="18"/>
      <c r="Q194" s="17"/>
      <c r="R194" s="19">
        <v>20.74</v>
      </c>
      <c r="S194" s="19">
        <v>20.74</v>
      </c>
      <c r="T194" s="38">
        <v>104</v>
      </c>
      <c r="U194" s="38"/>
      <c r="V194" s="29">
        <v>18.149999999999999</v>
      </c>
      <c r="W194" s="45">
        <v>13.88</v>
      </c>
      <c r="X194" s="32">
        <f t="shared" si="22"/>
        <v>1887.6</v>
      </c>
      <c r="Y194" s="32">
        <f t="shared" si="23"/>
        <v>1887.6</v>
      </c>
      <c r="Z194" s="32">
        <f t="shared" si="24"/>
        <v>0</v>
      </c>
      <c r="AA194" s="38">
        <v>104</v>
      </c>
      <c r="AB194" s="37">
        <f>IFERROR(VLOOKUP(A194,'Tash Lookup'!A:E,3,FALSE),"")</f>
        <v>1718.23</v>
      </c>
      <c r="AC194" s="6">
        <f t="shared" si="25"/>
        <v>0</v>
      </c>
      <c r="AD194" s="2" t="s">
        <v>6703</v>
      </c>
      <c r="AF194" s="56">
        <v>19.8</v>
      </c>
      <c r="AG194" s="56">
        <f>VLOOKUP(A194,Sheet1!$A$2:$C$1140,3,FALSE)</f>
        <v>19.8</v>
      </c>
      <c r="AH194" s="58">
        <v>19.8</v>
      </c>
      <c r="AI194" s="56" t="str">
        <f t="shared" si="26"/>
        <v>Same</v>
      </c>
      <c r="AJ194" s="81">
        <f t="shared" si="30"/>
        <v>2059.2000000000003</v>
      </c>
      <c r="AK194" s="81">
        <f t="shared" si="31"/>
        <v>2059.2000000000003</v>
      </c>
      <c r="AL194" s="58" t="s">
        <v>32</v>
      </c>
      <c r="AM194" s="58" t="s">
        <v>6703</v>
      </c>
      <c r="AN194" s="75">
        <v>111</v>
      </c>
      <c r="AO194" s="88">
        <v>19.8</v>
      </c>
      <c r="AP194" s="6" t="str">
        <f t="shared" si="27"/>
        <v>Same</v>
      </c>
      <c r="AQ194" s="81">
        <f t="shared" si="28"/>
        <v>2197.8000000000002</v>
      </c>
      <c r="AR194" s="81">
        <f t="shared" si="29"/>
        <v>2197.8000000000002</v>
      </c>
      <c r="AS194" s="81">
        <f t="shared" si="32"/>
        <v>0</v>
      </c>
    </row>
    <row r="195" spans="1:45" hidden="1" x14ac:dyDescent="0.3">
      <c r="A195">
        <v>5236722</v>
      </c>
      <c r="B195" s="15" t="s">
        <v>5531</v>
      </c>
      <c r="C195" s="16" t="s">
        <v>30</v>
      </c>
      <c r="D195" s="6" t="s">
        <v>31</v>
      </c>
      <c r="E195" t="s">
        <v>269</v>
      </c>
      <c r="F195" t="s">
        <v>269</v>
      </c>
      <c r="H195" s="11" t="s">
        <v>27</v>
      </c>
      <c r="I195" s="6" t="s">
        <v>28</v>
      </c>
      <c r="J195" s="6" t="s">
        <v>28</v>
      </c>
      <c r="K195" t="s">
        <v>32</v>
      </c>
      <c r="L195" s="35">
        <v>24.05</v>
      </c>
      <c r="M195" s="6" t="s">
        <v>29</v>
      </c>
      <c r="N195" s="6">
        <v>3105</v>
      </c>
      <c r="P195" s="18"/>
      <c r="Q195" s="17"/>
      <c r="R195" s="19">
        <v>24.05</v>
      </c>
      <c r="S195" s="19">
        <v>24.05</v>
      </c>
      <c r="T195" s="38">
        <v>103</v>
      </c>
      <c r="U195" s="38"/>
      <c r="V195" s="29">
        <v>24.05</v>
      </c>
      <c r="W195" s="45">
        <v>23.67</v>
      </c>
      <c r="X195" s="32">
        <f t="shared" si="22"/>
        <v>2477.15</v>
      </c>
      <c r="Y195" s="32">
        <f t="shared" si="23"/>
        <v>2477.15</v>
      </c>
      <c r="Z195" s="32">
        <f t="shared" si="24"/>
        <v>0</v>
      </c>
      <c r="AA195" s="38">
        <v>103</v>
      </c>
      <c r="AB195" s="37">
        <f>IFERROR(VLOOKUP(A195,'Tash Lookup'!A:E,3,FALSE),"")</f>
        <v>2432.6</v>
      </c>
      <c r="AC195" s="6">
        <f t="shared" si="25"/>
        <v>0</v>
      </c>
      <c r="AD195" s="2" t="s">
        <v>6703</v>
      </c>
      <c r="AF195" s="56">
        <v>25.2</v>
      </c>
      <c r="AG195" s="56">
        <f>VLOOKUP(A195,Sheet1!$A$2:$C$1140,3,FALSE)</f>
        <v>25.96</v>
      </c>
      <c r="AH195" s="58">
        <v>25.96</v>
      </c>
      <c r="AI195" s="56" t="str">
        <f t="shared" si="26"/>
        <v>Increase</v>
      </c>
      <c r="AJ195" s="81">
        <f t="shared" si="30"/>
        <v>2595.6</v>
      </c>
      <c r="AK195" s="81">
        <f t="shared" si="31"/>
        <v>2673.88</v>
      </c>
      <c r="AL195" s="58" t="s">
        <v>32</v>
      </c>
      <c r="AM195" s="58" t="s">
        <v>6703</v>
      </c>
      <c r="AN195" s="75">
        <v>34</v>
      </c>
      <c r="AO195" s="88">
        <v>25.96</v>
      </c>
      <c r="AP195" s="6" t="str">
        <f t="shared" si="27"/>
        <v>Increase</v>
      </c>
      <c r="AQ195" s="81">
        <f t="shared" si="28"/>
        <v>856.8</v>
      </c>
      <c r="AR195" s="81">
        <f t="shared" si="29"/>
        <v>882.64</v>
      </c>
      <c r="AS195" s="82">
        <f t="shared" si="32"/>
        <v>25.840000000000032</v>
      </c>
    </row>
    <row r="196" spans="1:45" hidden="1" x14ac:dyDescent="0.3">
      <c r="A196">
        <v>5180470</v>
      </c>
      <c r="B196" s="15" t="s">
        <v>5532</v>
      </c>
      <c r="C196" s="16" t="s">
        <v>30</v>
      </c>
      <c r="D196" s="6" t="s">
        <v>31</v>
      </c>
      <c r="E196" t="s">
        <v>198</v>
      </c>
      <c r="F196" t="s">
        <v>198</v>
      </c>
      <c r="H196" s="11" t="s">
        <v>27</v>
      </c>
      <c r="I196" s="6" t="s">
        <v>28</v>
      </c>
      <c r="J196" s="6" t="s">
        <v>28</v>
      </c>
      <c r="K196" t="s">
        <v>32</v>
      </c>
      <c r="L196" s="35">
        <v>45.04</v>
      </c>
      <c r="M196" s="6" t="s">
        <v>29</v>
      </c>
      <c r="N196" s="6">
        <v>3105</v>
      </c>
      <c r="P196" s="18"/>
      <c r="Q196" s="17"/>
      <c r="R196" s="19">
        <v>45.04</v>
      </c>
      <c r="S196" s="19">
        <v>45.04</v>
      </c>
      <c r="T196" s="38">
        <v>103</v>
      </c>
      <c r="U196" s="38"/>
      <c r="V196" s="29">
        <v>45.04</v>
      </c>
      <c r="W196" s="35">
        <v>45.04</v>
      </c>
      <c r="X196" s="32">
        <f t="shared" si="22"/>
        <v>4639.12</v>
      </c>
      <c r="Y196" s="32">
        <f t="shared" si="23"/>
        <v>4639.12</v>
      </c>
      <c r="Z196" s="32">
        <f t="shared" si="24"/>
        <v>0</v>
      </c>
      <c r="AA196" s="38">
        <v>103</v>
      </c>
      <c r="AB196" s="37">
        <f>IFERROR(VLOOKUP(A196,'Tash Lookup'!A:E,3,FALSE),"")</f>
        <v>4458.67</v>
      </c>
      <c r="AC196" s="6">
        <f t="shared" si="25"/>
        <v>0</v>
      </c>
      <c r="AD196" s="2" t="s">
        <v>6703</v>
      </c>
      <c r="AF196" s="56">
        <v>47.32</v>
      </c>
      <c r="AG196" s="56">
        <f>VLOOKUP(A196,Sheet1!$A$2:$C$1140,3,FALSE)</f>
        <v>47.32</v>
      </c>
      <c r="AH196" s="58">
        <v>47.32</v>
      </c>
      <c r="AI196" s="56" t="str">
        <f t="shared" si="26"/>
        <v>Same</v>
      </c>
      <c r="AJ196" s="81">
        <f t="shared" si="30"/>
        <v>4873.96</v>
      </c>
      <c r="AK196" s="81">
        <f t="shared" si="31"/>
        <v>4873.96</v>
      </c>
      <c r="AL196" s="58" t="s">
        <v>32</v>
      </c>
      <c r="AM196" s="58" t="s">
        <v>6703</v>
      </c>
      <c r="AN196" s="75">
        <v>104</v>
      </c>
      <c r="AO196" s="88">
        <v>47.32</v>
      </c>
      <c r="AP196" s="6" t="str">
        <f t="shared" si="27"/>
        <v>Same</v>
      </c>
      <c r="AQ196" s="81">
        <f t="shared" si="28"/>
        <v>4921.28</v>
      </c>
      <c r="AR196" s="81">
        <f t="shared" si="29"/>
        <v>4921.28</v>
      </c>
      <c r="AS196" s="81">
        <f t="shared" si="32"/>
        <v>0</v>
      </c>
    </row>
    <row r="197" spans="1:45" hidden="1" x14ac:dyDescent="0.3">
      <c r="A197">
        <v>6085971</v>
      </c>
      <c r="B197" s="15" t="s">
        <v>5533</v>
      </c>
      <c r="C197" s="16" t="s">
        <v>30</v>
      </c>
      <c r="D197" s="6" t="s">
        <v>31</v>
      </c>
      <c r="E197" t="s">
        <v>1194</v>
      </c>
      <c r="F197" t="s">
        <v>1194</v>
      </c>
      <c r="H197" s="11" t="s">
        <v>27</v>
      </c>
      <c r="I197" s="6" t="s">
        <v>28</v>
      </c>
      <c r="J197" s="6" t="s">
        <v>28</v>
      </c>
      <c r="K197" t="s">
        <v>32</v>
      </c>
      <c r="L197" s="35">
        <v>2.94</v>
      </c>
      <c r="M197" s="6" t="s">
        <v>29</v>
      </c>
      <c r="N197" s="6">
        <v>3105</v>
      </c>
      <c r="P197" s="18"/>
      <c r="Q197" s="17"/>
      <c r="R197" s="19">
        <v>3.01</v>
      </c>
      <c r="S197" s="19">
        <v>0</v>
      </c>
      <c r="T197" s="38">
        <v>103</v>
      </c>
      <c r="U197" s="38"/>
      <c r="V197" s="31">
        <v>2.94</v>
      </c>
      <c r="W197" s="35">
        <v>2.94</v>
      </c>
      <c r="X197" s="32">
        <f t="shared" si="22"/>
        <v>302.82</v>
      </c>
      <c r="Y197" s="32">
        <f t="shared" si="23"/>
        <v>302.82</v>
      </c>
      <c r="Z197" s="32">
        <f t="shared" si="24"/>
        <v>0</v>
      </c>
      <c r="AA197" s="38">
        <v>103</v>
      </c>
      <c r="AB197" s="37">
        <f>IFERROR(VLOOKUP(A197,'Tash Lookup'!A:E,3,FALSE),"")</f>
        <v>298.57</v>
      </c>
      <c r="AC197" s="6">
        <f t="shared" si="25"/>
        <v>0</v>
      </c>
      <c r="AD197" s="2" t="s">
        <v>6703</v>
      </c>
      <c r="AF197" s="56">
        <v>2.94</v>
      </c>
      <c r="AG197" s="56">
        <f>VLOOKUP(A197,Sheet1!$A$2:$C$1140,3,FALSE)</f>
        <v>3</v>
      </c>
      <c r="AH197" s="58">
        <v>3</v>
      </c>
      <c r="AI197" s="56" t="str">
        <f t="shared" si="26"/>
        <v>Increase</v>
      </c>
      <c r="AJ197" s="81">
        <f t="shared" si="30"/>
        <v>302.82</v>
      </c>
      <c r="AK197" s="81">
        <f t="shared" si="31"/>
        <v>309</v>
      </c>
      <c r="AL197" s="58" t="s">
        <v>7206</v>
      </c>
      <c r="AM197" s="58" t="s">
        <v>6703</v>
      </c>
      <c r="AN197" s="75">
        <v>52</v>
      </c>
      <c r="AO197" s="88">
        <v>3</v>
      </c>
      <c r="AP197" s="6" t="str">
        <f t="shared" si="27"/>
        <v>Increase</v>
      </c>
      <c r="AQ197" s="81">
        <f t="shared" si="28"/>
        <v>152.88</v>
      </c>
      <c r="AR197" s="81">
        <f t="shared" si="29"/>
        <v>156</v>
      </c>
      <c r="AS197" s="82">
        <f t="shared" si="32"/>
        <v>3.1200000000000045</v>
      </c>
    </row>
    <row r="198" spans="1:45" hidden="1" x14ac:dyDescent="0.3">
      <c r="A198">
        <v>5222331</v>
      </c>
      <c r="B198" s="15" t="s">
        <v>5534</v>
      </c>
      <c r="C198" s="16" t="s">
        <v>30</v>
      </c>
      <c r="D198" s="6" t="s">
        <v>31</v>
      </c>
      <c r="E198" t="s">
        <v>654</v>
      </c>
      <c r="F198" t="s">
        <v>654</v>
      </c>
      <c r="H198" s="11" t="s">
        <v>27</v>
      </c>
      <c r="I198" s="6" t="s">
        <v>28</v>
      </c>
      <c r="J198" s="6" t="s">
        <v>28</v>
      </c>
      <c r="K198" t="s">
        <v>32</v>
      </c>
      <c r="L198" s="35">
        <v>23.87</v>
      </c>
      <c r="M198" s="6" t="s">
        <v>29</v>
      </c>
      <c r="N198" s="6">
        <v>3105</v>
      </c>
      <c r="P198" s="18"/>
      <c r="Q198" s="17"/>
      <c r="R198" s="19">
        <v>23.87</v>
      </c>
      <c r="S198" s="19">
        <v>23.87</v>
      </c>
      <c r="T198" s="38">
        <v>103</v>
      </c>
      <c r="U198" s="38"/>
      <c r="V198" s="30">
        <v>23.87</v>
      </c>
      <c r="W198" s="35">
        <v>23.87</v>
      </c>
      <c r="X198" s="32">
        <f t="shared" ref="X198:X261" si="33">SUM(V198*T198)</f>
        <v>2458.61</v>
      </c>
      <c r="Y198" s="32">
        <f t="shared" ref="Y198:Y261" si="34">SUM(L198*T198)</f>
        <v>2458.61</v>
      </c>
      <c r="Z198" s="32">
        <f t="shared" ref="Z198:Z261" si="35">SUM(X198-Y198)</f>
        <v>0</v>
      </c>
      <c r="AA198" s="38">
        <v>103</v>
      </c>
      <c r="AB198" s="37">
        <f>IFERROR(VLOOKUP(A198,'Tash Lookup'!A:E,3,FALSE),"")</f>
        <v>2455.17</v>
      </c>
      <c r="AC198" s="6">
        <f t="shared" ref="AC198:AC261" si="36">IFERROR(AA198-T198,"")</f>
        <v>0</v>
      </c>
      <c r="AD198" s="2" t="s">
        <v>6703</v>
      </c>
      <c r="AF198" s="56">
        <v>24.82</v>
      </c>
      <c r="AG198" s="56">
        <f>VLOOKUP(A198,Sheet1!$A$2:$C$1140,3,FALSE)</f>
        <v>24.82</v>
      </c>
      <c r="AH198" s="58">
        <v>24.82</v>
      </c>
      <c r="AI198" s="56" t="str">
        <f t="shared" ref="AI198:AI261" si="37">IF(ISNA(AH198),"Delete",IF(AH198=AF198,"Same",IF(AH198&gt;AF198,"Increase","Decrease")))</f>
        <v>Same</v>
      </c>
      <c r="AJ198" s="81">
        <f t="shared" si="30"/>
        <v>2556.46</v>
      </c>
      <c r="AK198" s="81">
        <f t="shared" si="31"/>
        <v>2556.46</v>
      </c>
      <c r="AL198" s="58" t="s">
        <v>7206</v>
      </c>
      <c r="AM198" s="58" t="s">
        <v>6703</v>
      </c>
      <c r="AN198" s="75">
        <v>31</v>
      </c>
      <c r="AO198" s="88">
        <v>24.82</v>
      </c>
      <c r="AP198" s="6" t="str">
        <f t="shared" ref="AP198:AP261" si="38">IF(AM198="Delete","Delete",IF(AO198=AF198,"Same",IF(AO198&gt;AF198,"Increase","Decrease")))</f>
        <v>Same</v>
      </c>
      <c r="AQ198" s="81">
        <f t="shared" ref="AQ198:AQ261" si="39">AN198*AF198</f>
        <v>769.42</v>
      </c>
      <c r="AR198" s="81">
        <f t="shared" ref="AR198:AR261" si="40">AN198*AO198</f>
        <v>769.42</v>
      </c>
      <c r="AS198" s="81">
        <f t="shared" si="32"/>
        <v>0</v>
      </c>
    </row>
    <row r="199" spans="1:45" hidden="1" x14ac:dyDescent="0.3">
      <c r="A199">
        <v>5092710</v>
      </c>
      <c r="B199" s="15" t="s">
        <v>5535</v>
      </c>
      <c r="C199" s="16" t="s">
        <v>30</v>
      </c>
      <c r="D199" s="6" t="s">
        <v>31</v>
      </c>
      <c r="E199" t="s">
        <v>400</v>
      </c>
      <c r="F199" t="s">
        <v>400</v>
      </c>
      <c r="H199" s="11" t="s">
        <v>27</v>
      </c>
      <c r="I199" s="6" t="s">
        <v>28</v>
      </c>
      <c r="J199" s="6" t="s">
        <v>28</v>
      </c>
      <c r="K199" t="s">
        <v>32</v>
      </c>
      <c r="L199" s="35">
        <v>32.200000000000003</v>
      </c>
      <c r="M199" s="6" t="s">
        <v>29</v>
      </c>
      <c r="N199" s="6">
        <v>3105</v>
      </c>
      <c r="P199" s="18"/>
      <c r="Q199" s="17"/>
      <c r="R199" s="19">
        <v>0</v>
      </c>
      <c r="S199" s="19">
        <v>0</v>
      </c>
      <c r="T199" s="38">
        <v>102</v>
      </c>
      <c r="U199" s="38"/>
      <c r="V199" s="29">
        <v>32.200000000000003</v>
      </c>
      <c r="W199" s="35">
        <v>32.200000000000003</v>
      </c>
      <c r="X199" s="32">
        <f t="shared" si="33"/>
        <v>3284.4</v>
      </c>
      <c r="Y199" s="32">
        <f t="shared" si="34"/>
        <v>3284.4</v>
      </c>
      <c r="Z199" s="32">
        <f t="shared" si="35"/>
        <v>0</v>
      </c>
      <c r="AA199" s="38">
        <v>102</v>
      </c>
      <c r="AB199" s="37">
        <f>IFERROR(VLOOKUP(A199,'Tash Lookup'!A:E,3,FALSE),"")</f>
        <v>3418.56</v>
      </c>
      <c r="AC199" s="6">
        <f t="shared" si="36"/>
        <v>0</v>
      </c>
      <c r="AD199" s="2" t="s">
        <v>6703</v>
      </c>
      <c r="AF199" s="56">
        <v>32.909999999999997</v>
      </c>
      <c r="AG199" s="56">
        <f>VLOOKUP(A199,Sheet1!$A$2:$C$1140,3,FALSE)</f>
        <v>33.9</v>
      </c>
      <c r="AH199" s="58">
        <v>33.9</v>
      </c>
      <c r="AI199" s="56" t="str">
        <f t="shared" si="37"/>
        <v>Increase</v>
      </c>
      <c r="AJ199" s="81">
        <f t="shared" ref="AJ199:AJ262" si="41">IFERROR(AA199*AF199,0)</f>
        <v>3356.8199999999997</v>
      </c>
      <c r="AK199" s="81">
        <f t="shared" ref="AK199:AK262" si="42">IFERROR(AA199*AH199,0)</f>
        <v>3457.7999999999997</v>
      </c>
      <c r="AL199" s="58" t="s">
        <v>32</v>
      </c>
      <c r="AM199" s="58" t="s">
        <v>6703</v>
      </c>
      <c r="AN199" s="75">
        <v>31</v>
      </c>
      <c r="AO199" s="88">
        <v>33.9</v>
      </c>
      <c r="AP199" s="6" t="str">
        <f t="shared" si="38"/>
        <v>Increase</v>
      </c>
      <c r="AQ199" s="81">
        <f t="shared" si="39"/>
        <v>1020.2099999999999</v>
      </c>
      <c r="AR199" s="81">
        <f t="shared" si="40"/>
        <v>1050.8999999999999</v>
      </c>
      <c r="AS199" s="82">
        <f t="shared" ref="AS199:AS262" si="43">AR199-AQ199</f>
        <v>30.689999999999941</v>
      </c>
    </row>
    <row r="200" spans="1:45" hidden="1" x14ac:dyDescent="0.3">
      <c r="A200">
        <v>5180264</v>
      </c>
      <c r="B200" s="15" t="s">
        <v>5536</v>
      </c>
      <c r="C200" s="16" t="s">
        <v>30</v>
      </c>
      <c r="D200" s="6" t="s">
        <v>31</v>
      </c>
      <c r="E200" t="s">
        <v>194</v>
      </c>
      <c r="F200" t="s">
        <v>194</v>
      </c>
      <c r="H200" s="11" t="s">
        <v>27</v>
      </c>
      <c r="I200" s="6" t="s">
        <v>28</v>
      </c>
      <c r="J200" s="6" t="s">
        <v>28</v>
      </c>
      <c r="K200" t="s">
        <v>32</v>
      </c>
      <c r="L200" s="35">
        <v>20.68</v>
      </c>
      <c r="M200" s="6" t="s">
        <v>29</v>
      </c>
      <c r="N200" s="6">
        <v>3105</v>
      </c>
      <c r="P200" s="18"/>
      <c r="Q200" s="17"/>
      <c r="R200" s="19">
        <v>20.68</v>
      </c>
      <c r="S200" s="19">
        <v>20.68</v>
      </c>
      <c r="T200" s="38">
        <v>102</v>
      </c>
      <c r="U200" s="38"/>
      <c r="V200" s="29">
        <v>20.68</v>
      </c>
      <c r="W200" s="35">
        <v>20.68</v>
      </c>
      <c r="X200" s="32">
        <f t="shared" si="33"/>
        <v>2109.36</v>
      </c>
      <c r="Y200" s="32">
        <f t="shared" si="34"/>
        <v>2109.36</v>
      </c>
      <c r="Z200" s="32">
        <f t="shared" si="35"/>
        <v>0</v>
      </c>
      <c r="AA200" s="38">
        <v>102</v>
      </c>
      <c r="AB200" s="37">
        <f>IFERROR(VLOOKUP(A200,'Tash Lookup'!A:E,3,FALSE),"")</f>
        <v>2097.1799999999998</v>
      </c>
      <c r="AC200" s="6">
        <f t="shared" si="36"/>
        <v>0</v>
      </c>
      <c r="AD200" s="2" t="s">
        <v>6703</v>
      </c>
      <c r="AF200" s="56">
        <v>19.38</v>
      </c>
      <c r="AG200" s="56">
        <f>VLOOKUP(A200,Sheet1!$A$2:$C$1140,3,FALSE)</f>
        <v>19.38</v>
      </c>
      <c r="AH200" s="58">
        <v>19.38</v>
      </c>
      <c r="AI200" s="56" t="str">
        <f t="shared" si="37"/>
        <v>Same</v>
      </c>
      <c r="AJ200" s="81">
        <f t="shared" si="41"/>
        <v>1976.76</v>
      </c>
      <c r="AK200" s="81">
        <f t="shared" si="42"/>
        <v>1976.76</v>
      </c>
      <c r="AL200" s="58" t="s">
        <v>32</v>
      </c>
      <c r="AM200" s="58" t="s">
        <v>6703</v>
      </c>
      <c r="AN200" s="75">
        <v>26</v>
      </c>
      <c r="AO200" s="88">
        <v>19.38</v>
      </c>
      <c r="AP200" s="6" t="str">
        <f t="shared" si="38"/>
        <v>Same</v>
      </c>
      <c r="AQ200" s="81">
        <f t="shared" si="39"/>
        <v>503.88</v>
      </c>
      <c r="AR200" s="81">
        <f t="shared" si="40"/>
        <v>503.88</v>
      </c>
      <c r="AS200" s="81">
        <f t="shared" si="43"/>
        <v>0</v>
      </c>
    </row>
    <row r="201" spans="1:45" hidden="1" x14ac:dyDescent="0.3">
      <c r="A201">
        <v>6183900</v>
      </c>
      <c r="B201" s="15" t="s">
        <v>5537</v>
      </c>
      <c r="C201" s="16" t="s">
        <v>30</v>
      </c>
      <c r="D201" s="6" t="s">
        <v>31</v>
      </c>
      <c r="E201" t="s">
        <v>902</v>
      </c>
      <c r="F201" t="s">
        <v>902</v>
      </c>
      <c r="H201" s="11" t="s">
        <v>27</v>
      </c>
      <c r="I201" s="6" t="s">
        <v>28</v>
      </c>
      <c r="J201" s="6" t="s">
        <v>28</v>
      </c>
      <c r="K201" t="s">
        <v>32</v>
      </c>
      <c r="L201" s="35">
        <v>10.35</v>
      </c>
      <c r="M201" s="6" t="s">
        <v>29</v>
      </c>
      <c r="N201" s="6">
        <v>3105</v>
      </c>
      <c r="P201" s="18"/>
      <c r="Q201" s="17"/>
      <c r="R201" s="19">
        <v>10.35</v>
      </c>
      <c r="S201" s="19">
        <v>10.35</v>
      </c>
      <c r="T201" s="38">
        <v>102</v>
      </c>
      <c r="U201" s="38"/>
      <c r="V201" s="30">
        <v>10.35</v>
      </c>
      <c r="W201" s="35">
        <v>10.35</v>
      </c>
      <c r="X201" s="32">
        <f t="shared" si="33"/>
        <v>1055.7</v>
      </c>
      <c r="Y201" s="32">
        <f t="shared" si="34"/>
        <v>1055.7</v>
      </c>
      <c r="Z201" s="32">
        <f t="shared" si="35"/>
        <v>0</v>
      </c>
      <c r="AA201" s="38">
        <v>102</v>
      </c>
      <c r="AB201" s="37">
        <f>IFERROR(VLOOKUP(A201,'Tash Lookup'!A:E,3,FALSE),"")</f>
        <v>1044.42</v>
      </c>
      <c r="AC201" s="6">
        <f t="shared" si="36"/>
        <v>0</v>
      </c>
      <c r="AD201" s="2" t="s">
        <v>6703</v>
      </c>
      <c r="AF201" s="56">
        <v>10.35</v>
      </c>
      <c r="AG201" s="56">
        <f>VLOOKUP(A201,Sheet1!$A$2:$C$1140,3,FALSE)</f>
        <v>10.56</v>
      </c>
      <c r="AH201" s="58">
        <v>10.56</v>
      </c>
      <c r="AI201" s="56" t="str">
        <f t="shared" si="37"/>
        <v>Increase</v>
      </c>
      <c r="AJ201" s="81">
        <f t="shared" si="41"/>
        <v>1055.7</v>
      </c>
      <c r="AK201" s="81">
        <f t="shared" si="42"/>
        <v>1077.1200000000001</v>
      </c>
      <c r="AL201" s="58" t="s">
        <v>7206</v>
      </c>
      <c r="AM201" s="58" t="s">
        <v>6703</v>
      </c>
      <c r="AN201" s="75">
        <v>6</v>
      </c>
      <c r="AO201" s="88">
        <v>10.56</v>
      </c>
      <c r="AP201" s="6" t="str">
        <f t="shared" si="38"/>
        <v>Increase</v>
      </c>
      <c r="AQ201" s="81">
        <f t="shared" si="39"/>
        <v>62.099999999999994</v>
      </c>
      <c r="AR201" s="81">
        <f t="shared" si="40"/>
        <v>63.36</v>
      </c>
      <c r="AS201" s="82">
        <f t="shared" si="43"/>
        <v>1.2600000000000051</v>
      </c>
    </row>
    <row r="202" spans="1:45" hidden="1" x14ac:dyDescent="0.3">
      <c r="A202">
        <v>5242783</v>
      </c>
      <c r="B202" s="15" t="s">
        <v>5538</v>
      </c>
      <c r="C202" s="16" t="s">
        <v>30</v>
      </c>
      <c r="D202" s="6" t="s">
        <v>31</v>
      </c>
      <c r="E202" t="s">
        <v>136</v>
      </c>
      <c r="F202" t="s">
        <v>136</v>
      </c>
      <c r="H202" s="11" t="s">
        <v>27</v>
      </c>
      <c r="I202" s="6" t="s">
        <v>28</v>
      </c>
      <c r="J202" s="6" t="s">
        <v>28</v>
      </c>
      <c r="K202" t="s">
        <v>32</v>
      </c>
      <c r="L202" s="35">
        <v>27.53</v>
      </c>
      <c r="M202" s="6" t="s">
        <v>29</v>
      </c>
      <c r="N202" s="6">
        <v>3105</v>
      </c>
      <c r="P202" s="18"/>
      <c r="Q202" s="17"/>
      <c r="R202" s="19">
        <v>27.53</v>
      </c>
      <c r="S202" s="19">
        <v>27.53</v>
      </c>
      <c r="T202" s="38">
        <v>102</v>
      </c>
      <c r="U202" s="38"/>
      <c r="V202" s="29">
        <v>27.53</v>
      </c>
      <c r="W202" s="35">
        <v>27.53</v>
      </c>
      <c r="X202" s="32">
        <f t="shared" si="33"/>
        <v>2808.06</v>
      </c>
      <c r="Y202" s="32">
        <f t="shared" si="34"/>
        <v>2808.06</v>
      </c>
      <c r="Z202" s="32">
        <f t="shared" si="35"/>
        <v>0</v>
      </c>
      <c r="AA202" s="38">
        <v>102</v>
      </c>
      <c r="AB202" s="37">
        <f>IFERROR(VLOOKUP(A202,'Tash Lookup'!A:E,3,FALSE),"")</f>
        <v>2739.09</v>
      </c>
      <c r="AC202" s="6">
        <f t="shared" si="36"/>
        <v>0</v>
      </c>
      <c r="AD202" s="2" t="s">
        <v>6703</v>
      </c>
      <c r="AF202" s="56">
        <v>26.58</v>
      </c>
      <c r="AG202" s="56">
        <f>VLOOKUP(A202,Sheet1!$A$2:$C$1140,3,FALSE)</f>
        <v>26.58</v>
      </c>
      <c r="AH202" s="58">
        <v>26.58</v>
      </c>
      <c r="AI202" s="56" t="str">
        <f t="shared" si="37"/>
        <v>Same</v>
      </c>
      <c r="AJ202" s="81">
        <f t="shared" si="41"/>
        <v>2711.16</v>
      </c>
      <c r="AK202" s="81">
        <f t="shared" si="42"/>
        <v>2711.16</v>
      </c>
      <c r="AL202" s="58" t="s">
        <v>32</v>
      </c>
      <c r="AM202" s="58" t="s">
        <v>6703</v>
      </c>
      <c r="AN202" s="75">
        <v>106</v>
      </c>
      <c r="AO202" s="88">
        <v>26.58</v>
      </c>
      <c r="AP202" s="6" t="str">
        <f t="shared" si="38"/>
        <v>Same</v>
      </c>
      <c r="AQ202" s="81">
        <f t="shared" si="39"/>
        <v>2817.48</v>
      </c>
      <c r="AR202" s="81">
        <f t="shared" si="40"/>
        <v>2817.48</v>
      </c>
      <c r="AS202" s="81">
        <f t="shared" si="43"/>
        <v>0</v>
      </c>
    </row>
    <row r="203" spans="1:45" hidden="1" x14ac:dyDescent="0.3">
      <c r="A203">
        <v>5092529</v>
      </c>
      <c r="B203" s="15" t="s">
        <v>5539</v>
      </c>
      <c r="C203" s="16" t="s">
        <v>30</v>
      </c>
      <c r="D203" s="6" t="s">
        <v>31</v>
      </c>
      <c r="E203" t="s">
        <v>420</v>
      </c>
      <c r="F203" t="s">
        <v>420</v>
      </c>
      <c r="H203" s="11" t="s">
        <v>27</v>
      </c>
      <c r="I203" s="6" t="s">
        <v>28</v>
      </c>
      <c r="J203" s="6" t="s">
        <v>28</v>
      </c>
      <c r="K203" t="s">
        <v>32</v>
      </c>
      <c r="L203" s="35">
        <v>11.93</v>
      </c>
      <c r="M203" s="6" t="s">
        <v>29</v>
      </c>
      <c r="N203" s="6">
        <v>3105</v>
      </c>
      <c r="P203" s="18"/>
      <c r="Q203" s="17"/>
      <c r="R203" s="19">
        <v>10.74</v>
      </c>
      <c r="S203" s="19">
        <v>0</v>
      </c>
      <c r="T203" s="38">
        <v>101</v>
      </c>
      <c r="U203" s="38"/>
      <c r="V203" s="29">
        <v>11.93</v>
      </c>
      <c r="W203" s="35">
        <v>11.93</v>
      </c>
      <c r="X203" s="32">
        <f t="shared" si="33"/>
        <v>1204.93</v>
      </c>
      <c r="Y203" s="32">
        <f t="shared" si="34"/>
        <v>1204.93</v>
      </c>
      <c r="Z203" s="32">
        <f t="shared" si="35"/>
        <v>0</v>
      </c>
      <c r="AA203" s="38">
        <v>101</v>
      </c>
      <c r="AB203" s="37">
        <f>IFERROR(VLOOKUP(A203,'Tash Lookup'!A:E,3,FALSE),"")</f>
        <v>1366.39</v>
      </c>
      <c r="AC203" s="6">
        <f t="shared" si="36"/>
        <v>0</v>
      </c>
      <c r="AD203" s="2" t="s">
        <v>6703</v>
      </c>
      <c r="AF203" s="56">
        <v>12.81</v>
      </c>
      <c r="AG203" s="56">
        <f>VLOOKUP(A203,Sheet1!$A$2:$C$1140,3,FALSE)</f>
        <v>13.2</v>
      </c>
      <c r="AH203" s="58">
        <v>13.2</v>
      </c>
      <c r="AI203" s="56" t="str">
        <f t="shared" si="37"/>
        <v>Increase</v>
      </c>
      <c r="AJ203" s="81">
        <f t="shared" si="41"/>
        <v>1293.81</v>
      </c>
      <c r="AK203" s="81">
        <f t="shared" si="42"/>
        <v>1333.1999999999998</v>
      </c>
      <c r="AL203" s="58" t="s">
        <v>32</v>
      </c>
      <c r="AM203" s="58" t="s">
        <v>6703</v>
      </c>
      <c r="AN203" s="75">
        <v>17</v>
      </c>
      <c r="AO203" s="88">
        <v>13.2</v>
      </c>
      <c r="AP203" s="6" t="str">
        <f t="shared" si="38"/>
        <v>Increase</v>
      </c>
      <c r="AQ203" s="81">
        <f t="shared" si="39"/>
        <v>217.77</v>
      </c>
      <c r="AR203" s="81">
        <f t="shared" si="40"/>
        <v>224.39999999999998</v>
      </c>
      <c r="AS203" s="82">
        <f t="shared" si="43"/>
        <v>6.629999999999967</v>
      </c>
    </row>
    <row r="204" spans="1:45" hidden="1" x14ac:dyDescent="0.3">
      <c r="A204">
        <v>5082977</v>
      </c>
      <c r="B204" s="15" t="s">
        <v>5540</v>
      </c>
      <c r="C204" s="16" t="s">
        <v>30</v>
      </c>
      <c r="D204" s="6" t="s">
        <v>31</v>
      </c>
      <c r="E204" t="s">
        <v>111</v>
      </c>
      <c r="F204" t="s">
        <v>111</v>
      </c>
      <c r="H204" s="11" t="s">
        <v>27</v>
      </c>
      <c r="I204" s="6" t="s">
        <v>28</v>
      </c>
      <c r="J204" s="6" t="s">
        <v>28</v>
      </c>
      <c r="K204" t="s">
        <v>32</v>
      </c>
      <c r="L204" s="35">
        <v>15.89</v>
      </c>
      <c r="M204" s="6" t="s">
        <v>29</v>
      </c>
      <c r="N204" s="6">
        <v>3105</v>
      </c>
      <c r="P204" s="18"/>
      <c r="Q204" s="17"/>
      <c r="R204" s="19">
        <v>15.89</v>
      </c>
      <c r="S204" s="19">
        <v>15.89</v>
      </c>
      <c r="T204" s="38">
        <v>100</v>
      </c>
      <c r="U204" s="38"/>
      <c r="V204" s="29">
        <v>15.89</v>
      </c>
      <c r="W204" s="35">
        <v>15.89</v>
      </c>
      <c r="X204" s="32">
        <f t="shared" si="33"/>
        <v>1589</v>
      </c>
      <c r="Y204" s="32">
        <f t="shared" si="34"/>
        <v>1589</v>
      </c>
      <c r="Z204" s="32">
        <f t="shared" si="35"/>
        <v>0</v>
      </c>
      <c r="AA204" s="38">
        <v>100</v>
      </c>
      <c r="AB204" s="37">
        <f>IFERROR(VLOOKUP(A204,'Tash Lookup'!A:E,3,FALSE),"")</f>
        <v>1519.2</v>
      </c>
      <c r="AC204" s="6">
        <f t="shared" si="36"/>
        <v>0</v>
      </c>
      <c r="AD204" s="2" t="s">
        <v>6703</v>
      </c>
      <c r="AF204" s="56">
        <v>15.9</v>
      </c>
      <c r="AG204" s="56">
        <f>VLOOKUP(A204,Sheet1!$A$2:$C$1140,3,FALSE)</f>
        <v>15.9</v>
      </c>
      <c r="AH204" s="58">
        <v>15.9</v>
      </c>
      <c r="AI204" s="56" t="str">
        <f t="shared" si="37"/>
        <v>Same</v>
      </c>
      <c r="AJ204" s="81">
        <f t="shared" si="41"/>
        <v>1590</v>
      </c>
      <c r="AK204" s="81">
        <f t="shared" si="42"/>
        <v>1590</v>
      </c>
      <c r="AL204" s="58" t="s">
        <v>32</v>
      </c>
      <c r="AM204" s="58" t="s">
        <v>6703</v>
      </c>
      <c r="AN204" s="75">
        <v>49</v>
      </c>
      <c r="AO204" s="88">
        <v>15.9</v>
      </c>
      <c r="AP204" s="6" t="str">
        <f t="shared" si="38"/>
        <v>Same</v>
      </c>
      <c r="AQ204" s="81">
        <f t="shared" si="39"/>
        <v>779.1</v>
      </c>
      <c r="AR204" s="81">
        <f t="shared" si="40"/>
        <v>779.1</v>
      </c>
      <c r="AS204" s="81">
        <f t="shared" si="43"/>
        <v>0</v>
      </c>
    </row>
    <row r="205" spans="1:45" hidden="1" x14ac:dyDescent="0.3">
      <c r="A205">
        <v>6188907</v>
      </c>
      <c r="B205" s="15" t="s">
        <v>5541</v>
      </c>
      <c r="C205" s="16" t="s">
        <v>30</v>
      </c>
      <c r="D205" s="6" t="s">
        <v>31</v>
      </c>
      <c r="E205" t="s">
        <v>860</v>
      </c>
      <c r="F205" t="s">
        <v>860</v>
      </c>
      <c r="H205" s="11" t="s">
        <v>27</v>
      </c>
      <c r="I205" s="6" t="s">
        <v>28</v>
      </c>
      <c r="J205" s="6" t="s">
        <v>28</v>
      </c>
      <c r="K205" t="s">
        <v>32</v>
      </c>
      <c r="L205" s="48">
        <v>3.91</v>
      </c>
      <c r="M205" s="6" t="s">
        <v>29</v>
      </c>
      <c r="N205" s="6">
        <v>3105</v>
      </c>
      <c r="P205" s="18"/>
      <c r="Q205" s="17"/>
      <c r="R205" s="19">
        <v>3.91</v>
      </c>
      <c r="S205" s="19">
        <v>3.91</v>
      </c>
      <c r="T205" s="38">
        <v>98</v>
      </c>
      <c r="U205" s="38"/>
      <c r="V205" s="30">
        <v>3.91</v>
      </c>
      <c r="W205" s="35">
        <v>3.91</v>
      </c>
      <c r="X205" s="32">
        <f t="shared" si="33"/>
        <v>383.18</v>
      </c>
      <c r="Y205" s="32">
        <f t="shared" si="34"/>
        <v>383.18</v>
      </c>
      <c r="Z205" s="32">
        <f t="shared" si="35"/>
        <v>0</v>
      </c>
      <c r="AA205" s="38">
        <v>98</v>
      </c>
      <c r="AB205" s="37">
        <f>IFERROR(VLOOKUP(A205,'Tash Lookup'!A:E,3,FALSE),"")</f>
        <v>383.75</v>
      </c>
      <c r="AC205" s="6">
        <f t="shared" si="36"/>
        <v>0</v>
      </c>
      <c r="AD205" s="2" t="s">
        <v>6703</v>
      </c>
      <c r="AF205" s="56">
        <v>3.91</v>
      </c>
      <c r="AG205" s="56">
        <f>VLOOKUP(A205,Sheet1!$A$2:$C$1140,3,FALSE)</f>
        <v>3.99</v>
      </c>
      <c r="AH205" s="58">
        <v>3.99</v>
      </c>
      <c r="AI205" s="56" t="str">
        <f t="shared" si="37"/>
        <v>Increase</v>
      </c>
      <c r="AJ205" s="81">
        <f t="shared" si="41"/>
        <v>383.18</v>
      </c>
      <c r="AK205" s="81">
        <f t="shared" si="42"/>
        <v>391.02000000000004</v>
      </c>
      <c r="AL205" s="58" t="s">
        <v>7206</v>
      </c>
      <c r="AM205" s="58" t="s">
        <v>6703</v>
      </c>
      <c r="AN205" s="75">
        <v>98</v>
      </c>
      <c r="AO205" s="88">
        <v>3.99</v>
      </c>
      <c r="AP205" s="6" t="str">
        <f t="shared" si="38"/>
        <v>Increase</v>
      </c>
      <c r="AQ205" s="81">
        <f t="shared" si="39"/>
        <v>383.18</v>
      </c>
      <c r="AR205" s="81">
        <f t="shared" si="40"/>
        <v>391.02000000000004</v>
      </c>
      <c r="AS205" s="82">
        <f t="shared" si="43"/>
        <v>7.8400000000000318</v>
      </c>
    </row>
    <row r="206" spans="1:45" hidden="1" x14ac:dyDescent="0.3">
      <c r="A206">
        <v>5090760</v>
      </c>
      <c r="B206" s="15" t="s">
        <v>5542</v>
      </c>
      <c r="C206" s="16" t="s">
        <v>30</v>
      </c>
      <c r="D206" s="6" t="s">
        <v>31</v>
      </c>
      <c r="E206" t="s">
        <v>587</v>
      </c>
      <c r="F206" t="s">
        <v>587</v>
      </c>
      <c r="H206" s="11" t="s">
        <v>27</v>
      </c>
      <c r="I206" s="6" t="s">
        <v>28</v>
      </c>
      <c r="J206" s="6" t="s">
        <v>28</v>
      </c>
      <c r="K206" t="s">
        <v>32</v>
      </c>
      <c r="L206" s="35">
        <v>37.770000000000003</v>
      </c>
      <c r="M206" s="6" t="s">
        <v>29</v>
      </c>
      <c r="N206" s="6">
        <v>3105</v>
      </c>
      <c r="P206" s="18"/>
      <c r="Q206" s="17"/>
      <c r="R206" s="19">
        <v>37.770000000000003</v>
      </c>
      <c r="S206" s="19">
        <v>37.770000000000003</v>
      </c>
      <c r="T206" s="38">
        <v>98</v>
      </c>
      <c r="U206" s="38"/>
      <c r="V206" s="29">
        <v>37.770000000000003</v>
      </c>
      <c r="W206" s="35">
        <v>37.770000000000003</v>
      </c>
      <c r="X206" s="32">
        <f t="shared" si="33"/>
        <v>3701.4600000000005</v>
      </c>
      <c r="Y206" s="32">
        <f t="shared" si="34"/>
        <v>3701.4600000000005</v>
      </c>
      <c r="Z206" s="32">
        <f t="shared" si="35"/>
        <v>0</v>
      </c>
      <c r="AA206" s="38">
        <v>98</v>
      </c>
      <c r="AB206" s="37">
        <f>IFERROR(VLOOKUP(A206,'Tash Lookup'!A:E,3,FALSE),"")</f>
        <v>3724.21</v>
      </c>
      <c r="AC206" s="6">
        <f t="shared" si="36"/>
        <v>0</v>
      </c>
      <c r="AD206" s="2" t="s">
        <v>6703</v>
      </c>
      <c r="AF206" s="56">
        <v>39.200000000000003</v>
      </c>
      <c r="AG206" s="56">
        <f>VLOOKUP(A206,Sheet1!$A$2:$C$1140,3,FALSE)</f>
        <v>40.369999999999997</v>
      </c>
      <c r="AH206" s="58">
        <v>40.369999999999997</v>
      </c>
      <c r="AI206" s="56" t="str">
        <f t="shared" si="37"/>
        <v>Increase</v>
      </c>
      <c r="AJ206" s="81">
        <f t="shared" si="41"/>
        <v>3841.6000000000004</v>
      </c>
      <c r="AK206" s="81">
        <f t="shared" si="42"/>
        <v>3956.2599999999998</v>
      </c>
      <c r="AL206" s="58" t="s">
        <v>32</v>
      </c>
      <c r="AM206" s="58" t="s">
        <v>6703</v>
      </c>
      <c r="AN206" s="75">
        <v>32</v>
      </c>
      <c r="AO206" s="88">
        <v>40.369999999999997</v>
      </c>
      <c r="AP206" s="6" t="str">
        <f t="shared" si="38"/>
        <v>Increase</v>
      </c>
      <c r="AQ206" s="81">
        <f t="shared" si="39"/>
        <v>1254.4000000000001</v>
      </c>
      <c r="AR206" s="81">
        <f t="shared" si="40"/>
        <v>1291.8399999999999</v>
      </c>
      <c r="AS206" s="82">
        <f t="shared" si="43"/>
        <v>37.439999999999827</v>
      </c>
    </row>
    <row r="207" spans="1:45" hidden="1" x14ac:dyDescent="0.3">
      <c r="A207">
        <v>6188901</v>
      </c>
      <c r="B207" s="15" t="s">
        <v>5543</v>
      </c>
      <c r="C207" s="16" t="s">
        <v>30</v>
      </c>
      <c r="D207" s="6" t="s">
        <v>31</v>
      </c>
      <c r="E207" t="s">
        <v>861</v>
      </c>
      <c r="F207" t="s">
        <v>861</v>
      </c>
      <c r="H207" s="11" t="s">
        <v>27</v>
      </c>
      <c r="I207" s="6" t="s">
        <v>28</v>
      </c>
      <c r="J207" s="6" t="s">
        <v>28</v>
      </c>
      <c r="K207" t="s">
        <v>32</v>
      </c>
      <c r="L207" s="48">
        <v>1.27</v>
      </c>
      <c r="M207" s="6" t="s">
        <v>29</v>
      </c>
      <c r="N207" s="6">
        <v>3105</v>
      </c>
      <c r="P207" s="18"/>
      <c r="Q207" s="17"/>
      <c r="R207" s="19">
        <v>1.27</v>
      </c>
      <c r="S207" s="19">
        <v>1.27</v>
      </c>
      <c r="T207" s="38">
        <v>97</v>
      </c>
      <c r="U207" s="38"/>
      <c r="V207" s="30">
        <v>1.27</v>
      </c>
      <c r="W207" s="35">
        <v>1.27</v>
      </c>
      <c r="X207" s="32">
        <f t="shared" si="33"/>
        <v>123.19</v>
      </c>
      <c r="Y207" s="32">
        <f t="shared" si="34"/>
        <v>123.19</v>
      </c>
      <c r="Z207" s="32">
        <f t="shared" si="35"/>
        <v>0</v>
      </c>
      <c r="AA207" s="38">
        <v>97</v>
      </c>
      <c r="AB207" s="37">
        <f>IFERROR(VLOOKUP(A207,'Tash Lookup'!A:E,3,FALSE),"")</f>
        <v>121</v>
      </c>
      <c r="AC207" s="6">
        <f t="shared" si="36"/>
        <v>0</v>
      </c>
      <c r="AD207" s="2" t="s">
        <v>6703</v>
      </c>
      <c r="AF207" s="56">
        <v>1.27</v>
      </c>
      <c r="AG207" s="56">
        <f>VLOOKUP(A207,Sheet1!$A$2:$C$1140,3,FALSE)</f>
        <v>1.3</v>
      </c>
      <c r="AH207" s="58">
        <v>1.3</v>
      </c>
      <c r="AI207" s="56" t="str">
        <f t="shared" si="37"/>
        <v>Increase</v>
      </c>
      <c r="AJ207" s="81">
        <f t="shared" si="41"/>
        <v>123.19</v>
      </c>
      <c r="AK207" s="81">
        <f t="shared" si="42"/>
        <v>126.10000000000001</v>
      </c>
      <c r="AL207" s="58" t="s">
        <v>7206</v>
      </c>
      <c r="AM207" s="58" t="s">
        <v>6703</v>
      </c>
      <c r="AN207" s="75">
        <v>121</v>
      </c>
      <c r="AO207" s="88">
        <v>1.3</v>
      </c>
      <c r="AP207" s="6" t="str">
        <f t="shared" si="38"/>
        <v>Increase</v>
      </c>
      <c r="AQ207" s="81">
        <f t="shared" si="39"/>
        <v>153.67000000000002</v>
      </c>
      <c r="AR207" s="81">
        <f t="shared" si="40"/>
        <v>157.30000000000001</v>
      </c>
      <c r="AS207" s="82">
        <f t="shared" si="43"/>
        <v>3.6299999999999955</v>
      </c>
    </row>
    <row r="208" spans="1:45" hidden="1" x14ac:dyDescent="0.3">
      <c r="A208">
        <v>5624603</v>
      </c>
      <c r="B208" s="15" t="s">
        <v>5544</v>
      </c>
      <c r="C208" s="16" t="s">
        <v>30</v>
      </c>
      <c r="D208" s="6" t="s">
        <v>31</v>
      </c>
      <c r="E208" t="s">
        <v>226</v>
      </c>
      <c r="F208" t="s">
        <v>226</v>
      </c>
      <c r="H208" s="11" t="s">
        <v>27</v>
      </c>
      <c r="I208" s="6" t="s">
        <v>28</v>
      </c>
      <c r="J208" s="6" t="s">
        <v>28</v>
      </c>
      <c r="K208" t="s">
        <v>32</v>
      </c>
      <c r="L208" s="35">
        <v>41.06</v>
      </c>
      <c r="M208" s="6" t="s">
        <v>29</v>
      </c>
      <c r="N208" s="6">
        <v>3105</v>
      </c>
      <c r="P208" s="18"/>
      <c r="Q208" s="17"/>
      <c r="R208" s="19">
        <v>41.06</v>
      </c>
      <c r="S208" s="19">
        <v>41.06</v>
      </c>
      <c r="T208" s="38">
        <v>97</v>
      </c>
      <c r="U208" s="38"/>
      <c r="V208" s="29">
        <v>41.06</v>
      </c>
      <c r="W208" s="35">
        <v>41.06</v>
      </c>
      <c r="X208" s="32">
        <f t="shared" si="33"/>
        <v>3982.82</v>
      </c>
      <c r="Y208" s="32">
        <f t="shared" si="34"/>
        <v>3982.82</v>
      </c>
      <c r="Z208" s="32">
        <f t="shared" si="35"/>
        <v>0</v>
      </c>
      <c r="AA208" s="38">
        <v>97</v>
      </c>
      <c r="AB208" s="37">
        <f>IFERROR(VLOOKUP(A208,'Tash Lookup'!A:E,3,FALSE),"")</f>
        <v>3964.08</v>
      </c>
      <c r="AC208" s="6">
        <f t="shared" si="36"/>
        <v>0</v>
      </c>
      <c r="AD208" s="2" t="s">
        <v>6703</v>
      </c>
      <c r="AF208" s="56">
        <v>41.5</v>
      </c>
      <c r="AG208" s="56">
        <f>VLOOKUP(A208,Sheet1!$A$2:$C$1140,3,FALSE)</f>
        <v>41.5</v>
      </c>
      <c r="AH208" s="58">
        <v>41.5</v>
      </c>
      <c r="AI208" s="56" t="str">
        <f t="shared" si="37"/>
        <v>Same</v>
      </c>
      <c r="AJ208" s="81">
        <f t="shared" si="41"/>
        <v>4025.5</v>
      </c>
      <c r="AK208" s="81">
        <f t="shared" si="42"/>
        <v>4025.5</v>
      </c>
      <c r="AL208" s="58" t="s">
        <v>32</v>
      </c>
      <c r="AM208" s="58" t="s">
        <v>6703</v>
      </c>
      <c r="AN208" s="75">
        <v>142</v>
      </c>
      <c r="AO208" s="88">
        <v>41.5</v>
      </c>
      <c r="AP208" s="6" t="str">
        <f t="shared" si="38"/>
        <v>Same</v>
      </c>
      <c r="AQ208" s="81">
        <f t="shared" si="39"/>
        <v>5893</v>
      </c>
      <c r="AR208" s="81">
        <f t="shared" si="40"/>
        <v>5893</v>
      </c>
      <c r="AS208" s="81">
        <f t="shared" si="43"/>
        <v>0</v>
      </c>
    </row>
    <row r="209" spans="1:45" hidden="1" x14ac:dyDescent="0.3">
      <c r="A209">
        <v>5218565</v>
      </c>
      <c r="B209" s="15" t="s">
        <v>5545</v>
      </c>
      <c r="C209" s="16" t="s">
        <v>30</v>
      </c>
      <c r="D209" s="6" t="s">
        <v>31</v>
      </c>
      <c r="E209" t="s">
        <v>240</v>
      </c>
      <c r="F209" t="s">
        <v>240</v>
      </c>
      <c r="H209" s="11" t="s">
        <v>27</v>
      </c>
      <c r="I209" s="6" t="s">
        <v>28</v>
      </c>
      <c r="J209" s="6" t="s">
        <v>28</v>
      </c>
      <c r="K209" t="s">
        <v>32</v>
      </c>
      <c r="L209" s="35">
        <v>44.93</v>
      </c>
      <c r="M209" s="6" t="s">
        <v>29</v>
      </c>
      <c r="N209" s="6">
        <v>3105</v>
      </c>
      <c r="P209" s="18"/>
      <c r="Q209" s="17"/>
      <c r="R209" s="19">
        <v>44.93</v>
      </c>
      <c r="S209" s="19">
        <v>44.93</v>
      </c>
      <c r="T209" s="38">
        <v>97</v>
      </c>
      <c r="U209" s="38"/>
      <c r="V209" s="29">
        <v>44.93</v>
      </c>
      <c r="W209" s="45">
        <v>43.89</v>
      </c>
      <c r="X209" s="32">
        <f t="shared" si="33"/>
        <v>4358.21</v>
      </c>
      <c r="Y209" s="32">
        <f t="shared" si="34"/>
        <v>4358.21</v>
      </c>
      <c r="Z209" s="32">
        <f t="shared" si="35"/>
        <v>0</v>
      </c>
      <c r="AA209" s="38">
        <v>97</v>
      </c>
      <c r="AB209" s="37">
        <f>IFERROR(VLOOKUP(A209,'Tash Lookup'!A:E,3,FALSE),"")</f>
        <v>5000.93</v>
      </c>
      <c r="AC209" s="6">
        <f t="shared" si="36"/>
        <v>0</v>
      </c>
      <c r="AD209" s="2" t="s">
        <v>6703</v>
      </c>
      <c r="AF209" s="56">
        <v>46.33</v>
      </c>
      <c r="AG209" s="56">
        <f>VLOOKUP(A209,Sheet1!$A$2:$C$1140,3,FALSE)</f>
        <v>47.72</v>
      </c>
      <c r="AH209" s="58">
        <v>47.72</v>
      </c>
      <c r="AI209" s="56" t="str">
        <f t="shared" si="37"/>
        <v>Increase</v>
      </c>
      <c r="AJ209" s="81">
        <f t="shared" si="41"/>
        <v>4494.01</v>
      </c>
      <c r="AK209" s="81">
        <f t="shared" si="42"/>
        <v>4628.84</v>
      </c>
      <c r="AL209" s="58" t="s">
        <v>32</v>
      </c>
      <c r="AM209" s="58" t="s">
        <v>6703</v>
      </c>
      <c r="AN209" s="75">
        <v>60</v>
      </c>
      <c r="AO209" s="88">
        <v>47.72</v>
      </c>
      <c r="AP209" s="6" t="str">
        <f t="shared" si="38"/>
        <v>Increase</v>
      </c>
      <c r="AQ209" s="81">
        <f t="shared" si="39"/>
        <v>2779.7999999999997</v>
      </c>
      <c r="AR209" s="81">
        <f t="shared" si="40"/>
        <v>2863.2</v>
      </c>
      <c r="AS209" s="82">
        <f t="shared" si="43"/>
        <v>83.400000000000091</v>
      </c>
    </row>
    <row r="210" spans="1:45" hidden="1" x14ac:dyDescent="0.3">
      <c r="A210">
        <v>5220399</v>
      </c>
      <c r="B210" s="15" t="s">
        <v>5546</v>
      </c>
      <c r="C210" s="16" t="s">
        <v>30</v>
      </c>
      <c r="D210" s="6" t="s">
        <v>31</v>
      </c>
      <c r="E210" t="s">
        <v>127</v>
      </c>
      <c r="F210" t="s">
        <v>127</v>
      </c>
      <c r="H210" s="11" t="s">
        <v>27</v>
      </c>
      <c r="I210" s="6" t="s">
        <v>28</v>
      </c>
      <c r="J210" s="6" t="s">
        <v>28</v>
      </c>
      <c r="K210" t="s">
        <v>32</v>
      </c>
      <c r="L210" s="35">
        <v>34.159999999999997</v>
      </c>
      <c r="M210" s="6" t="s">
        <v>29</v>
      </c>
      <c r="N210" s="6">
        <v>3105</v>
      </c>
      <c r="P210" s="18"/>
      <c r="Q210" s="17"/>
      <c r="R210" s="19">
        <v>34.159999999999997</v>
      </c>
      <c r="S210" s="19">
        <v>34.159999999999997</v>
      </c>
      <c r="T210" s="38">
        <v>96</v>
      </c>
      <c r="U210" s="38"/>
      <c r="V210" s="29">
        <v>34.159999999999997</v>
      </c>
      <c r="W210" s="35">
        <v>34.159999999999997</v>
      </c>
      <c r="X210" s="32">
        <f t="shared" si="33"/>
        <v>3279.3599999999997</v>
      </c>
      <c r="Y210" s="32">
        <f t="shared" si="34"/>
        <v>3279.3599999999997</v>
      </c>
      <c r="Z210" s="32">
        <f t="shared" si="35"/>
        <v>0</v>
      </c>
      <c r="AA210" s="38">
        <v>96</v>
      </c>
      <c r="AB210" s="37">
        <f>IFERROR(VLOOKUP(A210,'Tash Lookup'!A:E,3,FALSE),"")</f>
        <v>3236.35</v>
      </c>
      <c r="AC210" s="6">
        <f t="shared" si="36"/>
        <v>0</v>
      </c>
      <c r="AD210" s="2" t="s">
        <v>6703</v>
      </c>
      <c r="AF210" s="56">
        <v>34.619999999999997</v>
      </c>
      <c r="AG210" s="56">
        <f>VLOOKUP(A210,Sheet1!$A$2:$C$1140,3,FALSE)</f>
        <v>34.619999999999997</v>
      </c>
      <c r="AH210" s="58">
        <v>34.619999999999997</v>
      </c>
      <c r="AI210" s="56" t="str">
        <f t="shared" si="37"/>
        <v>Same</v>
      </c>
      <c r="AJ210" s="81">
        <f t="shared" si="41"/>
        <v>3323.5199999999995</v>
      </c>
      <c r="AK210" s="81">
        <f t="shared" si="42"/>
        <v>3323.5199999999995</v>
      </c>
      <c r="AL210" s="58" t="s">
        <v>32</v>
      </c>
      <c r="AM210" s="58" t="s">
        <v>6703</v>
      </c>
      <c r="AN210" s="75">
        <v>84</v>
      </c>
      <c r="AO210" s="88">
        <v>34.619999999999997</v>
      </c>
      <c r="AP210" s="6" t="str">
        <f t="shared" si="38"/>
        <v>Same</v>
      </c>
      <c r="AQ210" s="81">
        <f t="shared" si="39"/>
        <v>2908.08</v>
      </c>
      <c r="AR210" s="81">
        <f t="shared" si="40"/>
        <v>2908.08</v>
      </c>
      <c r="AS210" s="81">
        <f t="shared" si="43"/>
        <v>0</v>
      </c>
    </row>
    <row r="211" spans="1:45" hidden="1" x14ac:dyDescent="0.3">
      <c r="A211">
        <v>5097225</v>
      </c>
      <c r="B211" s="15" t="s">
        <v>5547</v>
      </c>
      <c r="C211" s="16" t="s">
        <v>30</v>
      </c>
      <c r="D211" s="6" t="s">
        <v>31</v>
      </c>
      <c r="E211" t="s">
        <v>505</v>
      </c>
      <c r="F211" t="s">
        <v>505</v>
      </c>
      <c r="H211" s="11" t="s">
        <v>27</v>
      </c>
      <c r="I211" s="6" t="s">
        <v>28</v>
      </c>
      <c r="J211" s="6" t="s">
        <v>28</v>
      </c>
      <c r="K211" t="s">
        <v>32</v>
      </c>
      <c r="L211" s="35">
        <v>37.369999999999997</v>
      </c>
      <c r="M211" s="6" t="s">
        <v>29</v>
      </c>
      <c r="N211" s="6">
        <v>3105</v>
      </c>
      <c r="P211" s="18"/>
      <c r="Q211" s="17"/>
      <c r="R211" s="19">
        <v>37.369999999999997</v>
      </c>
      <c r="S211" s="19">
        <v>37.369999999999997</v>
      </c>
      <c r="T211" s="38">
        <v>95</v>
      </c>
      <c r="U211" s="38"/>
      <c r="V211" s="29">
        <v>37.369999999999997</v>
      </c>
      <c r="W211" s="35">
        <v>37.369999999999997</v>
      </c>
      <c r="X211" s="32">
        <f t="shared" si="33"/>
        <v>3550.1499999999996</v>
      </c>
      <c r="Y211" s="32">
        <f t="shared" si="34"/>
        <v>3550.1499999999996</v>
      </c>
      <c r="Z211" s="32">
        <f t="shared" si="35"/>
        <v>0</v>
      </c>
      <c r="AA211" s="38">
        <v>95</v>
      </c>
      <c r="AB211" s="37">
        <f>IFERROR(VLOOKUP(A211,'Tash Lookup'!A:E,3,FALSE),"")</f>
        <v>3751.5699999999997</v>
      </c>
      <c r="AC211" s="6">
        <f t="shared" si="36"/>
        <v>0</v>
      </c>
      <c r="AD211" s="2" t="s">
        <v>6703</v>
      </c>
      <c r="AF211" s="56">
        <v>36.450000000000003</v>
      </c>
      <c r="AG211" s="56">
        <f>VLOOKUP(A211,Sheet1!$A$2:$C$1140,3,FALSE)</f>
        <v>37.54</v>
      </c>
      <c r="AH211" s="58">
        <v>37.54</v>
      </c>
      <c r="AI211" s="56" t="str">
        <f t="shared" si="37"/>
        <v>Increase</v>
      </c>
      <c r="AJ211" s="81">
        <f t="shared" si="41"/>
        <v>3462.7500000000005</v>
      </c>
      <c r="AK211" s="81">
        <f t="shared" si="42"/>
        <v>3566.2999999999997</v>
      </c>
      <c r="AL211" s="58" t="s">
        <v>32</v>
      </c>
      <c r="AM211" s="58" t="s">
        <v>6703</v>
      </c>
      <c r="AN211" s="75">
        <v>19</v>
      </c>
      <c r="AO211" s="88">
        <v>37.54</v>
      </c>
      <c r="AP211" s="6" t="str">
        <f t="shared" si="38"/>
        <v>Increase</v>
      </c>
      <c r="AQ211" s="81">
        <f t="shared" si="39"/>
        <v>692.55000000000007</v>
      </c>
      <c r="AR211" s="81">
        <f t="shared" si="40"/>
        <v>713.26</v>
      </c>
      <c r="AS211" s="82">
        <f t="shared" si="43"/>
        <v>20.709999999999923</v>
      </c>
    </row>
    <row r="212" spans="1:45" hidden="1" x14ac:dyDescent="0.3">
      <c r="A212">
        <v>6392200</v>
      </c>
      <c r="B212" s="15" t="s">
        <v>5548</v>
      </c>
      <c r="C212" s="16" t="s">
        <v>30</v>
      </c>
      <c r="D212" s="6" t="s">
        <v>31</v>
      </c>
      <c r="E212" t="s">
        <v>2547</v>
      </c>
      <c r="F212" t="s">
        <v>2547</v>
      </c>
      <c r="H212" s="11" t="s">
        <v>27</v>
      </c>
      <c r="I212" s="6" t="s">
        <v>28</v>
      </c>
      <c r="J212" s="6" t="s">
        <v>28</v>
      </c>
      <c r="K212" t="s">
        <v>32</v>
      </c>
      <c r="L212" s="35">
        <v>4.8099999999999996</v>
      </c>
      <c r="M212" s="6" t="s">
        <v>29</v>
      </c>
      <c r="N212" s="6">
        <v>3105</v>
      </c>
      <c r="P212" s="18"/>
      <c r="Q212" s="17"/>
      <c r="R212" s="19">
        <v>4.8099999999999996</v>
      </c>
      <c r="S212" s="19">
        <v>4.8099999999999996</v>
      </c>
      <c r="T212" s="38">
        <v>94</v>
      </c>
      <c r="U212" s="38"/>
      <c r="V212" s="29">
        <v>4.8099999999999996</v>
      </c>
      <c r="W212" s="35">
        <v>4.8099999999999996</v>
      </c>
      <c r="X212" s="32">
        <f t="shared" si="33"/>
        <v>452.14</v>
      </c>
      <c r="Y212" s="32">
        <f t="shared" si="34"/>
        <v>452.14</v>
      </c>
      <c r="Z212" s="32">
        <f t="shared" si="35"/>
        <v>0</v>
      </c>
      <c r="AA212" s="38">
        <v>94</v>
      </c>
      <c r="AB212" s="37">
        <f>IFERROR(VLOOKUP(A212,'Tash Lookup'!A:E,3,FALSE),"")</f>
        <v>449.61</v>
      </c>
      <c r="AC212" s="6">
        <f t="shared" si="36"/>
        <v>0</v>
      </c>
      <c r="AD212" s="2" t="s">
        <v>6703</v>
      </c>
      <c r="AF212" s="56">
        <v>4.57</v>
      </c>
      <c r="AG212" s="56">
        <f>VLOOKUP(A212,Sheet1!$A$2:$C$1140,3,FALSE)</f>
        <v>4.66</v>
      </c>
      <c r="AH212" s="58">
        <v>4.66</v>
      </c>
      <c r="AI212" s="56" t="str">
        <f t="shared" si="37"/>
        <v>Increase</v>
      </c>
      <c r="AJ212" s="81">
        <f t="shared" si="41"/>
        <v>429.58000000000004</v>
      </c>
      <c r="AK212" s="81">
        <f t="shared" si="42"/>
        <v>438.04</v>
      </c>
      <c r="AL212" s="58" t="s">
        <v>7206</v>
      </c>
      <c r="AM212" s="58" t="s">
        <v>6703</v>
      </c>
      <c r="AN212" s="75">
        <v>83</v>
      </c>
      <c r="AO212" s="88">
        <v>4.66</v>
      </c>
      <c r="AP212" s="6" t="str">
        <f t="shared" si="38"/>
        <v>Increase</v>
      </c>
      <c r="AQ212" s="81">
        <f t="shared" si="39"/>
        <v>379.31</v>
      </c>
      <c r="AR212" s="81">
        <f t="shared" si="40"/>
        <v>386.78000000000003</v>
      </c>
      <c r="AS212" s="82">
        <f t="shared" si="43"/>
        <v>7.4700000000000273</v>
      </c>
    </row>
    <row r="213" spans="1:45" hidden="1" x14ac:dyDescent="0.3">
      <c r="A213">
        <v>6034077</v>
      </c>
      <c r="B213" s="15" t="s">
        <v>5549</v>
      </c>
      <c r="C213" s="16" t="s">
        <v>30</v>
      </c>
      <c r="D213" s="6" t="s">
        <v>31</v>
      </c>
      <c r="E213" t="s">
        <v>1245</v>
      </c>
      <c r="F213" t="s">
        <v>1245</v>
      </c>
      <c r="H213" s="11" t="s">
        <v>27</v>
      </c>
      <c r="I213" s="6" t="s">
        <v>28</v>
      </c>
      <c r="J213" s="6" t="s">
        <v>28</v>
      </c>
      <c r="K213" t="s">
        <v>32</v>
      </c>
      <c r="L213" s="35">
        <v>5.9</v>
      </c>
      <c r="M213" s="6" t="s">
        <v>29</v>
      </c>
      <c r="N213" s="6">
        <v>3105</v>
      </c>
      <c r="P213" s="18"/>
      <c r="Q213" s="17"/>
      <c r="R213" s="19">
        <v>8.6</v>
      </c>
      <c r="S213" s="19">
        <v>8.6</v>
      </c>
      <c r="T213" s="38">
        <v>93</v>
      </c>
      <c r="U213" s="38"/>
      <c r="V213" s="30">
        <v>5.9</v>
      </c>
      <c r="W213" s="35">
        <v>5.9</v>
      </c>
      <c r="X213" s="32">
        <f t="shared" si="33"/>
        <v>548.70000000000005</v>
      </c>
      <c r="Y213" s="32">
        <f t="shared" si="34"/>
        <v>548.70000000000005</v>
      </c>
      <c r="Z213" s="32">
        <f t="shared" si="35"/>
        <v>0</v>
      </c>
      <c r="AA213" s="38">
        <v>93</v>
      </c>
      <c r="AB213" s="37">
        <f>IFERROR(VLOOKUP(A213,'Tash Lookup'!A:E,3,FALSE),"")</f>
        <v>545.15</v>
      </c>
      <c r="AC213" s="6">
        <f t="shared" si="36"/>
        <v>0</v>
      </c>
      <c r="AD213" s="2" t="s">
        <v>6703</v>
      </c>
      <c r="AF213" s="56">
        <v>5.31</v>
      </c>
      <c r="AG213" s="56" t="e">
        <f>VLOOKUP(A213,Sheet1!$A$2:$C$1140,3,FALSE)</f>
        <v>#N/A</v>
      </c>
      <c r="AH213" s="58" t="e">
        <v>#N/A</v>
      </c>
      <c r="AI213" s="56" t="str">
        <f t="shared" si="37"/>
        <v>Delete</v>
      </c>
      <c r="AJ213" s="81">
        <f t="shared" si="41"/>
        <v>493.83</v>
      </c>
      <c r="AK213" s="81">
        <f t="shared" si="42"/>
        <v>0</v>
      </c>
      <c r="AL213" s="58" t="s">
        <v>7206</v>
      </c>
      <c r="AM213" s="58" t="s">
        <v>6703</v>
      </c>
      <c r="AN213" s="75">
        <v>35</v>
      </c>
      <c r="AO213" s="88">
        <v>5.41</v>
      </c>
      <c r="AP213" s="6" t="str">
        <f t="shared" si="38"/>
        <v>Increase</v>
      </c>
      <c r="AQ213" s="81">
        <f t="shared" si="39"/>
        <v>185.85</v>
      </c>
      <c r="AR213" s="81">
        <f t="shared" si="40"/>
        <v>189.35</v>
      </c>
      <c r="AS213" s="82">
        <f t="shared" si="43"/>
        <v>3.5</v>
      </c>
    </row>
    <row r="214" spans="1:45" hidden="1" x14ac:dyDescent="0.3">
      <c r="A214">
        <v>5236667</v>
      </c>
      <c r="B214" s="15" t="s">
        <v>5550</v>
      </c>
      <c r="C214" s="16" t="s">
        <v>30</v>
      </c>
      <c r="D214" s="6" t="s">
        <v>31</v>
      </c>
      <c r="E214" t="s">
        <v>43</v>
      </c>
      <c r="F214" t="s">
        <v>43</v>
      </c>
      <c r="H214" s="11" t="s">
        <v>27</v>
      </c>
      <c r="I214" s="6" t="s">
        <v>28</v>
      </c>
      <c r="J214" s="6" t="s">
        <v>28</v>
      </c>
      <c r="K214" t="s">
        <v>32</v>
      </c>
      <c r="L214" s="35">
        <v>30.4</v>
      </c>
      <c r="M214" s="6" t="s">
        <v>29</v>
      </c>
      <c r="N214" s="6">
        <v>3105</v>
      </c>
      <c r="P214" s="18"/>
      <c r="Q214" s="17"/>
      <c r="R214" s="19">
        <v>30.4</v>
      </c>
      <c r="S214" s="19">
        <v>30.4</v>
      </c>
      <c r="T214" s="38">
        <v>91</v>
      </c>
      <c r="U214" s="38"/>
      <c r="V214" s="29">
        <v>30.4</v>
      </c>
      <c r="W214" s="45">
        <v>20.7</v>
      </c>
      <c r="X214" s="32">
        <f t="shared" si="33"/>
        <v>2766.4</v>
      </c>
      <c r="Y214" s="32">
        <f t="shared" si="34"/>
        <v>2766.4</v>
      </c>
      <c r="Z214" s="32">
        <f t="shared" si="35"/>
        <v>0</v>
      </c>
      <c r="AA214" s="38">
        <v>91</v>
      </c>
      <c r="AB214" s="37">
        <f>IFERROR(VLOOKUP(A214,'Tash Lookup'!A:E,3,FALSE),"")</f>
        <v>2252.2399999999998</v>
      </c>
      <c r="AC214" s="6">
        <f t="shared" si="36"/>
        <v>0</v>
      </c>
      <c r="AD214" s="2" t="s">
        <v>6703</v>
      </c>
      <c r="AF214" s="56">
        <v>31.72</v>
      </c>
      <c r="AG214" s="56">
        <f>VLOOKUP(A214,Sheet1!$A$2:$C$1140,3,FALSE)</f>
        <v>31.72</v>
      </c>
      <c r="AH214" s="58">
        <v>31.72</v>
      </c>
      <c r="AI214" s="56" t="str">
        <f t="shared" si="37"/>
        <v>Same</v>
      </c>
      <c r="AJ214" s="81">
        <f t="shared" si="41"/>
        <v>2886.52</v>
      </c>
      <c r="AK214" s="81">
        <f t="shared" si="42"/>
        <v>2886.52</v>
      </c>
      <c r="AL214" s="58" t="s">
        <v>32</v>
      </c>
      <c r="AM214" s="58" t="s">
        <v>6703</v>
      </c>
      <c r="AN214" s="75">
        <v>72</v>
      </c>
      <c r="AO214" s="88">
        <v>31.72</v>
      </c>
      <c r="AP214" s="6" t="str">
        <f t="shared" si="38"/>
        <v>Same</v>
      </c>
      <c r="AQ214" s="81">
        <f t="shared" si="39"/>
        <v>2283.84</v>
      </c>
      <c r="AR214" s="81">
        <f t="shared" si="40"/>
        <v>2283.84</v>
      </c>
      <c r="AS214" s="81">
        <f t="shared" si="43"/>
        <v>0</v>
      </c>
    </row>
    <row r="215" spans="1:45" hidden="1" x14ac:dyDescent="0.3">
      <c r="A215">
        <v>5218603</v>
      </c>
      <c r="B215" s="15" t="s">
        <v>5551</v>
      </c>
      <c r="C215" s="16" t="s">
        <v>30</v>
      </c>
      <c r="D215" s="6" t="s">
        <v>31</v>
      </c>
      <c r="E215" t="s">
        <v>283</v>
      </c>
      <c r="F215" t="s">
        <v>283</v>
      </c>
      <c r="H215" s="11" t="s">
        <v>27</v>
      </c>
      <c r="I215" s="6" t="s">
        <v>28</v>
      </c>
      <c r="J215" s="6" t="s">
        <v>28</v>
      </c>
      <c r="K215" t="s">
        <v>32</v>
      </c>
      <c r="L215" s="35">
        <v>14.4</v>
      </c>
      <c r="M215" s="6" t="s">
        <v>29</v>
      </c>
      <c r="N215" s="6">
        <v>3105</v>
      </c>
      <c r="P215" s="18"/>
      <c r="Q215" s="17"/>
      <c r="R215" s="19">
        <v>14.4</v>
      </c>
      <c r="S215" s="19">
        <v>14.4</v>
      </c>
      <c r="T215" s="38">
        <v>91</v>
      </c>
      <c r="U215" s="38"/>
      <c r="V215" s="29">
        <v>14.4</v>
      </c>
      <c r="W215" s="45">
        <v>12.44</v>
      </c>
      <c r="X215" s="32">
        <f t="shared" si="33"/>
        <v>1310.4000000000001</v>
      </c>
      <c r="Y215" s="32">
        <f t="shared" si="34"/>
        <v>1310.4000000000001</v>
      </c>
      <c r="Z215" s="32">
        <f t="shared" si="35"/>
        <v>0</v>
      </c>
      <c r="AA215" s="38">
        <v>91</v>
      </c>
      <c r="AB215" s="37">
        <f>IFERROR(VLOOKUP(A215,'Tash Lookup'!A:E,3,FALSE),"")</f>
        <v>1237.68</v>
      </c>
      <c r="AC215" s="6">
        <f t="shared" si="36"/>
        <v>0</v>
      </c>
      <c r="AD215" s="2" t="s">
        <v>6703</v>
      </c>
      <c r="AF215" s="56">
        <v>15.17</v>
      </c>
      <c r="AG215" s="56">
        <f>VLOOKUP(A215,Sheet1!$A$2:$C$1140,3,FALSE)</f>
        <v>15.62</v>
      </c>
      <c r="AH215" s="58">
        <v>15.62</v>
      </c>
      <c r="AI215" s="56" t="str">
        <f t="shared" si="37"/>
        <v>Increase</v>
      </c>
      <c r="AJ215" s="81">
        <f t="shared" si="41"/>
        <v>1380.47</v>
      </c>
      <c r="AK215" s="81">
        <f t="shared" si="42"/>
        <v>1421.4199999999998</v>
      </c>
      <c r="AL215" s="58" t="s">
        <v>32</v>
      </c>
      <c r="AM215" s="58" t="s">
        <v>6703</v>
      </c>
      <c r="AN215" s="75">
        <v>84</v>
      </c>
      <c r="AO215" s="88">
        <v>15.62</v>
      </c>
      <c r="AP215" s="6" t="str">
        <f t="shared" si="38"/>
        <v>Increase</v>
      </c>
      <c r="AQ215" s="81">
        <f t="shared" si="39"/>
        <v>1274.28</v>
      </c>
      <c r="AR215" s="81">
        <f t="shared" si="40"/>
        <v>1312.08</v>
      </c>
      <c r="AS215" s="82">
        <f t="shared" si="43"/>
        <v>37.799999999999955</v>
      </c>
    </row>
    <row r="216" spans="1:45" hidden="1" x14ac:dyDescent="0.3">
      <c r="A216">
        <v>5745139</v>
      </c>
      <c r="B216" s="15" t="s">
        <v>5552</v>
      </c>
      <c r="C216" s="16" t="s">
        <v>30</v>
      </c>
      <c r="D216" s="6" t="s">
        <v>31</v>
      </c>
      <c r="E216" t="s">
        <v>222</v>
      </c>
      <c r="F216" t="s">
        <v>222</v>
      </c>
      <c r="H216" s="11" t="s">
        <v>27</v>
      </c>
      <c r="I216" s="6" t="s">
        <v>28</v>
      </c>
      <c r="J216" s="6" t="s">
        <v>28</v>
      </c>
      <c r="K216" t="s">
        <v>32</v>
      </c>
      <c r="L216" s="35">
        <v>40.880000000000003</v>
      </c>
      <c r="M216" s="6" t="s">
        <v>29</v>
      </c>
      <c r="N216" s="6">
        <v>3105</v>
      </c>
      <c r="P216" s="18"/>
      <c r="Q216" s="17"/>
      <c r="R216" s="19">
        <v>40.880000000000003</v>
      </c>
      <c r="S216" s="19">
        <v>40.880000000000003</v>
      </c>
      <c r="T216" s="38">
        <v>91</v>
      </c>
      <c r="U216" s="38"/>
      <c r="V216" s="29">
        <v>40.880000000000003</v>
      </c>
      <c r="W216" s="35">
        <v>40.880000000000003</v>
      </c>
      <c r="X216" s="32">
        <f t="shared" si="33"/>
        <v>3720.0800000000004</v>
      </c>
      <c r="Y216" s="32">
        <f t="shared" si="34"/>
        <v>3720.0800000000004</v>
      </c>
      <c r="Z216" s="32">
        <f t="shared" si="35"/>
        <v>0</v>
      </c>
      <c r="AA216" s="38">
        <v>91</v>
      </c>
      <c r="AB216" s="37">
        <f>IFERROR(VLOOKUP(A216,'Tash Lookup'!A:E,3,FALSE),"")</f>
        <v>3651.9</v>
      </c>
      <c r="AC216" s="6">
        <f t="shared" si="36"/>
        <v>0</v>
      </c>
      <c r="AD216" s="2" t="s">
        <v>6703</v>
      </c>
      <c r="AF216" s="56">
        <v>42.74</v>
      </c>
      <c r="AG216" s="56">
        <f>VLOOKUP(A216,Sheet1!$A$2:$C$1140,3,FALSE)</f>
        <v>42.74</v>
      </c>
      <c r="AH216" s="58">
        <v>42.74</v>
      </c>
      <c r="AI216" s="56" t="str">
        <f t="shared" si="37"/>
        <v>Same</v>
      </c>
      <c r="AJ216" s="81">
        <f t="shared" si="41"/>
        <v>3889.34</v>
      </c>
      <c r="AK216" s="81">
        <f t="shared" si="42"/>
        <v>3889.34</v>
      </c>
      <c r="AL216" s="58" t="s">
        <v>32</v>
      </c>
      <c r="AM216" s="58" t="s">
        <v>6703</v>
      </c>
      <c r="AN216" s="75">
        <v>43</v>
      </c>
      <c r="AO216" s="88">
        <v>42.74</v>
      </c>
      <c r="AP216" s="6" t="str">
        <f t="shared" si="38"/>
        <v>Same</v>
      </c>
      <c r="AQ216" s="81">
        <f t="shared" si="39"/>
        <v>1837.8200000000002</v>
      </c>
      <c r="AR216" s="81">
        <f t="shared" si="40"/>
        <v>1837.8200000000002</v>
      </c>
      <c r="AS216" s="81">
        <f t="shared" si="43"/>
        <v>0</v>
      </c>
    </row>
    <row r="217" spans="1:45" hidden="1" x14ac:dyDescent="0.3">
      <c r="A217">
        <v>6392302</v>
      </c>
      <c r="B217" s="15" t="s">
        <v>5553</v>
      </c>
      <c r="C217" s="16" t="s">
        <v>30</v>
      </c>
      <c r="D217" s="6" t="s">
        <v>31</v>
      </c>
      <c r="E217" t="s">
        <v>2552</v>
      </c>
      <c r="F217" t="s">
        <v>2552</v>
      </c>
      <c r="H217" s="11" t="s">
        <v>27</v>
      </c>
      <c r="I217" s="6" t="s">
        <v>28</v>
      </c>
      <c r="J217" s="6" t="s">
        <v>28</v>
      </c>
      <c r="K217" t="s">
        <v>32</v>
      </c>
      <c r="L217" s="35">
        <v>6.43</v>
      </c>
      <c r="M217" s="6" t="s">
        <v>29</v>
      </c>
      <c r="N217" s="6">
        <v>3105</v>
      </c>
      <c r="P217" s="18"/>
      <c r="Q217" s="17"/>
      <c r="R217" s="19">
        <v>6.43</v>
      </c>
      <c r="S217" s="19">
        <v>6.43</v>
      </c>
      <c r="T217" s="38">
        <v>90</v>
      </c>
      <c r="U217" s="38"/>
      <c r="V217" s="29">
        <v>6.43</v>
      </c>
      <c r="W217" s="35">
        <v>6.43</v>
      </c>
      <c r="X217" s="32">
        <f t="shared" si="33"/>
        <v>578.69999999999993</v>
      </c>
      <c r="Y217" s="32">
        <f t="shared" si="34"/>
        <v>578.69999999999993</v>
      </c>
      <c r="Z217" s="32">
        <f t="shared" si="35"/>
        <v>0</v>
      </c>
      <c r="AA217" s="38">
        <v>90</v>
      </c>
      <c r="AB217" s="37">
        <f>IFERROR(VLOOKUP(A217,'Tash Lookup'!A:E,3,FALSE),"")</f>
        <v>571.05999999999995</v>
      </c>
      <c r="AC217" s="6">
        <f t="shared" si="36"/>
        <v>0</v>
      </c>
      <c r="AD217" s="2" t="s">
        <v>6703</v>
      </c>
      <c r="AF217" s="56">
        <v>6.43</v>
      </c>
      <c r="AG217" s="56">
        <f>VLOOKUP(A217,Sheet1!$A$2:$C$1140,3,FALSE)</f>
        <v>6.56</v>
      </c>
      <c r="AH217" s="58">
        <v>6.56</v>
      </c>
      <c r="AI217" s="56" t="str">
        <f t="shared" si="37"/>
        <v>Increase</v>
      </c>
      <c r="AJ217" s="81">
        <f t="shared" si="41"/>
        <v>578.69999999999993</v>
      </c>
      <c r="AK217" s="81">
        <f t="shared" si="42"/>
        <v>590.4</v>
      </c>
      <c r="AL217" s="58" t="s">
        <v>7206</v>
      </c>
      <c r="AM217" s="58" t="s">
        <v>6703</v>
      </c>
      <c r="AN217" s="75">
        <v>146</v>
      </c>
      <c r="AO217" s="88">
        <v>6.56</v>
      </c>
      <c r="AP217" s="6" t="str">
        <f t="shared" si="38"/>
        <v>Increase</v>
      </c>
      <c r="AQ217" s="81">
        <f t="shared" si="39"/>
        <v>938.78</v>
      </c>
      <c r="AR217" s="81">
        <f t="shared" si="40"/>
        <v>957.76</v>
      </c>
      <c r="AS217" s="82">
        <f t="shared" si="43"/>
        <v>18.980000000000018</v>
      </c>
    </row>
    <row r="218" spans="1:45" hidden="1" x14ac:dyDescent="0.3">
      <c r="A218">
        <v>6183951</v>
      </c>
      <c r="B218" s="15" t="s">
        <v>5554</v>
      </c>
      <c r="C218" s="16" t="s">
        <v>30</v>
      </c>
      <c r="D218" s="6" t="s">
        <v>31</v>
      </c>
      <c r="E218" t="s">
        <v>682</v>
      </c>
      <c r="F218" t="s">
        <v>682</v>
      </c>
      <c r="H218" s="11" t="s">
        <v>27</v>
      </c>
      <c r="I218" s="6" t="s">
        <v>28</v>
      </c>
      <c r="J218" s="6" t="s">
        <v>28</v>
      </c>
      <c r="K218" t="s">
        <v>32</v>
      </c>
      <c r="L218" s="35">
        <v>9.23</v>
      </c>
      <c r="M218" s="6" t="s">
        <v>29</v>
      </c>
      <c r="N218" s="6">
        <v>3105</v>
      </c>
      <c r="P218" s="18"/>
      <c r="Q218" s="17"/>
      <c r="R218" s="19">
        <v>9.23</v>
      </c>
      <c r="S218" s="19">
        <v>9.23</v>
      </c>
      <c r="T218" s="38">
        <v>87</v>
      </c>
      <c r="U218" s="38"/>
      <c r="V218" s="30">
        <v>9.23</v>
      </c>
      <c r="W218" s="35">
        <v>9.23</v>
      </c>
      <c r="X218" s="32">
        <f t="shared" si="33"/>
        <v>803.01</v>
      </c>
      <c r="Y218" s="32">
        <f t="shared" si="34"/>
        <v>803.01</v>
      </c>
      <c r="Z218" s="32">
        <f t="shared" si="35"/>
        <v>0</v>
      </c>
      <c r="AA218" s="38">
        <v>87</v>
      </c>
      <c r="AB218" s="37">
        <f>IFERROR(VLOOKUP(A218,'Tash Lookup'!A:E,3,FALSE),"")</f>
        <v>798.32</v>
      </c>
      <c r="AC218" s="6">
        <f t="shared" si="36"/>
        <v>0</v>
      </c>
      <c r="AD218" s="2" t="s">
        <v>6703</v>
      </c>
      <c r="AF218" s="56">
        <v>9.23</v>
      </c>
      <c r="AG218" s="56">
        <f>VLOOKUP(A218,Sheet1!$A$2:$C$1140,3,FALSE)</f>
        <v>9.42</v>
      </c>
      <c r="AH218" s="58">
        <v>9.42</v>
      </c>
      <c r="AI218" s="56" t="str">
        <f t="shared" si="37"/>
        <v>Increase</v>
      </c>
      <c r="AJ218" s="81">
        <f t="shared" si="41"/>
        <v>803.01</v>
      </c>
      <c r="AK218" s="81">
        <f t="shared" si="42"/>
        <v>819.54</v>
      </c>
      <c r="AL218" s="58" t="s">
        <v>7206</v>
      </c>
      <c r="AM218" s="58" t="s">
        <v>6703</v>
      </c>
      <c r="AN218" s="75">
        <v>22</v>
      </c>
      <c r="AO218" s="88">
        <v>9.42</v>
      </c>
      <c r="AP218" s="6" t="str">
        <f t="shared" si="38"/>
        <v>Increase</v>
      </c>
      <c r="AQ218" s="81">
        <f t="shared" si="39"/>
        <v>203.06</v>
      </c>
      <c r="AR218" s="81">
        <f t="shared" si="40"/>
        <v>207.24</v>
      </c>
      <c r="AS218" s="82">
        <f t="shared" si="43"/>
        <v>4.1800000000000068</v>
      </c>
    </row>
    <row r="219" spans="1:45" hidden="1" x14ac:dyDescent="0.3">
      <c r="A219">
        <v>5110679</v>
      </c>
      <c r="B219" s="15" t="s">
        <v>5555</v>
      </c>
      <c r="C219" s="16" t="s">
        <v>30</v>
      </c>
      <c r="D219" s="6" t="s">
        <v>31</v>
      </c>
      <c r="E219" t="s">
        <v>600</v>
      </c>
      <c r="F219" t="s">
        <v>600</v>
      </c>
      <c r="H219" s="11" t="s">
        <v>27</v>
      </c>
      <c r="I219" s="6" t="s">
        <v>28</v>
      </c>
      <c r="J219" s="6" t="s">
        <v>28</v>
      </c>
      <c r="K219" t="s">
        <v>32</v>
      </c>
      <c r="L219" s="35">
        <v>35.4</v>
      </c>
      <c r="M219" s="6" t="s">
        <v>29</v>
      </c>
      <c r="N219" s="6">
        <v>3105</v>
      </c>
      <c r="P219" s="18"/>
      <c r="Q219" s="17"/>
      <c r="R219" s="19">
        <v>35.4</v>
      </c>
      <c r="S219" s="19">
        <v>35.4</v>
      </c>
      <c r="T219" s="38">
        <v>86</v>
      </c>
      <c r="U219" s="38"/>
      <c r="V219" s="29">
        <v>35.4</v>
      </c>
      <c r="W219" s="35">
        <v>35.4</v>
      </c>
      <c r="X219" s="32">
        <f t="shared" si="33"/>
        <v>3044.4</v>
      </c>
      <c r="Y219" s="32">
        <f t="shared" si="34"/>
        <v>3044.4</v>
      </c>
      <c r="Z219" s="32">
        <f t="shared" si="35"/>
        <v>0</v>
      </c>
      <c r="AA219" s="38">
        <v>86</v>
      </c>
      <c r="AB219" s="37">
        <f>IFERROR(VLOOKUP(A219,'Tash Lookup'!A:E,3,FALSE),"")</f>
        <v>3008.42</v>
      </c>
      <c r="AC219" s="6">
        <f t="shared" si="36"/>
        <v>0</v>
      </c>
      <c r="AD219" s="2" t="s">
        <v>6703</v>
      </c>
      <c r="AF219" s="56">
        <v>35.64</v>
      </c>
      <c r="AG219" s="56">
        <f>VLOOKUP(A219,Sheet1!$A$2:$C$1140,3,FALSE)</f>
        <v>36.71</v>
      </c>
      <c r="AH219" s="58">
        <v>36.71</v>
      </c>
      <c r="AI219" s="56" t="str">
        <f t="shared" si="37"/>
        <v>Increase</v>
      </c>
      <c r="AJ219" s="81">
        <f t="shared" si="41"/>
        <v>3065.04</v>
      </c>
      <c r="AK219" s="81">
        <f t="shared" si="42"/>
        <v>3157.06</v>
      </c>
      <c r="AL219" s="58" t="s">
        <v>32</v>
      </c>
      <c r="AM219" s="58" t="s">
        <v>6703</v>
      </c>
      <c r="AN219" s="75">
        <v>51</v>
      </c>
      <c r="AO219" s="88">
        <v>36.71</v>
      </c>
      <c r="AP219" s="6" t="str">
        <f t="shared" si="38"/>
        <v>Increase</v>
      </c>
      <c r="AQ219" s="81">
        <f t="shared" si="39"/>
        <v>1817.64</v>
      </c>
      <c r="AR219" s="81">
        <f t="shared" si="40"/>
        <v>1872.21</v>
      </c>
      <c r="AS219" s="82">
        <f t="shared" si="43"/>
        <v>54.569999999999936</v>
      </c>
    </row>
    <row r="220" spans="1:45" hidden="1" x14ac:dyDescent="0.3">
      <c r="A220">
        <v>6188906</v>
      </c>
      <c r="B220" s="15" t="s">
        <v>5556</v>
      </c>
      <c r="C220" s="16" t="s">
        <v>30</v>
      </c>
      <c r="D220" s="6" t="s">
        <v>31</v>
      </c>
      <c r="E220" t="s">
        <v>859</v>
      </c>
      <c r="F220" t="s">
        <v>859</v>
      </c>
      <c r="H220" s="11" t="s">
        <v>27</v>
      </c>
      <c r="I220" s="6" t="s">
        <v>28</v>
      </c>
      <c r="J220" s="6" t="s">
        <v>28</v>
      </c>
      <c r="K220" t="s">
        <v>32</v>
      </c>
      <c r="L220" s="48">
        <v>3.13</v>
      </c>
      <c r="M220" s="6" t="s">
        <v>29</v>
      </c>
      <c r="N220" s="6">
        <v>3105</v>
      </c>
      <c r="P220" s="18"/>
      <c r="Q220" s="17"/>
      <c r="R220" s="19">
        <v>3.13</v>
      </c>
      <c r="S220" s="19">
        <v>3.13</v>
      </c>
      <c r="T220" s="38">
        <v>84</v>
      </c>
      <c r="U220" s="38"/>
      <c r="V220" s="30">
        <v>3.13</v>
      </c>
      <c r="W220" s="35">
        <v>3.13</v>
      </c>
      <c r="X220" s="32">
        <f t="shared" si="33"/>
        <v>262.92</v>
      </c>
      <c r="Y220" s="32">
        <f t="shared" si="34"/>
        <v>262.92</v>
      </c>
      <c r="Z220" s="32">
        <f t="shared" si="35"/>
        <v>0</v>
      </c>
      <c r="AA220" s="38">
        <v>84</v>
      </c>
      <c r="AB220" s="37">
        <f>IFERROR(VLOOKUP(A220,'Tash Lookup'!A:E,3,FALSE),"")</f>
        <v>262.86</v>
      </c>
      <c r="AC220" s="6">
        <f t="shared" si="36"/>
        <v>0</v>
      </c>
      <c r="AD220" s="2" t="s">
        <v>6703</v>
      </c>
      <c r="AF220" s="56">
        <v>3.13</v>
      </c>
      <c r="AG220" s="56">
        <f>VLOOKUP(A220,Sheet1!$A$2:$C$1140,3,FALSE)</f>
        <v>3.19</v>
      </c>
      <c r="AH220" s="58">
        <v>3.19</v>
      </c>
      <c r="AI220" s="56" t="str">
        <f t="shared" si="37"/>
        <v>Increase</v>
      </c>
      <c r="AJ220" s="81">
        <f t="shared" si="41"/>
        <v>262.92</v>
      </c>
      <c r="AK220" s="81">
        <f t="shared" si="42"/>
        <v>267.95999999999998</v>
      </c>
      <c r="AL220" s="58" t="s">
        <v>7206</v>
      </c>
      <c r="AM220" s="58" t="s">
        <v>6703</v>
      </c>
      <c r="AN220" s="75">
        <v>24</v>
      </c>
      <c r="AO220" s="88">
        <v>3.19</v>
      </c>
      <c r="AP220" s="6" t="str">
        <f t="shared" si="38"/>
        <v>Increase</v>
      </c>
      <c r="AQ220" s="81">
        <f t="shared" si="39"/>
        <v>75.12</v>
      </c>
      <c r="AR220" s="81">
        <f t="shared" si="40"/>
        <v>76.56</v>
      </c>
      <c r="AS220" s="82">
        <f t="shared" si="43"/>
        <v>1.4399999999999977</v>
      </c>
    </row>
    <row r="221" spans="1:45" hidden="1" x14ac:dyDescent="0.3">
      <c r="A221">
        <v>6188864</v>
      </c>
      <c r="B221" s="15" t="s">
        <v>5557</v>
      </c>
      <c r="C221" s="16" t="s">
        <v>30</v>
      </c>
      <c r="D221" s="6" t="s">
        <v>31</v>
      </c>
      <c r="E221" t="s">
        <v>854</v>
      </c>
      <c r="F221" t="s">
        <v>854</v>
      </c>
      <c r="H221" s="11" t="s">
        <v>27</v>
      </c>
      <c r="I221" s="6" t="s">
        <v>28</v>
      </c>
      <c r="J221" s="6" t="s">
        <v>28</v>
      </c>
      <c r="K221" t="s">
        <v>32</v>
      </c>
      <c r="L221" s="35">
        <v>1.33</v>
      </c>
      <c r="M221" s="6" t="s">
        <v>29</v>
      </c>
      <c r="N221" s="6">
        <v>3105</v>
      </c>
      <c r="P221" s="18"/>
      <c r="Q221" s="17"/>
      <c r="R221" s="19">
        <v>2.56</v>
      </c>
      <c r="S221" s="19">
        <v>2.56</v>
      </c>
      <c r="T221" s="38">
        <v>84</v>
      </c>
      <c r="U221" s="38"/>
      <c r="V221" s="30">
        <v>2.56</v>
      </c>
      <c r="W221" s="35">
        <v>1.33</v>
      </c>
      <c r="X221" s="32">
        <f t="shared" si="33"/>
        <v>215.04</v>
      </c>
      <c r="Y221" s="32">
        <f t="shared" si="34"/>
        <v>111.72</v>
      </c>
      <c r="Z221" s="32">
        <f t="shared" si="35"/>
        <v>103.32</v>
      </c>
      <c r="AA221" s="38">
        <v>84</v>
      </c>
      <c r="AB221" s="37">
        <f>IFERROR(VLOOKUP(A221,'Tash Lookup'!A:E,3,FALSE),"")</f>
        <v>110.86</v>
      </c>
      <c r="AC221" s="6">
        <f t="shared" si="36"/>
        <v>0</v>
      </c>
      <c r="AD221" s="2" t="s">
        <v>6703</v>
      </c>
      <c r="AF221" s="56">
        <v>2.56</v>
      </c>
      <c r="AG221" s="56">
        <f>VLOOKUP(A221,Sheet1!$A$2:$C$1140,3,FALSE)</f>
        <v>2.61</v>
      </c>
      <c r="AH221" s="58">
        <v>2.61</v>
      </c>
      <c r="AI221" s="56" t="str">
        <f t="shared" si="37"/>
        <v>Increase</v>
      </c>
      <c r="AJ221" s="81">
        <f t="shared" si="41"/>
        <v>215.04</v>
      </c>
      <c r="AK221" s="81">
        <f t="shared" si="42"/>
        <v>219.23999999999998</v>
      </c>
      <c r="AL221" s="58" t="s">
        <v>7206</v>
      </c>
      <c r="AM221" s="58" t="s">
        <v>6703</v>
      </c>
      <c r="AN221" s="75">
        <v>54</v>
      </c>
      <c r="AO221" s="88">
        <v>2.61</v>
      </c>
      <c r="AP221" s="6" t="str">
        <f t="shared" si="38"/>
        <v>Increase</v>
      </c>
      <c r="AQ221" s="81">
        <f t="shared" si="39"/>
        <v>138.24</v>
      </c>
      <c r="AR221" s="81">
        <f t="shared" si="40"/>
        <v>140.94</v>
      </c>
      <c r="AS221" s="82">
        <f t="shared" si="43"/>
        <v>2.6999999999999886</v>
      </c>
    </row>
    <row r="222" spans="1:45" hidden="1" x14ac:dyDescent="0.3">
      <c r="A222">
        <v>5222622</v>
      </c>
      <c r="B222" s="15" t="s">
        <v>5558</v>
      </c>
      <c r="C222" s="16" t="s">
        <v>30</v>
      </c>
      <c r="D222" s="6" t="s">
        <v>31</v>
      </c>
      <c r="E222" t="s">
        <v>1013</v>
      </c>
      <c r="F222" t="s">
        <v>1013</v>
      </c>
      <c r="H222" s="11" t="s">
        <v>27</v>
      </c>
      <c r="I222" s="6" t="s">
        <v>28</v>
      </c>
      <c r="J222" s="6" t="s">
        <v>28</v>
      </c>
      <c r="K222" t="s">
        <v>32</v>
      </c>
      <c r="L222" s="35">
        <v>29.06</v>
      </c>
      <c r="M222" s="6" t="s">
        <v>29</v>
      </c>
      <c r="N222" s="6">
        <v>3105</v>
      </c>
      <c r="P222" s="18"/>
      <c r="Q222" s="17"/>
      <c r="R222" s="19">
        <v>29.06</v>
      </c>
      <c r="S222" s="19">
        <v>29.06</v>
      </c>
      <c r="T222" s="38">
        <v>83</v>
      </c>
      <c r="U222" s="38"/>
      <c r="V222" s="30">
        <v>29.06</v>
      </c>
      <c r="W222" s="35">
        <v>29.06</v>
      </c>
      <c r="X222" s="32">
        <f t="shared" si="33"/>
        <v>2411.98</v>
      </c>
      <c r="Y222" s="32">
        <f t="shared" si="34"/>
        <v>2411.98</v>
      </c>
      <c r="Z222" s="32">
        <f t="shared" si="35"/>
        <v>0</v>
      </c>
      <c r="AA222" s="38">
        <v>83</v>
      </c>
      <c r="AB222" s="37">
        <f>IFERROR(VLOOKUP(A222,'Tash Lookup'!A:E,3,FALSE),"")</f>
        <v>2268.67</v>
      </c>
      <c r="AC222" s="6">
        <f t="shared" si="36"/>
        <v>0</v>
      </c>
      <c r="AD222" s="2" t="s">
        <v>6703</v>
      </c>
      <c r="AF222" s="56">
        <v>29.06</v>
      </c>
      <c r="AG222" s="56">
        <f>VLOOKUP(A222,Sheet1!$A$2:$C$1140,3,FALSE)</f>
        <v>29.65</v>
      </c>
      <c r="AH222" s="58">
        <v>29.65</v>
      </c>
      <c r="AI222" s="56" t="str">
        <f t="shared" si="37"/>
        <v>Increase</v>
      </c>
      <c r="AJ222" s="81">
        <f t="shared" si="41"/>
        <v>2411.98</v>
      </c>
      <c r="AK222" s="81">
        <f t="shared" si="42"/>
        <v>2460.9499999999998</v>
      </c>
      <c r="AL222" s="58" t="s">
        <v>7206</v>
      </c>
      <c r="AM222" s="58" t="s">
        <v>6703</v>
      </c>
      <c r="AN222" s="75">
        <v>50</v>
      </c>
      <c r="AO222" s="88">
        <v>29.65</v>
      </c>
      <c r="AP222" s="6" t="str">
        <f t="shared" si="38"/>
        <v>Increase</v>
      </c>
      <c r="AQ222" s="81">
        <f t="shared" si="39"/>
        <v>1453</v>
      </c>
      <c r="AR222" s="81">
        <f t="shared" si="40"/>
        <v>1482.5</v>
      </c>
      <c r="AS222" s="82">
        <f t="shared" si="43"/>
        <v>29.5</v>
      </c>
    </row>
    <row r="223" spans="1:45" hidden="1" x14ac:dyDescent="0.3">
      <c r="A223">
        <v>5091653</v>
      </c>
      <c r="B223" s="15" t="s">
        <v>5559</v>
      </c>
      <c r="C223" s="16" t="s">
        <v>30</v>
      </c>
      <c r="D223" s="6" t="s">
        <v>31</v>
      </c>
      <c r="E223" t="s">
        <v>166</v>
      </c>
      <c r="F223" t="s">
        <v>166</v>
      </c>
      <c r="H223" s="11" t="s">
        <v>27</v>
      </c>
      <c r="I223" s="6" t="s">
        <v>28</v>
      </c>
      <c r="J223" s="6" t="s">
        <v>28</v>
      </c>
      <c r="K223" t="s">
        <v>32</v>
      </c>
      <c r="L223" s="35">
        <v>19.73</v>
      </c>
      <c r="M223" s="6" t="s">
        <v>29</v>
      </c>
      <c r="N223" s="6">
        <v>3105</v>
      </c>
      <c r="P223" s="18"/>
      <c r="Q223" s="17"/>
      <c r="R223" s="19">
        <v>19.73</v>
      </c>
      <c r="S223" s="19">
        <v>19.73</v>
      </c>
      <c r="T223" s="38">
        <v>83</v>
      </c>
      <c r="U223" s="38"/>
      <c r="V223" s="29">
        <v>17.679499999999997</v>
      </c>
      <c r="W223" s="35">
        <v>5.88</v>
      </c>
      <c r="X223" s="32">
        <f t="shared" si="33"/>
        <v>1467.3984999999998</v>
      </c>
      <c r="Y223" s="32">
        <f t="shared" si="34"/>
        <v>1637.5900000000001</v>
      </c>
      <c r="Z223" s="32">
        <f t="shared" si="35"/>
        <v>-170.19150000000036</v>
      </c>
      <c r="AA223" s="38">
        <v>83</v>
      </c>
      <c r="AB223" s="37">
        <f>IFERROR(VLOOKUP(A223,'Tash Lookup'!A:E,3,FALSE),"")</f>
        <v>1630.65</v>
      </c>
      <c r="AC223" s="6">
        <f t="shared" si="36"/>
        <v>0</v>
      </c>
      <c r="AD223" s="2" t="s">
        <v>6703</v>
      </c>
      <c r="AF223" s="56">
        <v>17.41</v>
      </c>
      <c r="AG223" s="56">
        <f>VLOOKUP(A223,Sheet1!$A$2:$C$1140,3,FALSE)</f>
        <v>17.41</v>
      </c>
      <c r="AH223" s="58">
        <v>17.41</v>
      </c>
      <c r="AI223" s="56" t="str">
        <f t="shared" si="37"/>
        <v>Same</v>
      </c>
      <c r="AJ223" s="81">
        <f t="shared" si="41"/>
        <v>1445.03</v>
      </c>
      <c r="AK223" s="81">
        <f t="shared" si="42"/>
        <v>1445.03</v>
      </c>
      <c r="AL223" s="58" t="s">
        <v>32</v>
      </c>
      <c r="AM223" s="58" t="s">
        <v>6703</v>
      </c>
      <c r="AN223" s="75">
        <v>71</v>
      </c>
      <c r="AO223" s="88">
        <v>17.41</v>
      </c>
      <c r="AP223" s="6" t="str">
        <f t="shared" si="38"/>
        <v>Same</v>
      </c>
      <c r="AQ223" s="81">
        <f t="shared" si="39"/>
        <v>1236.1099999999999</v>
      </c>
      <c r="AR223" s="81">
        <f t="shared" si="40"/>
        <v>1236.1099999999999</v>
      </c>
      <c r="AS223" s="81">
        <f t="shared" si="43"/>
        <v>0</v>
      </c>
    </row>
    <row r="224" spans="1:45" hidden="1" x14ac:dyDescent="0.3">
      <c r="A224">
        <v>6188819</v>
      </c>
      <c r="B224" s="15" t="s">
        <v>5560</v>
      </c>
      <c r="C224" s="16" t="s">
        <v>30</v>
      </c>
      <c r="D224" s="6" t="s">
        <v>31</v>
      </c>
      <c r="E224" t="s">
        <v>869</v>
      </c>
      <c r="F224" t="s">
        <v>869</v>
      </c>
      <c r="H224" s="11" t="s">
        <v>27</v>
      </c>
      <c r="I224" s="6" t="s">
        <v>28</v>
      </c>
      <c r="J224" s="6" t="s">
        <v>28</v>
      </c>
      <c r="K224" t="s">
        <v>32</v>
      </c>
      <c r="L224" s="35">
        <v>5.88</v>
      </c>
      <c r="M224" s="6" t="s">
        <v>29</v>
      </c>
      <c r="N224" s="6">
        <v>3105</v>
      </c>
      <c r="P224" s="18"/>
      <c r="Q224" s="17"/>
      <c r="R224" s="19">
        <v>5.88</v>
      </c>
      <c r="S224" s="19">
        <v>5.88</v>
      </c>
      <c r="T224" s="38">
        <v>83</v>
      </c>
      <c r="U224" s="38"/>
      <c r="V224" s="30">
        <v>5.88</v>
      </c>
      <c r="W224" s="35">
        <v>19.97</v>
      </c>
      <c r="X224" s="32">
        <f t="shared" si="33"/>
        <v>488.03999999999996</v>
      </c>
      <c r="Y224" s="32">
        <f t="shared" si="34"/>
        <v>488.03999999999996</v>
      </c>
      <c r="Z224" s="32">
        <f t="shared" si="35"/>
        <v>0</v>
      </c>
      <c r="AA224" s="38">
        <v>83</v>
      </c>
      <c r="AB224" s="37">
        <f>IFERROR(VLOOKUP(A224,'Tash Lookup'!A:E,3,FALSE),"")</f>
        <v>482.77</v>
      </c>
      <c r="AC224" s="6">
        <f t="shared" si="36"/>
        <v>0</v>
      </c>
      <c r="AD224" s="2" t="s">
        <v>6703</v>
      </c>
      <c r="AF224" s="56">
        <v>5.66</v>
      </c>
      <c r="AG224" s="56">
        <f>VLOOKUP(A224,Sheet1!$A$2:$C$1140,3,FALSE)</f>
        <v>5.78</v>
      </c>
      <c r="AH224" s="58">
        <v>5.78</v>
      </c>
      <c r="AI224" s="56" t="str">
        <f t="shared" si="37"/>
        <v>Increase</v>
      </c>
      <c r="AJ224" s="81">
        <f t="shared" si="41"/>
        <v>469.78000000000003</v>
      </c>
      <c r="AK224" s="81">
        <f t="shared" si="42"/>
        <v>479.74</v>
      </c>
      <c r="AL224" s="58" t="s">
        <v>7206</v>
      </c>
      <c r="AM224" s="58" t="s">
        <v>6703</v>
      </c>
      <c r="AN224" s="75">
        <v>82</v>
      </c>
      <c r="AO224" s="88">
        <v>5.78</v>
      </c>
      <c r="AP224" s="6" t="str">
        <f t="shared" si="38"/>
        <v>Increase</v>
      </c>
      <c r="AQ224" s="81">
        <f t="shared" si="39"/>
        <v>464.12</v>
      </c>
      <c r="AR224" s="81">
        <f t="shared" si="40"/>
        <v>473.96000000000004</v>
      </c>
      <c r="AS224" s="82">
        <f t="shared" si="43"/>
        <v>9.8400000000000318</v>
      </c>
    </row>
    <row r="225" spans="1:45" hidden="1" x14ac:dyDescent="0.3">
      <c r="A225">
        <v>5183381</v>
      </c>
      <c r="B225" s="15" t="s">
        <v>5561</v>
      </c>
      <c r="C225" s="16" t="s">
        <v>30</v>
      </c>
      <c r="D225" s="6" t="s">
        <v>31</v>
      </c>
      <c r="E225" t="s">
        <v>139</v>
      </c>
      <c r="F225" t="s">
        <v>139</v>
      </c>
      <c r="H225" s="11" t="s">
        <v>27</v>
      </c>
      <c r="I225" s="6" t="s">
        <v>28</v>
      </c>
      <c r="J225" s="6" t="s">
        <v>28</v>
      </c>
      <c r="K225" t="s">
        <v>32</v>
      </c>
      <c r="L225" s="35">
        <v>19.97</v>
      </c>
      <c r="M225" s="6" t="s">
        <v>29</v>
      </c>
      <c r="N225" s="6">
        <v>3105</v>
      </c>
      <c r="P225" s="18"/>
      <c r="Q225" s="17"/>
      <c r="R225" s="19">
        <v>19.97</v>
      </c>
      <c r="S225" s="19">
        <v>19.97</v>
      </c>
      <c r="T225" s="38">
        <v>83</v>
      </c>
      <c r="U225" s="38"/>
      <c r="V225" s="29">
        <v>19.97</v>
      </c>
      <c r="W225" s="35">
        <v>19.73</v>
      </c>
      <c r="X225" s="32">
        <f t="shared" si="33"/>
        <v>1657.51</v>
      </c>
      <c r="Y225" s="32">
        <f t="shared" si="34"/>
        <v>1657.51</v>
      </c>
      <c r="Z225" s="32">
        <f t="shared" si="35"/>
        <v>0</v>
      </c>
      <c r="AA225" s="38">
        <v>83</v>
      </c>
      <c r="AB225" s="37">
        <f>IFERROR(VLOOKUP(A225,'Tash Lookup'!A:E,3,FALSE),"")</f>
        <v>1602.02</v>
      </c>
      <c r="AC225" s="6">
        <f t="shared" si="36"/>
        <v>0</v>
      </c>
      <c r="AD225" s="2" t="s">
        <v>6703</v>
      </c>
      <c r="AF225" s="56">
        <v>20.27</v>
      </c>
      <c r="AG225" s="56">
        <f>VLOOKUP(A225,Sheet1!$A$2:$C$1140,3,FALSE)</f>
        <v>20.27</v>
      </c>
      <c r="AH225" s="58">
        <v>20.27</v>
      </c>
      <c r="AI225" s="56" t="str">
        <f t="shared" si="37"/>
        <v>Same</v>
      </c>
      <c r="AJ225" s="81">
        <f t="shared" si="41"/>
        <v>1682.4099999999999</v>
      </c>
      <c r="AK225" s="81">
        <f t="shared" si="42"/>
        <v>1682.4099999999999</v>
      </c>
      <c r="AL225" s="58" t="s">
        <v>32</v>
      </c>
      <c r="AM225" s="58" t="s">
        <v>6703</v>
      </c>
      <c r="AN225" s="75">
        <v>46</v>
      </c>
      <c r="AO225" s="88">
        <v>20.27</v>
      </c>
      <c r="AP225" s="6" t="str">
        <f t="shared" si="38"/>
        <v>Same</v>
      </c>
      <c r="AQ225" s="81">
        <f t="shared" si="39"/>
        <v>932.42</v>
      </c>
      <c r="AR225" s="81">
        <f t="shared" si="40"/>
        <v>932.42</v>
      </c>
      <c r="AS225" s="81">
        <f t="shared" si="43"/>
        <v>0</v>
      </c>
    </row>
    <row r="226" spans="1:45" hidden="1" x14ac:dyDescent="0.3">
      <c r="A226">
        <v>6183892</v>
      </c>
      <c r="B226" s="15" t="s">
        <v>5562</v>
      </c>
      <c r="C226" s="16" t="s">
        <v>30</v>
      </c>
      <c r="D226" s="6" t="s">
        <v>31</v>
      </c>
      <c r="E226" t="s">
        <v>849</v>
      </c>
      <c r="F226" t="s">
        <v>849</v>
      </c>
      <c r="H226" s="11" t="s">
        <v>27</v>
      </c>
      <c r="I226" s="6" t="s">
        <v>28</v>
      </c>
      <c r="J226" s="6" t="s">
        <v>28</v>
      </c>
      <c r="K226" t="s">
        <v>32</v>
      </c>
      <c r="L226" s="35">
        <v>7.09</v>
      </c>
      <c r="M226" s="6" t="s">
        <v>29</v>
      </c>
      <c r="N226" s="6">
        <v>3105</v>
      </c>
      <c r="P226" s="18"/>
      <c r="Q226" s="17"/>
      <c r="R226" s="19">
        <v>7.09</v>
      </c>
      <c r="S226" s="19">
        <v>7.09</v>
      </c>
      <c r="T226" s="38">
        <v>82</v>
      </c>
      <c r="U226" s="38"/>
      <c r="V226" s="30">
        <v>7.09</v>
      </c>
      <c r="W226" s="35">
        <v>7.09</v>
      </c>
      <c r="X226" s="32">
        <f t="shared" si="33"/>
        <v>581.38</v>
      </c>
      <c r="Y226" s="32">
        <f t="shared" si="34"/>
        <v>581.38</v>
      </c>
      <c r="Z226" s="32">
        <f t="shared" si="35"/>
        <v>0</v>
      </c>
      <c r="AA226" s="38">
        <v>82</v>
      </c>
      <c r="AB226" s="37">
        <f>IFERROR(VLOOKUP(A226,'Tash Lookup'!A:E,3,FALSE),"")</f>
        <v>578.63</v>
      </c>
      <c r="AC226" s="6">
        <f t="shared" si="36"/>
        <v>0</v>
      </c>
      <c r="AD226" s="2" t="s">
        <v>6703</v>
      </c>
      <c r="AF226" s="56">
        <v>7.09</v>
      </c>
      <c r="AG226" s="56">
        <f>VLOOKUP(A226,Sheet1!$A$2:$C$1140,3,FALSE)</f>
        <v>7.23</v>
      </c>
      <c r="AH226" s="58">
        <v>7.23</v>
      </c>
      <c r="AI226" s="56" t="str">
        <f t="shared" si="37"/>
        <v>Increase</v>
      </c>
      <c r="AJ226" s="81">
        <f t="shared" si="41"/>
        <v>581.38</v>
      </c>
      <c r="AK226" s="81">
        <f t="shared" si="42"/>
        <v>592.86</v>
      </c>
      <c r="AL226" s="58" t="s">
        <v>7206</v>
      </c>
      <c r="AM226" s="58" t="s">
        <v>6703</v>
      </c>
      <c r="AN226" s="75">
        <v>73</v>
      </c>
      <c r="AO226" s="88">
        <v>7.23</v>
      </c>
      <c r="AP226" s="6" t="str">
        <f t="shared" si="38"/>
        <v>Increase</v>
      </c>
      <c r="AQ226" s="81">
        <f t="shared" si="39"/>
        <v>517.56999999999994</v>
      </c>
      <c r="AR226" s="81">
        <f t="shared" si="40"/>
        <v>527.79000000000008</v>
      </c>
      <c r="AS226" s="82">
        <f t="shared" si="43"/>
        <v>10.220000000000141</v>
      </c>
    </row>
    <row r="227" spans="1:45" hidden="1" x14ac:dyDescent="0.3">
      <c r="A227">
        <v>6392304</v>
      </c>
      <c r="B227" s="15" t="s">
        <v>5563</v>
      </c>
      <c r="C227" s="16" t="s">
        <v>30</v>
      </c>
      <c r="D227" s="6" t="s">
        <v>31</v>
      </c>
      <c r="E227" t="s">
        <v>2544</v>
      </c>
      <c r="F227" t="s">
        <v>2544</v>
      </c>
      <c r="H227" s="11" t="s">
        <v>27</v>
      </c>
      <c r="I227" s="6" t="s">
        <v>28</v>
      </c>
      <c r="J227" s="6" t="s">
        <v>28</v>
      </c>
      <c r="K227" t="s">
        <v>32</v>
      </c>
      <c r="L227" s="35">
        <v>6.01</v>
      </c>
      <c r="M227" s="6" t="s">
        <v>29</v>
      </c>
      <c r="N227" s="6">
        <v>3105</v>
      </c>
      <c r="P227" s="18"/>
      <c r="Q227" s="17"/>
      <c r="R227" s="19">
        <v>6.01</v>
      </c>
      <c r="S227" s="19">
        <v>6.01</v>
      </c>
      <c r="T227" s="38">
        <v>82</v>
      </c>
      <c r="U227" s="38"/>
      <c r="V227" s="29">
        <v>6.01</v>
      </c>
      <c r="W227" s="35">
        <v>6.01</v>
      </c>
      <c r="X227" s="32">
        <f t="shared" si="33"/>
        <v>492.82</v>
      </c>
      <c r="Y227" s="32">
        <f t="shared" si="34"/>
        <v>492.82</v>
      </c>
      <c r="Z227" s="32">
        <f t="shared" si="35"/>
        <v>0</v>
      </c>
      <c r="AA227" s="38">
        <v>82</v>
      </c>
      <c r="AB227" s="37">
        <f>IFERROR(VLOOKUP(A227,'Tash Lookup'!A:E,3,FALSE),"")</f>
        <v>489.42</v>
      </c>
      <c r="AC227" s="6">
        <f t="shared" si="36"/>
        <v>0</v>
      </c>
      <c r="AD227" s="2" t="s">
        <v>6703</v>
      </c>
      <c r="AF227" s="56">
        <v>6.01</v>
      </c>
      <c r="AG227" s="56">
        <f>VLOOKUP(A227,Sheet1!$A$2:$C$1140,3,FALSE)</f>
        <v>6.13</v>
      </c>
      <c r="AH227" s="58">
        <v>6.13</v>
      </c>
      <c r="AI227" s="56" t="str">
        <f t="shared" si="37"/>
        <v>Increase</v>
      </c>
      <c r="AJ227" s="81">
        <f t="shared" si="41"/>
        <v>492.82</v>
      </c>
      <c r="AK227" s="81">
        <f t="shared" si="42"/>
        <v>502.65999999999997</v>
      </c>
      <c r="AL227" s="58" t="s">
        <v>7206</v>
      </c>
      <c r="AM227" s="58" t="s">
        <v>6703</v>
      </c>
      <c r="AN227" s="75">
        <v>107</v>
      </c>
      <c r="AO227" s="88">
        <v>6.13</v>
      </c>
      <c r="AP227" s="6" t="str">
        <f t="shared" si="38"/>
        <v>Increase</v>
      </c>
      <c r="AQ227" s="81">
        <f t="shared" si="39"/>
        <v>643.06999999999994</v>
      </c>
      <c r="AR227" s="81">
        <f t="shared" si="40"/>
        <v>655.91</v>
      </c>
      <c r="AS227" s="82">
        <f t="shared" si="43"/>
        <v>12.840000000000032</v>
      </c>
    </row>
    <row r="228" spans="1:45" hidden="1" x14ac:dyDescent="0.3">
      <c r="A228">
        <v>6188838</v>
      </c>
      <c r="B228" s="15" t="s">
        <v>5564</v>
      </c>
      <c r="C228" s="16" t="s">
        <v>30</v>
      </c>
      <c r="D228" s="6" t="s">
        <v>31</v>
      </c>
      <c r="E228" t="s">
        <v>788</v>
      </c>
      <c r="F228" t="s">
        <v>788</v>
      </c>
      <c r="H228" s="11" t="s">
        <v>27</v>
      </c>
      <c r="I228" s="6" t="s">
        <v>28</v>
      </c>
      <c r="J228" s="6" t="s">
        <v>28</v>
      </c>
      <c r="K228" t="s">
        <v>32</v>
      </c>
      <c r="L228" s="35">
        <v>4.0199999999999996</v>
      </c>
      <c r="M228" s="6" t="s">
        <v>29</v>
      </c>
      <c r="N228" s="6">
        <v>3105</v>
      </c>
      <c r="P228" s="18"/>
      <c r="Q228" s="17"/>
      <c r="R228" s="19">
        <v>4.57</v>
      </c>
      <c r="S228" s="19">
        <v>0</v>
      </c>
      <c r="T228" s="38">
        <v>81</v>
      </c>
      <c r="U228" s="38"/>
      <c r="V228" s="30">
        <v>4.57</v>
      </c>
      <c r="W228" s="35">
        <v>4.0199999999999996</v>
      </c>
      <c r="X228" s="32">
        <f t="shared" si="33"/>
        <v>370.17</v>
      </c>
      <c r="Y228" s="32">
        <f t="shared" si="34"/>
        <v>325.61999999999995</v>
      </c>
      <c r="Z228" s="32">
        <f t="shared" si="35"/>
        <v>44.550000000000068</v>
      </c>
      <c r="AA228" s="38">
        <v>81</v>
      </c>
      <c r="AB228" s="37">
        <f>IFERROR(VLOOKUP(A228,'Tash Lookup'!A:E,3,FALSE),"")</f>
        <v>332.52</v>
      </c>
      <c r="AC228" s="6">
        <f t="shared" si="36"/>
        <v>0</v>
      </c>
      <c r="AD228" s="2" t="s">
        <v>6703</v>
      </c>
      <c r="AF228" s="56">
        <v>4.57</v>
      </c>
      <c r="AG228" s="56">
        <f>VLOOKUP(A228,Sheet1!$A$2:$C$1140,3,FALSE)</f>
        <v>4.66</v>
      </c>
      <c r="AH228" s="58">
        <v>4.66</v>
      </c>
      <c r="AI228" s="56" t="str">
        <f t="shared" si="37"/>
        <v>Increase</v>
      </c>
      <c r="AJ228" s="81">
        <f t="shared" si="41"/>
        <v>370.17</v>
      </c>
      <c r="AK228" s="81">
        <f t="shared" si="42"/>
        <v>377.46000000000004</v>
      </c>
      <c r="AL228" s="58" t="s">
        <v>7206</v>
      </c>
      <c r="AM228" s="58" t="s">
        <v>6703</v>
      </c>
      <c r="AN228" s="75">
        <v>25</v>
      </c>
      <c r="AO228" s="88">
        <v>4.66</v>
      </c>
      <c r="AP228" s="6" t="str">
        <f t="shared" si="38"/>
        <v>Increase</v>
      </c>
      <c r="AQ228" s="81">
        <f t="shared" si="39"/>
        <v>114.25</v>
      </c>
      <c r="AR228" s="81">
        <f t="shared" si="40"/>
        <v>116.5</v>
      </c>
      <c r="AS228" s="82">
        <f t="shared" si="43"/>
        <v>2.25</v>
      </c>
    </row>
    <row r="229" spans="1:45" hidden="1" x14ac:dyDescent="0.3">
      <c r="A229">
        <v>6183897</v>
      </c>
      <c r="B229" s="15" t="s">
        <v>5565</v>
      </c>
      <c r="C229" s="16" t="s">
        <v>30</v>
      </c>
      <c r="D229" s="6" t="s">
        <v>31</v>
      </c>
      <c r="E229" t="s">
        <v>881</v>
      </c>
      <c r="F229" t="s">
        <v>881</v>
      </c>
      <c r="H229" s="11" t="s">
        <v>27</v>
      </c>
      <c r="I229" s="6" t="s">
        <v>28</v>
      </c>
      <c r="J229" s="6" t="s">
        <v>28</v>
      </c>
      <c r="K229" t="s">
        <v>32</v>
      </c>
      <c r="L229" s="35">
        <v>4.49</v>
      </c>
      <c r="M229" s="6" t="s">
        <v>29</v>
      </c>
      <c r="N229" s="6">
        <v>3105</v>
      </c>
      <c r="P229" s="18"/>
      <c r="Q229" s="17"/>
      <c r="R229" s="19">
        <v>4.9400000000000004</v>
      </c>
      <c r="S229" s="19">
        <v>0</v>
      </c>
      <c r="T229" s="38">
        <v>78</v>
      </c>
      <c r="U229" s="38"/>
      <c r="V229" s="30">
        <v>4.9400000000000004</v>
      </c>
      <c r="W229" s="35">
        <v>4.49</v>
      </c>
      <c r="X229" s="32">
        <f t="shared" si="33"/>
        <v>385.32000000000005</v>
      </c>
      <c r="Y229" s="32">
        <f t="shared" si="34"/>
        <v>350.22</v>
      </c>
      <c r="Z229" s="32">
        <f t="shared" si="35"/>
        <v>35.100000000000023</v>
      </c>
      <c r="AA229" s="38">
        <v>78</v>
      </c>
      <c r="AB229" s="37">
        <f>IFERROR(VLOOKUP(A229,'Tash Lookup'!A:E,3,FALSE),"")</f>
        <v>348.34</v>
      </c>
      <c r="AC229" s="6">
        <f t="shared" si="36"/>
        <v>0</v>
      </c>
      <c r="AD229" s="2" t="s">
        <v>6703</v>
      </c>
      <c r="AF229" s="56">
        <v>4.49</v>
      </c>
      <c r="AG229" s="56">
        <f>VLOOKUP(A229,Sheet1!$A$2:$C$1140,3,FALSE)</f>
        <v>4.58</v>
      </c>
      <c r="AH229" s="58">
        <v>4.58</v>
      </c>
      <c r="AI229" s="56" t="str">
        <f t="shared" si="37"/>
        <v>Increase</v>
      </c>
      <c r="AJ229" s="81">
        <f t="shared" si="41"/>
        <v>350.22</v>
      </c>
      <c r="AK229" s="81">
        <f t="shared" si="42"/>
        <v>357.24</v>
      </c>
      <c r="AL229" s="58" t="s">
        <v>7206</v>
      </c>
      <c r="AM229" s="58" t="s">
        <v>6703</v>
      </c>
      <c r="AN229" s="75">
        <v>72</v>
      </c>
      <c r="AO229" s="88">
        <v>4.58</v>
      </c>
      <c r="AP229" s="6" t="str">
        <f t="shared" si="38"/>
        <v>Increase</v>
      </c>
      <c r="AQ229" s="81">
        <f t="shared" si="39"/>
        <v>323.28000000000003</v>
      </c>
      <c r="AR229" s="81">
        <f t="shared" si="40"/>
        <v>329.76</v>
      </c>
      <c r="AS229" s="82">
        <f t="shared" si="43"/>
        <v>6.4799999999999613</v>
      </c>
    </row>
    <row r="230" spans="1:45" hidden="1" x14ac:dyDescent="0.3">
      <c r="A230">
        <v>5183329</v>
      </c>
      <c r="B230" s="15" t="s">
        <v>5566</v>
      </c>
      <c r="C230" s="16" t="s">
        <v>30</v>
      </c>
      <c r="D230" s="6" t="s">
        <v>31</v>
      </c>
      <c r="E230" t="s">
        <v>148</v>
      </c>
      <c r="F230" t="s">
        <v>148</v>
      </c>
      <c r="H230" s="11" t="s">
        <v>27</v>
      </c>
      <c r="I230" s="6" t="s">
        <v>28</v>
      </c>
      <c r="J230" s="6" t="s">
        <v>28</v>
      </c>
      <c r="K230" t="s">
        <v>32</v>
      </c>
      <c r="L230" s="35">
        <v>16.87</v>
      </c>
      <c r="M230" s="6" t="s">
        <v>29</v>
      </c>
      <c r="N230" s="6">
        <v>3105</v>
      </c>
      <c r="P230" s="18"/>
      <c r="Q230" s="17"/>
      <c r="R230" s="19">
        <v>16.87</v>
      </c>
      <c r="S230" s="19">
        <v>16.87</v>
      </c>
      <c r="T230" s="38">
        <v>78</v>
      </c>
      <c r="U230" s="38"/>
      <c r="V230" s="29">
        <v>16.87</v>
      </c>
      <c r="W230" s="35">
        <v>16.87</v>
      </c>
      <c r="X230" s="32">
        <f t="shared" si="33"/>
        <v>1315.8600000000001</v>
      </c>
      <c r="Y230" s="32">
        <f t="shared" si="34"/>
        <v>1315.8600000000001</v>
      </c>
      <c r="Z230" s="32">
        <f t="shared" si="35"/>
        <v>0</v>
      </c>
      <c r="AA230" s="38">
        <v>78</v>
      </c>
      <c r="AB230" s="37">
        <f>IFERROR(VLOOKUP(A230,'Tash Lookup'!A:E,3,FALSE),"")</f>
        <v>1312.45</v>
      </c>
      <c r="AC230" s="6">
        <f t="shared" si="36"/>
        <v>0</v>
      </c>
      <c r="AD230" s="2" t="s">
        <v>6703</v>
      </c>
      <c r="AF230" s="56">
        <v>18.940000000000001</v>
      </c>
      <c r="AG230" s="56">
        <f>VLOOKUP(A230,Sheet1!$A$2:$C$1140,3,FALSE)</f>
        <v>18.940000000000001</v>
      </c>
      <c r="AH230" s="58">
        <v>18.940000000000001</v>
      </c>
      <c r="AI230" s="56" t="str">
        <f t="shared" si="37"/>
        <v>Same</v>
      </c>
      <c r="AJ230" s="81">
        <f t="shared" si="41"/>
        <v>1477.3200000000002</v>
      </c>
      <c r="AK230" s="81">
        <f t="shared" si="42"/>
        <v>1477.3200000000002</v>
      </c>
      <c r="AL230" s="58" t="s">
        <v>32</v>
      </c>
      <c r="AM230" s="58" t="s">
        <v>6703</v>
      </c>
      <c r="AN230" s="75">
        <v>14</v>
      </c>
      <c r="AO230" s="88">
        <v>18.940000000000001</v>
      </c>
      <c r="AP230" s="6" t="str">
        <f t="shared" si="38"/>
        <v>Same</v>
      </c>
      <c r="AQ230" s="81">
        <f t="shared" si="39"/>
        <v>265.16000000000003</v>
      </c>
      <c r="AR230" s="81">
        <f t="shared" si="40"/>
        <v>265.16000000000003</v>
      </c>
      <c r="AS230" s="81">
        <f t="shared" si="43"/>
        <v>0</v>
      </c>
    </row>
    <row r="231" spans="1:45" hidden="1" x14ac:dyDescent="0.3">
      <c r="A231">
        <v>5219316</v>
      </c>
      <c r="B231" s="15" t="s">
        <v>5567</v>
      </c>
      <c r="C231" s="16" t="s">
        <v>30</v>
      </c>
      <c r="D231" s="6" t="s">
        <v>31</v>
      </c>
      <c r="E231" t="s">
        <v>246</v>
      </c>
      <c r="F231" t="s">
        <v>246</v>
      </c>
      <c r="H231" s="11" t="s">
        <v>27</v>
      </c>
      <c r="I231" s="6" t="s">
        <v>28</v>
      </c>
      <c r="J231" s="6" t="s">
        <v>28</v>
      </c>
      <c r="K231" t="s">
        <v>32</v>
      </c>
      <c r="L231" s="29">
        <v>23.4</v>
      </c>
      <c r="M231" s="6" t="s">
        <v>29</v>
      </c>
      <c r="N231" s="6">
        <v>3105</v>
      </c>
      <c r="P231" s="18"/>
      <c r="Q231" s="17"/>
      <c r="R231" s="19">
        <v>32.18</v>
      </c>
      <c r="S231" s="19">
        <v>32.18</v>
      </c>
      <c r="T231" s="38">
        <v>77</v>
      </c>
      <c r="U231" s="38"/>
      <c r="V231" s="29">
        <v>23.4</v>
      </c>
      <c r="W231" s="44">
        <v>16.149999999999999</v>
      </c>
      <c r="X231" s="32">
        <f t="shared" si="33"/>
        <v>1801.8</v>
      </c>
      <c r="Y231" s="32">
        <f t="shared" si="34"/>
        <v>1801.8</v>
      </c>
      <c r="Z231" s="32">
        <f t="shared" si="35"/>
        <v>0</v>
      </c>
      <c r="AA231" s="38">
        <v>77</v>
      </c>
      <c r="AB231" s="37">
        <f>IFERROR(VLOOKUP(A231,'Tash Lookup'!A:E,3,FALSE),"")</f>
        <v>1532.22</v>
      </c>
      <c r="AC231" s="6">
        <f t="shared" si="36"/>
        <v>0</v>
      </c>
      <c r="AD231" s="2" t="s">
        <v>6703</v>
      </c>
      <c r="AF231" s="56">
        <v>23.4</v>
      </c>
      <c r="AG231" s="56">
        <f>VLOOKUP(A231,Sheet1!$A$2:$C$1140,3,FALSE)</f>
        <v>24.1</v>
      </c>
      <c r="AH231" s="58">
        <v>24.1</v>
      </c>
      <c r="AI231" s="56" t="str">
        <f t="shared" si="37"/>
        <v>Increase</v>
      </c>
      <c r="AJ231" s="81">
        <f t="shared" si="41"/>
        <v>1801.8</v>
      </c>
      <c r="AK231" s="81">
        <f t="shared" si="42"/>
        <v>1855.7</v>
      </c>
      <c r="AL231" s="58" t="s">
        <v>32</v>
      </c>
      <c r="AM231" s="58" t="s">
        <v>6703</v>
      </c>
      <c r="AN231" s="75">
        <v>1</v>
      </c>
      <c r="AO231" s="88">
        <v>24.1</v>
      </c>
      <c r="AP231" s="6" t="str">
        <f t="shared" si="38"/>
        <v>Increase</v>
      </c>
      <c r="AQ231" s="81">
        <f t="shared" si="39"/>
        <v>23.4</v>
      </c>
      <c r="AR231" s="81">
        <f t="shared" si="40"/>
        <v>24.1</v>
      </c>
      <c r="AS231" s="82">
        <f t="shared" si="43"/>
        <v>0.70000000000000284</v>
      </c>
    </row>
    <row r="232" spans="1:45" hidden="1" x14ac:dyDescent="0.3">
      <c r="A232">
        <v>5282776</v>
      </c>
      <c r="B232" s="15" t="s">
        <v>5568</v>
      </c>
      <c r="C232" s="16" t="s">
        <v>30</v>
      </c>
      <c r="D232" s="6" t="s">
        <v>31</v>
      </c>
      <c r="E232" t="s">
        <v>103</v>
      </c>
      <c r="F232" s="42" t="s">
        <v>103</v>
      </c>
      <c r="H232" s="11" t="s">
        <v>27</v>
      </c>
      <c r="I232" s="6" t="s">
        <v>28</v>
      </c>
      <c r="J232" s="6" t="s">
        <v>28</v>
      </c>
      <c r="K232" t="s">
        <v>32</v>
      </c>
      <c r="L232" s="35">
        <v>44.85</v>
      </c>
      <c r="M232" s="6" t="s">
        <v>29</v>
      </c>
      <c r="N232" s="6">
        <v>3105</v>
      </c>
      <c r="P232" s="18"/>
      <c r="Q232" s="17"/>
      <c r="R232" s="19">
        <v>44.85</v>
      </c>
      <c r="S232" s="19">
        <v>44.85</v>
      </c>
      <c r="T232" s="38">
        <v>75</v>
      </c>
      <c r="U232" s="38"/>
      <c r="V232" s="29">
        <v>44.85</v>
      </c>
      <c r="W232" s="35">
        <v>44.85</v>
      </c>
      <c r="X232" s="32">
        <f t="shared" si="33"/>
        <v>3363.75</v>
      </c>
      <c r="Y232" s="32">
        <f t="shared" si="34"/>
        <v>3363.75</v>
      </c>
      <c r="Z232" s="32">
        <f t="shared" si="35"/>
        <v>0</v>
      </c>
      <c r="AA232" s="38">
        <v>75</v>
      </c>
      <c r="AB232" s="37">
        <f>IFERROR(VLOOKUP(A232,'Tash Lookup'!A:E,3,FALSE),"")</f>
        <v>3319.17</v>
      </c>
      <c r="AC232" s="6">
        <f t="shared" si="36"/>
        <v>0</v>
      </c>
      <c r="AD232" s="2" t="s">
        <v>6703</v>
      </c>
      <c r="AF232" s="56">
        <v>45.35</v>
      </c>
      <c r="AG232" s="56">
        <f>VLOOKUP(A232,Sheet1!$A$2:$C$1140,3,FALSE)</f>
        <v>45.35</v>
      </c>
      <c r="AH232" s="58">
        <v>45.35</v>
      </c>
      <c r="AI232" s="56" t="str">
        <f t="shared" si="37"/>
        <v>Same</v>
      </c>
      <c r="AJ232" s="81">
        <f t="shared" si="41"/>
        <v>3401.25</v>
      </c>
      <c r="AK232" s="81">
        <f t="shared" si="42"/>
        <v>3401.25</v>
      </c>
      <c r="AL232" s="58" t="s">
        <v>32</v>
      </c>
      <c r="AM232" s="58" t="s">
        <v>6703</v>
      </c>
      <c r="AN232" s="75">
        <v>45</v>
      </c>
      <c r="AO232" s="88">
        <v>45.35</v>
      </c>
      <c r="AP232" s="6" t="str">
        <f t="shared" si="38"/>
        <v>Same</v>
      </c>
      <c r="AQ232" s="81">
        <f t="shared" si="39"/>
        <v>2040.75</v>
      </c>
      <c r="AR232" s="81">
        <f t="shared" si="40"/>
        <v>2040.75</v>
      </c>
      <c r="AS232" s="81">
        <f t="shared" si="43"/>
        <v>0</v>
      </c>
    </row>
    <row r="233" spans="1:45" hidden="1" x14ac:dyDescent="0.3">
      <c r="A233">
        <v>6188885</v>
      </c>
      <c r="B233" s="15" t="s">
        <v>5569</v>
      </c>
      <c r="C233" s="16" t="s">
        <v>30</v>
      </c>
      <c r="D233" s="6" t="s">
        <v>31</v>
      </c>
      <c r="E233" t="s">
        <v>848</v>
      </c>
      <c r="F233" t="s">
        <v>848</v>
      </c>
      <c r="H233" s="11" t="s">
        <v>27</v>
      </c>
      <c r="I233" s="6" t="s">
        <v>28</v>
      </c>
      <c r="J233" s="6" t="s">
        <v>28</v>
      </c>
      <c r="K233" t="s">
        <v>32</v>
      </c>
      <c r="L233" s="35">
        <v>3.91</v>
      </c>
      <c r="M233" s="6" t="s">
        <v>29</v>
      </c>
      <c r="N233" s="6">
        <v>3105</v>
      </c>
      <c r="P233" s="18"/>
      <c r="Q233" s="17"/>
      <c r="R233" s="19">
        <v>3.91</v>
      </c>
      <c r="S233" s="19">
        <v>3.91</v>
      </c>
      <c r="T233" s="38">
        <v>75</v>
      </c>
      <c r="U233" s="38"/>
      <c r="V233" s="30">
        <v>3.91</v>
      </c>
      <c r="W233" s="35">
        <v>3.91</v>
      </c>
      <c r="X233" s="32">
        <f t="shared" si="33"/>
        <v>293.25</v>
      </c>
      <c r="Y233" s="32">
        <f t="shared" si="34"/>
        <v>293.25</v>
      </c>
      <c r="Z233" s="32">
        <f t="shared" si="35"/>
        <v>0</v>
      </c>
      <c r="AA233" s="38">
        <v>75</v>
      </c>
      <c r="AB233" s="37">
        <f>IFERROR(VLOOKUP(A233,'Tash Lookup'!A:E,3,FALSE),"")</f>
        <v>291.86</v>
      </c>
      <c r="AC233" s="6">
        <f t="shared" si="36"/>
        <v>0</v>
      </c>
      <c r="AD233" s="2" t="s">
        <v>6703</v>
      </c>
      <c r="AF233" s="56">
        <v>3.91</v>
      </c>
      <c r="AG233" s="56">
        <f>VLOOKUP(A233,Sheet1!$A$2:$C$1140,3,FALSE)</f>
        <v>3.99</v>
      </c>
      <c r="AH233" s="58">
        <v>3.99</v>
      </c>
      <c r="AI233" s="56" t="str">
        <f t="shared" si="37"/>
        <v>Increase</v>
      </c>
      <c r="AJ233" s="81">
        <f t="shared" si="41"/>
        <v>293.25</v>
      </c>
      <c r="AK233" s="81">
        <f t="shared" si="42"/>
        <v>299.25</v>
      </c>
      <c r="AL233" s="58" t="s">
        <v>7206</v>
      </c>
      <c r="AM233" s="58" t="s">
        <v>6703</v>
      </c>
      <c r="AN233" s="75">
        <v>104</v>
      </c>
      <c r="AO233" s="88">
        <v>3.99</v>
      </c>
      <c r="AP233" s="6" t="str">
        <f t="shared" si="38"/>
        <v>Increase</v>
      </c>
      <c r="AQ233" s="81">
        <f t="shared" si="39"/>
        <v>406.64</v>
      </c>
      <c r="AR233" s="81">
        <f t="shared" si="40"/>
        <v>414.96000000000004</v>
      </c>
      <c r="AS233" s="82">
        <f t="shared" si="43"/>
        <v>8.32000000000005</v>
      </c>
    </row>
    <row r="234" spans="1:45" hidden="1" x14ac:dyDescent="0.3">
      <c r="A234">
        <v>6107254</v>
      </c>
      <c r="B234" s="15" t="s">
        <v>5570</v>
      </c>
      <c r="C234" s="16" t="s">
        <v>30</v>
      </c>
      <c r="D234" s="6" t="s">
        <v>31</v>
      </c>
      <c r="E234" t="s">
        <v>954</v>
      </c>
      <c r="F234" t="s">
        <v>954</v>
      </c>
      <c r="H234" s="11" t="s">
        <v>27</v>
      </c>
      <c r="I234" s="6" t="s">
        <v>28</v>
      </c>
      <c r="J234" s="6" t="s">
        <v>28</v>
      </c>
      <c r="K234" t="s">
        <v>32</v>
      </c>
      <c r="L234" s="35">
        <v>24.68</v>
      </c>
      <c r="M234" s="6" t="s">
        <v>29</v>
      </c>
      <c r="N234" s="6">
        <v>3105</v>
      </c>
      <c r="P234" s="18"/>
      <c r="Q234" s="17"/>
      <c r="R234" s="19">
        <v>0</v>
      </c>
      <c r="S234" s="19">
        <v>0</v>
      </c>
      <c r="T234" s="38">
        <v>74</v>
      </c>
      <c r="U234" s="38"/>
      <c r="V234" s="29">
        <v>24.68</v>
      </c>
      <c r="W234" s="35">
        <v>24.68</v>
      </c>
      <c r="X234" s="32">
        <f t="shared" si="33"/>
        <v>1826.32</v>
      </c>
      <c r="Y234" s="32">
        <f t="shared" si="34"/>
        <v>1826.32</v>
      </c>
      <c r="Z234" s="32">
        <f t="shared" si="35"/>
        <v>0</v>
      </c>
      <c r="AA234" s="38">
        <v>74</v>
      </c>
      <c r="AB234" s="37">
        <f>IFERROR(VLOOKUP(A234,'Tash Lookup'!A:E,3,FALSE),"")</f>
        <v>1826.19</v>
      </c>
      <c r="AC234" s="6">
        <f t="shared" si="36"/>
        <v>0</v>
      </c>
      <c r="AD234" s="2" t="s">
        <v>6703</v>
      </c>
      <c r="AF234" s="56">
        <v>24.68</v>
      </c>
      <c r="AG234" s="56">
        <f>VLOOKUP(A234,Sheet1!$A$2:$C$1140,3,FALSE)</f>
        <v>24.68</v>
      </c>
      <c r="AH234" s="58">
        <v>24.68</v>
      </c>
      <c r="AI234" s="56" t="str">
        <f t="shared" si="37"/>
        <v>Same</v>
      </c>
      <c r="AJ234" s="81">
        <f t="shared" si="41"/>
        <v>1826.32</v>
      </c>
      <c r="AK234" s="81">
        <f t="shared" si="42"/>
        <v>1826.32</v>
      </c>
      <c r="AL234" s="58" t="s">
        <v>7206</v>
      </c>
      <c r="AM234" s="58" t="s">
        <v>6703</v>
      </c>
      <c r="AN234" s="75">
        <v>35</v>
      </c>
      <c r="AO234" s="88">
        <v>24.68</v>
      </c>
      <c r="AP234" s="6" t="str">
        <f t="shared" si="38"/>
        <v>Same</v>
      </c>
      <c r="AQ234" s="81">
        <f t="shared" si="39"/>
        <v>863.8</v>
      </c>
      <c r="AR234" s="81">
        <f t="shared" si="40"/>
        <v>863.8</v>
      </c>
      <c r="AS234" s="81">
        <f t="shared" si="43"/>
        <v>0</v>
      </c>
    </row>
    <row r="235" spans="1:45" hidden="1" x14ac:dyDescent="0.3">
      <c r="A235">
        <v>5149183</v>
      </c>
      <c r="B235" s="15" t="s">
        <v>5571</v>
      </c>
      <c r="C235" s="16" t="s">
        <v>30</v>
      </c>
      <c r="D235" s="6" t="s">
        <v>31</v>
      </c>
      <c r="E235" t="s">
        <v>172</v>
      </c>
      <c r="F235" t="s">
        <v>172</v>
      </c>
      <c r="H235" s="11" t="s">
        <v>27</v>
      </c>
      <c r="I235" s="6" t="s">
        <v>28</v>
      </c>
      <c r="J235" s="6" t="s">
        <v>28</v>
      </c>
      <c r="K235" t="s">
        <v>32</v>
      </c>
      <c r="L235" s="35">
        <v>19.73</v>
      </c>
      <c r="M235" s="6" t="s">
        <v>29</v>
      </c>
      <c r="N235" s="6">
        <v>3105</v>
      </c>
      <c r="P235" s="18"/>
      <c r="Q235" s="17"/>
      <c r="R235" s="19">
        <v>19.73</v>
      </c>
      <c r="S235" s="19">
        <v>19.73</v>
      </c>
      <c r="T235" s="38">
        <v>74</v>
      </c>
      <c r="U235" s="38"/>
      <c r="V235" s="29">
        <v>17.679499999999997</v>
      </c>
      <c r="W235" s="35">
        <v>32.700000000000003</v>
      </c>
      <c r="X235" s="32">
        <f t="shared" si="33"/>
        <v>1308.2829999999999</v>
      </c>
      <c r="Y235" s="32">
        <f t="shared" si="34"/>
        <v>1460.02</v>
      </c>
      <c r="Z235" s="32">
        <f t="shared" si="35"/>
        <v>-151.73700000000008</v>
      </c>
      <c r="AA235" s="38">
        <v>74</v>
      </c>
      <c r="AB235" s="37">
        <f>IFERROR(VLOOKUP(A235,'Tash Lookup'!A:E,3,FALSE),"")</f>
        <v>1451.97</v>
      </c>
      <c r="AC235" s="6">
        <f t="shared" si="36"/>
        <v>0</v>
      </c>
      <c r="AD235" s="2" t="s">
        <v>6703</v>
      </c>
      <c r="AF235" s="56">
        <v>17.420000000000002</v>
      </c>
      <c r="AG235" s="56">
        <f>VLOOKUP(A235,Sheet1!$A$2:$C$1140,3,FALSE)</f>
        <v>17.420000000000002</v>
      </c>
      <c r="AH235" s="58">
        <v>17.420000000000002</v>
      </c>
      <c r="AI235" s="56" t="str">
        <f t="shared" si="37"/>
        <v>Same</v>
      </c>
      <c r="AJ235" s="81">
        <f t="shared" si="41"/>
        <v>1289.0800000000002</v>
      </c>
      <c r="AK235" s="81">
        <f t="shared" si="42"/>
        <v>1289.0800000000002</v>
      </c>
      <c r="AL235" s="58" t="s">
        <v>32</v>
      </c>
      <c r="AM235" s="58" t="s">
        <v>6703</v>
      </c>
      <c r="AN235" s="75">
        <v>75</v>
      </c>
      <c r="AO235" s="88">
        <v>17.420000000000002</v>
      </c>
      <c r="AP235" s="6" t="str">
        <f t="shared" si="38"/>
        <v>Same</v>
      </c>
      <c r="AQ235" s="81">
        <f t="shared" si="39"/>
        <v>1306.5000000000002</v>
      </c>
      <c r="AR235" s="81">
        <f t="shared" si="40"/>
        <v>1306.5000000000002</v>
      </c>
      <c r="AS235" s="81">
        <f t="shared" si="43"/>
        <v>0</v>
      </c>
    </row>
    <row r="236" spans="1:45" hidden="1" x14ac:dyDescent="0.3">
      <c r="A236">
        <v>5518972</v>
      </c>
      <c r="B236" s="15" t="s">
        <v>5572</v>
      </c>
      <c r="C236" s="16" t="s">
        <v>30</v>
      </c>
      <c r="D236" s="6" t="s">
        <v>31</v>
      </c>
      <c r="E236" t="s">
        <v>66</v>
      </c>
      <c r="F236" t="s">
        <v>66</v>
      </c>
      <c r="H236" s="11" t="s">
        <v>27</v>
      </c>
      <c r="I236" s="6" t="s">
        <v>28</v>
      </c>
      <c r="J236" s="6" t="s">
        <v>28</v>
      </c>
      <c r="K236" t="s">
        <v>32</v>
      </c>
      <c r="L236" s="35">
        <v>32.700000000000003</v>
      </c>
      <c r="M236" s="6" t="s">
        <v>29</v>
      </c>
      <c r="N236" s="6">
        <v>3105</v>
      </c>
      <c r="P236" s="18"/>
      <c r="Q236" s="17"/>
      <c r="R236" s="19">
        <v>32.700000000000003</v>
      </c>
      <c r="S236" s="19">
        <v>32.700000000000003</v>
      </c>
      <c r="T236" s="38">
        <v>74</v>
      </c>
      <c r="U236" s="38"/>
      <c r="V236" s="29">
        <v>32.700000000000003</v>
      </c>
      <c r="W236" s="35">
        <v>19.73</v>
      </c>
      <c r="X236" s="32">
        <f t="shared" si="33"/>
        <v>2419.8000000000002</v>
      </c>
      <c r="Y236" s="32">
        <f t="shared" si="34"/>
        <v>2419.8000000000002</v>
      </c>
      <c r="Z236" s="32">
        <f t="shared" si="35"/>
        <v>0</v>
      </c>
      <c r="AA236" s="38">
        <v>74</v>
      </c>
      <c r="AB236" s="37">
        <f>IFERROR(VLOOKUP(A236,'Tash Lookup'!A:E,3,FALSE),"")</f>
        <v>2419.58</v>
      </c>
      <c r="AC236" s="6">
        <f t="shared" si="36"/>
        <v>0</v>
      </c>
      <c r="AD236" s="2" t="s">
        <v>6703</v>
      </c>
      <c r="AF236" s="56">
        <v>25.34</v>
      </c>
      <c r="AG236" s="56">
        <f>VLOOKUP(A236,Sheet1!$A$2:$C$1140,3,FALSE)</f>
        <v>25.34</v>
      </c>
      <c r="AH236" s="58">
        <v>25.34</v>
      </c>
      <c r="AI236" s="56" t="str">
        <f t="shared" si="37"/>
        <v>Same</v>
      </c>
      <c r="AJ236" s="81">
        <f t="shared" si="41"/>
        <v>1875.16</v>
      </c>
      <c r="AK236" s="81">
        <f t="shared" si="42"/>
        <v>1875.16</v>
      </c>
      <c r="AL236" s="58" t="s">
        <v>32</v>
      </c>
      <c r="AM236" s="58" t="s">
        <v>6703</v>
      </c>
      <c r="AN236" s="75">
        <v>140</v>
      </c>
      <c r="AO236" s="88">
        <v>25.34</v>
      </c>
      <c r="AP236" s="6" t="str">
        <f t="shared" si="38"/>
        <v>Same</v>
      </c>
      <c r="AQ236" s="81">
        <f t="shared" si="39"/>
        <v>3547.6</v>
      </c>
      <c r="AR236" s="81">
        <f t="shared" si="40"/>
        <v>3547.6</v>
      </c>
      <c r="AS236" s="81">
        <f t="shared" si="43"/>
        <v>0</v>
      </c>
    </row>
    <row r="237" spans="1:45" hidden="1" x14ac:dyDescent="0.3">
      <c r="A237">
        <v>5159075</v>
      </c>
      <c r="B237" s="15" t="s">
        <v>5573</v>
      </c>
      <c r="C237" s="16" t="s">
        <v>30</v>
      </c>
      <c r="D237" s="6" t="s">
        <v>31</v>
      </c>
      <c r="E237" t="s">
        <v>392</v>
      </c>
      <c r="F237" t="s">
        <v>392</v>
      </c>
      <c r="H237" s="11" t="s">
        <v>27</v>
      </c>
      <c r="I237" s="6" t="s">
        <v>28</v>
      </c>
      <c r="J237" s="6" t="s">
        <v>28</v>
      </c>
      <c r="K237" t="s">
        <v>32</v>
      </c>
      <c r="L237" s="35">
        <v>16.52</v>
      </c>
      <c r="M237" s="6" t="s">
        <v>29</v>
      </c>
      <c r="N237" s="6">
        <v>3105</v>
      </c>
      <c r="P237" s="18"/>
      <c r="Q237" s="17"/>
      <c r="R237" s="19">
        <v>16.52</v>
      </c>
      <c r="S237" s="19">
        <v>16.52</v>
      </c>
      <c r="T237" s="38">
        <v>73</v>
      </c>
      <c r="U237" s="38"/>
      <c r="V237" s="30">
        <v>16.52</v>
      </c>
      <c r="W237" s="35">
        <v>16.52</v>
      </c>
      <c r="X237" s="32">
        <f t="shared" si="33"/>
        <v>1205.96</v>
      </c>
      <c r="Y237" s="32">
        <f t="shared" si="34"/>
        <v>1205.96</v>
      </c>
      <c r="Z237" s="32">
        <f t="shared" si="35"/>
        <v>0</v>
      </c>
      <c r="AA237" s="38">
        <v>73</v>
      </c>
      <c r="AB237" s="37">
        <f>IFERROR(VLOOKUP(A237,'Tash Lookup'!A:E,3,FALSE),"")</f>
        <v>1205.71</v>
      </c>
      <c r="AC237" s="6">
        <f t="shared" si="36"/>
        <v>0</v>
      </c>
      <c r="AD237" s="2" t="s">
        <v>6703</v>
      </c>
      <c r="AF237" s="56">
        <v>17.22</v>
      </c>
      <c r="AG237" s="56">
        <f>VLOOKUP(A237,Sheet1!$A$2:$C$1140,3,FALSE)</f>
        <v>17.739999999999998</v>
      </c>
      <c r="AH237" s="58">
        <v>17.739999999999998</v>
      </c>
      <c r="AI237" s="56" t="str">
        <f t="shared" si="37"/>
        <v>Increase</v>
      </c>
      <c r="AJ237" s="81">
        <f t="shared" si="41"/>
        <v>1257.06</v>
      </c>
      <c r="AK237" s="81">
        <f t="shared" si="42"/>
        <v>1295.02</v>
      </c>
      <c r="AL237" s="58" t="s">
        <v>32</v>
      </c>
      <c r="AM237" s="58" t="s">
        <v>6703</v>
      </c>
      <c r="AN237" s="75">
        <v>5</v>
      </c>
      <c r="AO237" s="88">
        <v>17.739999999999998</v>
      </c>
      <c r="AP237" s="6" t="str">
        <f t="shared" si="38"/>
        <v>Increase</v>
      </c>
      <c r="AQ237" s="81">
        <f t="shared" si="39"/>
        <v>86.1</v>
      </c>
      <c r="AR237" s="81">
        <f t="shared" si="40"/>
        <v>88.699999999999989</v>
      </c>
      <c r="AS237" s="82">
        <f t="shared" si="43"/>
        <v>2.5999999999999943</v>
      </c>
    </row>
    <row r="238" spans="1:45" hidden="1" x14ac:dyDescent="0.3">
      <c r="A238">
        <v>6107276</v>
      </c>
      <c r="B238" s="15" t="s">
        <v>5574</v>
      </c>
      <c r="C238" s="16" t="s">
        <v>30</v>
      </c>
      <c r="D238" s="6" t="s">
        <v>31</v>
      </c>
      <c r="E238" t="s">
        <v>965</v>
      </c>
      <c r="F238" t="s">
        <v>965</v>
      </c>
      <c r="H238" s="11" t="s">
        <v>27</v>
      </c>
      <c r="I238" s="6" t="s">
        <v>28</v>
      </c>
      <c r="J238" s="6" t="s">
        <v>28</v>
      </c>
      <c r="K238" t="s">
        <v>32</v>
      </c>
      <c r="L238" s="35">
        <v>7.98</v>
      </c>
      <c r="M238" s="6" t="s">
        <v>29</v>
      </c>
      <c r="N238" s="6">
        <v>3105</v>
      </c>
      <c r="P238" s="18"/>
      <c r="Q238" s="17"/>
      <c r="R238" s="19">
        <v>0</v>
      </c>
      <c r="S238" s="19">
        <v>0</v>
      </c>
      <c r="T238" s="38">
        <v>73</v>
      </c>
      <c r="U238" s="38"/>
      <c r="V238" s="29">
        <v>7.98</v>
      </c>
      <c r="W238" s="35">
        <v>7.98</v>
      </c>
      <c r="X238" s="32">
        <f t="shared" si="33"/>
        <v>582.54000000000008</v>
      </c>
      <c r="Y238" s="32">
        <f t="shared" si="34"/>
        <v>582.54000000000008</v>
      </c>
      <c r="Z238" s="32">
        <f t="shared" si="35"/>
        <v>0</v>
      </c>
      <c r="AA238" s="38">
        <v>73</v>
      </c>
      <c r="AB238" s="37">
        <f>IFERROR(VLOOKUP(A238,'Tash Lookup'!A:E,3,FALSE),"")</f>
        <v>582.54</v>
      </c>
      <c r="AC238" s="6">
        <f t="shared" si="36"/>
        <v>0</v>
      </c>
      <c r="AD238" s="2" t="s">
        <v>6703</v>
      </c>
      <c r="AF238" s="56">
        <v>7.98</v>
      </c>
      <c r="AG238" s="56">
        <f>VLOOKUP(A238,Sheet1!$A$2:$C$1140,3,FALSE)</f>
        <v>7.98</v>
      </c>
      <c r="AH238" s="58">
        <v>7.98</v>
      </c>
      <c r="AI238" s="56" t="str">
        <f t="shared" si="37"/>
        <v>Same</v>
      </c>
      <c r="AJ238" s="81">
        <f t="shared" si="41"/>
        <v>582.54000000000008</v>
      </c>
      <c r="AK238" s="81">
        <f t="shared" si="42"/>
        <v>582.54000000000008</v>
      </c>
      <c r="AL238" s="58" t="s">
        <v>7206</v>
      </c>
      <c r="AM238" s="58" t="s">
        <v>6703</v>
      </c>
      <c r="AN238" s="75">
        <v>46</v>
      </c>
      <c r="AO238" s="88">
        <v>7.98</v>
      </c>
      <c r="AP238" s="6" t="str">
        <f t="shared" si="38"/>
        <v>Same</v>
      </c>
      <c r="AQ238" s="81">
        <f t="shared" si="39"/>
        <v>367.08000000000004</v>
      </c>
      <c r="AR238" s="81">
        <f t="shared" si="40"/>
        <v>367.08000000000004</v>
      </c>
      <c r="AS238" s="81">
        <f t="shared" si="43"/>
        <v>0</v>
      </c>
    </row>
    <row r="239" spans="1:45" hidden="1" x14ac:dyDescent="0.3">
      <c r="A239">
        <v>5092221</v>
      </c>
      <c r="B239" s="15" t="s">
        <v>5575</v>
      </c>
      <c r="C239" s="16" t="s">
        <v>30</v>
      </c>
      <c r="D239" s="6" t="s">
        <v>31</v>
      </c>
      <c r="E239" t="s">
        <v>554</v>
      </c>
      <c r="F239" t="s">
        <v>554</v>
      </c>
      <c r="H239" s="11" t="s">
        <v>27</v>
      </c>
      <c r="I239" s="6" t="s">
        <v>28</v>
      </c>
      <c r="J239" s="6" t="s">
        <v>28</v>
      </c>
      <c r="K239" t="s">
        <v>32</v>
      </c>
      <c r="L239" s="35">
        <v>30.12</v>
      </c>
      <c r="M239" s="6" t="s">
        <v>29</v>
      </c>
      <c r="N239" s="6">
        <v>3105</v>
      </c>
      <c r="P239" s="18"/>
      <c r="Q239" s="17"/>
      <c r="R239" s="19">
        <v>28.61</v>
      </c>
      <c r="S239" s="19">
        <v>0</v>
      </c>
      <c r="T239" s="38">
        <v>73</v>
      </c>
      <c r="U239" s="38"/>
      <c r="V239" s="29">
        <v>30.12</v>
      </c>
      <c r="W239" s="35">
        <v>30.12</v>
      </c>
      <c r="X239" s="32">
        <f t="shared" si="33"/>
        <v>2198.7600000000002</v>
      </c>
      <c r="Y239" s="32">
        <f t="shared" si="34"/>
        <v>2198.7600000000002</v>
      </c>
      <c r="Z239" s="32">
        <f t="shared" si="35"/>
        <v>0</v>
      </c>
      <c r="AA239" s="38">
        <v>73</v>
      </c>
      <c r="AB239" s="37">
        <f>IFERROR(VLOOKUP(A239,'Tash Lookup'!A:E,3,FALSE),"")</f>
        <v>2197.2399999999998</v>
      </c>
      <c r="AC239" s="6">
        <f t="shared" si="36"/>
        <v>0</v>
      </c>
      <c r="AD239" s="2" t="s">
        <v>6703</v>
      </c>
      <c r="AF239" s="56">
        <v>34.24</v>
      </c>
      <c r="AG239" s="56">
        <f>VLOOKUP(A239,Sheet1!$A$2:$C$1140,3,FALSE)</f>
        <v>35.270000000000003</v>
      </c>
      <c r="AH239" s="58">
        <v>35.270000000000003</v>
      </c>
      <c r="AI239" s="56" t="str">
        <f t="shared" si="37"/>
        <v>Increase</v>
      </c>
      <c r="AJ239" s="81">
        <f t="shared" si="41"/>
        <v>2499.52</v>
      </c>
      <c r="AK239" s="81">
        <f t="shared" si="42"/>
        <v>2574.71</v>
      </c>
      <c r="AL239" s="58" t="s">
        <v>32</v>
      </c>
      <c r="AM239" s="58" t="s">
        <v>6703</v>
      </c>
      <c r="AN239" s="75">
        <v>64</v>
      </c>
      <c r="AO239" s="88">
        <v>35.270000000000003</v>
      </c>
      <c r="AP239" s="6" t="str">
        <f t="shared" si="38"/>
        <v>Increase</v>
      </c>
      <c r="AQ239" s="81">
        <f t="shared" si="39"/>
        <v>2191.36</v>
      </c>
      <c r="AR239" s="81">
        <f t="shared" si="40"/>
        <v>2257.2800000000002</v>
      </c>
      <c r="AS239" s="82">
        <f t="shared" si="43"/>
        <v>65.920000000000073</v>
      </c>
    </row>
    <row r="240" spans="1:45" hidden="1" x14ac:dyDescent="0.3">
      <c r="A240">
        <v>6383953</v>
      </c>
      <c r="B240" s="15" t="s">
        <v>5576</v>
      </c>
      <c r="C240" s="16" t="s">
        <v>30</v>
      </c>
      <c r="D240" s="6" t="s">
        <v>31</v>
      </c>
      <c r="E240" t="s">
        <v>757</v>
      </c>
      <c r="F240" t="s">
        <v>757</v>
      </c>
      <c r="H240" s="11" t="s">
        <v>27</v>
      </c>
      <c r="I240" s="6" t="s">
        <v>28</v>
      </c>
      <c r="J240" s="6" t="s">
        <v>28</v>
      </c>
      <c r="K240" t="s">
        <v>32</v>
      </c>
      <c r="L240" s="35">
        <v>5.4</v>
      </c>
      <c r="M240" s="6" t="s">
        <v>29</v>
      </c>
      <c r="N240" s="6">
        <v>3105</v>
      </c>
      <c r="P240" s="18"/>
      <c r="Q240" s="17"/>
      <c r="R240" s="19">
        <v>5.4</v>
      </c>
      <c r="S240" s="19">
        <v>5.4</v>
      </c>
      <c r="T240" s="38">
        <v>72</v>
      </c>
      <c r="U240" s="38"/>
      <c r="V240" s="30">
        <v>5.4</v>
      </c>
      <c r="W240" s="35">
        <v>5.4</v>
      </c>
      <c r="X240" s="32">
        <f t="shared" si="33"/>
        <v>388.8</v>
      </c>
      <c r="Y240" s="32">
        <f t="shared" si="34"/>
        <v>388.8</v>
      </c>
      <c r="Z240" s="32">
        <f t="shared" si="35"/>
        <v>0</v>
      </c>
      <c r="AA240" s="38">
        <v>72</v>
      </c>
      <c r="AB240" s="37">
        <f>IFERROR(VLOOKUP(A240,'Tash Lookup'!A:E,3,FALSE),"")</f>
        <v>387.94</v>
      </c>
      <c r="AC240" s="6">
        <f t="shared" si="36"/>
        <v>0</v>
      </c>
      <c r="AD240" s="2" t="s">
        <v>6709</v>
      </c>
      <c r="AF240" s="56">
        <v>5.4</v>
      </c>
      <c r="AG240" s="56">
        <f>VLOOKUP(A240,Sheet1!$A$2:$C$1140,3,FALSE)</f>
        <v>5.4</v>
      </c>
      <c r="AH240" s="58">
        <v>5.4</v>
      </c>
      <c r="AI240" s="56" t="str">
        <f t="shared" si="37"/>
        <v>Same</v>
      </c>
      <c r="AJ240" s="81">
        <f t="shared" si="41"/>
        <v>388.8</v>
      </c>
      <c r="AK240" s="81">
        <f t="shared" si="42"/>
        <v>388.8</v>
      </c>
      <c r="AL240" s="58" t="s">
        <v>7206</v>
      </c>
      <c r="AM240" s="58" t="s">
        <v>6709</v>
      </c>
      <c r="AN240" s="75">
        <v>8</v>
      </c>
      <c r="AO240" s="88">
        <v>5.4</v>
      </c>
      <c r="AP240" s="6" t="str">
        <f t="shared" si="38"/>
        <v>Same</v>
      </c>
      <c r="AQ240" s="81">
        <f t="shared" si="39"/>
        <v>43.2</v>
      </c>
      <c r="AR240" s="81">
        <f t="shared" si="40"/>
        <v>43.2</v>
      </c>
      <c r="AS240" s="81">
        <f t="shared" si="43"/>
        <v>0</v>
      </c>
    </row>
    <row r="241" spans="1:45" hidden="1" x14ac:dyDescent="0.3">
      <c r="A241">
        <v>6188818</v>
      </c>
      <c r="B241" s="15" t="s">
        <v>5577</v>
      </c>
      <c r="C241" s="16" t="s">
        <v>30</v>
      </c>
      <c r="D241" s="6" t="s">
        <v>31</v>
      </c>
      <c r="E241" t="s">
        <v>887</v>
      </c>
      <c r="F241" t="s">
        <v>887</v>
      </c>
      <c r="H241" s="11" t="s">
        <v>27</v>
      </c>
      <c r="I241" s="6" t="s">
        <v>28</v>
      </c>
      <c r="J241" s="6" t="s">
        <v>28</v>
      </c>
      <c r="K241" t="s">
        <v>32</v>
      </c>
      <c r="L241" s="35">
        <v>5.89</v>
      </c>
      <c r="M241" s="6" t="s">
        <v>29</v>
      </c>
      <c r="N241" s="6">
        <v>3105</v>
      </c>
      <c r="P241" s="18"/>
      <c r="Q241" s="17"/>
      <c r="R241" s="19">
        <v>5.89</v>
      </c>
      <c r="S241" s="19">
        <v>5.89</v>
      </c>
      <c r="T241" s="38">
        <v>71</v>
      </c>
      <c r="U241" s="38"/>
      <c r="V241" s="30">
        <v>5.89</v>
      </c>
      <c r="W241" s="35">
        <v>5.89</v>
      </c>
      <c r="X241" s="32">
        <f t="shared" si="33"/>
        <v>418.19</v>
      </c>
      <c r="Y241" s="32">
        <f t="shared" si="34"/>
        <v>418.19</v>
      </c>
      <c r="Z241" s="32">
        <f t="shared" si="35"/>
        <v>0</v>
      </c>
      <c r="AA241" s="38">
        <v>71</v>
      </c>
      <c r="AB241" s="37">
        <f>IFERROR(VLOOKUP(A241,'Tash Lookup'!A:E,3,FALSE),"")</f>
        <v>412.44</v>
      </c>
      <c r="AC241" s="6">
        <f t="shared" si="36"/>
        <v>0</v>
      </c>
      <c r="AD241" s="2" t="s">
        <v>6703</v>
      </c>
      <c r="AF241" s="56">
        <v>5.3</v>
      </c>
      <c r="AG241" s="56">
        <f>VLOOKUP(A241,Sheet1!$A$2:$C$1140,3,FALSE)</f>
        <v>5.41</v>
      </c>
      <c r="AH241" s="58">
        <v>5.41</v>
      </c>
      <c r="AI241" s="56" t="str">
        <f t="shared" si="37"/>
        <v>Increase</v>
      </c>
      <c r="AJ241" s="81">
        <f t="shared" si="41"/>
        <v>376.3</v>
      </c>
      <c r="AK241" s="81">
        <f t="shared" si="42"/>
        <v>384.11</v>
      </c>
      <c r="AL241" s="58" t="s">
        <v>7206</v>
      </c>
      <c r="AM241" s="58" t="s">
        <v>6703</v>
      </c>
      <c r="AN241" s="75">
        <v>19</v>
      </c>
      <c r="AO241" s="88">
        <v>5.41</v>
      </c>
      <c r="AP241" s="6" t="str">
        <f t="shared" si="38"/>
        <v>Increase</v>
      </c>
      <c r="AQ241" s="81">
        <f t="shared" si="39"/>
        <v>100.7</v>
      </c>
      <c r="AR241" s="81">
        <f t="shared" si="40"/>
        <v>102.79</v>
      </c>
      <c r="AS241" s="82">
        <f t="shared" si="43"/>
        <v>2.0900000000000034</v>
      </c>
    </row>
    <row r="242" spans="1:45" hidden="1" x14ac:dyDescent="0.3">
      <c r="A242">
        <v>6183859</v>
      </c>
      <c r="B242" s="15" t="s">
        <v>5578</v>
      </c>
      <c r="C242" s="16" t="s">
        <v>30</v>
      </c>
      <c r="D242" s="6" t="s">
        <v>31</v>
      </c>
      <c r="E242" t="s">
        <v>891</v>
      </c>
      <c r="F242" t="s">
        <v>891</v>
      </c>
      <c r="H242" s="11" t="s">
        <v>27</v>
      </c>
      <c r="I242" s="6" t="s">
        <v>28</v>
      </c>
      <c r="J242" s="6" t="s">
        <v>28</v>
      </c>
      <c r="K242" t="s">
        <v>32</v>
      </c>
      <c r="L242" s="35">
        <v>5.0599999999999996</v>
      </c>
      <c r="M242" s="6" t="s">
        <v>29</v>
      </c>
      <c r="N242" s="6">
        <v>3105</v>
      </c>
      <c r="P242" s="18"/>
      <c r="Q242" s="17"/>
      <c r="R242" s="19">
        <v>5.0599999999999996</v>
      </c>
      <c r="S242" s="19">
        <v>5.0599999999999996</v>
      </c>
      <c r="T242" s="38">
        <v>70</v>
      </c>
      <c r="U242" s="38"/>
      <c r="V242" s="30">
        <v>5.0599999999999996</v>
      </c>
      <c r="W242" s="35">
        <v>5.0599999999999996</v>
      </c>
      <c r="X242" s="32">
        <f t="shared" si="33"/>
        <v>354.2</v>
      </c>
      <c r="Y242" s="32">
        <f t="shared" si="34"/>
        <v>354.2</v>
      </c>
      <c r="Z242" s="32">
        <f t="shared" si="35"/>
        <v>0</v>
      </c>
      <c r="AA242" s="38">
        <v>70</v>
      </c>
      <c r="AB242" s="37">
        <f>IFERROR(VLOOKUP(A242,'Tash Lookup'!A:E,3,FALSE),"")</f>
        <v>353.57</v>
      </c>
      <c r="AC242" s="6">
        <f t="shared" si="36"/>
        <v>0</v>
      </c>
      <c r="AD242" s="2" t="s">
        <v>6703</v>
      </c>
      <c r="AF242" s="56">
        <v>5.0599999999999996</v>
      </c>
      <c r="AG242" s="56">
        <f>VLOOKUP(A242,Sheet1!$A$2:$C$1140,3,FALSE)</f>
        <v>5.16</v>
      </c>
      <c r="AH242" s="58">
        <v>5.16</v>
      </c>
      <c r="AI242" s="56" t="str">
        <f t="shared" si="37"/>
        <v>Increase</v>
      </c>
      <c r="AJ242" s="81">
        <f t="shared" si="41"/>
        <v>354.2</v>
      </c>
      <c r="AK242" s="81">
        <f t="shared" si="42"/>
        <v>361.2</v>
      </c>
      <c r="AL242" s="58" t="s">
        <v>7206</v>
      </c>
      <c r="AM242" s="58" t="s">
        <v>6703</v>
      </c>
      <c r="AN242" s="75">
        <v>125</v>
      </c>
      <c r="AO242" s="88">
        <v>5.16</v>
      </c>
      <c r="AP242" s="6" t="str">
        <f t="shared" si="38"/>
        <v>Increase</v>
      </c>
      <c r="AQ242" s="81">
        <f t="shared" si="39"/>
        <v>632.5</v>
      </c>
      <c r="AR242" s="81">
        <f t="shared" si="40"/>
        <v>645</v>
      </c>
      <c r="AS242" s="82">
        <f t="shared" si="43"/>
        <v>12.5</v>
      </c>
    </row>
    <row r="243" spans="1:45" hidden="1" x14ac:dyDescent="0.3">
      <c r="A243">
        <v>6392303</v>
      </c>
      <c r="B243" s="15" t="s">
        <v>5579</v>
      </c>
      <c r="C243" s="16" t="s">
        <v>30</v>
      </c>
      <c r="D243" s="6" t="s">
        <v>31</v>
      </c>
      <c r="E243" t="s">
        <v>2546</v>
      </c>
      <c r="F243" t="s">
        <v>2546</v>
      </c>
      <c r="H243" s="11" t="s">
        <v>27</v>
      </c>
      <c r="I243" s="6" t="s">
        <v>28</v>
      </c>
      <c r="J243" s="6" t="s">
        <v>28</v>
      </c>
      <c r="K243" t="s">
        <v>32</v>
      </c>
      <c r="L243" s="35">
        <v>4.71</v>
      </c>
      <c r="M243" s="6" t="s">
        <v>29</v>
      </c>
      <c r="N243" s="6">
        <v>3105</v>
      </c>
      <c r="P243" s="18"/>
      <c r="Q243" s="17"/>
      <c r="R243" s="19">
        <v>4.71</v>
      </c>
      <c r="S243" s="19">
        <v>4.71</v>
      </c>
      <c r="T243" s="38">
        <v>70</v>
      </c>
      <c r="U243" s="38"/>
      <c r="V243" s="29">
        <v>4.71</v>
      </c>
      <c r="W243" s="35">
        <v>4.71</v>
      </c>
      <c r="X243" s="32">
        <f t="shared" si="33"/>
        <v>329.7</v>
      </c>
      <c r="Y243" s="32">
        <f t="shared" si="34"/>
        <v>329.7</v>
      </c>
      <c r="Z243" s="32">
        <f t="shared" si="35"/>
        <v>0</v>
      </c>
      <c r="AA243" s="38">
        <v>70</v>
      </c>
      <c r="AB243" s="37">
        <f>IFERROR(VLOOKUP(A243,'Tash Lookup'!A:E,3,FALSE),"")</f>
        <v>326.5</v>
      </c>
      <c r="AC243" s="6">
        <f t="shared" si="36"/>
        <v>0</v>
      </c>
      <c r="AD243" s="2" t="s">
        <v>6703</v>
      </c>
      <c r="AF243" s="56">
        <v>4.47</v>
      </c>
      <c r="AG243" s="56">
        <f>VLOOKUP(A243,Sheet1!$A$2:$C$1140,3,FALSE)</f>
        <v>4.5599999999999996</v>
      </c>
      <c r="AH243" s="58">
        <v>4.5599999999999996</v>
      </c>
      <c r="AI243" s="56" t="str">
        <f t="shared" si="37"/>
        <v>Increase</v>
      </c>
      <c r="AJ243" s="81">
        <f t="shared" si="41"/>
        <v>312.89999999999998</v>
      </c>
      <c r="AK243" s="81">
        <f t="shared" si="42"/>
        <v>319.2</v>
      </c>
      <c r="AL243" s="58" t="s">
        <v>7206</v>
      </c>
      <c r="AM243" s="58" t="s">
        <v>6703</v>
      </c>
      <c r="AN243" s="75">
        <v>19</v>
      </c>
      <c r="AO243" s="88">
        <v>4.5599999999999996</v>
      </c>
      <c r="AP243" s="6" t="str">
        <f t="shared" si="38"/>
        <v>Increase</v>
      </c>
      <c r="AQ243" s="81">
        <f t="shared" si="39"/>
        <v>84.929999999999993</v>
      </c>
      <c r="AR243" s="81">
        <f t="shared" si="40"/>
        <v>86.639999999999986</v>
      </c>
      <c r="AS243" s="82">
        <f t="shared" si="43"/>
        <v>1.7099999999999937</v>
      </c>
    </row>
    <row r="244" spans="1:45" hidden="1" x14ac:dyDescent="0.3">
      <c r="A244">
        <v>6317437</v>
      </c>
      <c r="B244" s="15" t="s">
        <v>5580</v>
      </c>
      <c r="C244" s="16" t="s">
        <v>30</v>
      </c>
      <c r="D244" s="6" t="s">
        <v>31</v>
      </c>
      <c r="E244" t="s">
        <v>2967</v>
      </c>
      <c r="F244" t="s">
        <v>2967</v>
      </c>
      <c r="H244" s="11" t="s">
        <v>27</v>
      </c>
      <c r="I244" s="6" t="s">
        <v>28</v>
      </c>
      <c r="J244" s="6" t="s">
        <v>28</v>
      </c>
      <c r="K244" t="s">
        <v>32</v>
      </c>
      <c r="L244" s="35">
        <v>9.7200000000000006</v>
      </c>
      <c r="M244" s="6" t="s">
        <v>29</v>
      </c>
      <c r="N244" s="6">
        <v>3105</v>
      </c>
      <c r="P244" s="18"/>
      <c r="Q244" s="17"/>
      <c r="R244" s="19">
        <v>9.7200000000000006</v>
      </c>
      <c r="S244" s="19">
        <v>9.7200000000000006</v>
      </c>
      <c r="T244" s="38">
        <v>69</v>
      </c>
      <c r="U244" s="38"/>
      <c r="V244" s="30">
        <v>9.7200000000000006</v>
      </c>
      <c r="W244" s="35">
        <v>9.7200000000000006</v>
      </c>
      <c r="X244" s="32">
        <f t="shared" si="33"/>
        <v>670.68000000000006</v>
      </c>
      <c r="Y244" s="32">
        <f t="shared" si="34"/>
        <v>670.68000000000006</v>
      </c>
      <c r="Z244" s="32">
        <f t="shared" si="35"/>
        <v>0</v>
      </c>
      <c r="AA244" s="38">
        <v>69</v>
      </c>
      <c r="AB244" s="37">
        <f>IFERROR(VLOOKUP(A244,'Tash Lookup'!A:E,3,FALSE),"")</f>
        <v>665.82</v>
      </c>
      <c r="AC244" s="6">
        <f t="shared" si="36"/>
        <v>0</v>
      </c>
      <c r="AD244" s="2" t="s">
        <v>6703</v>
      </c>
      <c r="AF244" s="56">
        <v>8.75</v>
      </c>
      <c r="AG244" s="56">
        <f>VLOOKUP(A244,Sheet1!$A$2:$C$1140,3,FALSE)</f>
        <v>8.92</v>
      </c>
      <c r="AH244" s="58">
        <v>8.92</v>
      </c>
      <c r="AI244" s="56" t="str">
        <f t="shared" si="37"/>
        <v>Increase</v>
      </c>
      <c r="AJ244" s="81">
        <f t="shared" si="41"/>
        <v>603.75</v>
      </c>
      <c r="AK244" s="81">
        <f t="shared" si="42"/>
        <v>615.48</v>
      </c>
      <c r="AL244" s="58" t="s">
        <v>7206</v>
      </c>
      <c r="AM244" s="58" t="s">
        <v>6703</v>
      </c>
      <c r="AN244" s="75">
        <v>12</v>
      </c>
      <c r="AO244" s="88">
        <v>8.92</v>
      </c>
      <c r="AP244" s="6" t="str">
        <f t="shared" si="38"/>
        <v>Increase</v>
      </c>
      <c r="AQ244" s="81">
        <f t="shared" si="39"/>
        <v>105</v>
      </c>
      <c r="AR244" s="81">
        <f t="shared" si="40"/>
        <v>107.03999999999999</v>
      </c>
      <c r="AS244" s="82">
        <f t="shared" si="43"/>
        <v>2.039999999999992</v>
      </c>
    </row>
    <row r="245" spans="1:45" hidden="1" x14ac:dyDescent="0.3">
      <c r="A245">
        <v>5218616</v>
      </c>
      <c r="B245" s="15" t="s">
        <v>5581</v>
      </c>
      <c r="C245" s="16" t="s">
        <v>30</v>
      </c>
      <c r="D245" s="6" t="s">
        <v>31</v>
      </c>
      <c r="E245" t="s">
        <v>254</v>
      </c>
      <c r="F245" t="s">
        <v>254</v>
      </c>
      <c r="H245" s="11" t="s">
        <v>27</v>
      </c>
      <c r="I245" s="6" t="s">
        <v>28</v>
      </c>
      <c r="J245" s="6" t="s">
        <v>28</v>
      </c>
      <c r="K245" t="s">
        <v>32</v>
      </c>
      <c r="L245" s="35">
        <v>18.09</v>
      </c>
      <c r="M245" s="6" t="s">
        <v>29</v>
      </c>
      <c r="N245" s="6">
        <v>3105</v>
      </c>
      <c r="P245" s="18"/>
      <c r="Q245" s="17"/>
      <c r="R245" s="19">
        <v>22.1</v>
      </c>
      <c r="S245" s="19">
        <v>22.1</v>
      </c>
      <c r="T245" s="38">
        <v>69</v>
      </c>
      <c r="U245" s="38"/>
      <c r="V245" s="29">
        <v>18.09</v>
      </c>
      <c r="W245" s="45">
        <v>12.86</v>
      </c>
      <c r="X245" s="32">
        <f t="shared" si="33"/>
        <v>1248.21</v>
      </c>
      <c r="Y245" s="32">
        <f t="shared" si="34"/>
        <v>1248.21</v>
      </c>
      <c r="Z245" s="32">
        <f t="shared" si="35"/>
        <v>0</v>
      </c>
      <c r="AA245" s="38">
        <v>69</v>
      </c>
      <c r="AB245" s="37">
        <f>IFERROR(VLOOKUP(A245,'Tash Lookup'!A:E,3,FALSE),"")</f>
        <v>1014.44</v>
      </c>
      <c r="AC245" s="6">
        <f t="shared" si="36"/>
        <v>0</v>
      </c>
      <c r="AD245" s="2" t="s">
        <v>6703</v>
      </c>
      <c r="AF245" s="56">
        <v>18.97</v>
      </c>
      <c r="AG245" s="56">
        <f>VLOOKUP(A245,Sheet1!$A$2:$C$1140,3,FALSE)</f>
        <v>19.54</v>
      </c>
      <c r="AH245" s="58">
        <v>19.54</v>
      </c>
      <c r="AI245" s="56" t="str">
        <f t="shared" si="37"/>
        <v>Increase</v>
      </c>
      <c r="AJ245" s="81">
        <f t="shared" si="41"/>
        <v>1308.9299999999998</v>
      </c>
      <c r="AK245" s="81">
        <f t="shared" si="42"/>
        <v>1348.26</v>
      </c>
      <c r="AL245" s="58" t="s">
        <v>32</v>
      </c>
      <c r="AM245" s="58" t="s">
        <v>6703</v>
      </c>
      <c r="AN245" s="75">
        <v>29</v>
      </c>
      <c r="AO245" s="88">
        <v>19.54</v>
      </c>
      <c r="AP245" s="6" t="str">
        <f t="shared" si="38"/>
        <v>Increase</v>
      </c>
      <c r="AQ245" s="81">
        <f t="shared" si="39"/>
        <v>550.13</v>
      </c>
      <c r="AR245" s="81">
        <f t="shared" si="40"/>
        <v>566.66</v>
      </c>
      <c r="AS245" s="82">
        <f t="shared" si="43"/>
        <v>16.529999999999973</v>
      </c>
    </row>
    <row r="246" spans="1:45" hidden="1" x14ac:dyDescent="0.3">
      <c r="A246">
        <v>6107273</v>
      </c>
      <c r="B246" s="15" t="s">
        <v>5582</v>
      </c>
      <c r="C246" s="16" t="s">
        <v>30</v>
      </c>
      <c r="D246" s="6" t="s">
        <v>31</v>
      </c>
      <c r="E246" t="s">
        <v>957</v>
      </c>
      <c r="F246" t="s">
        <v>957</v>
      </c>
      <c r="H246" s="11" t="s">
        <v>27</v>
      </c>
      <c r="I246" s="6" t="s">
        <v>28</v>
      </c>
      <c r="J246" s="6" t="s">
        <v>28</v>
      </c>
      <c r="K246" t="s">
        <v>32</v>
      </c>
      <c r="L246" s="35">
        <v>12.36</v>
      </c>
      <c r="M246" s="6" t="s">
        <v>29</v>
      </c>
      <c r="N246" s="6">
        <v>3105</v>
      </c>
      <c r="P246" s="18"/>
      <c r="Q246" s="17"/>
      <c r="R246" s="19">
        <v>12.36</v>
      </c>
      <c r="S246" s="19">
        <v>12.36</v>
      </c>
      <c r="T246" s="38">
        <v>69</v>
      </c>
      <c r="U246" s="38"/>
      <c r="V246" s="29">
        <v>12.36</v>
      </c>
      <c r="W246" s="35">
        <v>12.36</v>
      </c>
      <c r="X246" s="32">
        <f t="shared" si="33"/>
        <v>852.83999999999992</v>
      </c>
      <c r="Y246" s="32">
        <f t="shared" si="34"/>
        <v>852.83999999999992</v>
      </c>
      <c r="Z246" s="32">
        <f t="shared" si="35"/>
        <v>0</v>
      </c>
      <c r="AA246" s="38">
        <v>69</v>
      </c>
      <c r="AB246" s="37">
        <f>IFERROR(VLOOKUP(A246,'Tash Lookup'!A:E,3,FALSE),"")</f>
        <v>855.46</v>
      </c>
      <c r="AC246" s="6">
        <f t="shared" si="36"/>
        <v>0</v>
      </c>
      <c r="AD246" s="2" t="s">
        <v>6707</v>
      </c>
      <c r="AF246" s="56">
        <v>12.36</v>
      </c>
      <c r="AG246" s="56" t="e">
        <f>VLOOKUP(A246,Sheet1!$A$2:$C$1140,3,FALSE)</f>
        <v>#N/A</v>
      </c>
      <c r="AH246" s="58" t="e">
        <v>#N/A</v>
      </c>
      <c r="AI246" s="56" t="str">
        <f t="shared" si="37"/>
        <v>Delete</v>
      </c>
      <c r="AJ246" s="81">
        <f t="shared" si="41"/>
        <v>852.83999999999992</v>
      </c>
      <c r="AK246" s="81">
        <f t="shared" si="42"/>
        <v>0</v>
      </c>
      <c r="AL246" s="58" t="s">
        <v>7206</v>
      </c>
      <c r="AM246" s="58" t="s">
        <v>6709</v>
      </c>
      <c r="AN246" s="75">
        <v>0</v>
      </c>
      <c r="AO246" s="88">
        <v>12.36</v>
      </c>
      <c r="AP246" s="6" t="str">
        <f t="shared" si="38"/>
        <v>Same</v>
      </c>
      <c r="AQ246" s="81">
        <f t="shared" si="39"/>
        <v>0</v>
      </c>
      <c r="AR246" s="81">
        <f t="shared" si="40"/>
        <v>0</v>
      </c>
      <c r="AS246" s="81">
        <f t="shared" si="43"/>
        <v>0</v>
      </c>
    </row>
    <row r="247" spans="1:45" hidden="1" x14ac:dyDescent="0.3">
      <c r="A247">
        <v>6107300</v>
      </c>
      <c r="B247" s="15" t="s">
        <v>5583</v>
      </c>
      <c r="C247" s="16" t="s">
        <v>30</v>
      </c>
      <c r="D247" s="6" t="s">
        <v>31</v>
      </c>
      <c r="E247" t="s">
        <v>959</v>
      </c>
      <c r="F247" t="s">
        <v>959</v>
      </c>
      <c r="H247" s="11" t="s">
        <v>27</v>
      </c>
      <c r="I247" s="6" t="s">
        <v>28</v>
      </c>
      <c r="J247" s="6" t="s">
        <v>28</v>
      </c>
      <c r="K247" t="s">
        <v>32</v>
      </c>
      <c r="L247" s="35">
        <v>16.41</v>
      </c>
      <c r="M247" s="6" t="s">
        <v>29</v>
      </c>
      <c r="N247" s="6">
        <v>3105</v>
      </c>
      <c r="P247" s="18"/>
      <c r="Q247" s="17"/>
      <c r="R247" s="19">
        <v>0</v>
      </c>
      <c r="S247" s="19">
        <v>0</v>
      </c>
      <c r="T247" s="38">
        <v>67</v>
      </c>
      <c r="U247" s="38"/>
      <c r="V247" s="29">
        <v>16.41</v>
      </c>
      <c r="W247" s="35">
        <v>16.41</v>
      </c>
      <c r="X247" s="32">
        <f t="shared" si="33"/>
        <v>1099.47</v>
      </c>
      <c r="Y247" s="32">
        <f t="shared" si="34"/>
        <v>1099.47</v>
      </c>
      <c r="Z247" s="32">
        <f t="shared" si="35"/>
        <v>0</v>
      </c>
      <c r="AA247" s="38">
        <v>67</v>
      </c>
      <c r="AB247" s="37">
        <f>IFERROR(VLOOKUP(A247,'Tash Lookup'!A:E,3,FALSE),"")</f>
        <v>1095.5</v>
      </c>
      <c r="AC247" s="6">
        <f t="shared" si="36"/>
        <v>0</v>
      </c>
      <c r="AD247" s="2" t="s">
        <v>6703</v>
      </c>
      <c r="AF247" s="56">
        <v>16.41</v>
      </c>
      <c r="AG247" s="56">
        <f>VLOOKUP(A247,Sheet1!$A$2:$C$1140,3,FALSE)</f>
        <v>16.41</v>
      </c>
      <c r="AH247" s="58">
        <v>16.41</v>
      </c>
      <c r="AI247" s="56" t="str">
        <f t="shared" si="37"/>
        <v>Same</v>
      </c>
      <c r="AJ247" s="81">
        <f t="shared" si="41"/>
        <v>1099.47</v>
      </c>
      <c r="AK247" s="81">
        <f t="shared" si="42"/>
        <v>1099.47</v>
      </c>
      <c r="AL247" s="58" t="s">
        <v>7206</v>
      </c>
      <c r="AM247" s="58" t="s">
        <v>6703</v>
      </c>
      <c r="AN247" s="75">
        <v>75</v>
      </c>
      <c r="AO247" s="88">
        <v>16.41</v>
      </c>
      <c r="AP247" s="6" t="str">
        <f t="shared" si="38"/>
        <v>Same</v>
      </c>
      <c r="AQ247" s="81">
        <f t="shared" si="39"/>
        <v>1230.75</v>
      </c>
      <c r="AR247" s="81">
        <f t="shared" si="40"/>
        <v>1230.75</v>
      </c>
      <c r="AS247" s="81">
        <f t="shared" si="43"/>
        <v>0</v>
      </c>
    </row>
    <row r="248" spans="1:45" hidden="1" x14ac:dyDescent="0.3">
      <c r="A248">
        <v>6183954</v>
      </c>
      <c r="B248" s="15" t="s">
        <v>5584</v>
      </c>
      <c r="C248" s="16" t="s">
        <v>30</v>
      </c>
      <c r="D248" s="6" t="s">
        <v>31</v>
      </c>
      <c r="E248" t="s">
        <v>684</v>
      </c>
      <c r="F248" t="s">
        <v>684</v>
      </c>
      <c r="H248" s="11" t="s">
        <v>27</v>
      </c>
      <c r="I248" s="6" t="s">
        <v>28</v>
      </c>
      <c r="J248" s="6" t="s">
        <v>28</v>
      </c>
      <c r="K248" t="s">
        <v>32</v>
      </c>
      <c r="L248" s="35">
        <v>9.01</v>
      </c>
      <c r="M248" s="6" t="s">
        <v>29</v>
      </c>
      <c r="N248" s="6">
        <v>3105</v>
      </c>
      <c r="P248" s="18"/>
      <c r="Q248" s="17"/>
      <c r="R248" s="19">
        <v>9.01</v>
      </c>
      <c r="S248" s="19">
        <v>9.01</v>
      </c>
      <c r="T248" s="38">
        <v>67</v>
      </c>
      <c r="U248" s="38"/>
      <c r="V248" s="30">
        <v>9.01</v>
      </c>
      <c r="W248" s="35">
        <v>9.01</v>
      </c>
      <c r="X248" s="32">
        <f t="shared" si="33"/>
        <v>603.66999999999996</v>
      </c>
      <c r="Y248" s="32">
        <f t="shared" si="34"/>
        <v>603.66999999999996</v>
      </c>
      <c r="Z248" s="32">
        <f t="shared" si="35"/>
        <v>0</v>
      </c>
      <c r="AA248" s="38">
        <v>67</v>
      </c>
      <c r="AB248" s="37">
        <f>IFERROR(VLOOKUP(A248,'Tash Lookup'!A:E,3,FALSE),"")</f>
        <v>599.4</v>
      </c>
      <c r="AC248" s="6">
        <f t="shared" si="36"/>
        <v>0</v>
      </c>
      <c r="AD248" s="2" t="s">
        <v>6703</v>
      </c>
      <c r="AF248" s="56">
        <v>9.01</v>
      </c>
      <c r="AG248" s="56">
        <f>VLOOKUP(A248,Sheet1!$A$2:$C$1140,3,FALSE)</f>
        <v>9.19</v>
      </c>
      <c r="AH248" s="58">
        <v>9.19</v>
      </c>
      <c r="AI248" s="56" t="str">
        <f t="shared" si="37"/>
        <v>Increase</v>
      </c>
      <c r="AJ248" s="81">
        <f t="shared" si="41"/>
        <v>603.66999999999996</v>
      </c>
      <c r="AK248" s="81">
        <f t="shared" si="42"/>
        <v>615.73</v>
      </c>
      <c r="AL248" s="58" t="s">
        <v>7206</v>
      </c>
      <c r="AM248" s="58" t="s">
        <v>6703</v>
      </c>
      <c r="AN248" s="75">
        <v>24</v>
      </c>
      <c r="AO248" s="88">
        <v>9.19</v>
      </c>
      <c r="AP248" s="6" t="str">
        <f t="shared" si="38"/>
        <v>Increase</v>
      </c>
      <c r="AQ248" s="81">
        <f t="shared" si="39"/>
        <v>216.24</v>
      </c>
      <c r="AR248" s="81">
        <f t="shared" si="40"/>
        <v>220.56</v>
      </c>
      <c r="AS248" s="82">
        <f t="shared" si="43"/>
        <v>4.3199999999999932</v>
      </c>
    </row>
    <row r="249" spans="1:45" hidden="1" x14ac:dyDescent="0.3">
      <c r="A249">
        <v>6189831</v>
      </c>
      <c r="B249" s="15" t="s">
        <v>5585</v>
      </c>
      <c r="C249" s="16" t="s">
        <v>30</v>
      </c>
      <c r="D249" s="6" t="s">
        <v>31</v>
      </c>
      <c r="E249" t="s">
        <v>783</v>
      </c>
      <c r="F249" t="s">
        <v>783</v>
      </c>
      <c r="H249" s="11" t="s">
        <v>27</v>
      </c>
      <c r="I249" s="6" t="s">
        <v>28</v>
      </c>
      <c r="J249" s="6" t="s">
        <v>28</v>
      </c>
      <c r="K249" t="s">
        <v>32</v>
      </c>
      <c r="L249" s="35">
        <v>6.52</v>
      </c>
      <c r="M249" s="6" t="s">
        <v>29</v>
      </c>
      <c r="N249" s="6">
        <v>3105</v>
      </c>
      <c r="P249" s="18"/>
      <c r="Q249" s="17"/>
      <c r="R249" s="19">
        <v>6.52</v>
      </c>
      <c r="S249" s="19">
        <v>6.52</v>
      </c>
      <c r="T249" s="38">
        <v>66</v>
      </c>
      <c r="U249" s="38"/>
      <c r="V249" s="30">
        <v>6.52</v>
      </c>
      <c r="W249" s="35">
        <v>6.52</v>
      </c>
      <c r="X249" s="32">
        <f t="shared" si="33"/>
        <v>430.32</v>
      </c>
      <c r="Y249" s="32">
        <f t="shared" si="34"/>
        <v>430.32</v>
      </c>
      <c r="Z249" s="32">
        <f t="shared" si="35"/>
        <v>0</v>
      </c>
      <c r="AA249" s="38">
        <v>66</v>
      </c>
      <c r="AB249" s="37">
        <f>IFERROR(VLOOKUP(A249,'Tash Lookup'!A:E,3,FALSE),"")</f>
        <v>412.82</v>
      </c>
      <c r="AC249" s="6">
        <f t="shared" si="36"/>
        <v>0</v>
      </c>
      <c r="AD249" s="2" t="s">
        <v>6708</v>
      </c>
      <c r="AF249" s="56">
        <v>6.52</v>
      </c>
      <c r="AG249" s="56">
        <f>VLOOKUP(A249,Sheet1!$A$2:$C$1140,3,FALSE)</f>
        <v>3.84</v>
      </c>
      <c r="AH249" s="58">
        <v>3.84</v>
      </c>
      <c r="AI249" s="56" t="str">
        <f t="shared" si="37"/>
        <v>Decrease</v>
      </c>
      <c r="AJ249" s="81">
        <f t="shared" si="41"/>
        <v>430.32</v>
      </c>
      <c r="AK249" s="81">
        <f t="shared" si="42"/>
        <v>253.44</v>
      </c>
      <c r="AL249" s="58" t="s">
        <v>7206</v>
      </c>
      <c r="AM249" s="58" t="s">
        <v>6708</v>
      </c>
      <c r="AN249" s="75">
        <v>70</v>
      </c>
      <c r="AO249" s="88">
        <v>3.84</v>
      </c>
      <c r="AP249" s="6" t="str">
        <f t="shared" si="38"/>
        <v>Decrease</v>
      </c>
      <c r="AQ249" s="81">
        <f t="shared" si="39"/>
        <v>456.4</v>
      </c>
      <c r="AR249" s="81">
        <f t="shared" si="40"/>
        <v>268.8</v>
      </c>
      <c r="AS249" s="83">
        <f t="shared" si="43"/>
        <v>-187.59999999999997</v>
      </c>
    </row>
    <row r="250" spans="1:45" hidden="1" x14ac:dyDescent="0.3">
      <c r="A250">
        <v>5081949</v>
      </c>
      <c r="B250" s="15" t="s">
        <v>5586</v>
      </c>
      <c r="C250" s="16" t="s">
        <v>30</v>
      </c>
      <c r="D250" s="6" t="s">
        <v>31</v>
      </c>
      <c r="E250" t="s">
        <v>557</v>
      </c>
      <c r="F250" t="s">
        <v>557</v>
      </c>
      <c r="H250" s="11" t="s">
        <v>27</v>
      </c>
      <c r="I250" s="6" t="s">
        <v>28</v>
      </c>
      <c r="J250" s="6" t="s">
        <v>28</v>
      </c>
      <c r="K250" t="s">
        <v>32</v>
      </c>
      <c r="L250" s="35">
        <v>22.06</v>
      </c>
      <c r="M250" s="6" t="s">
        <v>29</v>
      </c>
      <c r="N250" s="6">
        <v>3105</v>
      </c>
      <c r="P250" s="18"/>
      <c r="Q250" s="17"/>
      <c r="R250" s="19">
        <v>22.06</v>
      </c>
      <c r="S250" s="19">
        <v>22.06</v>
      </c>
      <c r="T250" s="38">
        <v>66</v>
      </c>
      <c r="U250" s="38"/>
      <c r="V250" s="29">
        <v>22.06</v>
      </c>
      <c r="W250" s="35">
        <v>22.06</v>
      </c>
      <c r="X250" s="32">
        <f t="shared" si="33"/>
        <v>1455.9599999999998</v>
      </c>
      <c r="Y250" s="32">
        <f t="shared" si="34"/>
        <v>1455.9599999999998</v>
      </c>
      <c r="Z250" s="32">
        <f t="shared" si="35"/>
        <v>0</v>
      </c>
      <c r="AA250" s="38">
        <v>66</v>
      </c>
      <c r="AB250" s="37">
        <f>IFERROR(VLOOKUP(A250,'Tash Lookup'!A:E,3,FALSE),"")</f>
        <v>1545.06</v>
      </c>
      <c r="AC250" s="6">
        <f t="shared" si="36"/>
        <v>0</v>
      </c>
      <c r="AD250" s="2" t="s">
        <v>6703</v>
      </c>
      <c r="AF250" s="56">
        <v>24.08</v>
      </c>
      <c r="AG250" s="56">
        <f>VLOOKUP(A250,Sheet1!$A$2:$C$1140,3,FALSE)</f>
        <v>24.81</v>
      </c>
      <c r="AH250" s="58">
        <v>24.81</v>
      </c>
      <c r="AI250" s="56" t="str">
        <f t="shared" si="37"/>
        <v>Increase</v>
      </c>
      <c r="AJ250" s="81">
        <f t="shared" si="41"/>
        <v>1589.28</v>
      </c>
      <c r="AK250" s="81">
        <f t="shared" si="42"/>
        <v>1637.4599999999998</v>
      </c>
      <c r="AL250" s="58" t="s">
        <v>32</v>
      </c>
      <c r="AM250" s="58" t="s">
        <v>6703</v>
      </c>
      <c r="AN250" s="75">
        <v>29</v>
      </c>
      <c r="AO250" s="88">
        <v>24.81</v>
      </c>
      <c r="AP250" s="6" t="str">
        <f t="shared" si="38"/>
        <v>Increase</v>
      </c>
      <c r="AQ250" s="81">
        <f t="shared" si="39"/>
        <v>698.31999999999994</v>
      </c>
      <c r="AR250" s="81">
        <f t="shared" si="40"/>
        <v>719.49</v>
      </c>
      <c r="AS250" s="82">
        <f t="shared" si="43"/>
        <v>21.170000000000073</v>
      </c>
    </row>
    <row r="251" spans="1:45" hidden="1" x14ac:dyDescent="0.3">
      <c r="A251">
        <v>6183869</v>
      </c>
      <c r="B251" s="15" t="s">
        <v>5587</v>
      </c>
      <c r="C251" s="16" t="s">
        <v>30</v>
      </c>
      <c r="D251" s="6" t="s">
        <v>31</v>
      </c>
      <c r="E251" t="s">
        <v>832</v>
      </c>
      <c r="F251" t="s">
        <v>832</v>
      </c>
      <c r="H251" s="11" t="s">
        <v>27</v>
      </c>
      <c r="I251" s="6" t="s">
        <v>28</v>
      </c>
      <c r="J251" s="6" t="s">
        <v>28</v>
      </c>
      <c r="K251" t="s">
        <v>32</v>
      </c>
      <c r="L251" s="35">
        <v>1.1499999999999999</v>
      </c>
      <c r="M251" s="6" t="s">
        <v>29</v>
      </c>
      <c r="N251" s="6">
        <v>3105</v>
      </c>
      <c r="P251" s="18"/>
      <c r="Q251" s="17"/>
      <c r="R251" s="19">
        <v>4.34</v>
      </c>
      <c r="S251" s="19">
        <v>4.34</v>
      </c>
      <c r="T251" s="38">
        <v>65</v>
      </c>
      <c r="U251" s="38"/>
      <c r="V251" s="30">
        <v>4.34</v>
      </c>
      <c r="W251" s="35">
        <v>1.1499999999999999</v>
      </c>
      <c r="X251" s="32">
        <f t="shared" si="33"/>
        <v>282.09999999999997</v>
      </c>
      <c r="Y251" s="32">
        <f t="shared" si="34"/>
        <v>74.75</v>
      </c>
      <c r="Z251" s="32">
        <f t="shared" si="35"/>
        <v>207.34999999999997</v>
      </c>
      <c r="AA251" s="38">
        <v>65</v>
      </c>
      <c r="AB251" s="37">
        <f>IFERROR(VLOOKUP(A251,'Tash Lookup'!A:E,3,FALSE),"")</f>
        <v>73.95</v>
      </c>
      <c r="AC251" s="6">
        <f t="shared" si="36"/>
        <v>0</v>
      </c>
      <c r="AD251" s="2" t="s">
        <v>6703</v>
      </c>
      <c r="AF251" s="56">
        <v>1.1499999999999999</v>
      </c>
      <c r="AG251" s="56">
        <f>VLOOKUP(A251,Sheet1!$A$2:$C$1140,3,FALSE)</f>
        <v>1.17</v>
      </c>
      <c r="AH251" s="58">
        <v>1.17</v>
      </c>
      <c r="AI251" s="56" t="str">
        <f t="shared" si="37"/>
        <v>Increase</v>
      </c>
      <c r="AJ251" s="81">
        <f t="shared" si="41"/>
        <v>74.75</v>
      </c>
      <c r="AK251" s="81">
        <f t="shared" si="42"/>
        <v>76.05</v>
      </c>
      <c r="AL251" s="58" t="s">
        <v>7206</v>
      </c>
      <c r="AM251" s="58" t="s">
        <v>6703</v>
      </c>
      <c r="AN251" s="75">
        <v>80</v>
      </c>
      <c r="AO251" s="88">
        <v>1.17</v>
      </c>
      <c r="AP251" s="6" t="str">
        <f t="shared" si="38"/>
        <v>Increase</v>
      </c>
      <c r="AQ251" s="81">
        <f t="shared" si="39"/>
        <v>92</v>
      </c>
      <c r="AR251" s="81">
        <f t="shared" si="40"/>
        <v>93.6</v>
      </c>
      <c r="AS251" s="82">
        <f t="shared" si="43"/>
        <v>1.5999999999999943</v>
      </c>
    </row>
    <row r="252" spans="1:45" hidden="1" x14ac:dyDescent="0.3">
      <c r="A252">
        <v>5183363</v>
      </c>
      <c r="B252" s="15" t="s">
        <v>5588</v>
      </c>
      <c r="C252" s="16" t="s">
        <v>30</v>
      </c>
      <c r="D252" s="6" t="s">
        <v>31</v>
      </c>
      <c r="E252" t="s">
        <v>512</v>
      </c>
      <c r="F252" t="s">
        <v>512</v>
      </c>
      <c r="H252" s="11" t="s">
        <v>27</v>
      </c>
      <c r="I252" s="6" t="s">
        <v>28</v>
      </c>
      <c r="J252" s="6" t="s">
        <v>28</v>
      </c>
      <c r="K252" t="s">
        <v>32</v>
      </c>
      <c r="L252" s="35">
        <v>41.11</v>
      </c>
      <c r="M252" s="6" t="s">
        <v>29</v>
      </c>
      <c r="N252" s="6">
        <v>3105</v>
      </c>
      <c r="P252" s="18"/>
      <c r="Q252" s="17"/>
      <c r="R252" s="19">
        <v>41.11</v>
      </c>
      <c r="S252" s="19">
        <v>41.11</v>
      </c>
      <c r="T252" s="38">
        <v>65</v>
      </c>
      <c r="U252" s="38"/>
      <c r="V252" s="29">
        <v>41.11</v>
      </c>
      <c r="W252" s="35">
        <v>41.11</v>
      </c>
      <c r="X252" s="32">
        <f t="shared" si="33"/>
        <v>2672.15</v>
      </c>
      <c r="Y252" s="32">
        <f t="shared" si="34"/>
        <v>2672.15</v>
      </c>
      <c r="Z252" s="32">
        <f t="shared" si="35"/>
        <v>0</v>
      </c>
      <c r="AA252" s="38">
        <v>65</v>
      </c>
      <c r="AB252" s="37">
        <f>IFERROR(VLOOKUP(A252,'Tash Lookup'!A:E,3,FALSE),"")</f>
        <v>2713.87</v>
      </c>
      <c r="AC252" s="6">
        <f t="shared" si="36"/>
        <v>0</v>
      </c>
      <c r="AD252" s="2" t="s">
        <v>6703</v>
      </c>
      <c r="AF252" s="56">
        <v>40.090000000000003</v>
      </c>
      <c r="AG252" s="56">
        <f>VLOOKUP(A252,Sheet1!$A$2:$C$1140,3,FALSE)</f>
        <v>41.29</v>
      </c>
      <c r="AH252" s="58">
        <v>41.29</v>
      </c>
      <c r="AI252" s="56" t="str">
        <f t="shared" si="37"/>
        <v>Increase</v>
      </c>
      <c r="AJ252" s="81">
        <f t="shared" si="41"/>
        <v>2605.8500000000004</v>
      </c>
      <c r="AK252" s="81">
        <f t="shared" si="42"/>
        <v>2683.85</v>
      </c>
      <c r="AL252" s="58" t="s">
        <v>32</v>
      </c>
      <c r="AM252" s="58" t="s">
        <v>6703</v>
      </c>
      <c r="AN252" s="75">
        <v>55</v>
      </c>
      <c r="AO252" s="88">
        <v>41.29</v>
      </c>
      <c r="AP252" s="6" t="str">
        <f t="shared" si="38"/>
        <v>Increase</v>
      </c>
      <c r="AQ252" s="81">
        <f t="shared" si="39"/>
        <v>2204.9500000000003</v>
      </c>
      <c r="AR252" s="81">
        <f t="shared" si="40"/>
        <v>2270.9499999999998</v>
      </c>
      <c r="AS252" s="82">
        <f t="shared" si="43"/>
        <v>65.999999999999545</v>
      </c>
    </row>
    <row r="253" spans="1:45" hidden="1" x14ac:dyDescent="0.3">
      <c r="A253">
        <v>5321363</v>
      </c>
      <c r="B253" s="15" t="s">
        <v>5589</v>
      </c>
      <c r="C253" s="16" t="s">
        <v>30</v>
      </c>
      <c r="D253" s="6" t="s">
        <v>31</v>
      </c>
      <c r="E253" t="s">
        <v>625</v>
      </c>
      <c r="F253" t="s">
        <v>625</v>
      </c>
      <c r="H253" s="11" t="s">
        <v>27</v>
      </c>
      <c r="I253" s="6" t="s">
        <v>28</v>
      </c>
      <c r="J253" s="6" t="s">
        <v>28</v>
      </c>
      <c r="K253" t="s">
        <v>32</v>
      </c>
      <c r="L253" s="35">
        <v>26.08</v>
      </c>
      <c r="M253" s="6" t="s">
        <v>29</v>
      </c>
      <c r="N253" s="6">
        <v>3105</v>
      </c>
      <c r="P253" s="18"/>
      <c r="Q253" s="17"/>
      <c r="R253" s="19">
        <v>26.08</v>
      </c>
      <c r="S253" s="19">
        <v>26.08</v>
      </c>
      <c r="T253" s="38">
        <v>65</v>
      </c>
      <c r="U253" s="38"/>
      <c r="V253" s="29">
        <v>26.08</v>
      </c>
      <c r="W253" s="35">
        <v>26.08</v>
      </c>
      <c r="X253" s="32">
        <f t="shared" si="33"/>
        <v>1695.1999999999998</v>
      </c>
      <c r="Y253" s="32">
        <f t="shared" si="34"/>
        <v>1695.1999999999998</v>
      </c>
      <c r="Z253" s="32">
        <f t="shared" si="35"/>
        <v>0</v>
      </c>
      <c r="AA253" s="38">
        <v>65</v>
      </c>
      <c r="AB253" s="37">
        <f>IFERROR(VLOOKUP(A253,'Tash Lookup'!A:E,3,FALSE),"")</f>
        <v>1795.49</v>
      </c>
      <c r="AC253" s="6">
        <f t="shared" si="36"/>
        <v>0</v>
      </c>
      <c r="AD253" s="2" t="s">
        <v>6703</v>
      </c>
      <c r="AF253" s="56">
        <v>27.63</v>
      </c>
      <c r="AG253" s="56">
        <f>VLOOKUP(A253,Sheet1!$A$2:$C$1140,3,FALSE)</f>
        <v>28.46</v>
      </c>
      <c r="AH253" s="58">
        <v>28.46</v>
      </c>
      <c r="AI253" s="56" t="str">
        <f t="shared" si="37"/>
        <v>Increase</v>
      </c>
      <c r="AJ253" s="81">
        <f t="shared" si="41"/>
        <v>1795.95</v>
      </c>
      <c r="AK253" s="81">
        <f t="shared" si="42"/>
        <v>1849.9</v>
      </c>
      <c r="AL253" s="58" t="s">
        <v>32</v>
      </c>
      <c r="AM253" s="58" t="s">
        <v>6703</v>
      </c>
      <c r="AN253" s="75">
        <v>54</v>
      </c>
      <c r="AO253" s="88">
        <v>28.46</v>
      </c>
      <c r="AP253" s="6" t="str">
        <f t="shared" si="38"/>
        <v>Increase</v>
      </c>
      <c r="AQ253" s="81">
        <f t="shared" si="39"/>
        <v>1492.02</v>
      </c>
      <c r="AR253" s="81">
        <f t="shared" si="40"/>
        <v>1536.8400000000001</v>
      </c>
      <c r="AS253" s="82">
        <f t="shared" si="43"/>
        <v>44.820000000000164</v>
      </c>
    </row>
    <row r="254" spans="1:45" hidden="1" x14ac:dyDescent="0.3">
      <c r="A254">
        <v>5110652</v>
      </c>
      <c r="B254" s="15" t="s">
        <v>5590</v>
      </c>
      <c r="C254" s="16" t="s">
        <v>30</v>
      </c>
      <c r="D254" s="6" t="s">
        <v>31</v>
      </c>
      <c r="E254" t="s">
        <v>618</v>
      </c>
      <c r="F254" t="s">
        <v>618</v>
      </c>
      <c r="H254" s="11" t="s">
        <v>27</v>
      </c>
      <c r="I254" s="6" t="s">
        <v>28</v>
      </c>
      <c r="J254" s="6" t="s">
        <v>28</v>
      </c>
      <c r="K254" t="s">
        <v>32</v>
      </c>
      <c r="L254" s="35">
        <v>35.4</v>
      </c>
      <c r="M254" s="6" t="s">
        <v>29</v>
      </c>
      <c r="N254" s="6">
        <v>3105</v>
      </c>
      <c r="P254" s="18"/>
      <c r="Q254" s="17"/>
      <c r="R254" s="19">
        <v>33.630000000000003</v>
      </c>
      <c r="S254" s="19">
        <v>0</v>
      </c>
      <c r="T254" s="38">
        <v>65</v>
      </c>
      <c r="U254" s="38"/>
      <c r="V254" s="29">
        <v>33.630000000000003</v>
      </c>
      <c r="W254" s="35">
        <v>35.4</v>
      </c>
      <c r="X254" s="32">
        <f t="shared" si="33"/>
        <v>2185.9500000000003</v>
      </c>
      <c r="Y254" s="32">
        <f t="shared" si="34"/>
        <v>2301</v>
      </c>
      <c r="Z254" s="32">
        <f t="shared" si="35"/>
        <v>-115.04999999999973</v>
      </c>
      <c r="AA254" s="38">
        <v>65</v>
      </c>
      <c r="AB254" s="37">
        <f>IFERROR(VLOOKUP(A254,'Tash Lookup'!A:E,3,FALSE),"")</f>
        <v>2236.2399999999998</v>
      </c>
      <c r="AC254" s="6">
        <f t="shared" si="36"/>
        <v>0</v>
      </c>
      <c r="AD254" s="2" t="s">
        <v>6703</v>
      </c>
      <c r="AF254" s="56">
        <v>35.64</v>
      </c>
      <c r="AG254" s="56">
        <f>VLOOKUP(A254,Sheet1!$A$2:$C$1140,3,FALSE)</f>
        <v>36.71</v>
      </c>
      <c r="AH254" s="58">
        <v>36.71</v>
      </c>
      <c r="AI254" s="56" t="str">
        <f t="shared" si="37"/>
        <v>Increase</v>
      </c>
      <c r="AJ254" s="81">
        <f t="shared" si="41"/>
        <v>2316.6</v>
      </c>
      <c r="AK254" s="81">
        <f t="shared" si="42"/>
        <v>2386.15</v>
      </c>
      <c r="AL254" s="58" t="s">
        <v>32</v>
      </c>
      <c r="AM254" s="58" t="s">
        <v>6703</v>
      </c>
      <c r="AN254" s="75">
        <v>8</v>
      </c>
      <c r="AO254" s="88">
        <v>36.71</v>
      </c>
      <c r="AP254" s="6" t="str">
        <f t="shared" si="38"/>
        <v>Increase</v>
      </c>
      <c r="AQ254" s="81">
        <f t="shared" si="39"/>
        <v>285.12</v>
      </c>
      <c r="AR254" s="81">
        <f t="shared" si="40"/>
        <v>293.68</v>
      </c>
      <c r="AS254" s="82">
        <f t="shared" si="43"/>
        <v>8.5600000000000023</v>
      </c>
    </row>
    <row r="255" spans="1:45" hidden="1" x14ac:dyDescent="0.3">
      <c r="A255">
        <v>6386669</v>
      </c>
      <c r="B255" s="15" t="s">
        <v>5591</v>
      </c>
      <c r="C255" s="16" t="s">
        <v>30</v>
      </c>
      <c r="D255" s="6" t="s">
        <v>31</v>
      </c>
      <c r="E255" t="s">
        <v>639</v>
      </c>
      <c r="F255" t="s">
        <v>639</v>
      </c>
      <c r="H255" s="11" t="s">
        <v>27</v>
      </c>
      <c r="I255" s="6" t="s">
        <v>28</v>
      </c>
      <c r="J255" s="6" t="s">
        <v>28</v>
      </c>
      <c r="K255" t="s">
        <v>32</v>
      </c>
      <c r="L255" s="35">
        <v>12.35</v>
      </c>
      <c r="M255" s="6" t="s">
        <v>29</v>
      </c>
      <c r="N255" s="6">
        <v>3105</v>
      </c>
      <c r="P255" s="18"/>
      <c r="Q255" s="17"/>
      <c r="R255" s="19">
        <v>0</v>
      </c>
      <c r="S255" s="19">
        <v>0</v>
      </c>
      <c r="T255" s="38">
        <v>64</v>
      </c>
      <c r="U255" s="38"/>
      <c r="V255" s="31">
        <v>12.35</v>
      </c>
      <c r="W255" s="35">
        <v>12.35</v>
      </c>
      <c r="X255" s="32">
        <f t="shared" si="33"/>
        <v>790.4</v>
      </c>
      <c r="Y255" s="32">
        <f t="shared" si="34"/>
        <v>790.4</v>
      </c>
      <c r="Z255" s="32">
        <f t="shared" si="35"/>
        <v>0</v>
      </c>
      <c r="AA255" s="38">
        <v>64</v>
      </c>
      <c r="AB255" s="37">
        <f>IFERROR(VLOOKUP(A255,'Tash Lookup'!A:E,3,FALSE),"")</f>
        <v>788.14</v>
      </c>
      <c r="AC255" s="6">
        <f t="shared" si="36"/>
        <v>0</v>
      </c>
      <c r="AD255" s="2" t="s">
        <v>6703</v>
      </c>
      <c r="AF255" s="56">
        <v>12.35</v>
      </c>
      <c r="AG255" s="56">
        <f>VLOOKUP(A255,Sheet1!$A$2:$C$1140,3,FALSE)</f>
        <v>12.35</v>
      </c>
      <c r="AH255" s="58">
        <v>12.35</v>
      </c>
      <c r="AI255" s="56" t="str">
        <f t="shared" si="37"/>
        <v>Same</v>
      </c>
      <c r="AJ255" s="81">
        <f t="shared" si="41"/>
        <v>790.4</v>
      </c>
      <c r="AK255" s="81">
        <f t="shared" si="42"/>
        <v>790.4</v>
      </c>
      <c r="AL255" s="58" t="s">
        <v>7206</v>
      </c>
      <c r="AM255" s="58" t="s">
        <v>6703</v>
      </c>
      <c r="AN255" s="75">
        <v>158</v>
      </c>
      <c r="AO255" s="88">
        <v>12.35</v>
      </c>
      <c r="AP255" s="6" t="str">
        <f t="shared" si="38"/>
        <v>Same</v>
      </c>
      <c r="AQ255" s="81">
        <f t="shared" si="39"/>
        <v>1951.3</v>
      </c>
      <c r="AR255" s="81">
        <f t="shared" si="40"/>
        <v>1951.3</v>
      </c>
      <c r="AS255" s="81">
        <f t="shared" si="43"/>
        <v>0</v>
      </c>
    </row>
    <row r="256" spans="1:45" hidden="1" x14ac:dyDescent="0.3">
      <c r="A256">
        <v>5556026</v>
      </c>
      <c r="B256" s="15" t="s">
        <v>5592</v>
      </c>
      <c r="C256" s="16" t="s">
        <v>30</v>
      </c>
      <c r="D256" s="6" t="s">
        <v>31</v>
      </c>
      <c r="E256" t="s">
        <v>2974</v>
      </c>
      <c r="F256" t="s">
        <v>5213</v>
      </c>
      <c r="H256" s="11" t="s">
        <v>27</v>
      </c>
      <c r="I256" s="6" t="s">
        <v>28</v>
      </c>
      <c r="J256" s="6" t="s">
        <v>28</v>
      </c>
      <c r="K256" t="s">
        <v>32</v>
      </c>
      <c r="L256" s="35">
        <v>58.91</v>
      </c>
      <c r="M256" s="6" t="s">
        <v>29</v>
      </c>
      <c r="N256" s="6">
        <v>3105</v>
      </c>
      <c r="P256" s="18"/>
      <c r="Q256" s="17"/>
      <c r="R256" s="19">
        <v>58.91</v>
      </c>
      <c r="S256" s="19">
        <v>58.91</v>
      </c>
      <c r="T256" s="38">
        <v>64</v>
      </c>
      <c r="U256" s="38"/>
      <c r="V256" s="29">
        <v>58.91</v>
      </c>
      <c r="W256" s="35">
        <v>58.91</v>
      </c>
      <c r="X256" s="32">
        <f t="shared" si="33"/>
        <v>3770.24</v>
      </c>
      <c r="Y256" s="32">
        <f t="shared" si="34"/>
        <v>3770.24</v>
      </c>
      <c r="Z256" s="32">
        <f t="shared" si="35"/>
        <v>0</v>
      </c>
      <c r="AA256" s="38">
        <v>64</v>
      </c>
      <c r="AB256" s="37">
        <f>IFERROR(VLOOKUP(A256,'Tash Lookup'!A:E,3,FALSE),"")</f>
        <v>3770.25</v>
      </c>
      <c r="AC256" s="6">
        <f t="shared" si="36"/>
        <v>0</v>
      </c>
      <c r="AD256" s="2" t="s">
        <v>6705</v>
      </c>
      <c r="AF256" s="56">
        <v>56.11</v>
      </c>
      <c r="AG256" s="56">
        <f>VLOOKUP(A256,Sheet1!$A$2:$C$1140,3,FALSE)</f>
        <v>56.11</v>
      </c>
      <c r="AH256" s="58">
        <v>56.11</v>
      </c>
      <c r="AI256" s="56" t="str">
        <f t="shared" si="37"/>
        <v>Same</v>
      </c>
      <c r="AJ256" s="81">
        <f t="shared" si="41"/>
        <v>3591.04</v>
      </c>
      <c r="AK256" s="81">
        <f t="shared" si="42"/>
        <v>3591.04</v>
      </c>
      <c r="AL256" s="58" t="s">
        <v>32</v>
      </c>
      <c r="AM256" s="58" t="s">
        <v>6705</v>
      </c>
      <c r="AN256" s="75">
        <v>571</v>
      </c>
      <c r="AO256" s="88">
        <v>56.11</v>
      </c>
      <c r="AP256" s="6" t="str">
        <f t="shared" si="38"/>
        <v>Same</v>
      </c>
      <c r="AQ256" s="81">
        <f t="shared" si="39"/>
        <v>32038.81</v>
      </c>
      <c r="AR256" s="81">
        <f t="shared" si="40"/>
        <v>32038.81</v>
      </c>
      <c r="AS256" s="81">
        <f t="shared" si="43"/>
        <v>0</v>
      </c>
    </row>
    <row r="257" spans="1:45" hidden="1" x14ac:dyDescent="0.3">
      <c r="A257">
        <v>5184469</v>
      </c>
      <c r="B257" s="15" t="s">
        <v>5593</v>
      </c>
      <c r="C257" s="16" t="s">
        <v>30</v>
      </c>
      <c r="D257" s="6" t="s">
        <v>31</v>
      </c>
      <c r="E257" t="s">
        <v>504</v>
      </c>
      <c r="F257" t="s">
        <v>504</v>
      </c>
      <c r="H257" s="11" t="s">
        <v>27</v>
      </c>
      <c r="I257" s="6" t="s">
        <v>28</v>
      </c>
      <c r="J257" s="6" t="s">
        <v>28</v>
      </c>
      <c r="K257" t="s">
        <v>32</v>
      </c>
      <c r="L257" s="35">
        <v>63.18</v>
      </c>
      <c r="M257" s="6" t="s">
        <v>29</v>
      </c>
      <c r="N257" s="6">
        <v>3105</v>
      </c>
      <c r="P257" s="18"/>
      <c r="Q257" s="17"/>
      <c r="R257" s="19">
        <v>63.18</v>
      </c>
      <c r="S257" s="19">
        <v>63.18</v>
      </c>
      <c r="T257" s="38">
        <v>64</v>
      </c>
      <c r="U257" s="38"/>
      <c r="V257" s="29">
        <v>63.18</v>
      </c>
      <c r="W257" s="35">
        <v>63.18</v>
      </c>
      <c r="X257" s="32">
        <f t="shared" si="33"/>
        <v>4043.52</v>
      </c>
      <c r="Y257" s="32">
        <f t="shared" si="34"/>
        <v>4043.52</v>
      </c>
      <c r="Z257" s="32">
        <f t="shared" si="35"/>
        <v>0</v>
      </c>
      <c r="AA257" s="38">
        <v>64</v>
      </c>
      <c r="AB257" s="37">
        <f>IFERROR(VLOOKUP(A257,'Tash Lookup'!A:E,3,FALSE),"")</f>
        <v>4004.82</v>
      </c>
      <c r="AC257" s="6">
        <f t="shared" si="36"/>
        <v>0</v>
      </c>
      <c r="AD257" s="2" t="s">
        <v>6703</v>
      </c>
      <c r="AF257" s="56">
        <v>66.78</v>
      </c>
      <c r="AG257" s="56">
        <f>VLOOKUP(A257,Sheet1!$A$2:$C$1140,3,FALSE)</f>
        <v>68.78</v>
      </c>
      <c r="AH257" s="58">
        <v>68.78</v>
      </c>
      <c r="AI257" s="56" t="str">
        <f t="shared" si="37"/>
        <v>Increase</v>
      </c>
      <c r="AJ257" s="81">
        <f t="shared" si="41"/>
        <v>4273.92</v>
      </c>
      <c r="AK257" s="81">
        <f t="shared" si="42"/>
        <v>4401.92</v>
      </c>
      <c r="AL257" s="58" t="s">
        <v>32</v>
      </c>
      <c r="AM257" s="58" t="s">
        <v>6703</v>
      </c>
      <c r="AN257" s="75">
        <v>49</v>
      </c>
      <c r="AO257" s="88">
        <v>68.78</v>
      </c>
      <c r="AP257" s="6" t="str">
        <f t="shared" si="38"/>
        <v>Increase</v>
      </c>
      <c r="AQ257" s="81">
        <f t="shared" si="39"/>
        <v>3272.2200000000003</v>
      </c>
      <c r="AR257" s="81">
        <f t="shared" si="40"/>
        <v>3370.2200000000003</v>
      </c>
      <c r="AS257" s="82">
        <f t="shared" si="43"/>
        <v>98</v>
      </c>
    </row>
    <row r="258" spans="1:45" hidden="1" x14ac:dyDescent="0.3">
      <c r="A258">
        <v>6107268</v>
      </c>
      <c r="B258" s="15" t="s">
        <v>5594</v>
      </c>
      <c r="C258" s="16" t="s">
        <v>30</v>
      </c>
      <c r="D258" s="6" t="s">
        <v>31</v>
      </c>
      <c r="E258" t="s">
        <v>962</v>
      </c>
      <c r="F258" t="s">
        <v>962</v>
      </c>
      <c r="H258" s="11" t="s">
        <v>27</v>
      </c>
      <c r="I258" s="6" t="s">
        <v>28</v>
      </c>
      <c r="J258" s="6" t="s">
        <v>28</v>
      </c>
      <c r="K258" t="s">
        <v>32</v>
      </c>
      <c r="L258" s="35">
        <v>12.57</v>
      </c>
      <c r="M258" s="6" t="s">
        <v>29</v>
      </c>
      <c r="N258" s="6">
        <v>3105</v>
      </c>
      <c r="P258" s="18"/>
      <c r="Q258" s="17"/>
      <c r="R258" s="19">
        <v>0</v>
      </c>
      <c r="S258" s="19">
        <v>0</v>
      </c>
      <c r="T258" s="38">
        <v>63</v>
      </c>
      <c r="U258" s="38"/>
      <c r="V258" s="29">
        <v>12.57</v>
      </c>
      <c r="W258" s="35">
        <v>12.57</v>
      </c>
      <c r="X258" s="32">
        <f t="shared" si="33"/>
        <v>791.91</v>
      </c>
      <c r="Y258" s="32">
        <f t="shared" si="34"/>
        <v>791.91</v>
      </c>
      <c r="Z258" s="32">
        <f t="shared" si="35"/>
        <v>0</v>
      </c>
      <c r="AA258" s="38">
        <v>63</v>
      </c>
      <c r="AB258" s="37">
        <f>IFERROR(VLOOKUP(A258,'Tash Lookup'!A:E,3,FALSE),"")</f>
        <v>791.91</v>
      </c>
      <c r="AC258" s="6">
        <f t="shared" si="36"/>
        <v>0</v>
      </c>
      <c r="AD258" s="2" t="s">
        <v>6703</v>
      </c>
      <c r="AF258" s="56">
        <v>12.57</v>
      </c>
      <c r="AG258" s="56">
        <f>VLOOKUP(A258,Sheet1!$A$2:$C$1140,3,FALSE)</f>
        <v>12.57</v>
      </c>
      <c r="AH258" s="58">
        <v>12.57</v>
      </c>
      <c r="AI258" s="56" t="str">
        <f t="shared" si="37"/>
        <v>Same</v>
      </c>
      <c r="AJ258" s="81">
        <f t="shared" si="41"/>
        <v>791.91</v>
      </c>
      <c r="AK258" s="81">
        <f t="shared" si="42"/>
        <v>791.91</v>
      </c>
      <c r="AL258" s="58" t="s">
        <v>7206</v>
      </c>
      <c r="AM258" s="58" t="s">
        <v>6703</v>
      </c>
      <c r="AN258" s="75">
        <v>18</v>
      </c>
      <c r="AO258" s="88">
        <v>12.57</v>
      </c>
      <c r="AP258" s="6" t="str">
        <f t="shared" si="38"/>
        <v>Same</v>
      </c>
      <c r="AQ258" s="81">
        <f t="shared" si="39"/>
        <v>226.26</v>
      </c>
      <c r="AR258" s="81">
        <f t="shared" si="40"/>
        <v>226.26</v>
      </c>
      <c r="AS258" s="81">
        <f t="shared" si="43"/>
        <v>0</v>
      </c>
    </row>
    <row r="259" spans="1:45" hidden="1" x14ac:dyDescent="0.3">
      <c r="A259">
        <v>6183861</v>
      </c>
      <c r="B259" s="15" t="s">
        <v>5595</v>
      </c>
      <c r="C259" s="16" t="s">
        <v>30</v>
      </c>
      <c r="D259" s="6" t="s">
        <v>31</v>
      </c>
      <c r="E259" t="s">
        <v>828</v>
      </c>
      <c r="F259" t="s">
        <v>828</v>
      </c>
      <c r="H259" s="11" t="s">
        <v>27</v>
      </c>
      <c r="I259" s="6" t="s">
        <v>28</v>
      </c>
      <c r="J259" s="6" t="s">
        <v>28</v>
      </c>
      <c r="K259" t="s">
        <v>32</v>
      </c>
      <c r="L259" s="35">
        <v>6.77</v>
      </c>
      <c r="M259" s="6" t="s">
        <v>29</v>
      </c>
      <c r="N259" s="6">
        <v>3105</v>
      </c>
      <c r="P259" s="18"/>
      <c r="Q259" s="17"/>
      <c r="R259" s="19">
        <v>8.27</v>
      </c>
      <c r="S259" s="19">
        <v>8.27</v>
      </c>
      <c r="T259" s="38">
        <v>63</v>
      </c>
      <c r="U259" s="38"/>
      <c r="V259" s="30">
        <v>8.27</v>
      </c>
      <c r="W259" s="35">
        <v>6.77</v>
      </c>
      <c r="X259" s="32">
        <f t="shared" si="33"/>
        <v>521.01</v>
      </c>
      <c r="Y259" s="32">
        <f t="shared" si="34"/>
        <v>426.51</v>
      </c>
      <c r="Z259" s="32">
        <f t="shared" si="35"/>
        <v>94.5</v>
      </c>
      <c r="AA259" s="38">
        <v>63</v>
      </c>
      <c r="AB259" s="37">
        <f>IFERROR(VLOOKUP(A259,'Tash Lookup'!A:E,3,FALSE),"")</f>
        <v>426.57</v>
      </c>
      <c r="AC259" s="6">
        <f t="shared" si="36"/>
        <v>0</v>
      </c>
      <c r="AD259" s="2" t="s">
        <v>6703</v>
      </c>
      <c r="AF259" s="56">
        <v>6.09</v>
      </c>
      <c r="AG259" s="56">
        <f>VLOOKUP(A259,Sheet1!$A$2:$C$1140,3,FALSE)</f>
        <v>6.21</v>
      </c>
      <c r="AH259" s="58">
        <v>6.21</v>
      </c>
      <c r="AI259" s="56" t="str">
        <f t="shared" si="37"/>
        <v>Increase</v>
      </c>
      <c r="AJ259" s="81">
        <f t="shared" si="41"/>
        <v>383.67</v>
      </c>
      <c r="AK259" s="81">
        <f t="shared" si="42"/>
        <v>391.23</v>
      </c>
      <c r="AL259" s="58" t="s">
        <v>7206</v>
      </c>
      <c r="AM259" s="58" t="s">
        <v>6703</v>
      </c>
      <c r="AN259" s="75">
        <v>52</v>
      </c>
      <c r="AO259" s="88">
        <v>6.21</v>
      </c>
      <c r="AP259" s="6" t="str">
        <f t="shared" si="38"/>
        <v>Increase</v>
      </c>
      <c r="AQ259" s="81">
        <f t="shared" si="39"/>
        <v>316.68</v>
      </c>
      <c r="AR259" s="81">
        <f t="shared" si="40"/>
        <v>322.92</v>
      </c>
      <c r="AS259" s="82">
        <f t="shared" si="43"/>
        <v>6.2400000000000091</v>
      </c>
    </row>
    <row r="260" spans="1:45" hidden="1" x14ac:dyDescent="0.3">
      <c r="A260">
        <v>6054162</v>
      </c>
      <c r="B260" s="15" t="s">
        <v>5596</v>
      </c>
      <c r="C260" s="16" t="s">
        <v>30</v>
      </c>
      <c r="D260" s="6" t="s">
        <v>31</v>
      </c>
      <c r="E260" t="s">
        <v>1199</v>
      </c>
      <c r="F260" t="s">
        <v>1199</v>
      </c>
      <c r="H260" s="11" t="s">
        <v>27</v>
      </c>
      <c r="I260" s="6" t="s">
        <v>28</v>
      </c>
      <c r="J260" s="6" t="s">
        <v>28</v>
      </c>
      <c r="K260" t="s">
        <v>32</v>
      </c>
      <c r="L260" s="35">
        <v>23.91</v>
      </c>
      <c r="M260" s="6" t="s">
        <v>29</v>
      </c>
      <c r="N260" s="6">
        <v>3105</v>
      </c>
      <c r="P260" s="18"/>
      <c r="Q260" s="17"/>
      <c r="R260" s="19">
        <v>0</v>
      </c>
      <c r="S260" s="19">
        <v>0</v>
      </c>
      <c r="T260" s="38">
        <v>63</v>
      </c>
      <c r="U260" s="38"/>
      <c r="V260" s="31">
        <v>23.91</v>
      </c>
      <c r="W260" s="35">
        <v>23.91</v>
      </c>
      <c r="X260" s="32">
        <f t="shared" si="33"/>
        <v>1506.33</v>
      </c>
      <c r="Y260" s="32">
        <f t="shared" si="34"/>
        <v>1506.33</v>
      </c>
      <c r="Z260" s="32">
        <f t="shared" si="35"/>
        <v>0</v>
      </c>
      <c r="AA260" s="38">
        <v>63</v>
      </c>
      <c r="AB260" s="37">
        <f>IFERROR(VLOOKUP(A260,'Tash Lookup'!A:E,3,FALSE),"")</f>
        <v>1494.5</v>
      </c>
      <c r="AC260" s="6">
        <f t="shared" si="36"/>
        <v>0</v>
      </c>
      <c r="AD260" s="2" t="s">
        <v>6703</v>
      </c>
      <c r="AF260" s="56">
        <v>23.91</v>
      </c>
      <c r="AG260" s="56">
        <f>VLOOKUP(A260,Sheet1!$A$2:$C$1140,3,FALSE)</f>
        <v>24.39</v>
      </c>
      <c r="AH260" s="58">
        <v>24.39</v>
      </c>
      <c r="AI260" s="56" t="str">
        <f t="shared" si="37"/>
        <v>Increase</v>
      </c>
      <c r="AJ260" s="81">
        <f t="shared" si="41"/>
        <v>1506.33</v>
      </c>
      <c r="AK260" s="81">
        <f t="shared" si="42"/>
        <v>1536.57</v>
      </c>
      <c r="AL260" s="58" t="s">
        <v>7206</v>
      </c>
      <c r="AM260" s="58" t="s">
        <v>6703</v>
      </c>
      <c r="AN260" s="75">
        <v>50</v>
      </c>
      <c r="AO260" s="88">
        <v>24.39</v>
      </c>
      <c r="AP260" s="6" t="str">
        <f t="shared" si="38"/>
        <v>Increase</v>
      </c>
      <c r="AQ260" s="81">
        <f t="shared" si="39"/>
        <v>1195.5</v>
      </c>
      <c r="AR260" s="81">
        <f t="shared" si="40"/>
        <v>1219.5</v>
      </c>
      <c r="AS260" s="82">
        <f t="shared" si="43"/>
        <v>24</v>
      </c>
    </row>
    <row r="261" spans="1:45" hidden="1" x14ac:dyDescent="0.3">
      <c r="A261">
        <v>6183906</v>
      </c>
      <c r="B261" s="15" t="s">
        <v>5597</v>
      </c>
      <c r="C261" s="16" t="s">
        <v>30</v>
      </c>
      <c r="D261" s="6" t="s">
        <v>31</v>
      </c>
      <c r="E261" t="s">
        <v>840</v>
      </c>
      <c r="F261" t="s">
        <v>840</v>
      </c>
      <c r="H261" s="11" t="s">
        <v>27</v>
      </c>
      <c r="I261" s="6" t="s">
        <v>28</v>
      </c>
      <c r="J261" s="6" t="s">
        <v>28</v>
      </c>
      <c r="K261" t="s">
        <v>32</v>
      </c>
      <c r="L261" s="35">
        <v>12.01</v>
      </c>
      <c r="M261" s="6" t="s">
        <v>29</v>
      </c>
      <c r="N261" s="6">
        <v>3105</v>
      </c>
      <c r="P261" s="18"/>
      <c r="Q261" s="17"/>
      <c r="R261" s="19">
        <v>12.01</v>
      </c>
      <c r="S261" s="19">
        <v>12.01</v>
      </c>
      <c r="T261" s="38">
        <v>62</v>
      </c>
      <c r="U261" s="38"/>
      <c r="V261" s="30">
        <v>12.01</v>
      </c>
      <c r="W261" s="35">
        <v>12.01</v>
      </c>
      <c r="X261" s="32">
        <f t="shared" si="33"/>
        <v>744.62</v>
      </c>
      <c r="Y261" s="32">
        <f t="shared" si="34"/>
        <v>744.62</v>
      </c>
      <c r="Z261" s="32">
        <f t="shared" si="35"/>
        <v>0</v>
      </c>
      <c r="AA261" s="38">
        <v>62</v>
      </c>
      <c r="AB261" s="37">
        <f>IFERROR(VLOOKUP(A261,'Tash Lookup'!A:E,3,FALSE),"")</f>
        <v>737.41</v>
      </c>
      <c r="AC261" s="6">
        <f t="shared" si="36"/>
        <v>0</v>
      </c>
      <c r="AD261" s="2" t="s">
        <v>6703</v>
      </c>
      <c r="AF261" s="56">
        <v>12.01</v>
      </c>
      <c r="AG261" s="56">
        <f>VLOOKUP(A261,Sheet1!$A$2:$C$1140,3,FALSE)</f>
        <v>12.25</v>
      </c>
      <c r="AH261" s="58">
        <v>12.25</v>
      </c>
      <c r="AI261" s="56" t="str">
        <f t="shared" si="37"/>
        <v>Increase</v>
      </c>
      <c r="AJ261" s="81">
        <f t="shared" si="41"/>
        <v>744.62</v>
      </c>
      <c r="AK261" s="81">
        <f t="shared" si="42"/>
        <v>759.5</v>
      </c>
      <c r="AL261" s="58" t="s">
        <v>7206</v>
      </c>
      <c r="AM261" s="58" t="s">
        <v>6703</v>
      </c>
      <c r="AN261" s="75">
        <v>50</v>
      </c>
      <c r="AO261" s="88">
        <v>12.25</v>
      </c>
      <c r="AP261" s="6" t="str">
        <f t="shared" si="38"/>
        <v>Increase</v>
      </c>
      <c r="AQ261" s="81">
        <f t="shared" si="39"/>
        <v>600.5</v>
      </c>
      <c r="AR261" s="81">
        <f t="shared" si="40"/>
        <v>612.5</v>
      </c>
      <c r="AS261" s="82">
        <f t="shared" si="43"/>
        <v>12</v>
      </c>
    </row>
    <row r="262" spans="1:45" hidden="1" x14ac:dyDescent="0.3">
      <c r="A262">
        <v>5624590</v>
      </c>
      <c r="B262" s="15" t="s">
        <v>5598</v>
      </c>
      <c r="C262" s="16" t="s">
        <v>30</v>
      </c>
      <c r="D262" s="6" t="s">
        <v>31</v>
      </c>
      <c r="E262" t="s">
        <v>229</v>
      </c>
      <c r="F262" t="s">
        <v>229</v>
      </c>
      <c r="H262" s="11" t="s">
        <v>27</v>
      </c>
      <c r="I262" s="6" t="s">
        <v>28</v>
      </c>
      <c r="J262" s="6" t="s">
        <v>28</v>
      </c>
      <c r="K262" t="s">
        <v>32</v>
      </c>
      <c r="L262" s="35">
        <v>36.5</v>
      </c>
      <c r="M262" s="6" t="s">
        <v>29</v>
      </c>
      <c r="N262" s="6">
        <v>3105</v>
      </c>
      <c r="P262" s="18"/>
      <c r="Q262" s="17"/>
      <c r="R262" s="19">
        <v>36.5</v>
      </c>
      <c r="S262" s="19">
        <v>36.5</v>
      </c>
      <c r="T262" s="38">
        <v>62</v>
      </c>
      <c r="U262" s="38"/>
      <c r="V262" s="29">
        <v>36.5</v>
      </c>
      <c r="W262" s="35">
        <v>36.5</v>
      </c>
      <c r="X262" s="32">
        <f t="shared" ref="X262:X325" si="44">SUM(V262*T262)</f>
        <v>2263</v>
      </c>
      <c r="Y262" s="32">
        <f t="shared" ref="Y262:Y325" si="45">SUM(L262*T262)</f>
        <v>2263</v>
      </c>
      <c r="Z262" s="32">
        <f t="shared" ref="Z262:Z325" si="46">SUM(X262-Y262)</f>
        <v>0</v>
      </c>
      <c r="AA262" s="38">
        <v>62</v>
      </c>
      <c r="AB262" s="37">
        <f>IFERROR(VLOOKUP(A262,'Tash Lookup'!A:E,3,FALSE),"")</f>
        <v>2261.67</v>
      </c>
      <c r="AC262" s="6">
        <f t="shared" ref="AC262:AC325" si="47">IFERROR(AA262-T262,"")</f>
        <v>0</v>
      </c>
      <c r="AD262" s="2" t="s">
        <v>6703</v>
      </c>
      <c r="AF262" s="56">
        <v>36.89</v>
      </c>
      <c r="AG262" s="56">
        <f>VLOOKUP(A262,Sheet1!$A$2:$C$1140,3,FALSE)</f>
        <v>36.89</v>
      </c>
      <c r="AH262" s="58">
        <v>36.89</v>
      </c>
      <c r="AI262" s="56" t="str">
        <f t="shared" ref="AI262:AI325" si="48">IF(ISNA(AH262),"Delete",IF(AH262=AF262,"Same",IF(AH262&gt;AF262,"Increase","Decrease")))</f>
        <v>Same</v>
      </c>
      <c r="AJ262" s="81">
        <f t="shared" si="41"/>
        <v>2287.1799999999998</v>
      </c>
      <c r="AK262" s="81">
        <f t="shared" si="42"/>
        <v>2287.1799999999998</v>
      </c>
      <c r="AL262" s="58" t="s">
        <v>32</v>
      </c>
      <c r="AM262" s="58" t="s">
        <v>6703</v>
      </c>
      <c r="AN262" s="75">
        <v>45</v>
      </c>
      <c r="AO262" s="88">
        <v>36.89</v>
      </c>
      <c r="AP262" s="6" t="str">
        <f t="shared" ref="AP262:AP325" si="49">IF(AM262="Delete","Delete",IF(AO262=AF262,"Same",IF(AO262&gt;AF262,"Increase","Decrease")))</f>
        <v>Same</v>
      </c>
      <c r="AQ262" s="81">
        <f t="shared" ref="AQ262:AQ325" si="50">AN262*AF262</f>
        <v>1660.05</v>
      </c>
      <c r="AR262" s="81">
        <f t="shared" ref="AR262:AR325" si="51">AN262*AO262</f>
        <v>1660.05</v>
      </c>
      <c r="AS262" s="81">
        <f t="shared" si="43"/>
        <v>0</v>
      </c>
    </row>
    <row r="263" spans="1:45" hidden="1" x14ac:dyDescent="0.3">
      <c r="A263">
        <v>6183856</v>
      </c>
      <c r="B263" s="15" t="s">
        <v>5599</v>
      </c>
      <c r="C263" s="16" t="s">
        <v>30</v>
      </c>
      <c r="D263" s="6" t="s">
        <v>31</v>
      </c>
      <c r="E263" t="s">
        <v>820</v>
      </c>
      <c r="F263" t="s">
        <v>820</v>
      </c>
      <c r="H263" s="11" t="s">
        <v>27</v>
      </c>
      <c r="I263" s="6" t="s">
        <v>28</v>
      </c>
      <c r="J263" s="6" t="s">
        <v>28</v>
      </c>
      <c r="K263" t="s">
        <v>32</v>
      </c>
      <c r="L263" s="35">
        <v>15.97</v>
      </c>
      <c r="M263" s="6" t="s">
        <v>29</v>
      </c>
      <c r="N263" s="6">
        <v>3105</v>
      </c>
      <c r="P263" s="18"/>
      <c r="Q263" s="17"/>
      <c r="R263" s="19">
        <v>15.97</v>
      </c>
      <c r="S263" s="19">
        <v>15.97</v>
      </c>
      <c r="T263" s="38">
        <v>62</v>
      </c>
      <c r="U263" s="38"/>
      <c r="V263" s="30">
        <v>15.97</v>
      </c>
      <c r="W263" s="35">
        <v>15.97</v>
      </c>
      <c r="X263" s="32">
        <f t="shared" si="44"/>
        <v>990.14</v>
      </c>
      <c r="Y263" s="32">
        <f t="shared" si="45"/>
        <v>990.14</v>
      </c>
      <c r="Z263" s="32">
        <f t="shared" si="46"/>
        <v>0</v>
      </c>
      <c r="AA263" s="38">
        <v>62</v>
      </c>
      <c r="AB263" s="37">
        <f>IFERROR(VLOOKUP(A263,'Tash Lookup'!A:E,3,FALSE),"")</f>
        <v>983.47</v>
      </c>
      <c r="AC263" s="6">
        <f t="shared" si="47"/>
        <v>0</v>
      </c>
      <c r="AD263" s="2" t="s">
        <v>6708</v>
      </c>
      <c r="AF263" s="56">
        <v>15.97</v>
      </c>
      <c r="AG263" s="56" t="e">
        <f>VLOOKUP(A263,Sheet1!$A$2:$C$1140,3,FALSE)</f>
        <v>#N/A</v>
      </c>
      <c r="AH263" s="58" t="e">
        <v>#N/A</v>
      </c>
      <c r="AI263" s="56" t="str">
        <f t="shared" si="48"/>
        <v>Delete</v>
      </c>
      <c r="AJ263" s="81">
        <f t="shared" ref="AJ263:AJ326" si="52">IFERROR(AA263*AF263,0)</f>
        <v>990.14</v>
      </c>
      <c r="AK263" s="81">
        <f t="shared" ref="AK263:AK326" si="53">IFERROR(AA263*AH263,0)</f>
        <v>0</v>
      </c>
      <c r="AL263" s="58" t="s">
        <v>7206</v>
      </c>
      <c r="AM263" s="58" t="s">
        <v>6708</v>
      </c>
      <c r="AN263" s="75">
        <v>14</v>
      </c>
      <c r="AO263" s="88">
        <v>15.97</v>
      </c>
      <c r="AP263" s="6" t="str">
        <f t="shared" si="49"/>
        <v>Same</v>
      </c>
      <c r="AQ263" s="81">
        <f t="shared" si="50"/>
        <v>223.58</v>
      </c>
      <c r="AR263" s="81">
        <f t="shared" si="51"/>
        <v>223.58</v>
      </c>
      <c r="AS263" s="81">
        <f t="shared" ref="AS263:AS326" si="54">AR263-AQ263</f>
        <v>0</v>
      </c>
    </row>
    <row r="264" spans="1:45" hidden="1" x14ac:dyDescent="0.3">
      <c r="A264">
        <v>5090756</v>
      </c>
      <c r="B264" s="15" t="s">
        <v>5600</v>
      </c>
      <c r="C264" s="16" t="s">
        <v>30</v>
      </c>
      <c r="D264" s="6" t="s">
        <v>31</v>
      </c>
      <c r="E264" t="s">
        <v>152</v>
      </c>
      <c r="F264" t="s">
        <v>152</v>
      </c>
      <c r="H264" s="11" t="s">
        <v>27</v>
      </c>
      <c r="I264" s="6" t="s">
        <v>28</v>
      </c>
      <c r="J264" s="6" t="s">
        <v>28</v>
      </c>
      <c r="K264" t="s">
        <v>32</v>
      </c>
      <c r="L264" s="35">
        <v>23.79</v>
      </c>
      <c r="M264" s="6" t="s">
        <v>29</v>
      </c>
      <c r="N264" s="6">
        <v>3105</v>
      </c>
      <c r="P264" s="18"/>
      <c r="Q264" s="17"/>
      <c r="R264" s="19">
        <v>23.79</v>
      </c>
      <c r="S264" s="19">
        <v>23.79</v>
      </c>
      <c r="T264" s="38">
        <v>62</v>
      </c>
      <c r="U264" s="38"/>
      <c r="V264" s="29">
        <v>23.79</v>
      </c>
      <c r="W264" s="35">
        <v>23.79</v>
      </c>
      <c r="X264" s="32">
        <f t="shared" si="44"/>
        <v>1474.98</v>
      </c>
      <c r="Y264" s="32">
        <f t="shared" si="45"/>
        <v>1474.98</v>
      </c>
      <c r="Z264" s="32">
        <f t="shared" si="46"/>
        <v>0</v>
      </c>
      <c r="AA264" s="38">
        <v>62</v>
      </c>
      <c r="AB264" s="37">
        <f>IFERROR(VLOOKUP(A264,'Tash Lookup'!A:E,3,FALSE),"")</f>
        <v>1412.17</v>
      </c>
      <c r="AC264" s="6">
        <f t="shared" si="47"/>
        <v>0</v>
      </c>
      <c r="AD264" s="2" t="s">
        <v>6703</v>
      </c>
      <c r="AF264" s="56">
        <v>23.84</v>
      </c>
      <c r="AG264" s="56">
        <f>VLOOKUP(A264,Sheet1!$A$2:$C$1140,3,FALSE)</f>
        <v>23.84</v>
      </c>
      <c r="AH264" s="58">
        <v>23.84</v>
      </c>
      <c r="AI264" s="56" t="str">
        <f t="shared" si="48"/>
        <v>Same</v>
      </c>
      <c r="AJ264" s="81">
        <f t="shared" si="52"/>
        <v>1478.08</v>
      </c>
      <c r="AK264" s="81">
        <f t="shared" si="53"/>
        <v>1478.08</v>
      </c>
      <c r="AL264" s="58" t="s">
        <v>32</v>
      </c>
      <c r="AM264" s="58" t="s">
        <v>6703</v>
      </c>
      <c r="AN264" s="75">
        <v>28</v>
      </c>
      <c r="AO264" s="88">
        <v>23.84</v>
      </c>
      <c r="AP264" s="6" t="str">
        <f t="shared" si="49"/>
        <v>Same</v>
      </c>
      <c r="AQ264" s="81">
        <f t="shared" si="50"/>
        <v>667.52</v>
      </c>
      <c r="AR264" s="81">
        <f t="shared" si="51"/>
        <v>667.52</v>
      </c>
      <c r="AS264" s="81">
        <f t="shared" si="54"/>
        <v>0</v>
      </c>
    </row>
    <row r="265" spans="1:45" hidden="1" x14ac:dyDescent="0.3">
      <c r="A265">
        <v>6317505</v>
      </c>
      <c r="B265" s="15" t="s">
        <v>5601</v>
      </c>
      <c r="C265" s="16" t="s">
        <v>30</v>
      </c>
      <c r="D265" s="6" t="s">
        <v>31</v>
      </c>
      <c r="E265" t="s">
        <v>2964</v>
      </c>
      <c r="F265" t="s">
        <v>2964</v>
      </c>
      <c r="H265" s="11" t="s">
        <v>27</v>
      </c>
      <c r="I265" s="6" t="s">
        <v>28</v>
      </c>
      <c r="J265" s="6" t="s">
        <v>28</v>
      </c>
      <c r="K265" t="s">
        <v>32</v>
      </c>
      <c r="L265" s="35">
        <v>2.42</v>
      </c>
      <c r="M265" s="6" t="s">
        <v>29</v>
      </c>
      <c r="N265" s="6">
        <v>3105</v>
      </c>
      <c r="P265" s="18"/>
      <c r="Q265" s="17"/>
      <c r="R265" s="19">
        <v>5.62</v>
      </c>
      <c r="S265" s="19">
        <v>5.62</v>
      </c>
      <c r="T265" s="38">
        <v>61</v>
      </c>
      <c r="U265" s="38"/>
      <c r="V265" s="30">
        <v>5.62</v>
      </c>
      <c r="W265" s="35">
        <v>2.42</v>
      </c>
      <c r="X265" s="32">
        <f t="shared" si="44"/>
        <v>342.82</v>
      </c>
      <c r="Y265" s="32">
        <f t="shared" si="45"/>
        <v>147.62</v>
      </c>
      <c r="Z265" s="32">
        <f t="shared" si="46"/>
        <v>195.2</v>
      </c>
      <c r="AA265" s="38">
        <v>61</v>
      </c>
      <c r="AB265" s="37">
        <f>IFERROR(VLOOKUP(A265,'Tash Lookup'!A:E,3,FALSE),"")</f>
        <v>147.05000000000001</v>
      </c>
      <c r="AC265" s="6">
        <f t="shared" si="47"/>
        <v>0</v>
      </c>
      <c r="AD265" s="2" t="s">
        <v>6703</v>
      </c>
      <c r="AF265" s="56">
        <v>2.1800000000000002</v>
      </c>
      <c r="AG265" s="56">
        <f>VLOOKUP(A265,Sheet1!$A$2:$C$1140,3,FALSE)</f>
        <v>2.2200000000000002</v>
      </c>
      <c r="AH265" s="58">
        <v>2.2200000000000002</v>
      </c>
      <c r="AI265" s="56" t="str">
        <f t="shared" si="48"/>
        <v>Increase</v>
      </c>
      <c r="AJ265" s="81">
        <f t="shared" si="52"/>
        <v>132.98000000000002</v>
      </c>
      <c r="AK265" s="81">
        <f t="shared" si="53"/>
        <v>135.42000000000002</v>
      </c>
      <c r="AL265" s="58" t="s">
        <v>7206</v>
      </c>
      <c r="AM265" s="58" t="s">
        <v>6703</v>
      </c>
      <c r="AN265" s="75">
        <v>46</v>
      </c>
      <c r="AO265" s="88">
        <v>2.2200000000000002</v>
      </c>
      <c r="AP265" s="6" t="str">
        <f t="shared" si="49"/>
        <v>Increase</v>
      </c>
      <c r="AQ265" s="81">
        <f t="shared" si="50"/>
        <v>100.28</v>
      </c>
      <c r="AR265" s="81">
        <f t="shared" si="51"/>
        <v>102.12</v>
      </c>
      <c r="AS265" s="82">
        <f t="shared" si="54"/>
        <v>1.8400000000000034</v>
      </c>
    </row>
    <row r="266" spans="1:45" hidden="1" x14ac:dyDescent="0.3">
      <c r="A266">
        <v>6183952</v>
      </c>
      <c r="B266" s="15" t="s">
        <v>5602</v>
      </c>
      <c r="C266" s="16" t="s">
        <v>30</v>
      </c>
      <c r="D266" s="6" t="s">
        <v>31</v>
      </c>
      <c r="E266" t="s">
        <v>680</v>
      </c>
      <c r="F266" t="s">
        <v>680</v>
      </c>
      <c r="H266" s="11" t="s">
        <v>27</v>
      </c>
      <c r="I266" s="6" t="s">
        <v>28</v>
      </c>
      <c r="J266" s="6" t="s">
        <v>28</v>
      </c>
      <c r="K266" t="s">
        <v>32</v>
      </c>
      <c r="L266" s="35">
        <v>9.23</v>
      </c>
      <c r="M266" s="6" t="s">
        <v>29</v>
      </c>
      <c r="N266" s="6">
        <v>3105</v>
      </c>
      <c r="P266" s="18"/>
      <c r="Q266" s="17"/>
      <c r="R266" s="19">
        <v>9.23</v>
      </c>
      <c r="S266" s="19">
        <v>9.23</v>
      </c>
      <c r="T266" s="38">
        <v>61</v>
      </c>
      <c r="U266" s="38"/>
      <c r="V266" s="30">
        <v>9.23</v>
      </c>
      <c r="W266" s="35">
        <v>9.23</v>
      </c>
      <c r="X266" s="32">
        <f t="shared" si="44"/>
        <v>563.03</v>
      </c>
      <c r="Y266" s="32">
        <f t="shared" si="45"/>
        <v>563.03</v>
      </c>
      <c r="Z266" s="32">
        <f t="shared" si="46"/>
        <v>0</v>
      </c>
      <c r="AA266" s="38">
        <v>61</v>
      </c>
      <c r="AB266" s="37">
        <f>IFERROR(VLOOKUP(A266,'Tash Lookup'!A:E,3,FALSE),"")</f>
        <v>559.48</v>
      </c>
      <c r="AC266" s="6">
        <f t="shared" si="47"/>
        <v>0</v>
      </c>
      <c r="AD266" s="2" t="s">
        <v>6703</v>
      </c>
      <c r="AF266" s="56">
        <v>9.23</v>
      </c>
      <c r="AG266" s="56">
        <f>VLOOKUP(A266,Sheet1!$A$2:$C$1140,3,FALSE)</f>
        <v>9.42</v>
      </c>
      <c r="AH266" s="58">
        <v>9.42</v>
      </c>
      <c r="AI266" s="56" t="str">
        <f t="shared" si="48"/>
        <v>Increase</v>
      </c>
      <c r="AJ266" s="81">
        <f t="shared" si="52"/>
        <v>563.03</v>
      </c>
      <c r="AK266" s="81">
        <f t="shared" si="53"/>
        <v>574.62</v>
      </c>
      <c r="AL266" s="58" t="s">
        <v>7206</v>
      </c>
      <c r="AM266" s="58" t="s">
        <v>6703</v>
      </c>
      <c r="AN266" s="75">
        <v>24</v>
      </c>
      <c r="AO266" s="88">
        <v>9.42</v>
      </c>
      <c r="AP266" s="6" t="str">
        <f t="shared" si="49"/>
        <v>Increase</v>
      </c>
      <c r="AQ266" s="81">
        <f t="shared" si="50"/>
        <v>221.52</v>
      </c>
      <c r="AR266" s="81">
        <f t="shared" si="51"/>
        <v>226.07999999999998</v>
      </c>
      <c r="AS266" s="82">
        <f t="shared" si="54"/>
        <v>4.5599999999999739</v>
      </c>
    </row>
    <row r="267" spans="1:45" hidden="1" x14ac:dyDescent="0.3">
      <c r="A267">
        <v>6394467</v>
      </c>
      <c r="B267" s="15" t="s">
        <v>5603</v>
      </c>
      <c r="C267" s="16" t="s">
        <v>30</v>
      </c>
      <c r="D267" s="6" t="s">
        <v>31</v>
      </c>
      <c r="E267" t="s">
        <v>1257</v>
      </c>
      <c r="F267" t="s">
        <v>1257</v>
      </c>
      <c r="H267" s="11" t="s">
        <v>27</v>
      </c>
      <c r="I267" s="6" t="s">
        <v>28</v>
      </c>
      <c r="J267" s="6" t="s">
        <v>28</v>
      </c>
      <c r="K267" t="s">
        <v>32</v>
      </c>
      <c r="L267" s="35">
        <v>8.23</v>
      </c>
      <c r="M267" s="6" t="s">
        <v>29</v>
      </c>
      <c r="N267" s="6">
        <v>3105</v>
      </c>
      <c r="P267" s="18"/>
      <c r="Q267" s="17"/>
      <c r="R267" s="19">
        <v>8.23</v>
      </c>
      <c r="S267" s="19">
        <v>8.23</v>
      </c>
      <c r="T267" s="38">
        <v>61</v>
      </c>
      <c r="U267" s="38"/>
      <c r="V267" s="30">
        <v>8.23</v>
      </c>
      <c r="W267" s="35">
        <v>8.23</v>
      </c>
      <c r="X267" s="32">
        <f t="shared" si="44"/>
        <v>502.03000000000003</v>
      </c>
      <c r="Y267" s="32">
        <f t="shared" si="45"/>
        <v>502.03000000000003</v>
      </c>
      <c r="Z267" s="32">
        <f t="shared" si="46"/>
        <v>0</v>
      </c>
      <c r="AA267" s="38">
        <v>61</v>
      </c>
      <c r="AB267" s="37">
        <f>IFERROR(VLOOKUP(A267,'Tash Lookup'!A:E,3,FALSE),"")</f>
        <v>495.9</v>
      </c>
      <c r="AC267" s="6">
        <f t="shared" si="47"/>
        <v>0</v>
      </c>
      <c r="AD267" s="2" t="s">
        <v>6703</v>
      </c>
      <c r="AF267" s="56">
        <v>8.65</v>
      </c>
      <c r="AG267" s="56">
        <f>VLOOKUP(A267,Sheet1!$A$2:$C$1140,3,FALSE)</f>
        <v>8.82</v>
      </c>
      <c r="AH267" s="58">
        <v>8.82</v>
      </c>
      <c r="AI267" s="56" t="str">
        <f t="shared" si="48"/>
        <v>Increase</v>
      </c>
      <c r="AJ267" s="81">
        <f t="shared" si="52"/>
        <v>527.65</v>
      </c>
      <c r="AK267" s="81">
        <f t="shared" si="53"/>
        <v>538.02</v>
      </c>
      <c r="AL267" s="58" t="s">
        <v>7206</v>
      </c>
      <c r="AM267" s="58" t="s">
        <v>6703</v>
      </c>
      <c r="AN267" s="75">
        <v>60</v>
      </c>
      <c r="AO267" s="88">
        <v>8.82</v>
      </c>
      <c r="AP267" s="6" t="str">
        <f t="shared" si="49"/>
        <v>Increase</v>
      </c>
      <c r="AQ267" s="81">
        <f t="shared" si="50"/>
        <v>519</v>
      </c>
      <c r="AR267" s="81">
        <f t="shared" si="51"/>
        <v>529.20000000000005</v>
      </c>
      <c r="AS267" s="82">
        <f t="shared" si="54"/>
        <v>10.200000000000045</v>
      </c>
    </row>
    <row r="268" spans="1:45" hidden="1" x14ac:dyDescent="0.3">
      <c r="A268">
        <v>5220395</v>
      </c>
      <c r="B268" s="15" t="s">
        <v>5604</v>
      </c>
      <c r="C268" s="16" t="s">
        <v>30</v>
      </c>
      <c r="D268" s="6" t="s">
        <v>31</v>
      </c>
      <c r="E268" t="s">
        <v>123</v>
      </c>
      <c r="F268" t="s">
        <v>123</v>
      </c>
      <c r="H268" s="11" t="s">
        <v>27</v>
      </c>
      <c r="I268" s="6" t="s">
        <v>28</v>
      </c>
      <c r="J268" s="6" t="s">
        <v>28</v>
      </c>
      <c r="K268" t="s">
        <v>32</v>
      </c>
      <c r="L268" s="35">
        <v>13.98</v>
      </c>
      <c r="M268" s="6" t="s">
        <v>29</v>
      </c>
      <c r="N268" s="6">
        <v>3105</v>
      </c>
      <c r="P268" s="18"/>
      <c r="Q268" s="17"/>
      <c r="R268" s="19">
        <v>13.98</v>
      </c>
      <c r="S268" s="19">
        <v>13.98</v>
      </c>
      <c r="T268" s="38">
        <v>61</v>
      </c>
      <c r="U268" s="38"/>
      <c r="V268" s="29">
        <v>13.98</v>
      </c>
      <c r="W268" s="35">
        <v>13.98</v>
      </c>
      <c r="X268" s="32">
        <f t="shared" si="44"/>
        <v>852.78</v>
      </c>
      <c r="Y268" s="32">
        <f t="shared" si="45"/>
        <v>852.78</v>
      </c>
      <c r="Z268" s="32">
        <f t="shared" si="46"/>
        <v>0</v>
      </c>
      <c r="AA268" s="38">
        <v>61</v>
      </c>
      <c r="AB268" s="37">
        <f>IFERROR(VLOOKUP(A268,'Tash Lookup'!A:E,3,FALSE),"")</f>
        <v>835.18</v>
      </c>
      <c r="AC268" s="6">
        <f t="shared" si="47"/>
        <v>0</v>
      </c>
      <c r="AD268" s="2" t="s">
        <v>6703</v>
      </c>
      <c r="AF268" s="56">
        <v>15.29</v>
      </c>
      <c r="AG268" s="56">
        <f>VLOOKUP(A268,Sheet1!$A$2:$C$1140,3,FALSE)</f>
        <v>15.29</v>
      </c>
      <c r="AH268" s="58">
        <v>15.29</v>
      </c>
      <c r="AI268" s="56" t="str">
        <f t="shared" si="48"/>
        <v>Same</v>
      </c>
      <c r="AJ268" s="81">
        <f t="shared" si="52"/>
        <v>932.68999999999994</v>
      </c>
      <c r="AK268" s="81">
        <f t="shared" si="53"/>
        <v>932.68999999999994</v>
      </c>
      <c r="AL268" s="58" t="s">
        <v>32</v>
      </c>
      <c r="AM268" s="58" t="s">
        <v>6703</v>
      </c>
      <c r="AN268" s="75">
        <v>76</v>
      </c>
      <c r="AO268" s="88">
        <v>15.29</v>
      </c>
      <c r="AP268" s="6" t="str">
        <f t="shared" si="49"/>
        <v>Same</v>
      </c>
      <c r="AQ268" s="81">
        <f t="shared" si="50"/>
        <v>1162.04</v>
      </c>
      <c r="AR268" s="81">
        <f t="shared" si="51"/>
        <v>1162.04</v>
      </c>
      <c r="AS268" s="81">
        <f t="shared" si="54"/>
        <v>0</v>
      </c>
    </row>
    <row r="269" spans="1:45" hidden="1" x14ac:dyDescent="0.3">
      <c r="A269">
        <v>5084141</v>
      </c>
      <c r="B269" s="15" t="s">
        <v>5605</v>
      </c>
      <c r="C269" s="16" t="s">
        <v>30</v>
      </c>
      <c r="D269" s="6" t="s">
        <v>31</v>
      </c>
      <c r="E269" t="s">
        <v>2536</v>
      </c>
      <c r="F269" t="s">
        <v>2536</v>
      </c>
      <c r="H269" s="11" t="s">
        <v>27</v>
      </c>
      <c r="I269" s="6" t="s">
        <v>28</v>
      </c>
      <c r="J269" s="6" t="s">
        <v>28</v>
      </c>
      <c r="K269" t="s">
        <v>32</v>
      </c>
      <c r="L269" s="35">
        <v>24.96</v>
      </c>
      <c r="M269" s="6" t="s">
        <v>29</v>
      </c>
      <c r="N269" s="6">
        <v>3105</v>
      </c>
      <c r="P269" s="18"/>
      <c r="Q269" s="17"/>
      <c r="R269" s="19">
        <v>24.96</v>
      </c>
      <c r="S269" s="19">
        <v>24.96</v>
      </c>
      <c r="T269" s="38">
        <v>60</v>
      </c>
      <c r="U269" s="38"/>
      <c r="V269" s="29" t="e">
        <v>#N/A</v>
      </c>
      <c r="W269" s="35">
        <v>24.96</v>
      </c>
      <c r="X269" s="32" t="e">
        <f t="shared" si="44"/>
        <v>#N/A</v>
      </c>
      <c r="Y269" s="32">
        <f t="shared" si="45"/>
        <v>1497.6000000000001</v>
      </c>
      <c r="Z269" s="32" t="e">
        <f t="shared" si="46"/>
        <v>#N/A</v>
      </c>
      <c r="AA269" s="38">
        <v>60</v>
      </c>
      <c r="AB269" s="37">
        <f>IFERROR(VLOOKUP(A269,'Tash Lookup'!A:E,3,FALSE),"")</f>
        <v>1485.51</v>
      </c>
      <c r="AC269" s="6">
        <f t="shared" si="47"/>
        <v>0</v>
      </c>
      <c r="AD269" s="2" t="s">
        <v>6703</v>
      </c>
      <c r="AF269" s="56">
        <v>20.55</v>
      </c>
      <c r="AG269" s="56">
        <f>VLOOKUP(A269,Sheet1!$A$2:$C$1140,3,FALSE)</f>
        <v>20.55</v>
      </c>
      <c r="AH269" s="58">
        <v>20.55</v>
      </c>
      <c r="AI269" s="56" t="str">
        <f t="shared" si="48"/>
        <v>Same</v>
      </c>
      <c r="AJ269" s="81">
        <f t="shared" si="52"/>
        <v>1233</v>
      </c>
      <c r="AK269" s="81">
        <f t="shared" si="53"/>
        <v>1233</v>
      </c>
      <c r="AL269" s="58" t="s">
        <v>7206</v>
      </c>
      <c r="AM269" s="58" t="s">
        <v>6703</v>
      </c>
      <c r="AN269" s="75">
        <v>-6</v>
      </c>
      <c r="AO269" s="88">
        <v>20.55</v>
      </c>
      <c r="AP269" s="6" t="str">
        <f t="shared" si="49"/>
        <v>Same</v>
      </c>
      <c r="AQ269" s="81">
        <f t="shared" si="50"/>
        <v>-123.30000000000001</v>
      </c>
      <c r="AR269" s="81">
        <f t="shared" si="51"/>
        <v>-123.30000000000001</v>
      </c>
      <c r="AS269" s="81">
        <f t="shared" si="54"/>
        <v>0</v>
      </c>
    </row>
    <row r="270" spans="1:45" hidden="1" x14ac:dyDescent="0.3">
      <c r="A270">
        <v>5222636</v>
      </c>
      <c r="B270" s="15" t="s">
        <v>5606</v>
      </c>
      <c r="C270" s="16" t="s">
        <v>30</v>
      </c>
      <c r="D270" s="6" t="s">
        <v>31</v>
      </c>
      <c r="E270" t="s">
        <v>731</v>
      </c>
      <c r="F270" t="s">
        <v>731</v>
      </c>
      <c r="H270" s="11" t="s">
        <v>27</v>
      </c>
      <c r="I270" s="6" t="s">
        <v>28</v>
      </c>
      <c r="J270" s="6" t="s">
        <v>28</v>
      </c>
      <c r="K270" t="s">
        <v>32</v>
      </c>
      <c r="L270" s="35">
        <v>29.98</v>
      </c>
      <c r="M270" s="6" t="s">
        <v>29</v>
      </c>
      <c r="N270" s="6">
        <v>3105</v>
      </c>
      <c r="P270" s="18"/>
      <c r="Q270" s="17"/>
      <c r="R270" s="19">
        <v>29.98</v>
      </c>
      <c r="S270" s="19">
        <v>29.98</v>
      </c>
      <c r="T270" s="38">
        <v>60</v>
      </c>
      <c r="U270" s="38"/>
      <c r="V270" s="30">
        <v>29.98</v>
      </c>
      <c r="W270" s="35">
        <v>29.98</v>
      </c>
      <c r="X270" s="32">
        <f t="shared" si="44"/>
        <v>1798.8</v>
      </c>
      <c r="Y270" s="32">
        <f t="shared" si="45"/>
        <v>1798.8</v>
      </c>
      <c r="Z270" s="32">
        <f t="shared" si="46"/>
        <v>0</v>
      </c>
      <c r="AA270" s="38">
        <v>60</v>
      </c>
      <c r="AB270" s="37">
        <f>IFERROR(VLOOKUP(A270,'Tash Lookup'!A:E,3,FALSE),"")</f>
        <v>1794.98</v>
      </c>
      <c r="AC270" s="6">
        <f t="shared" si="47"/>
        <v>0</v>
      </c>
      <c r="AD270" s="2" t="s">
        <v>6703</v>
      </c>
      <c r="AF270" s="56">
        <v>29.98</v>
      </c>
      <c r="AG270" s="56">
        <f>VLOOKUP(A270,Sheet1!$A$2:$C$1140,3,FALSE)</f>
        <v>30.58</v>
      </c>
      <c r="AH270" s="58">
        <v>30.58</v>
      </c>
      <c r="AI270" s="56" t="str">
        <f t="shared" si="48"/>
        <v>Increase</v>
      </c>
      <c r="AJ270" s="81">
        <f t="shared" si="52"/>
        <v>1798.8</v>
      </c>
      <c r="AK270" s="81">
        <f t="shared" si="53"/>
        <v>1834.8</v>
      </c>
      <c r="AL270" s="58" t="s">
        <v>7206</v>
      </c>
      <c r="AM270" s="58" t="s">
        <v>6703</v>
      </c>
      <c r="AN270" s="75">
        <v>28</v>
      </c>
      <c r="AO270" s="88">
        <v>30.58</v>
      </c>
      <c r="AP270" s="6" t="str">
        <f t="shared" si="49"/>
        <v>Increase</v>
      </c>
      <c r="AQ270" s="81">
        <f t="shared" si="50"/>
        <v>839.44</v>
      </c>
      <c r="AR270" s="81">
        <f t="shared" si="51"/>
        <v>856.24</v>
      </c>
      <c r="AS270" s="82">
        <f t="shared" si="54"/>
        <v>16.799999999999955</v>
      </c>
    </row>
    <row r="271" spans="1:45" hidden="1" x14ac:dyDescent="0.3">
      <c r="A271">
        <v>6183943</v>
      </c>
      <c r="B271" s="15" t="s">
        <v>5607</v>
      </c>
      <c r="C271" s="16" t="s">
        <v>30</v>
      </c>
      <c r="D271" s="6" t="s">
        <v>31</v>
      </c>
      <c r="E271" t="s">
        <v>800</v>
      </c>
      <c r="F271" t="s">
        <v>800</v>
      </c>
      <c r="H271" s="11" t="s">
        <v>27</v>
      </c>
      <c r="I271" s="6" t="s">
        <v>28</v>
      </c>
      <c r="J271" s="6" t="s">
        <v>28</v>
      </c>
      <c r="K271" t="s">
        <v>32</v>
      </c>
      <c r="L271" s="35">
        <v>6.78</v>
      </c>
      <c r="M271" s="6" t="s">
        <v>29</v>
      </c>
      <c r="N271" s="6">
        <v>3105</v>
      </c>
      <c r="P271" s="18"/>
      <c r="Q271" s="17"/>
      <c r="R271" s="19">
        <v>6.78</v>
      </c>
      <c r="S271" s="19">
        <v>6.78</v>
      </c>
      <c r="T271" s="38">
        <v>60</v>
      </c>
      <c r="U271" s="38"/>
      <c r="V271" s="30">
        <v>6.78</v>
      </c>
      <c r="W271" s="35">
        <v>6.78</v>
      </c>
      <c r="X271" s="32">
        <f t="shared" si="44"/>
        <v>406.8</v>
      </c>
      <c r="Y271" s="32">
        <f t="shared" si="45"/>
        <v>406.8</v>
      </c>
      <c r="Z271" s="32">
        <f t="shared" si="46"/>
        <v>0</v>
      </c>
      <c r="AA271" s="38">
        <v>60</v>
      </c>
      <c r="AB271" s="37">
        <f>IFERROR(VLOOKUP(A271,'Tash Lookup'!A:E,3,FALSE),"")</f>
        <v>403.73</v>
      </c>
      <c r="AC271" s="6">
        <f t="shared" si="47"/>
        <v>0</v>
      </c>
      <c r="AD271" s="2" t="s">
        <v>6703</v>
      </c>
      <c r="AF271" s="56">
        <v>6.78</v>
      </c>
      <c r="AG271" s="56">
        <f>VLOOKUP(A271,Sheet1!$A$2:$C$1140,3,FALSE)</f>
        <v>6.91</v>
      </c>
      <c r="AH271" s="58">
        <v>6.91</v>
      </c>
      <c r="AI271" s="56" t="str">
        <f t="shared" si="48"/>
        <v>Increase</v>
      </c>
      <c r="AJ271" s="81">
        <f t="shared" si="52"/>
        <v>406.8</v>
      </c>
      <c r="AK271" s="81">
        <f t="shared" si="53"/>
        <v>414.6</v>
      </c>
      <c r="AL271" s="58" t="s">
        <v>7206</v>
      </c>
      <c r="AM271" s="58" t="s">
        <v>6703</v>
      </c>
      <c r="AN271" s="75">
        <v>57</v>
      </c>
      <c r="AO271" s="88">
        <v>6.91</v>
      </c>
      <c r="AP271" s="6" t="str">
        <f t="shared" si="49"/>
        <v>Increase</v>
      </c>
      <c r="AQ271" s="81">
        <f t="shared" si="50"/>
        <v>386.46000000000004</v>
      </c>
      <c r="AR271" s="81">
        <f t="shared" si="51"/>
        <v>393.87</v>
      </c>
      <c r="AS271" s="82">
        <f t="shared" si="54"/>
        <v>7.4099999999999682</v>
      </c>
    </row>
    <row r="272" spans="1:45" hidden="1" x14ac:dyDescent="0.3">
      <c r="A272">
        <v>6183893</v>
      </c>
      <c r="B272" s="15" t="s">
        <v>5608</v>
      </c>
      <c r="C272" s="16" t="s">
        <v>30</v>
      </c>
      <c r="D272" s="6" t="s">
        <v>31</v>
      </c>
      <c r="E272" t="s">
        <v>846</v>
      </c>
      <c r="F272" t="s">
        <v>846</v>
      </c>
      <c r="H272" s="11" t="s">
        <v>27</v>
      </c>
      <c r="I272" s="6" t="s">
        <v>28</v>
      </c>
      <c r="J272" s="6" t="s">
        <v>28</v>
      </c>
      <c r="K272" t="s">
        <v>32</v>
      </c>
      <c r="L272" s="35">
        <v>11.21</v>
      </c>
      <c r="M272" s="6" t="s">
        <v>29</v>
      </c>
      <c r="N272" s="6">
        <v>3105</v>
      </c>
      <c r="P272" s="18"/>
      <c r="Q272" s="17"/>
      <c r="R272" s="19">
        <v>11.21</v>
      </c>
      <c r="S272" s="19">
        <v>11.21</v>
      </c>
      <c r="T272" s="38">
        <v>60</v>
      </c>
      <c r="U272" s="38"/>
      <c r="V272" s="30">
        <v>11.21</v>
      </c>
      <c r="W272" s="35">
        <v>11.21</v>
      </c>
      <c r="X272" s="32">
        <f t="shared" si="44"/>
        <v>672.6</v>
      </c>
      <c r="Y272" s="32">
        <f t="shared" si="45"/>
        <v>672.6</v>
      </c>
      <c r="Z272" s="32">
        <f t="shared" si="46"/>
        <v>0</v>
      </c>
      <c r="AA272" s="38">
        <v>60</v>
      </c>
      <c r="AB272" s="37">
        <f>IFERROR(VLOOKUP(A272,'Tash Lookup'!A:E,3,FALSE),"")</f>
        <v>669.52</v>
      </c>
      <c r="AC272" s="6">
        <f t="shared" si="47"/>
        <v>0</v>
      </c>
      <c r="AD272" s="2" t="s">
        <v>6703</v>
      </c>
      <c r="AF272" s="56">
        <v>11.21</v>
      </c>
      <c r="AG272" s="56">
        <f>VLOOKUP(A272,Sheet1!$A$2:$C$1140,3,FALSE)</f>
        <v>11.43</v>
      </c>
      <c r="AH272" s="58">
        <v>11.43</v>
      </c>
      <c r="AI272" s="56" t="str">
        <f t="shared" si="48"/>
        <v>Increase</v>
      </c>
      <c r="AJ272" s="81">
        <f t="shared" si="52"/>
        <v>672.6</v>
      </c>
      <c r="AK272" s="81">
        <f t="shared" si="53"/>
        <v>685.8</v>
      </c>
      <c r="AL272" s="58" t="s">
        <v>7206</v>
      </c>
      <c r="AM272" s="58" t="s">
        <v>6703</v>
      </c>
      <c r="AN272" s="75">
        <v>32</v>
      </c>
      <c r="AO272" s="88">
        <v>11.43</v>
      </c>
      <c r="AP272" s="6" t="str">
        <f t="shared" si="49"/>
        <v>Increase</v>
      </c>
      <c r="AQ272" s="81">
        <f t="shared" si="50"/>
        <v>358.72</v>
      </c>
      <c r="AR272" s="81">
        <f t="shared" si="51"/>
        <v>365.76</v>
      </c>
      <c r="AS272" s="82">
        <f t="shared" si="54"/>
        <v>7.0399999999999636</v>
      </c>
    </row>
    <row r="273" spans="1:45" hidden="1" x14ac:dyDescent="0.3">
      <c r="A273">
        <v>5222327</v>
      </c>
      <c r="B273" s="15" t="s">
        <v>5609</v>
      </c>
      <c r="C273" s="16" t="s">
        <v>30</v>
      </c>
      <c r="D273" s="6" t="s">
        <v>31</v>
      </c>
      <c r="E273" t="s">
        <v>644</v>
      </c>
      <c r="F273" t="s">
        <v>644</v>
      </c>
      <c r="H273" s="11" t="s">
        <v>27</v>
      </c>
      <c r="I273" s="6" t="s">
        <v>28</v>
      </c>
      <c r="J273" s="6" t="s">
        <v>28</v>
      </c>
      <c r="K273" t="s">
        <v>32</v>
      </c>
      <c r="L273" s="35">
        <v>20.329999999999998</v>
      </c>
      <c r="M273" s="6" t="s">
        <v>29</v>
      </c>
      <c r="N273" s="6">
        <v>3105</v>
      </c>
      <c r="P273" s="18"/>
      <c r="Q273" s="17"/>
      <c r="R273" s="19">
        <v>20.329999999999998</v>
      </c>
      <c r="S273" s="19">
        <v>20.329999999999998</v>
      </c>
      <c r="T273" s="38">
        <v>60</v>
      </c>
      <c r="U273" s="38"/>
      <c r="V273" s="30">
        <v>20.329999999999998</v>
      </c>
      <c r="W273" s="35">
        <v>20.329999999999998</v>
      </c>
      <c r="X273" s="32">
        <f t="shared" si="44"/>
        <v>1219.8</v>
      </c>
      <c r="Y273" s="32">
        <f t="shared" si="45"/>
        <v>1219.8</v>
      </c>
      <c r="Z273" s="32">
        <f t="shared" si="46"/>
        <v>0</v>
      </c>
      <c r="AA273" s="38">
        <v>60</v>
      </c>
      <c r="AB273" s="37">
        <f>IFERROR(VLOOKUP(A273,'Tash Lookup'!A:E,3,FALSE),"")</f>
        <v>1213.54</v>
      </c>
      <c r="AC273" s="6">
        <f t="shared" si="47"/>
        <v>0</v>
      </c>
      <c r="AD273" s="2" t="s">
        <v>6703</v>
      </c>
      <c r="AF273" s="56">
        <v>21.14</v>
      </c>
      <c r="AG273" s="56">
        <f>VLOOKUP(A273,Sheet1!$A$2:$C$1140,3,FALSE)</f>
        <v>21.14</v>
      </c>
      <c r="AH273" s="58">
        <v>21.14</v>
      </c>
      <c r="AI273" s="56" t="str">
        <f t="shared" si="48"/>
        <v>Same</v>
      </c>
      <c r="AJ273" s="81">
        <f t="shared" si="52"/>
        <v>1268.4000000000001</v>
      </c>
      <c r="AK273" s="81">
        <f t="shared" si="53"/>
        <v>1268.4000000000001</v>
      </c>
      <c r="AL273" s="58" t="s">
        <v>7206</v>
      </c>
      <c r="AM273" s="58" t="s">
        <v>6703</v>
      </c>
      <c r="AN273" s="75">
        <v>18</v>
      </c>
      <c r="AO273" s="88">
        <v>21.14</v>
      </c>
      <c r="AP273" s="6" t="str">
        <f t="shared" si="49"/>
        <v>Same</v>
      </c>
      <c r="AQ273" s="81">
        <f t="shared" si="50"/>
        <v>380.52</v>
      </c>
      <c r="AR273" s="81">
        <f t="shared" si="51"/>
        <v>380.52</v>
      </c>
      <c r="AS273" s="81">
        <f t="shared" si="54"/>
        <v>0</v>
      </c>
    </row>
    <row r="274" spans="1:45" hidden="1" x14ac:dyDescent="0.3">
      <c r="A274">
        <v>5218596</v>
      </c>
      <c r="B274" s="15" t="s">
        <v>5610</v>
      </c>
      <c r="C274" s="16" t="s">
        <v>30</v>
      </c>
      <c r="D274" s="6" t="s">
        <v>31</v>
      </c>
      <c r="E274" t="s">
        <v>39</v>
      </c>
      <c r="F274" t="s">
        <v>39</v>
      </c>
      <c r="H274" s="11" t="s">
        <v>27</v>
      </c>
      <c r="I274" s="6" t="s">
        <v>28</v>
      </c>
      <c r="J274" s="6" t="s">
        <v>28</v>
      </c>
      <c r="K274" t="s">
        <v>32</v>
      </c>
      <c r="L274" s="35">
        <v>16.079999999999998</v>
      </c>
      <c r="M274" s="6" t="s">
        <v>29</v>
      </c>
      <c r="N274" s="6">
        <v>3105</v>
      </c>
      <c r="P274" s="18"/>
      <c r="Q274" s="17"/>
      <c r="R274" s="19">
        <v>16.079999999999998</v>
      </c>
      <c r="S274" s="19">
        <v>16.079999999999998</v>
      </c>
      <c r="T274" s="38">
        <v>60</v>
      </c>
      <c r="U274" s="38"/>
      <c r="V274" s="29">
        <v>16.079999999999998</v>
      </c>
      <c r="W274" s="45">
        <v>10.93</v>
      </c>
      <c r="X274" s="32">
        <f t="shared" si="44"/>
        <v>964.8</v>
      </c>
      <c r="Y274" s="32">
        <f t="shared" si="45"/>
        <v>964.8</v>
      </c>
      <c r="Z274" s="32">
        <f t="shared" si="46"/>
        <v>0</v>
      </c>
      <c r="AA274" s="38">
        <v>60</v>
      </c>
      <c r="AB274" s="37">
        <f>IFERROR(VLOOKUP(A274,'Tash Lookup'!A:E,3,FALSE),"")</f>
        <v>792.98</v>
      </c>
      <c r="AC274" s="6">
        <f t="shared" si="47"/>
        <v>0</v>
      </c>
      <c r="AD274" s="2" t="s">
        <v>6703</v>
      </c>
      <c r="AF274" s="56">
        <v>17.54</v>
      </c>
      <c r="AG274" s="56">
        <f>VLOOKUP(A274,Sheet1!$A$2:$C$1140,3,FALSE)</f>
        <v>17.54</v>
      </c>
      <c r="AH274" s="58">
        <v>17.54</v>
      </c>
      <c r="AI274" s="56" t="str">
        <f t="shared" si="48"/>
        <v>Same</v>
      </c>
      <c r="AJ274" s="81">
        <f t="shared" si="52"/>
        <v>1052.3999999999999</v>
      </c>
      <c r="AK274" s="81">
        <f t="shared" si="53"/>
        <v>1052.3999999999999</v>
      </c>
      <c r="AL274" s="58" t="s">
        <v>32</v>
      </c>
      <c r="AM274" s="58" t="s">
        <v>6703</v>
      </c>
      <c r="AN274" s="75">
        <v>67</v>
      </c>
      <c r="AO274" s="88">
        <v>17.54</v>
      </c>
      <c r="AP274" s="6" t="str">
        <f t="shared" si="49"/>
        <v>Same</v>
      </c>
      <c r="AQ274" s="81">
        <f t="shared" si="50"/>
        <v>1175.1799999999998</v>
      </c>
      <c r="AR274" s="81">
        <f t="shared" si="51"/>
        <v>1175.1799999999998</v>
      </c>
      <c r="AS274" s="81">
        <f t="shared" si="54"/>
        <v>0</v>
      </c>
    </row>
    <row r="275" spans="1:45" hidden="1" x14ac:dyDescent="0.3">
      <c r="A275">
        <v>6183868</v>
      </c>
      <c r="B275" s="15" t="s">
        <v>5611</v>
      </c>
      <c r="C275" s="16" t="s">
        <v>30</v>
      </c>
      <c r="D275" s="6" t="s">
        <v>31</v>
      </c>
      <c r="E275" t="s">
        <v>871</v>
      </c>
      <c r="F275" t="s">
        <v>871</v>
      </c>
      <c r="H275" s="11" t="s">
        <v>27</v>
      </c>
      <c r="I275" s="6" t="s">
        <v>28</v>
      </c>
      <c r="J275" s="6" t="s">
        <v>28</v>
      </c>
      <c r="K275" t="s">
        <v>32</v>
      </c>
      <c r="L275" s="35">
        <v>2.54</v>
      </c>
      <c r="M275" s="6" t="s">
        <v>29</v>
      </c>
      <c r="N275" s="6">
        <v>3105</v>
      </c>
      <c r="P275" s="18"/>
      <c r="Q275" s="17"/>
      <c r="R275" s="19">
        <v>8.1</v>
      </c>
      <c r="S275" s="19">
        <v>8.1</v>
      </c>
      <c r="T275" s="38">
        <v>59</v>
      </c>
      <c r="U275" s="38"/>
      <c r="V275" s="30">
        <v>8.1</v>
      </c>
      <c r="W275" s="35">
        <v>2.54</v>
      </c>
      <c r="X275" s="32">
        <f t="shared" si="44"/>
        <v>477.9</v>
      </c>
      <c r="Y275" s="32">
        <f t="shared" si="45"/>
        <v>149.86000000000001</v>
      </c>
      <c r="Z275" s="32">
        <f t="shared" si="46"/>
        <v>328.03999999999996</v>
      </c>
      <c r="AA275" s="38">
        <v>59</v>
      </c>
      <c r="AB275" s="37">
        <f>IFERROR(VLOOKUP(A275,'Tash Lookup'!A:E,3,FALSE),"")</f>
        <v>149.19</v>
      </c>
      <c r="AC275" s="6">
        <f t="shared" si="47"/>
        <v>0</v>
      </c>
      <c r="AD275" s="2" t="s">
        <v>6703</v>
      </c>
      <c r="AF275" s="56">
        <v>2.5299999999999998</v>
      </c>
      <c r="AG275" s="56">
        <f>VLOOKUP(A275,Sheet1!$A$2:$C$1140,3,FALSE)</f>
        <v>2.58</v>
      </c>
      <c r="AH275" s="58">
        <v>2.58</v>
      </c>
      <c r="AI275" s="56" t="str">
        <f t="shared" si="48"/>
        <v>Increase</v>
      </c>
      <c r="AJ275" s="81">
        <f t="shared" si="52"/>
        <v>149.26999999999998</v>
      </c>
      <c r="AK275" s="81">
        <f t="shared" si="53"/>
        <v>152.22</v>
      </c>
      <c r="AL275" s="58" t="s">
        <v>7206</v>
      </c>
      <c r="AM275" s="58" t="s">
        <v>6703</v>
      </c>
      <c r="AN275" s="75">
        <v>66</v>
      </c>
      <c r="AO275" s="88">
        <v>2.58</v>
      </c>
      <c r="AP275" s="6" t="str">
        <f t="shared" si="49"/>
        <v>Increase</v>
      </c>
      <c r="AQ275" s="81">
        <f t="shared" si="50"/>
        <v>166.98</v>
      </c>
      <c r="AR275" s="81">
        <f t="shared" si="51"/>
        <v>170.28</v>
      </c>
      <c r="AS275" s="82">
        <f t="shared" si="54"/>
        <v>3.3000000000000114</v>
      </c>
    </row>
    <row r="276" spans="1:45" hidden="1" x14ac:dyDescent="0.3">
      <c r="A276">
        <v>5180704</v>
      </c>
      <c r="B276" s="15" t="s">
        <v>5612</v>
      </c>
      <c r="C276" s="16" t="s">
        <v>30</v>
      </c>
      <c r="D276" s="6" t="s">
        <v>31</v>
      </c>
      <c r="E276" t="s">
        <v>610</v>
      </c>
      <c r="F276" t="s">
        <v>610</v>
      </c>
      <c r="H276" s="11" t="s">
        <v>27</v>
      </c>
      <c r="I276" s="6" t="s">
        <v>28</v>
      </c>
      <c r="J276" s="6" t="s">
        <v>28</v>
      </c>
      <c r="K276" t="s">
        <v>32</v>
      </c>
      <c r="L276" s="35">
        <v>61.05</v>
      </c>
      <c r="M276" s="6" t="s">
        <v>29</v>
      </c>
      <c r="N276" s="6">
        <v>3105</v>
      </c>
      <c r="P276" s="18"/>
      <c r="Q276" s="17"/>
      <c r="R276" s="19">
        <v>58</v>
      </c>
      <c r="S276" s="19">
        <v>0</v>
      </c>
      <c r="T276" s="38">
        <v>59</v>
      </c>
      <c r="U276" s="38"/>
      <c r="V276" s="29">
        <v>61.05</v>
      </c>
      <c r="W276" s="35">
        <v>61.05</v>
      </c>
      <c r="X276" s="32">
        <f t="shared" si="44"/>
        <v>3601.95</v>
      </c>
      <c r="Y276" s="32">
        <f t="shared" si="45"/>
        <v>3601.95</v>
      </c>
      <c r="Z276" s="32">
        <f t="shared" si="46"/>
        <v>0</v>
      </c>
      <c r="AA276" s="38">
        <v>59</v>
      </c>
      <c r="AB276" s="37">
        <f>IFERROR(VLOOKUP(A276,'Tash Lookup'!A:E,3,FALSE),"")</f>
        <v>3543.88</v>
      </c>
      <c r="AC276" s="6">
        <f t="shared" si="47"/>
        <v>0</v>
      </c>
      <c r="AD276" s="2" t="s">
        <v>6703</v>
      </c>
      <c r="AF276" s="56">
        <v>68.44</v>
      </c>
      <c r="AG276" s="56">
        <f>VLOOKUP(A276,Sheet1!$A$2:$C$1140,3,FALSE)</f>
        <v>70.489999999999995</v>
      </c>
      <c r="AH276" s="58">
        <v>70.489999999999995</v>
      </c>
      <c r="AI276" s="56" t="str">
        <f t="shared" si="48"/>
        <v>Increase</v>
      </c>
      <c r="AJ276" s="81">
        <f t="shared" si="52"/>
        <v>4037.96</v>
      </c>
      <c r="AK276" s="81">
        <f t="shared" si="53"/>
        <v>4158.91</v>
      </c>
      <c r="AL276" s="58" t="s">
        <v>32</v>
      </c>
      <c r="AM276" s="58" t="s">
        <v>6703</v>
      </c>
      <c r="AN276" s="75">
        <v>18</v>
      </c>
      <c r="AO276" s="88">
        <v>70.489999999999995</v>
      </c>
      <c r="AP276" s="6" t="str">
        <f t="shared" si="49"/>
        <v>Increase</v>
      </c>
      <c r="AQ276" s="81">
        <f t="shared" si="50"/>
        <v>1231.92</v>
      </c>
      <c r="AR276" s="81">
        <f t="shared" si="51"/>
        <v>1268.82</v>
      </c>
      <c r="AS276" s="82">
        <f t="shared" si="54"/>
        <v>36.899999999999864</v>
      </c>
    </row>
    <row r="277" spans="1:45" hidden="1" x14ac:dyDescent="0.3">
      <c r="A277">
        <v>6053877</v>
      </c>
      <c r="B277" s="15" t="s">
        <v>5613</v>
      </c>
      <c r="C277" s="16" t="s">
        <v>30</v>
      </c>
      <c r="D277" s="6" t="s">
        <v>31</v>
      </c>
      <c r="E277" t="s">
        <v>1195</v>
      </c>
      <c r="F277" t="s">
        <v>1195</v>
      </c>
      <c r="H277" s="11" t="s">
        <v>27</v>
      </c>
      <c r="I277" s="6" t="s">
        <v>28</v>
      </c>
      <c r="J277" s="6" t="s">
        <v>28</v>
      </c>
      <c r="K277" t="s">
        <v>32</v>
      </c>
      <c r="L277" s="35">
        <v>5.07</v>
      </c>
      <c r="M277" s="6" t="s">
        <v>29</v>
      </c>
      <c r="N277" s="6">
        <v>3105</v>
      </c>
      <c r="P277" s="18"/>
      <c r="Q277" s="17"/>
      <c r="R277" s="19">
        <v>0</v>
      </c>
      <c r="S277" s="19">
        <v>0</v>
      </c>
      <c r="T277" s="38">
        <v>59</v>
      </c>
      <c r="U277" s="38"/>
      <c r="V277" s="31">
        <v>5.07</v>
      </c>
      <c r="W277" s="35">
        <v>5.07</v>
      </c>
      <c r="X277" s="32">
        <f t="shared" si="44"/>
        <v>299.13</v>
      </c>
      <c r="Y277" s="32">
        <f t="shared" si="45"/>
        <v>299.13</v>
      </c>
      <c r="Z277" s="32">
        <f t="shared" si="46"/>
        <v>0</v>
      </c>
      <c r="AA277" s="38">
        <v>59</v>
      </c>
      <c r="AB277" s="37">
        <f>IFERROR(VLOOKUP(A277,'Tash Lookup'!A:E,3,FALSE),"")</f>
        <v>295.04000000000002</v>
      </c>
      <c r="AC277" s="6">
        <f t="shared" si="47"/>
        <v>0</v>
      </c>
      <c r="AD277" s="2" t="s">
        <v>6703</v>
      </c>
      <c r="AF277" s="56">
        <v>5.07</v>
      </c>
      <c r="AG277" s="56">
        <f>VLOOKUP(A277,Sheet1!$A$2:$C$1140,3,FALSE)</f>
        <v>5.17</v>
      </c>
      <c r="AH277" s="58">
        <v>5.17</v>
      </c>
      <c r="AI277" s="56" t="str">
        <f t="shared" si="48"/>
        <v>Increase</v>
      </c>
      <c r="AJ277" s="81">
        <f t="shared" si="52"/>
        <v>299.13</v>
      </c>
      <c r="AK277" s="81">
        <f t="shared" si="53"/>
        <v>305.02999999999997</v>
      </c>
      <c r="AL277" s="58" t="s">
        <v>7206</v>
      </c>
      <c r="AM277" s="58" t="s">
        <v>6703</v>
      </c>
      <c r="AN277" s="75">
        <v>6</v>
      </c>
      <c r="AO277" s="88">
        <v>5.17</v>
      </c>
      <c r="AP277" s="6" t="str">
        <f t="shared" si="49"/>
        <v>Increase</v>
      </c>
      <c r="AQ277" s="81">
        <f t="shared" si="50"/>
        <v>30.42</v>
      </c>
      <c r="AR277" s="81">
        <f t="shared" si="51"/>
        <v>31.02</v>
      </c>
      <c r="AS277" s="82">
        <f t="shared" si="54"/>
        <v>0.59999999999999787</v>
      </c>
    </row>
    <row r="278" spans="1:45" hidden="1" x14ac:dyDescent="0.3">
      <c r="A278">
        <v>5219324</v>
      </c>
      <c r="B278" s="15" t="s">
        <v>5614</v>
      </c>
      <c r="C278" s="16" t="s">
        <v>30</v>
      </c>
      <c r="D278" s="6" t="s">
        <v>31</v>
      </c>
      <c r="E278" t="s">
        <v>92</v>
      </c>
      <c r="F278" t="s">
        <v>92</v>
      </c>
      <c r="H278" s="11" t="s">
        <v>27</v>
      </c>
      <c r="I278" s="6" t="s">
        <v>28</v>
      </c>
      <c r="J278" s="6" t="s">
        <v>28</v>
      </c>
      <c r="K278" t="s">
        <v>32</v>
      </c>
      <c r="L278" s="29">
        <v>10.15</v>
      </c>
      <c r="M278" s="6" t="s">
        <v>29</v>
      </c>
      <c r="N278" s="6">
        <v>3105</v>
      </c>
      <c r="P278" s="18"/>
      <c r="Q278" s="17"/>
      <c r="R278" s="19">
        <v>12.4</v>
      </c>
      <c r="S278" s="19">
        <v>12.4</v>
      </c>
      <c r="T278" s="38">
        <v>59</v>
      </c>
      <c r="U278" s="38"/>
      <c r="V278" s="29">
        <v>10.15</v>
      </c>
      <c r="W278" s="44">
        <v>7.4</v>
      </c>
      <c r="X278" s="32">
        <f t="shared" si="44"/>
        <v>598.85</v>
      </c>
      <c r="Y278" s="32">
        <f t="shared" si="45"/>
        <v>598.85</v>
      </c>
      <c r="Z278" s="32">
        <f t="shared" si="46"/>
        <v>0</v>
      </c>
      <c r="AA278" s="38">
        <v>59</v>
      </c>
      <c r="AB278" s="37">
        <f>IFERROR(VLOOKUP(A278,'Tash Lookup'!A:E,3,FALSE),"")</f>
        <v>519.24</v>
      </c>
      <c r="AC278" s="6">
        <f t="shared" si="47"/>
        <v>0</v>
      </c>
      <c r="AD278" s="2" t="s">
        <v>6703</v>
      </c>
      <c r="AF278" s="56">
        <v>10.94</v>
      </c>
      <c r="AG278" s="56">
        <f>VLOOKUP(A278,Sheet1!$A$2:$C$1140,3,FALSE)</f>
        <v>10.94</v>
      </c>
      <c r="AH278" s="58">
        <v>10.94</v>
      </c>
      <c r="AI278" s="56" t="str">
        <f t="shared" si="48"/>
        <v>Same</v>
      </c>
      <c r="AJ278" s="81">
        <f t="shared" si="52"/>
        <v>645.45999999999992</v>
      </c>
      <c r="AK278" s="81">
        <f t="shared" si="53"/>
        <v>645.45999999999992</v>
      </c>
      <c r="AL278" s="58" t="s">
        <v>32</v>
      </c>
      <c r="AM278" s="58" t="s">
        <v>6703</v>
      </c>
      <c r="AN278" s="75">
        <v>60</v>
      </c>
      <c r="AO278" s="88">
        <v>10.94</v>
      </c>
      <c r="AP278" s="6" t="str">
        <f t="shared" si="49"/>
        <v>Same</v>
      </c>
      <c r="AQ278" s="81">
        <f t="shared" si="50"/>
        <v>656.4</v>
      </c>
      <c r="AR278" s="81">
        <f t="shared" si="51"/>
        <v>656.4</v>
      </c>
      <c r="AS278" s="81">
        <f t="shared" si="54"/>
        <v>0</v>
      </c>
    </row>
    <row r="279" spans="1:45" hidden="1" x14ac:dyDescent="0.3">
      <c r="A279">
        <v>5090790</v>
      </c>
      <c r="B279" s="15" t="s">
        <v>5615</v>
      </c>
      <c r="C279" s="16" t="s">
        <v>30</v>
      </c>
      <c r="D279" s="6" t="s">
        <v>31</v>
      </c>
      <c r="E279" t="s">
        <v>445</v>
      </c>
      <c r="F279" t="s">
        <v>445</v>
      </c>
      <c r="H279" s="11" t="s">
        <v>27</v>
      </c>
      <c r="I279" s="6" t="s">
        <v>28</v>
      </c>
      <c r="J279" s="6" t="s">
        <v>28</v>
      </c>
      <c r="K279" t="s">
        <v>32</v>
      </c>
      <c r="L279" s="35">
        <v>53.53</v>
      </c>
      <c r="M279" s="6" t="s">
        <v>29</v>
      </c>
      <c r="N279" s="6">
        <v>3105</v>
      </c>
      <c r="P279" s="18"/>
      <c r="Q279" s="17"/>
      <c r="R279" s="19">
        <v>53.53</v>
      </c>
      <c r="S279" s="19">
        <v>53.53</v>
      </c>
      <c r="T279" s="38">
        <v>59</v>
      </c>
      <c r="U279" s="38"/>
      <c r="V279" s="30">
        <v>53.53</v>
      </c>
      <c r="W279" s="35">
        <v>53.53</v>
      </c>
      <c r="X279" s="32">
        <f t="shared" si="44"/>
        <v>3158.27</v>
      </c>
      <c r="Y279" s="32">
        <f t="shared" si="45"/>
        <v>3158.27</v>
      </c>
      <c r="Z279" s="32">
        <f t="shared" si="46"/>
        <v>0</v>
      </c>
      <c r="AA279" s="38">
        <v>59</v>
      </c>
      <c r="AB279" s="37">
        <f>IFERROR(VLOOKUP(A279,'Tash Lookup'!A:E,3,FALSE),"")</f>
        <v>3158.36</v>
      </c>
      <c r="AC279" s="6">
        <f t="shared" si="47"/>
        <v>0</v>
      </c>
      <c r="AD279" s="2" t="s">
        <v>6703</v>
      </c>
      <c r="AF279" s="56">
        <v>59.21</v>
      </c>
      <c r="AG279" s="56">
        <f>VLOOKUP(A279,Sheet1!$A$2:$C$1140,3,FALSE)</f>
        <v>60.99</v>
      </c>
      <c r="AH279" s="58">
        <v>60.99</v>
      </c>
      <c r="AI279" s="56" t="str">
        <f t="shared" si="48"/>
        <v>Increase</v>
      </c>
      <c r="AJ279" s="81">
        <f t="shared" si="52"/>
        <v>3493.39</v>
      </c>
      <c r="AK279" s="81">
        <f t="shared" si="53"/>
        <v>3598.4100000000003</v>
      </c>
      <c r="AL279" s="58" t="s">
        <v>32</v>
      </c>
      <c r="AM279" s="58" t="s">
        <v>6703</v>
      </c>
      <c r="AN279" s="75">
        <v>3</v>
      </c>
      <c r="AO279" s="88">
        <v>60.99</v>
      </c>
      <c r="AP279" s="6" t="str">
        <f t="shared" si="49"/>
        <v>Increase</v>
      </c>
      <c r="AQ279" s="81">
        <f t="shared" si="50"/>
        <v>177.63</v>
      </c>
      <c r="AR279" s="81">
        <f t="shared" si="51"/>
        <v>182.97</v>
      </c>
      <c r="AS279" s="82">
        <f t="shared" si="54"/>
        <v>5.3400000000000034</v>
      </c>
    </row>
    <row r="280" spans="1:45" hidden="1" x14ac:dyDescent="0.3">
      <c r="A280">
        <v>5745140</v>
      </c>
      <c r="B280" s="15" t="s">
        <v>5616</v>
      </c>
      <c r="C280" s="16" t="s">
        <v>30</v>
      </c>
      <c r="D280" s="6" t="s">
        <v>31</v>
      </c>
      <c r="E280" t="s">
        <v>223</v>
      </c>
      <c r="F280" t="s">
        <v>223</v>
      </c>
      <c r="H280" s="11" t="s">
        <v>27</v>
      </c>
      <c r="I280" s="6" t="s">
        <v>28</v>
      </c>
      <c r="J280" s="6" t="s">
        <v>28</v>
      </c>
      <c r="K280" t="s">
        <v>32</v>
      </c>
      <c r="L280" s="35">
        <v>68.150000000000006</v>
      </c>
      <c r="M280" s="6" t="s">
        <v>29</v>
      </c>
      <c r="N280" s="6">
        <v>3105</v>
      </c>
      <c r="P280" s="18"/>
      <c r="Q280" s="17"/>
      <c r="R280" s="19">
        <v>68.150000000000006</v>
      </c>
      <c r="S280" s="19">
        <v>68.150000000000006</v>
      </c>
      <c r="T280" s="38">
        <v>59</v>
      </c>
      <c r="U280" s="38"/>
      <c r="V280" s="29">
        <v>68.150000000000006</v>
      </c>
      <c r="W280" s="35">
        <v>68.150000000000006</v>
      </c>
      <c r="X280" s="32">
        <f t="shared" si="44"/>
        <v>4020.8500000000004</v>
      </c>
      <c r="Y280" s="32">
        <f t="shared" si="45"/>
        <v>4020.8500000000004</v>
      </c>
      <c r="Z280" s="32">
        <f t="shared" si="46"/>
        <v>0</v>
      </c>
      <c r="AA280" s="38">
        <v>59</v>
      </c>
      <c r="AB280" s="37">
        <f>IFERROR(VLOOKUP(A280,'Tash Lookup'!A:E,3,FALSE),"")</f>
        <v>4008.7799999999997</v>
      </c>
      <c r="AC280" s="6">
        <f t="shared" si="47"/>
        <v>0</v>
      </c>
      <c r="AD280" s="2" t="s">
        <v>6703</v>
      </c>
      <c r="AF280" s="56">
        <v>71.209999999999994</v>
      </c>
      <c r="AG280" s="56">
        <f>VLOOKUP(A280,Sheet1!$A$2:$C$1140,3,FALSE)</f>
        <v>71.209999999999994</v>
      </c>
      <c r="AH280" s="58">
        <v>71.209999999999994</v>
      </c>
      <c r="AI280" s="56" t="str">
        <f t="shared" si="48"/>
        <v>Same</v>
      </c>
      <c r="AJ280" s="81">
        <f t="shared" si="52"/>
        <v>4201.3899999999994</v>
      </c>
      <c r="AK280" s="81">
        <f t="shared" si="53"/>
        <v>4201.3899999999994</v>
      </c>
      <c r="AL280" s="58" t="s">
        <v>32</v>
      </c>
      <c r="AM280" s="58" t="s">
        <v>6703</v>
      </c>
      <c r="AN280" s="75">
        <v>69</v>
      </c>
      <c r="AO280" s="88">
        <v>71.209999999999994</v>
      </c>
      <c r="AP280" s="6" t="str">
        <f t="shared" si="49"/>
        <v>Same</v>
      </c>
      <c r="AQ280" s="81">
        <f t="shared" si="50"/>
        <v>4913.49</v>
      </c>
      <c r="AR280" s="81">
        <f t="shared" si="51"/>
        <v>4913.49</v>
      </c>
      <c r="AS280" s="81">
        <f t="shared" si="54"/>
        <v>0</v>
      </c>
    </row>
    <row r="281" spans="1:45" hidden="1" x14ac:dyDescent="0.3">
      <c r="A281">
        <v>6378039</v>
      </c>
      <c r="B281" s="15" t="s">
        <v>5617</v>
      </c>
      <c r="C281" s="16" t="s">
        <v>30</v>
      </c>
      <c r="D281" s="6" t="s">
        <v>31</v>
      </c>
      <c r="E281" t="s">
        <v>1100</v>
      </c>
      <c r="F281" t="s">
        <v>1100</v>
      </c>
      <c r="H281" s="11" t="s">
        <v>27</v>
      </c>
      <c r="I281" s="6" t="s">
        <v>28</v>
      </c>
      <c r="J281" s="6" t="s">
        <v>28</v>
      </c>
      <c r="K281" t="s">
        <v>32</v>
      </c>
      <c r="L281" s="35">
        <v>13.55</v>
      </c>
      <c r="M281" s="6" t="s">
        <v>29</v>
      </c>
      <c r="N281" s="6">
        <v>3105</v>
      </c>
      <c r="P281" s="18"/>
      <c r="Q281" s="17"/>
      <c r="R281" s="19">
        <v>15.49</v>
      </c>
      <c r="S281" s="19">
        <v>0</v>
      </c>
      <c r="T281" s="38">
        <v>58</v>
      </c>
      <c r="U281" s="38"/>
      <c r="V281" s="30">
        <v>15.49</v>
      </c>
      <c r="W281" s="35">
        <v>13.55</v>
      </c>
      <c r="X281" s="32">
        <f t="shared" si="44"/>
        <v>898.42</v>
      </c>
      <c r="Y281" s="32">
        <f t="shared" si="45"/>
        <v>785.90000000000009</v>
      </c>
      <c r="Z281" s="32">
        <f t="shared" si="46"/>
        <v>112.51999999999987</v>
      </c>
      <c r="AA281" s="38">
        <v>58</v>
      </c>
      <c r="AB281" s="37">
        <f>IFERROR(VLOOKUP(A281,'Tash Lookup'!A:E,3,FALSE),"")</f>
        <v>785.32</v>
      </c>
      <c r="AC281" s="6">
        <f t="shared" si="47"/>
        <v>0</v>
      </c>
      <c r="AD281" s="2" t="s">
        <v>6710</v>
      </c>
      <c r="AF281" s="56">
        <v>16.5</v>
      </c>
      <c r="AG281" s="56">
        <f>VLOOKUP(A281,Sheet1!$A$2:$C$1140,3,FALSE)</f>
        <v>16.5</v>
      </c>
      <c r="AH281" s="58">
        <v>16.5</v>
      </c>
      <c r="AI281" s="56" t="str">
        <f t="shared" si="48"/>
        <v>Same</v>
      </c>
      <c r="AJ281" s="81">
        <f t="shared" si="52"/>
        <v>957</v>
      </c>
      <c r="AK281" s="81">
        <f t="shared" si="53"/>
        <v>957</v>
      </c>
      <c r="AL281" s="58" t="s">
        <v>7206</v>
      </c>
      <c r="AM281" s="58" t="s">
        <v>7193</v>
      </c>
      <c r="AN281" s="75">
        <v>35</v>
      </c>
      <c r="AO281" s="88">
        <v>16.5</v>
      </c>
      <c r="AP281" s="6" t="str">
        <f t="shared" si="49"/>
        <v>Same</v>
      </c>
      <c r="AQ281" s="81">
        <f t="shared" si="50"/>
        <v>577.5</v>
      </c>
      <c r="AR281" s="81">
        <f t="shared" si="51"/>
        <v>577.5</v>
      </c>
      <c r="AS281" s="81">
        <f t="shared" si="54"/>
        <v>0</v>
      </c>
    </row>
    <row r="282" spans="1:45" hidden="1" x14ac:dyDescent="0.3">
      <c r="A282">
        <v>6421398</v>
      </c>
      <c r="B282" s="15" t="s">
        <v>5618</v>
      </c>
      <c r="C282" s="16" t="s">
        <v>30</v>
      </c>
      <c r="D282" s="6" t="s">
        <v>31</v>
      </c>
      <c r="E282" t="s">
        <v>762</v>
      </c>
      <c r="F282" t="s">
        <v>762</v>
      </c>
      <c r="H282" s="11" t="s">
        <v>27</v>
      </c>
      <c r="I282" s="6" t="s">
        <v>28</v>
      </c>
      <c r="J282" s="6" t="s">
        <v>28</v>
      </c>
      <c r="K282" t="s">
        <v>32</v>
      </c>
      <c r="L282" s="35">
        <v>5.54</v>
      </c>
      <c r="M282" s="6" t="s">
        <v>29</v>
      </c>
      <c r="N282" s="6">
        <v>3105</v>
      </c>
      <c r="P282" s="18"/>
      <c r="Q282" s="17"/>
      <c r="R282" s="19">
        <v>0</v>
      </c>
      <c r="S282" s="19">
        <v>0</v>
      </c>
      <c r="T282" s="38">
        <v>58</v>
      </c>
      <c r="U282" s="38"/>
      <c r="V282" s="31">
        <v>5.54</v>
      </c>
      <c r="W282" s="35">
        <v>5.54</v>
      </c>
      <c r="X282" s="32">
        <f t="shared" si="44"/>
        <v>321.32</v>
      </c>
      <c r="Y282" s="32">
        <f t="shared" si="45"/>
        <v>321.32</v>
      </c>
      <c r="Z282" s="32">
        <f t="shared" si="46"/>
        <v>0</v>
      </c>
      <c r="AA282" s="38">
        <v>58</v>
      </c>
      <c r="AB282" s="37">
        <f>IFERROR(VLOOKUP(A282,'Tash Lookup'!A:E,3,FALSE),"")</f>
        <v>318.87</v>
      </c>
      <c r="AC282" s="6">
        <f t="shared" si="47"/>
        <v>0</v>
      </c>
      <c r="AD282" s="2" t="s">
        <v>6703</v>
      </c>
      <c r="AF282" s="56">
        <v>5.54</v>
      </c>
      <c r="AG282" s="56">
        <f>VLOOKUP(A282,Sheet1!$A$2:$C$1140,3,FALSE)</f>
        <v>5.65</v>
      </c>
      <c r="AH282" s="58">
        <v>5.65</v>
      </c>
      <c r="AI282" s="56" t="str">
        <f t="shared" si="48"/>
        <v>Increase</v>
      </c>
      <c r="AJ282" s="81">
        <f t="shared" si="52"/>
        <v>321.32</v>
      </c>
      <c r="AK282" s="81">
        <f t="shared" si="53"/>
        <v>327.70000000000005</v>
      </c>
      <c r="AL282" s="58" t="s">
        <v>7206</v>
      </c>
      <c r="AM282" s="58" t="s">
        <v>6703</v>
      </c>
      <c r="AN282" s="75">
        <v>16</v>
      </c>
      <c r="AO282" s="88">
        <v>5.65</v>
      </c>
      <c r="AP282" s="6" t="str">
        <f t="shared" si="49"/>
        <v>Increase</v>
      </c>
      <c r="AQ282" s="81">
        <f t="shared" si="50"/>
        <v>88.64</v>
      </c>
      <c r="AR282" s="81">
        <f t="shared" si="51"/>
        <v>90.4</v>
      </c>
      <c r="AS282" s="82">
        <f t="shared" si="54"/>
        <v>1.7600000000000051</v>
      </c>
    </row>
    <row r="283" spans="1:45" hidden="1" x14ac:dyDescent="0.3">
      <c r="A283">
        <v>5183947</v>
      </c>
      <c r="B283" s="15" t="s">
        <v>5619</v>
      </c>
      <c r="C283" s="16" t="s">
        <v>30</v>
      </c>
      <c r="D283" s="6" t="s">
        <v>31</v>
      </c>
      <c r="E283" t="s">
        <v>576</v>
      </c>
      <c r="F283" t="s">
        <v>576</v>
      </c>
      <c r="H283" s="11" t="s">
        <v>27</v>
      </c>
      <c r="I283" s="6" t="s">
        <v>28</v>
      </c>
      <c r="J283" s="6" t="s">
        <v>28</v>
      </c>
      <c r="K283" t="s">
        <v>32</v>
      </c>
      <c r="L283" s="35">
        <v>53.11</v>
      </c>
      <c r="M283" s="6" t="s">
        <v>29</v>
      </c>
      <c r="N283" s="6">
        <v>3105</v>
      </c>
      <c r="P283" s="18"/>
      <c r="Q283" s="17"/>
      <c r="R283" s="19">
        <v>53.11</v>
      </c>
      <c r="S283" s="19">
        <v>53.11</v>
      </c>
      <c r="T283" s="38">
        <v>58</v>
      </c>
      <c r="U283" s="38"/>
      <c r="V283" s="29">
        <v>53.11</v>
      </c>
      <c r="W283" s="35">
        <v>53.11</v>
      </c>
      <c r="X283" s="32">
        <f t="shared" si="44"/>
        <v>3080.38</v>
      </c>
      <c r="Y283" s="32">
        <f t="shared" si="45"/>
        <v>3080.38</v>
      </c>
      <c r="Z283" s="32">
        <f t="shared" si="46"/>
        <v>0</v>
      </c>
      <c r="AA283" s="38">
        <v>58</v>
      </c>
      <c r="AB283" s="37">
        <f>IFERROR(VLOOKUP(A283,'Tash Lookup'!A:E,3,FALSE),"")</f>
        <v>3377.78</v>
      </c>
      <c r="AC283" s="6">
        <f t="shared" si="47"/>
        <v>0</v>
      </c>
      <c r="AD283" s="2" t="s">
        <v>6703</v>
      </c>
      <c r="AF283" s="56">
        <v>51.13</v>
      </c>
      <c r="AG283" s="56">
        <f>VLOOKUP(A283,Sheet1!$A$2:$C$1140,3,FALSE)</f>
        <v>51.13</v>
      </c>
      <c r="AH283" s="58">
        <v>51.13</v>
      </c>
      <c r="AI283" s="56" t="str">
        <f t="shared" si="48"/>
        <v>Same</v>
      </c>
      <c r="AJ283" s="81">
        <f t="shared" si="52"/>
        <v>2965.54</v>
      </c>
      <c r="AK283" s="81">
        <f t="shared" si="53"/>
        <v>2965.54</v>
      </c>
      <c r="AL283" s="58" t="s">
        <v>32</v>
      </c>
      <c r="AM283" s="58" t="s">
        <v>6708</v>
      </c>
      <c r="AN283" s="75">
        <v>41</v>
      </c>
      <c r="AO283" s="88">
        <v>51.13</v>
      </c>
      <c r="AP283" s="6" t="str">
        <f t="shared" si="49"/>
        <v>Same</v>
      </c>
      <c r="AQ283" s="81">
        <f t="shared" si="50"/>
        <v>2096.33</v>
      </c>
      <c r="AR283" s="81">
        <f t="shared" si="51"/>
        <v>2096.33</v>
      </c>
      <c r="AS283" s="81">
        <f t="shared" si="54"/>
        <v>0</v>
      </c>
    </row>
    <row r="284" spans="1:45" hidden="1" x14ac:dyDescent="0.3">
      <c r="A284">
        <v>5222637</v>
      </c>
      <c r="B284" s="15" t="s">
        <v>5620</v>
      </c>
      <c r="C284" s="16" t="s">
        <v>30</v>
      </c>
      <c r="D284" s="6" t="s">
        <v>31</v>
      </c>
      <c r="E284" t="s">
        <v>732</v>
      </c>
      <c r="F284" t="s">
        <v>732</v>
      </c>
      <c r="H284" s="11" t="s">
        <v>27</v>
      </c>
      <c r="I284" s="6" t="s">
        <v>28</v>
      </c>
      <c r="J284" s="6" t="s">
        <v>28</v>
      </c>
      <c r="K284" t="s">
        <v>32</v>
      </c>
      <c r="L284" s="35">
        <v>29.98</v>
      </c>
      <c r="M284" s="6" t="s">
        <v>29</v>
      </c>
      <c r="N284" s="6">
        <v>3105</v>
      </c>
      <c r="P284" s="18"/>
      <c r="Q284" s="17"/>
      <c r="R284" s="19">
        <v>29.98</v>
      </c>
      <c r="S284" s="19">
        <v>29.98</v>
      </c>
      <c r="T284" s="38">
        <v>57</v>
      </c>
      <c r="U284" s="38"/>
      <c r="V284" s="30">
        <v>29.98</v>
      </c>
      <c r="W284" s="35">
        <v>29.98</v>
      </c>
      <c r="X284" s="32">
        <f t="shared" si="44"/>
        <v>1708.8600000000001</v>
      </c>
      <c r="Y284" s="32">
        <f t="shared" si="45"/>
        <v>1708.8600000000001</v>
      </c>
      <c r="Z284" s="32">
        <f t="shared" si="46"/>
        <v>0</v>
      </c>
      <c r="AA284" s="38">
        <v>57</v>
      </c>
      <c r="AB284" s="37">
        <f>IFERROR(VLOOKUP(A284,'Tash Lookup'!A:E,3,FALSE),"")</f>
        <v>1708.92</v>
      </c>
      <c r="AC284" s="6">
        <f t="shared" si="47"/>
        <v>0</v>
      </c>
      <c r="AD284" s="2" t="s">
        <v>6703</v>
      </c>
      <c r="AF284" s="56">
        <v>29.98</v>
      </c>
      <c r="AG284" s="56">
        <f>VLOOKUP(A284,Sheet1!$A$2:$C$1140,3,FALSE)</f>
        <v>30.58</v>
      </c>
      <c r="AH284" s="58">
        <v>30.58</v>
      </c>
      <c r="AI284" s="56" t="str">
        <f t="shared" si="48"/>
        <v>Increase</v>
      </c>
      <c r="AJ284" s="81">
        <f t="shared" si="52"/>
        <v>1708.8600000000001</v>
      </c>
      <c r="AK284" s="81">
        <f t="shared" si="53"/>
        <v>1743.06</v>
      </c>
      <c r="AL284" s="58" t="s">
        <v>7206</v>
      </c>
      <c r="AM284" s="58" t="s">
        <v>6703</v>
      </c>
      <c r="AN284" s="75">
        <v>6</v>
      </c>
      <c r="AO284" s="88">
        <v>30.58</v>
      </c>
      <c r="AP284" s="6" t="str">
        <f t="shared" si="49"/>
        <v>Increase</v>
      </c>
      <c r="AQ284" s="81">
        <f t="shared" si="50"/>
        <v>179.88</v>
      </c>
      <c r="AR284" s="81">
        <f t="shared" si="51"/>
        <v>183.48</v>
      </c>
      <c r="AS284" s="82">
        <f t="shared" si="54"/>
        <v>3.5999999999999943</v>
      </c>
    </row>
    <row r="285" spans="1:45" hidden="1" x14ac:dyDescent="0.3">
      <c r="A285">
        <v>6316840</v>
      </c>
      <c r="B285" s="15" t="s">
        <v>5621</v>
      </c>
      <c r="C285" s="16" t="s">
        <v>30</v>
      </c>
      <c r="D285" s="6" t="s">
        <v>31</v>
      </c>
      <c r="E285" t="s">
        <v>723</v>
      </c>
      <c r="F285" t="s">
        <v>723</v>
      </c>
      <c r="H285" s="11" t="s">
        <v>27</v>
      </c>
      <c r="I285" s="6" t="s">
        <v>28</v>
      </c>
      <c r="J285" s="6" t="s">
        <v>28</v>
      </c>
      <c r="K285" t="s">
        <v>32</v>
      </c>
      <c r="L285" s="35">
        <v>10.93</v>
      </c>
      <c r="M285" s="6" t="s">
        <v>29</v>
      </c>
      <c r="N285" s="6">
        <v>3105</v>
      </c>
      <c r="P285" s="18"/>
      <c r="Q285" s="17"/>
      <c r="R285" s="19">
        <v>10.93</v>
      </c>
      <c r="S285" s="19">
        <v>10.93</v>
      </c>
      <c r="T285" s="38">
        <v>57</v>
      </c>
      <c r="U285" s="38"/>
      <c r="V285" s="30">
        <v>10.93</v>
      </c>
      <c r="W285" s="35">
        <v>10.93</v>
      </c>
      <c r="X285" s="32">
        <f t="shared" si="44"/>
        <v>623.01</v>
      </c>
      <c r="Y285" s="32">
        <f t="shared" si="45"/>
        <v>623.01</v>
      </c>
      <c r="Z285" s="32">
        <f t="shared" si="46"/>
        <v>0</v>
      </c>
      <c r="AA285" s="38">
        <v>57</v>
      </c>
      <c r="AB285" s="37">
        <f>IFERROR(VLOOKUP(A285,'Tash Lookup'!A:E,3,FALSE),"")</f>
        <v>616.33000000000004</v>
      </c>
      <c r="AC285" s="6">
        <f t="shared" si="47"/>
        <v>0</v>
      </c>
      <c r="AD285" s="2" t="s">
        <v>6703</v>
      </c>
      <c r="AF285" s="56">
        <v>10.93</v>
      </c>
      <c r="AG285" s="56">
        <f>VLOOKUP(A285,Sheet1!$A$2:$C$1140,3,FALSE)</f>
        <v>11.15</v>
      </c>
      <c r="AH285" s="58">
        <v>11.15</v>
      </c>
      <c r="AI285" s="56" t="str">
        <f t="shared" si="48"/>
        <v>Increase</v>
      </c>
      <c r="AJ285" s="81">
        <f t="shared" si="52"/>
        <v>623.01</v>
      </c>
      <c r="AK285" s="81">
        <f t="shared" si="53"/>
        <v>635.55000000000007</v>
      </c>
      <c r="AL285" s="58" t="s">
        <v>7206</v>
      </c>
      <c r="AM285" s="58" t="s">
        <v>6703</v>
      </c>
      <c r="AN285" s="75">
        <v>20</v>
      </c>
      <c r="AO285" s="88">
        <v>11.15</v>
      </c>
      <c r="AP285" s="6" t="str">
        <f t="shared" si="49"/>
        <v>Increase</v>
      </c>
      <c r="AQ285" s="81">
        <f t="shared" si="50"/>
        <v>218.6</v>
      </c>
      <c r="AR285" s="81">
        <f t="shared" si="51"/>
        <v>223</v>
      </c>
      <c r="AS285" s="82">
        <f t="shared" si="54"/>
        <v>4.4000000000000057</v>
      </c>
    </row>
    <row r="286" spans="1:45" hidden="1" x14ac:dyDescent="0.3">
      <c r="A286">
        <v>5092219</v>
      </c>
      <c r="B286" s="15" t="s">
        <v>5622</v>
      </c>
      <c r="C286" s="16" t="s">
        <v>30</v>
      </c>
      <c r="D286" s="6" t="s">
        <v>31</v>
      </c>
      <c r="E286" t="s">
        <v>552</v>
      </c>
      <c r="F286" t="s">
        <v>552</v>
      </c>
      <c r="H286" s="11" t="s">
        <v>27</v>
      </c>
      <c r="I286" s="6" t="s">
        <v>28</v>
      </c>
      <c r="J286" s="6" t="s">
        <v>28</v>
      </c>
      <c r="K286" t="s">
        <v>32</v>
      </c>
      <c r="L286" s="35">
        <v>30.12</v>
      </c>
      <c r="M286" s="6" t="s">
        <v>29</v>
      </c>
      <c r="N286" s="6">
        <v>3105</v>
      </c>
      <c r="P286" s="18"/>
      <c r="Q286" s="17"/>
      <c r="R286" s="19">
        <v>28.61</v>
      </c>
      <c r="S286" s="19">
        <v>0</v>
      </c>
      <c r="T286" s="38">
        <v>57</v>
      </c>
      <c r="U286" s="38"/>
      <c r="V286" s="29">
        <v>30.12</v>
      </c>
      <c r="W286" s="35">
        <v>30.12</v>
      </c>
      <c r="X286" s="32">
        <f t="shared" si="44"/>
        <v>1716.8400000000001</v>
      </c>
      <c r="Y286" s="32">
        <f t="shared" si="45"/>
        <v>1716.8400000000001</v>
      </c>
      <c r="Z286" s="32">
        <f t="shared" si="46"/>
        <v>0</v>
      </c>
      <c r="AA286" s="38">
        <v>57</v>
      </c>
      <c r="AB286" s="37">
        <f>IFERROR(VLOOKUP(A286,'Tash Lookup'!A:E,3,FALSE),"")</f>
        <v>1726.02</v>
      </c>
      <c r="AC286" s="6">
        <f t="shared" si="47"/>
        <v>0</v>
      </c>
      <c r="AD286" s="2" t="s">
        <v>6703</v>
      </c>
      <c r="AF286" s="56">
        <v>34.24</v>
      </c>
      <c r="AG286" s="56">
        <f>VLOOKUP(A286,Sheet1!$A$2:$C$1140,3,FALSE)</f>
        <v>35.270000000000003</v>
      </c>
      <c r="AH286" s="58">
        <v>35.270000000000003</v>
      </c>
      <c r="AI286" s="56" t="str">
        <f t="shared" si="48"/>
        <v>Increase</v>
      </c>
      <c r="AJ286" s="81">
        <f t="shared" si="52"/>
        <v>1951.68</v>
      </c>
      <c r="AK286" s="81">
        <f t="shared" si="53"/>
        <v>2010.39</v>
      </c>
      <c r="AL286" s="58" t="s">
        <v>32</v>
      </c>
      <c r="AM286" s="58" t="s">
        <v>6703</v>
      </c>
      <c r="AN286" s="75">
        <v>30</v>
      </c>
      <c r="AO286" s="88">
        <v>35.270000000000003</v>
      </c>
      <c r="AP286" s="6" t="str">
        <f t="shared" si="49"/>
        <v>Increase</v>
      </c>
      <c r="AQ286" s="81">
        <f t="shared" si="50"/>
        <v>1027.2</v>
      </c>
      <c r="AR286" s="81">
        <f t="shared" si="51"/>
        <v>1058.1000000000001</v>
      </c>
      <c r="AS286" s="82">
        <f t="shared" si="54"/>
        <v>30.900000000000091</v>
      </c>
    </row>
    <row r="287" spans="1:45" hidden="1" x14ac:dyDescent="0.3">
      <c r="A287">
        <v>5218671</v>
      </c>
      <c r="B287" s="15" t="s">
        <v>5623</v>
      </c>
      <c r="C287" s="16" t="s">
        <v>30</v>
      </c>
      <c r="D287" s="6" t="s">
        <v>31</v>
      </c>
      <c r="E287" t="s">
        <v>85</v>
      </c>
      <c r="F287" t="s">
        <v>85</v>
      </c>
      <c r="H287" s="11" t="s">
        <v>27</v>
      </c>
      <c r="I287" s="6" t="s">
        <v>28</v>
      </c>
      <c r="J287" s="6" t="s">
        <v>28</v>
      </c>
      <c r="K287" t="s">
        <v>32</v>
      </c>
      <c r="L287" s="35">
        <v>15.82</v>
      </c>
      <c r="M287" s="6" t="s">
        <v>29</v>
      </c>
      <c r="N287" s="6">
        <v>3105</v>
      </c>
      <c r="P287" s="18"/>
      <c r="Q287" s="17"/>
      <c r="R287" s="19">
        <v>19.329999999999998</v>
      </c>
      <c r="S287" s="19">
        <v>19.329999999999998</v>
      </c>
      <c r="T287" s="38">
        <v>57</v>
      </c>
      <c r="U287" s="38"/>
      <c r="V287" s="29">
        <v>15.82</v>
      </c>
      <c r="W287" s="45">
        <v>11.82</v>
      </c>
      <c r="X287" s="32">
        <f t="shared" si="44"/>
        <v>901.74</v>
      </c>
      <c r="Y287" s="32">
        <f t="shared" si="45"/>
        <v>901.74</v>
      </c>
      <c r="Z287" s="32">
        <f t="shared" si="46"/>
        <v>0</v>
      </c>
      <c r="AA287" s="38">
        <v>57</v>
      </c>
      <c r="AB287" s="37">
        <f>IFERROR(VLOOKUP(A287,'Tash Lookup'!A:E,3,FALSE),"")</f>
        <v>846.98</v>
      </c>
      <c r="AC287" s="6">
        <f t="shared" si="47"/>
        <v>0</v>
      </c>
      <c r="AD287" s="2" t="s">
        <v>6703</v>
      </c>
      <c r="AF287" s="56">
        <v>17.13</v>
      </c>
      <c r="AG287" s="56">
        <f>VLOOKUP(A287,Sheet1!$A$2:$C$1140,3,FALSE)</f>
        <v>17.13</v>
      </c>
      <c r="AH287" s="58">
        <v>17.13</v>
      </c>
      <c r="AI287" s="56" t="str">
        <f t="shared" si="48"/>
        <v>Same</v>
      </c>
      <c r="AJ287" s="81">
        <f t="shared" si="52"/>
        <v>976.41</v>
      </c>
      <c r="AK287" s="81">
        <f t="shared" si="53"/>
        <v>976.41</v>
      </c>
      <c r="AL287" s="58" t="s">
        <v>32</v>
      </c>
      <c r="AM287" s="58" t="s">
        <v>6703</v>
      </c>
      <c r="AN287" s="75">
        <v>13</v>
      </c>
      <c r="AO287" s="88">
        <v>17.13</v>
      </c>
      <c r="AP287" s="6" t="str">
        <f t="shared" si="49"/>
        <v>Same</v>
      </c>
      <c r="AQ287" s="81">
        <f t="shared" si="50"/>
        <v>222.69</v>
      </c>
      <c r="AR287" s="81">
        <f t="shared" si="51"/>
        <v>222.69</v>
      </c>
      <c r="AS287" s="81">
        <f t="shared" si="54"/>
        <v>0</v>
      </c>
    </row>
    <row r="288" spans="1:45" hidden="1" x14ac:dyDescent="0.3">
      <c r="A288">
        <v>5220148</v>
      </c>
      <c r="B288" s="15" t="s">
        <v>5624</v>
      </c>
      <c r="C288" s="16" t="s">
        <v>30</v>
      </c>
      <c r="D288" s="6" t="s">
        <v>31</v>
      </c>
      <c r="E288" t="s">
        <v>129</v>
      </c>
      <c r="F288" t="s">
        <v>129</v>
      </c>
      <c r="H288" s="11" t="s">
        <v>27</v>
      </c>
      <c r="I288" s="6" t="s">
        <v>28</v>
      </c>
      <c r="J288" s="6" t="s">
        <v>28</v>
      </c>
      <c r="K288" t="s">
        <v>32</v>
      </c>
      <c r="L288" s="35">
        <v>22.89</v>
      </c>
      <c r="M288" s="6" t="s">
        <v>29</v>
      </c>
      <c r="N288" s="6">
        <v>3105</v>
      </c>
      <c r="P288" s="18"/>
      <c r="Q288" s="17"/>
      <c r="R288" s="19">
        <v>22.89</v>
      </c>
      <c r="S288" s="19">
        <v>22.89</v>
      </c>
      <c r="T288" s="38">
        <v>56</v>
      </c>
      <c r="U288" s="38"/>
      <c r="V288" s="29">
        <v>22.89</v>
      </c>
      <c r="W288" s="35">
        <v>22.89</v>
      </c>
      <c r="X288" s="32">
        <f t="shared" si="44"/>
        <v>1281.8400000000001</v>
      </c>
      <c r="Y288" s="32">
        <f t="shared" si="45"/>
        <v>1281.8400000000001</v>
      </c>
      <c r="Z288" s="32">
        <f t="shared" si="46"/>
        <v>0</v>
      </c>
      <c r="AA288" s="38">
        <v>56</v>
      </c>
      <c r="AB288" s="37">
        <f>IFERROR(VLOOKUP(A288,'Tash Lookup'!A:E,3,FALSE),"")</f>
        <v>1268.56</v>
      </c>
      <c r="AC288" s="6">
        <f t="shared" si="47"/>
        <v>0</v>
      </c>
      <c r="AD288" s="2" t="s">
        <v>6703</v>
      </c>
      <c r="AF288" s="56">
        <v>23.29</v>
      </c>
      <c r="AG288" s="56">
        <f>VLOOKUP(A288,Sheet1!$A$2:$C$1140,3,FALSE)</f>
        <v>23.29</v>
      </c>
      <c r="AH288" s="58">
        <v>23.29</v>
      </c>
      <c r="AI288" s="56" t="str">
        <f t="shared" si="48"/>
        <v>Same</v>
      </c>
      <c r="AJ288" s="81">
        <f t="shared" si="52"/>
        <v>1304.24</v>
      </c>
      <c r="AK288" s="81">
        <f t="shared" si="53"/>
        <v>1304.24</v>
      </c>
      <c r="AL288" s="58" t="s">
        <v>32</v>
      </c>
      <c r="AM288" s="58" t="s">
        <v>6703</v>
      </c>
      <c r="AN288" s="75">
        <v>61</v>
      </c>
      <c r="AO288" s="88">
        <v>23.29</v>
      </c>
      <c r="AP288" s="6" t="str">
        <f t="shared" si="49"/>
        <v>Same</v>
      </c>
      <c r="AQ288" s="81">
        <f t="shared" si="50"/>
        <v>1420.69</v>
      </c>
      <c r="AR288" s="81">
        <f t="shared" si="51"/>
        <v>1420.69</v>
      </c>
      <c r="AS288" s="81">
        <f t="shared" si="54"/>
        <v>0</v>
      </c>
    </row>
    <row r="289" spans="1:45" hidden="1" x14ac:dyDescent="0.3">
      <c r="A289">
        <v>5090804</v>
      </c>
      <c r="B289" s="15" t="s">
        <v>5625</v>
      </c>
      <c r="C289" s="16" t="s">
        <v>30</v>
      </c>
      <c r="D289" s="6" t="s">
        <v>31</v>
      </c>
      <c r="E289" t="s">
        <v>219</v>
      </c>
      <c r="F289" t="s">
        <v>219</v>
      </c>
      <c r="H289" s="11" t="s">
        <v>27</v>
      </c>
      <c r="I289" s="6" t="s">
        <v>28</v>
      </c>
      <c r="J289" s="6" t="s">
        <v>28</v>
      </c>
      <c r="K289" t="s">
        <v>32</v>
      </c>
      <c r="L289" s="35">
        <v>19.11</v>
      </c>
      <c r="M289" s="6" t="s">
        <v>29</v>
      </c>
      <c r="N289" s="6">
        <v>3105</v>
      </c>
      <c r="P289" s="18"/>
      <c r="Q289" s="17"/>
      <c r="R289" s="19">
        <v>19.11</v>
      </c>
      <c r="S289" s="19">
        <v>19.11</v>
      </c>
      <c r="T289" s="38">
        <v>56</v>
      </c>
      <c r="U289" s="38"/>
      <c r="V289" s="29">
        <v>19.11</v>
      </c>
      <c r="W289" s="35">
        <v>19.11</v>
      </c>
      <c r="X289" s="32">
        <f t="shared" si="44"/>
        <v>1070.1599999999999</v>
      </c>
      <c r="Y289" s="32">
        <f t="shared" si="45"/>
        <v>1070.1599999999999</v>
      </c>
      <c r="Z289" s="32">
        <f t="shared" si="46"/>
        <v>0</v>
      </c>
      <c r="AA289" s="38">
        <v>56</v>
      </c>
      <c r="AB289" s="37">
        <f>IFERROR(VLOOKUP(A289,'Tash Lookup'!A:E,3,FALSE),"")</f>
        <v>1059.6000000000001</v>
      </c>
      <c r="AC289" s="6">
        <f t="shared" si="47"/>
        <v>0</v>
      </c>
      <c r="AD289" s="2" t="s">
        <v>6703</v>
      </c>
      <c r="AF289" s="56">
        <v>18.22</v>
      </c>
      <c r="AG289" s="56">
        <f>VLOOKUP(A289,Sheet1!$A$2:$C$1140,3,FALSE)</f>
        <v>18.22</v>
      </c>
      <c r="AH289" s="58">
        <v>18.22</v>
      </c>
      <c r="AI289" s="56" t="str">
        <f t="shared" si="48"/>
        <v>Same</v>
      </c>
      <c r="AJ289" s="81">
        <f t="shared" si="52"/>
        <v>1020.3199999999999</v>
      </c>
      <c r="AK289" s="81">
        <f t="shared" si="53"/>
        <v>1020.3199999999999</v>
      </c>
      <c r="AL289" s="58" t="s">
        <v>32</v>
      </c>
      <c r="AM289" s="58" t="s">
        <v>6703</v>
      </c>
      <c r="AN289" s="75">
        <v>61</v>
      </c>
      <c r="AO289" s="88">
        <v>18.22</v>
      </c>
      <c r="AP289" s="6" t="str">
        <f t="shared" si="49"/>
        <v>Same</v>
      </c>
      <c r="AQ289" s="81">
        <f t="shared" si="50"/>
        <v>1111.4199999999998</v>
      </c>
      <c r="AR289" s="81">
        <f t="shared" si="51"/>
        <v>1111.4199999999998</v>
      </c>
      <c r="AS289" s="81">
        <f t="shared" si="54"/>
        <v>0</v>
      </c>
    </row>
    <row r="290" spans="1:45" hidden="1" x14ac:dyDescent="0.3">
      <c r="A290">
        <v>5218684</v>
      </c>
      <c r="B290" s="15" t="s">
        <v>5626</v>
      </c>
      <c r="C290" s="16" t="s">
        <v>30</v>
      </c>
      <c r="D290" s="6" t="s">
        <v>31</v>
      </c>
      <c r="E290" t="s">
        <v>95</v>
      </c>
      <c r="F290" t="s">
        <v>95</v>
      </c>
      <c r="H290" s="11" t="s">
        <v>27</v>
      </c>
      <c r="I290" s="6" t="s">
        <v>28</v>
      </c>
      <c r="J290" s="6" t="s">
        <v>28</v>
      </c>
      <c r="K290" t="s">
        <v>32</v>
      </c>
      <c r="L290" s="35">
        <v>11.06</v>
      </c>
      <c r="M290" s="6" t="s">
        <v>29</v>
      </c>
      <c r="N290" s="6">
        <v>3105</v>
      </c>
      <c r="P290" s="18"/>
      <c r="Q290" s="17"/>
      <c r="R290" s="19">
        <v>13.51</v>
      </c>
      <c r="S290" s="19">
        <v>13.51</v>
      </c>
      <c r="T290" s="38">
        <v>55</v>
      </c>
      <c r="U290" s="38"/>
      <c r="V290" s="29">
        <v>11.06</v>
      </c>
      <c r="W290" s="45">
        <v>7.89</v>
      </c>
      <c r="X290" s="32">
        <f t="shared" si="44"/>
        <v>608.30000000000007</v>
      </c>
      <c r="Y290" s="32">
        <f t="shared" si="45"/>
        <v>608.30000000000007</v>
      </c>
      <c r="Z290" s="32">
        <f t="shared" si="46"/>
        <v>0</v>
      </c>
      <c r="AA290" s="38">
        <v>55</v>
      </c>
      <c r="AB290" s="37">
        <f>IFERROR(VLOOKUP(A290,'Tash Lookup'!A:E,3,FALSE),"")</f>
        <v>524.24</v>
      </c>
      <c r="AC290" s="6">
        <f t="shared" si="47"/>
        <v>0</v>
      </c>
      <c r="AD290" s="2" t="s">
        <v>6703</v>
      </c>
      <c r="AF290" s="56">
        <v>11.3</v>
      </c>
      <c r="AG290" s="56">
        <f>VLOOKUP(A290,Sheet1!$A$2:$C$1140,3,FALSE)</f>
        <v>11.3</v>
      </c>
      <c r="AH290" s="58">
        <v>11.3</v>
      </c>
      <c r="AI290" s="56" t="str">
        <f t="shared" si="48"/>
        <v>Same</v>
      </c>
      <c r="AJ290" s="81">
        <f t="shared" si="52"/>
        <v>621.5</v>
      </c>
      <c r="AK290" s="81">
        <f t="shared" si="53"/>
        <v>621.5</v>
      </c>
      <c r="AL290" s="58" t="s">
        <v>32</v>
      </c>
      <c r="AM290" s="58" t="s">
        <v>6703</v>
      </c>
      <c r="AN290" s="75">
        <v>22</v>
      </c>
      <c r="AO290" s="88">
        <v>11.3</v>
      </c>
      <c r="AP290" s="6" t="str">
        <f t="shared" si="49"/>
        <v>Same</v>
      </c>
      <c r="AQ290" s="81">
        <f t="shared" si="50"/>
        <v>248.60000000000002</v>
      </c>
      <c r="AR290" s="81">
        <f t="shared" si="51"/>
        <v>248.60000000000002</v>
      </c>
      <c r="AS290" s="81">
        <f t="shared" si="54"/>
        <v>0</v>
      </c>
    </row>
    <row r="291" spans="1:45" hidden="1" x14ac:dyDescent="0.3">
      <c r="A291">
        <v>5236727</v>
      </c>
      <c r="B291" s="15" t="s">
        <v>5627</v>
      </c>
      <c r="C291" s="16" t="s">
        <v>30</v>
      </c>
      <c r="D291" s="6" t="s">
        <v>31</v>
      </c>
      <c r="E291" t="s">
        <v>42</v>
      </c>
      <c r="F291" t="s">
        <v>42</v>
      </c>
      <c r="H291" s="11" t="s">
        <v>27</v>
      </c>
      <c r="I291" s="6" t="s">
        <v>28</v>
      </c>
      <c r="J291" s="6" t="s">
        <v>28</v>
      </c>
      <c r="K291" t="s">
        <v>32</v>
      </c>
      <c r="L291" s="29">
        <v>35.96</v>
      </c>
      <c r="M291" s="6" t="s">
        <v>29</v>
      </c>
      <c r="N291" s="6">
        <v>3105</v>
      </c>
      <c r="P291" s="18"/>
      <c r="Q291" s="17"/>
      <c r="R291" s="19">
        <v>41.09</v>
      </c>
      <c r="S291" s="19">
        <v>41.09</v>
      </c>
      <c r="T291" s="38">
        <v>55</v>
      </c>
      <c r="U291" s="38"/>
      <c r="V291" s="29">
        <v>35.96</v>
      </c>
      <c r="W291" s="44">
        <v>26.9</v>
      </c>
      <c r="X291" s="32">
        <f t="shared" si="44"/>
        <v>1977.8</v>
      </c>
      <c r="Y291" s="32">
        <f t="shared" si="45"/>
        <v>1977.8</v>
      </c>
      <c r="Z291" s="32">
        <f t="shared" si="46"/>
        <v>0</v>
      </c>
      <c r="AA291" s="38">
        <v>55</v>
      </c>
      <c r="AB291" s="37">
        <f>IFERROR(VLOOKUP(A291,'Tash Lookup'!A:E,3,FALSE),"")</f>
        <v>1634.69</v>
      </c>
      <c r="AC291" s="6">
        <f t="shared" si="47"/>
        <v>0</v>
      </c>
      <c r="AD291" s="2" t="s">
        <v>6703</v>
      </c>
      <c r="AF291" s="56">
        <v>37.96</v>
      </c>
      <c r="AG291" s="56">
        <f>VLOOKUP(A291,Sheet1!$A$2:$C$1140,3,FALSE)</f>
        <v>37.96</v>
      </c>
      <c r="AH291" s="58">
        <v>37.96</v>
      </c>
      <c r="AI291" s="56" t="str">
        <f t="shared" si="48"/>
        <v>Same</v>
      </c>
      <c r="AJ291" s="81">
        <f t="shared" si="52"/>
        <v>2087.8000000000002</v>
      </c>
      <c r="AK291" s="81">
        <f t="shared" si="53"/>
        <v>2087.8000000000002</v>
      </c>
      <c r="AL291" s="58" t="s">
        <v>32</v>
      </c>
      <c r="AM291" s="58" t="s">
        <v>6703</v>
      </c>
      <c r="AN291" s="75">
        <v>34</v>
      </c>
      <c r="AO291" s="88">
        <v>37.96</v>
      </c>
      <c r="AP291" s="6" t="str">
        <f t="shared" si="49"/>
        <v>Same</v>
      </c>
      <c r="AQ291" s="81">
        <f t="shared" si="50"/>
        <v>1290.6400000000001</v>
      </c>
      <c r="AR291" s="81">
        <f t="shared" si="51"/>
        <v>1290.6400000000001</v>
      </c>
      <c r="AS291" s="81">
        <f t="shared" si="54"/>
        <v>0</v>
      </c>
    </row>
    <row r="292" spans="1:45" hidden="1" x14ac:dyDescent="0.3">
      <c r="A292">
        <v>5090891</v>
      </c>
      <c r="B292" s="15" t="s">
        <v>5628</v>
      </c>
      <c r="C292" s="16" t="s">
        <v>30</v>
      </c>
      <c r="D292" s="6" t="s">
        <v>31</v>
      </c>
      <c r="E292" t="s">
        <v>578</v>
      </c>
      <c r="F292" t="s">
        <v>578</v>
      </c>
      <c r="H292" s="11" t="s">
        <v>27</v>
      </c>
      <c r="I292" s="6" t="s">
        <v>28</v>
      </c>
      <c r="J292" s="6" t="s">
        <v>28</v>
      </c>
      <c r="K292" t="s">
        <v>32</v>
      </c>
      <c r="L292" s="35">
        <v>21.73</v>
      </c>
      <c r="M292" s="6" t="s">
        <v>29</v>
      </c>
      <c r="N292" s="6">
        <v>3105</v>
      </c>
      <c r="P292" s="18"/>
      <c r="Q292" s="17"/>
      <c r="R292" s="19">
        <v>21.73</v>
      </c>
      <c r="S292" s="19">
        <v>21.73</v>
      </c>
      <c r="T292" s="38">
        <v>54</v>
      </c>
      <c r="U292" s="38"/>
      <c r="V292" s="29">
        <v>21.73</v>
      </c>
      <c r="W292" s="35">
        <v>21.73</v>
      </c>
      <c r="X292" s="32">
        <f t="shared" si="44"/>
        <v>1173.42</v>
      </c>
      <c r="Y292" s="32">
        <f t="shared" si="45"/>
        <v>1173.42</v>
      </c>
      <c r="Z292" s="32">
        <f t="shared" si="46"/>
        <v>0</v>
      </c>
      <c r="AA292" s="38">
        <v>54</v>
      </c>
      <c r="AB292" s="37">
        <f>IFERROR(VLOOKUP(A292,'Tash Lookup'!A:E,3,FALSE),"")</f>
        <v>1157.19</v>
      </c>
      <c r="AC292" s="6">
        <f t="shared" si="47"/>
        <v>0</v>
      </c>
      <c r="AD292" s="2" t="s">
        <v>6703</v>
      </c>
      <c r="AF292" s="56">
        <v>23.28</v>
      </c>
      <c r="AG292" s="56">
        <f>VLOOKUP(A292,Sheet1!$A$2:$C$1140,3,FALSE)</f>
        <v>23.97</v>
      </c>
      <c r="AH292" s="58">
        <v>23.97</v>
      </c>
      <c r="AI292" s="56" t="str">
        <f t="shared" si="48"/>
        <v>Increase</v>
      </c>
      <c r="AJ292" s="81">
        <f t="shared" si="52"/>
        <v>1257.1200000000001</v>
      </c>
      <c r="AK292" s="81">
        <f t="shared" si="53"/>
        <v>1294.3799999999999</v>
      </c>
      <c r="AL292" s="58" t="s">
        <v>32</v>
      </c>
      <c r="AM292" s="58" t="s">
        <v>6703</v>
      </c>
      <c r="AN292" s="75">
        <v>22</v>
      </c>
      <c r="AO292" s="88">
        <v>23.97</v>
      </c>
      <c r="AP292" s="6" t="str">
        <f t="shared" si="49"/>
        <v>Increase</v>
      </c>
      <c r="AQ292" s="81">
        <f t="shared" si="50"/>
        <v>512.16000000000008</v>
      </c>
      <c r="AR292" s="81">
        <f t="shared" si="51"/>
        <v>527.33999999999992</v>
      </c>
      <c r="AS292" s="82">
        <f t="shared" si="54"/>
        <v>15.179999999999836</v>
      </c>
    </row>
    <row r="293" spans="1:45" hidden="1" x14ac:dyDescent="0.3">
      <c r="A293">
        <v>6107277</v>
      </c>
      <c r="B293" s="15" t="s">
        <v>5629</v>
      </c>
      <c r="C293" s="16" t="s">
        <v>30</v>
      </c>
      <c r="D293" s="6" t="s">
        <v>31</v>
      </c>
      <c r="E293" t="s">
        <v>969</v>
      </c>
      <c r="F293" t="s">
        <v>969</v>
      </c>
      <c r="H293" s="11" t="s">
        <v>27</v>
      </c>
      <c r="I293" s="6" t="s">
        <v>28</v>
      </c>
      <c r="J293" s="6" t="s">
        <v>28</v>
      </c>
      <c r="K293" t="s">
        <v>32</v>
      </c>
      <c r="L293" s="35">
        <v>9.83</v>
      </c>
      <c r="M293" s="6" t="s">
        <v>29</v>
      </c>
      <c r="N293" s="6">
        <v>3105</v>
      </c>
      <c r="P293" s="18"/>
      <c r="Q293" s="17"/>
      <c r="R293" s="19">
        <v>0</v>
      </c>
      <c r="S293" s="19">
        <v>0</v>
      </c>
      <c r="T293" s="38">
        <v>54</v>
      </c>
      <c r="U293" s="38"/>
      <c r="V293" s="29">
        <v>9.83</v>
      </c>
      <c r="W293" s="35">
        <v>9.83</v>
      </c>
      <c r="X293" s="32">
        <f t="shared" si="44"/>
        <v>530.82000000000005</v>
      </c>
      <c r="Y293" s="32">
        <f t="shared" si="45"/>
        <v>530.82000000000005</v>
      </c>
      <c r="Z293" s="32">
        <f t="shared" si="46"/>
        <v>0</v>
      </c>
      <c r="AA293" s="38">
        <v>54</v>
      </c>
      <c r="AB293" s="37">
        <f>IFERROR(VLOOKUP(A293,'Tash Lookup'!A:E,3,FALSE),"")</f>
        <v>530.75</v>
      </c>
      <c r="AC293" s="6">
        <f t="shared" si="47"/>
        <v>0</v>
      </c>
      <c r="AD293" s="2" t="s">
        <v>6703</v>
      </c>
      <c r="AF293" s="56">
        <v>9.83</v>
      </c>
      <c r="AG293" s="56">
        <f>VLOOKUP(A293,Sheet1!$A$2:$C$1140,3,FALSE)</f>
        <v>9.83</v>
      </c>
      <c r="AH293" s="58">
        <v>9.83</v>
      </c>
      <c r="AI293" s="56" t="str">
        <f t="shared" si="48"/>
        <v>Same</v>
      </c>
      <c r="AJ293" s="81">
        <f t="shared" si="52"/>
        <v>530.82000000000005</v>
      </c>
      <c r="AK293" s="81">
        <f t="shared" si="53"/>
        <v>530.82000000000005</v>
      </c>
      <c r="AL293" s="58" t="s">
        <v>7206</v>
      </c>
      <c r="AM293" s="58" t="s">
        <v>6703</v>
      </c>
      <c r="AN293" s="75">
        <v>34</v>
      </c>
      <c r="AO293" s="88">
        <v>9.83</v>
      </c>
      <c r="AP293" s="6" t="str">
        <f t="shared" si="49"/>
        <v>Same</v>
      </c>
      <c r="AQ293" s="81">
        <f t="shared" si="50"/>
        <v>334.22</v>
      </c>
      <c r="AR293" s="81">
        <f t="shared" si="51"/>
        <v>334.22</v>
      </c>
      <c r="AS293" s="81">
        <f t="shared" si="54"/>
        <v>0</v>
      </c>
    </row>
    <row r="294" spans="1:45" hidden="1" x14ac:dyDescent="0.3">
      <c r="A294">
        <v>5222323</v>
      </c>
      <c r="B294" s="15" t="s">
        <v>5630</v>
      </c>
      <c r="C294" s="16" t="s">
        <v>30</v>
      </c>
      <c r="D294" s="6" t="s">
        <v>31</v>
      </c>
      <c r="E294" t="s">
        <v>646</v>
      </c>
      <c r="F294" t="s">
        <v>646</v>
      </c>
      <c r="H294" s="11" t="s">
        <v>27</v>
      </c>
      <c r="I294" s="6" t="s">
        <v>28</v>
      </c>
      <c r="J294" s="6" t="s">
        <v>28</v>
      </c>
      <c r="K294" t="s">
        <v>32</v>
      </c>
      <c r="L294" s="35">
        <v>12.25</v>
      </c>
      <c r="M294" s="6" t="s">
        <v>29</v>
      </c>
      <c r="N294" s="6">
        <v>3105</v>
      </c>
      <c r="P294" s="18"/>
      <c r="Q294" s="17"/>
      <c r="R294" s="19">
        <v>12.25</v>
      </c>
      <c r="S294" s="19">
        <v>12.25</v>
      </c>
      <c r="T294" s="38">
        <v>54</v>
      </c>
      <c r="U294" s="38"/>
      <c r="V294" s="30">
        <v>12.25</v>
      </c>
      <c r="W294" s="35">
        <v>12.25</v>
      </c>
      <c r="X294" s="32">
        <f t="shared" si="44"/>
        <v>661.5</v>
      </c>
      <c r="Y294" s="32">
        <f t="shared" si="45"/>
        <v>661.5</v>
      </c>
      <c r="Z294" s="32">
        <f t="shared" si="46"/>
        <v>0</v>
      </c>
      <c r="AA294" s="38">
        <v>54</v>
      </c>
      <c r="AB294" s="37">
        <f>IFERROR(VLOOKUP(A294,'Tash Lookup'!A:E,3,FALSE),"")</f>
        <v>654.62</v>
      </c>
      <c r="AC294" s="6">
        <f t="shared" si="47"/>
        <v>0</v>
      </c>
      <c r="AD294" s="2" t="s">
        <v>6703</v>
      </c>
      <c r="AF294" s="56">
        <v>12.74</v>
      </c>
      <c r="AG294" s="56">
        <f>VLOOKUP(A294,Sheet1!$A$2:$C$1140,3,FALSE)</f>
        <v>12.74</v>
      </c>
      <c r="AH294" s="58">
        <v>12.74</v>
      </c>
      <c r="AI294" s="56" t="str">
        <f t="shared" si="48"/>
        <v>Same</v>
      </c>
      <c r="AJ294" s="81">
        <f t="shared" si="52"/>
        <v>687.96</v>
      </c>
      <c r="AK294" s="81">
        <f t="shared" si="53"/>
        <v>687.96</v>
      </c>
      <c r="AL294" s="58" t="s">
        <v>7206</v>
      </c>
      <c r="AM294" s="58" t="s">
        <v>6703</v>
      </c>
      <c r="AN294" s="75">
        <v>13</v>
      </c>
      <c r="AO294" s="88">
        <v>12.74</v>
      </c>
      <c r="AP294" s="6" t="str">
        <f t="shared" si="49"/>
        <v>Same</v>
      </c>
      <c r="AQ294" s="81">
        <f t="shared" si="50"/>
        <v>165.62</v>
      </c>
      <c r="AR294" s="81">
        <f t="shared" si="51"/>
        <v>165.62</v>
      </c>
      <c r="AS294" s="81">
        <f t="shared" si="54"/>
        <v>0</v>
      </c>
    </row>
    <row r="295" spans="1:45" hidden="1" x14ac:dyDescent="0.3">
      <c r="A295">
        <v>6183826</v>
      </c>
      <c r="B295" s="15" t="s">
        <v>5631</v>
      </c>
      <c r="C295" s="16" t="s">
        <v>30</v>
      </c>
      <c r="D295" s="6" t="s">
        <v>31</v>
      </c>
      <c r="E295" t="s">
        <v>856</v>
      </c>
      <c r="F295" t="s">
        <v>856</v>
      </c>
      <c r="H295" s="11" t="s">
        <v>27</v>
      </c>
      <c r="I295" s="6" t="s">
        <v>28</v>
      </c>
      <c r="J295" s="6" t="s">
        <v>28</v>
      </c>
      <c r="K295" t="s">
        <v>32</v>
      </c>
      <c r="L295" s="35">
        <v>2.84</v>
      </c>
      <c r="M295" s="6" t="s">
        <v>29</v>
      </c>
      <c r="N295" s="6">
        <v>3105</v>
      </c>
      <c r="P295" s="18"/>
      <c r="Q295" s="17"/>
      <c r="R295" s="19">
        <v>2.84</v>
      </c>
      <c r="S295" s="19">
        <v>2.84</v>
      </c>
      <c r="T295" s="38">
        <v>54</v>
      </c>
      <c r="U295" s="38"/>
      <c r="V295" s="30">
        <v>2.84</v>
      </c>
      <c r="W295" s="35">
        <v>2.84</v>
      </c>
      <c r="X295" s="32">
        <f t="shared" si="44"/>
        <v>153.35999999999999</v>
      </c>
      <c r="Y295" s="32">
        <f t="shared" si="45"/>
        <v>153.35999999999999</v>
      </c>
      <c r="Z295" s="32">
        <f t="shared" si="46"/>
        <v>0</v>
      </c>
      <c r="AA295" s="38">
        <v>54</v>
      </c>
      <c r="AB295" s="37">
        <f>IFERROR(VLOOKUP(A295,'Tash Lookup'!A:E,3,FALSE),"")</f>
        <v>151.04</v>
      </c>
      <c r="AC295" s="6">
        <f t="shared" si="47"/>
        <v>0</v>
      </c>
      <c r="AD295" s="2" t="s">
        <v>6703</v>
      </c>
      <c r="AF295" s="56">
        <v>3.39</v>
      </c>
      <c r="AG295" s="56">
        <f>VLOOKUP(A295,Sheet1!$A$2:$C$1140,3,FALSE)</f>
        <v>3.45</v>
      </c>
      <c r="AH295" s="58">
        <v>3.45</v>
      </c>
      <c r="AI295" s="56" t="str">
        <f t="shared" si="48"/>
        <v>Increase</v>
      </c>
      <c r="AJ295" s="81">
        <f t="shared" si="52"/>
        <v>183.06</v>
      </c>
      <c r="AK295" s="81">
        <f t="shared" si="53"/>
        <v>186.3</v>
      </c>
      <c r="AL295" s="58" t="s">
        <v>7206</v>
      </c>
      <c r="AM295" s="58" t="s">
        <v>6703</v>
      </c>
      <c r="AN295" s="75">
        <v>41</v>
      </c>
      <c r="AO295" s="88">
        <v>3.45</v>
      </c>
      <c r="AP295" s="6" t="str">
        <f t="shared" si="49"/>
        <v>Increase</v>
      </c>
      <c r="AQ295" s="81">
        <f t="shared" si="50"/>
        <v>138.99</v>
      </c>
      <c r="AR295" s="81">
        <f t="shared" si="51"/>
        <v>141.45000000000002</v>
      </c>
      <c r="AS295" s="82">
        <f t="shared" si="54"/>
        <v>2.460000000000008</v>
      </c>
    </row>
    <row r="296" spans="1:45" hidden="1" x14ac:dyDescent="0.3">
      <c r="A296">
        <v>6188861</v>
      </c>
      <c r="B296" s="15" t="s">
        <v>5632</v>
      </c>
      <c r="C296" s="16" t="s">
        <v>30</v>
      </c>
      <c r="D296" s="6" t="s">
        <v>31</v>
      </c>
      <c r="E296" t="s">
        <v>795</v>
      </c>
      <c r="F296" t="s">
        <v>795</v>
      </c>
      <c r="H296" s="11" t="s">
        <v>27</v>
      </c>
      <c r="I296" s="6" t="s">
        <v>28</v>
      </c>
      <c r="J296" s="6" t="s">
        <v>28</v>
      </c>
      <c r="K296" t="s">
        <v>32</v>
      </c>
      <c r="L296" s="35">
        <v>12.03</v>
      </c>
      <c r="M296" s="6" t="s">
        <v>29</v>
      </c>
      <c r="N296" s="6">
        <v>3105</v>
      </c>
      <c r="P296" s="18"/>
      <c r="Q296" s="17"/>
      <c r="R296" s="19">
        <v>12.54</v>
      </c>
      <c r="S296" s="19">
        <v>0</v>
      </c>
      <c r="T296" s="38">
        <v>53</v>
      </c>
      <c r="U296" s="38"/>
      <c r="V296" s="30">
        <v>12.54</v>
      </c>
      <c r="W296" s="35">
        <v>12.03</v>
      </c>
      <c r="X296" s="32">
        <f t="shared" si="44"/>
        <v>664.62</v>
      </c>
      <c r="Y296" s="32">
        <f t="shared" si="45"/>
        <v>637.58999999999992</v>
      </c>
      <c r="Z296" s="32">
        <f t="shared" si="46"/>
        <v>27.030000000000086</v>
      </c>
      <c r="AA296" s="38">
        <v>53</v>
      </c>
      <c r="AB296" s="37">
        <f>IFERROR(VLOOKUP(A296,'Tash Lookup'!A:E,3,FALSE),"")</f>
        <v>640.07000000000005</v>
      </c>
      <c r="AC296" s="6">
        <f t="shared" si="47"/>
        <v>0</v>
      </c>
      <c r="AD296" s="2" t="s">
        <v>6703</v>
      </c>
      <c r="AF296" s="56">
        <v>12.54</v>
      </c>
      <c r="AG296" s="56">
        <f>VLOOKUP(A296,Sheet1!$A$2:$C$1140,3,FALSE)</f>
        <v>12.79</v>
      </c>
      <c r="AH296" s="58">
        <v>12.79</v>
      </c>
      <c r="AI296" s="56" t="str">
        <f t="shared" si="48"/>
        <v>Increase</v>
      </c>
      <c r="AJ296" s="81">
        <f t="shared" si="52"/>
        <v>664.62</v>
      </c>
      <c r="AK296" s="81">
        <f t="shared" si="53"/>
        <v>677.87</v>
      </c>
      <c r="AL296" s="58" t="s">
        <v>7206</v>
      </c>
      <c r="AM296" s="58" t="s">
        <v>6703</v>
      </c>
      <c r="AN296" s="75">
        <v>35</v>
      </c>
      <c r="AO296" s="88">
        <v>12.79</v>
      </c>
      <c r="AP296" s="6" t="str">
        <f t="shared" si="49"/>
        <v>Increase</v>
      </c>
      <c r="AQ296" s="81">
        <f t="shared" si="50"/>
        <v>438.9</v>
      </c>
      <c r="AR296" s="81">
        <f t="shared" si="51"/>
        <v>447.65</v>
      </c>
      <c r="AS296" s="82">
        <f t="shared" si="54"/>
        <v>8.75</v>
      </c>
    </row>
    <row r="297" spans="1:45" hidden="1" x14ac:dyDescent="0.3">
      <c r="A297">
        <v>5218619</v>
      </c>
      <c r="B297" s="15" t="s">
        <v>5633</v>
      </c>
      <c r="C297" s="16" t="s">
        <v>30</v>
      </c>
      <c r="D297" s="6" t="s">
        <v>31</v>
      </c>
      <c r="E297" t="s">
        <v>257</v>
      </c>
      <c r="F297" t="s">
        <v>257</v>
      </c>
      <c r="H297" s="11" t="s">
        <v>27</v>
      </c>
      <c r="I297" s="6" t="s">
        <v>28</v>
      </c>
      <c r="J297" s="6" t="s">
        <v>28</v>
      </c>
      <c r="K297" t="s">
        <v>32</v>
      </c>
      <c r="L297" s="35">
        <v>18.93</v>
      </c>
      <c r="M297" s="6" t="s">
        <v>29</v>
      </c>
      <c r="N297" s="6">
        <v>3105</v>
      </c>
      <c r="P297" s="18"/>
      <c r="Q297" s="17"/>
      <c r="R297" s="19">
        <v>23.13</v>
      </c>
      <c r="S297" s="19">
        <v>23.13</v>
      </c>
      <c r="T297" s="38">
        <v>53</v>
      </c>
      <c r="U297" s="38"/>
      <c r="V297" s="29">
        <v>18.93</v>
      </c>
      <c r="W297" s="45">
        <v>13.48</v>
      </c>
      <c r="X297" s="32">
        <f t="shared" si="44"/>
        <v>1003.29</v>
      </c>
      <c r="Y297" s="32">
        <f t="shared" si="45"/>
        <v>1003.29</v>
      </c>
      <c r="Z297" s="32">
        <f t="shared" si="46"/>
        <v>0</v>
      </c>
      <c r="AA297" s="38">
        <v>53</v>
      </c>
      <c r="AB297" s="37">
        <f>IFERROR(VLOOKUP(A297,'Tash Lookup'!A:E,3,FALSE),"")</f>
        <v>881</v>
      </c>
      <c r="AC297" s="6">
        <f t="shared" si="47"/>
        <v>0</v>
      </c>
      <c r="AD297" s="2" t="s">
        <v>6703</v>
      </c>
      <c r="AF297" s="56">
        <v>21.47</v>
      </c>
      <c r="AG297" s="56">
        <f>VLOOKUP(A297,Sheet1!$A$2:$C$1140,3,FALSE)</f>
        <v>22.11</v>
      </c>
      <c r="AH297" s="58">
        <v>22.11</v>
      </c>
      <c r="AI297" s="56" t="str">
        <f t="shared" si="48"/>
        <v>Increase</v>
      </c>
      <c r="AJ297" s="81">
        <f t="shared" si="52"/>
        <v>1137.9099999999999</v>
      </c>
      <c r="AK297" s="81">
        <f t="shared" si="53"/>
        <v>1171.83</v>
      </c>
      <c r="AL297" s="58" t="s">
        <v>32</v>
      </c>
      <c r="AM297" s="58" t="s">
        <v>6703</v>
      </c>
      <c r="AN297" s="75">
        <v>34</v>
      </c>
      <c r="AO297" s="88">
        <v>22.11</v>
      </c>
      <c r="AP297" s="6" t="str">
        <f t="shared" si="49"/>
        <v>Increase</v>
      </c>
      <c r="AQ297" s="81">
        <f t="shared" si="50"/>
        <v>729.98</v>
      </c>
      <c r="AR297" s="81">
        <f t="shared" si="51"/>
        <v>751.74</v>
      </c>
      <c r="AS297" s="82">
        <f t="shared" si="54"/>
        <v>21.759999999999991</v>
      </c>
    </row>
    <row r="298" spans="1:45" hidden="1" x14ac:dyDescent="0.3">
      <c r="A298">
        <v>5085004</v>
      </c>
      <c r="B298" s="15" t="s">
        <v>5634</v>
      </c>
      <c r="C298" s="16" t="s">
        <v>30</v>
      </c>
      <c r="D298" s="6" t="s">
        <v>31</v>
      </c>
      <c r="E298" t="s">
        <v>1116</v>
      </c>
      <c r="F298" t="s">
        <v>1116</v>
      </c>
      <c r="H298" s="11" t="s">
        <v>27</v>
      </c>
      <c r="I298" s="6" t="s">
        <v>28</v>
      </c>
      <c r="J298" s="6" t="s">
        <v>28</v>
      </c>
      <c r="K298" t="s">
        <v>32</v>
      </c>
      <c r="L298" s="35">
        <v>3.54</v>
      </c>
      <c r="M298" s="6" t="s">
        <v>29</v>
      </c>
      <c r="N298" s="6">
        <v>3105</v>
      </c>
      <c r="P298" s="18"/>
      <c r="Q298" s="17"/>
      <c r="R298" s="19">
        <v>3.54</v>
      </c>
      <c r="S298" s="19">
        <v>3.54</v>
      </c>
      <c r="T298" s="38">
        <v>53</v>
      </c>
      <c r="U298" s="38"/>
      <c r="V298" s="30">
        <v>3.54</v>
      </c>
      <c r="W298" s="35">
        <v>3.54</v>
      </c>
      <c r="X298" s="32">
        <f t="shared" si="44"/>
        <v>187.62</v>
      </c>
      <c r="Y298" s="32">
        <f t="shared" si="45"/>
        <v>187.62</v>
      </c>
      <c r="Z298" s="32">
        <f t="shared" si="46"/>
        <v>0</v>
      </c>
      <c r="AA298" s="38">
        <v>53</v>
      </c>
      <c r="AB298" s="37">
        <f>IFERROR(VLOOKUP(A298,'Tash Lookup'!A:E,3,FALSE),"")</f>
        <v>186.15</v>
      </c>
      <c r="AC298" s="6">
        <f t="shared" si="47"/>
        <v>0</v>
      </c>
      <c r="AD298" s="2" t="s">
        <v>6703</v>
      </c>
      <c r="AF298" s="56">
        <v>3.6</v>
      </c>
      <c r="AG298" s="56">
        <f>VLOOKUP(A298,Sheet1!$A$2:$C$1140,3,FALSE)</f>
        <v>3.6</v>
      </c>
      <c r="AH298" s="58">
        <v>3.6</v>
      </c>
      <c r="AI298" s="56" t="str">
        <f t="shared" si="48"/>
        <v>Same</v>
      </c>
      <c r="AJ298" s="81">
        <f t="shared" si="52"/>
        <v>190.8</v>
      </c>
      <c r="AK298" s="81">
        <f t="shared" si="53"/>
        <v>190.8</v>
      </c>
      <c r="AL298" s="58" t="s">
        <v>7206</v>
      </c>
      <c r="AM298" s="58" t="s">
        <v>6703</v>
      </c>
      <c r="AN298" s="75">
        <v>6</v>
      </c>
      <c r="AO298" s="88">
        <v>3.6</v>
      </c>
      <c r="AP298" s="6" t="str">
        <f t="shared" si="49"/>
        <v>Same</v>
      </c>
      <c r="AQ298" s="81">
        <f t="shared" si="50"/>
        <v>21.6</v>
      </c>
      <c r="AR298" s="81">
        <f t="shared" si="51"/>
        <v>21.6</v>
      </c>
      <c r="AS298" s="81">
        <f t="shared" si="54"/>
        <v>0</v>
      </c>
    </row>
    <row r="299" spans="1:45" hidden="1" x14ac:dyDescent="0.3">
      <c r="A299">
        <v>5090799</v>
      </c>
      <c r="B299" s="15" t="s">
        <v>5635</v>
      </c>
      <c r="C299" s="16" t="s">
        <v>30</v>
      </c>
      <c r="D299" s="6" t="s">
        <v>31</v>
      </c>
      <c r="E299" t="s">
        <v>175</v>
      </c>
      <c r="F299" t="s">
        <v>175</v>
      </c>
      <c r="H299" s="11" t="s">
        <v>27</v>
      </c>
      <c r="I299" s="6" t="s">
        <v>28</v>
      </c>
      <c r="J299" s="6" t="s">
        <v>28</v>
      </c>
      <c r="K299" t="s">
        <v>32</v>
      </c>
      <c r="L299" s="35">
        <v>8.7899999999999991</v>
      </c>
      <c r="M299" s="6" t="s">
        <v>29</v>
      </c>
      <c r="N299" s="6">
        <v>3105</v>
      </c>
      <c r="P299" s="18"/>
      <c r="Q299" s="17"/>
      <c r="R299" s="19">
        <v>8.7899999999999991</v>
      </c>
      <c r="S299" s="19">
        <v>8.7899999999999991</v>
      </c>
      <c r="T299" s="38">
        <v>53</v>
      </c>
      <c r="U299" s="38"/>
      <c r="V299" s="29">
        <v>7.0584999999999996</v>
      </c>
      <c r="W299" s="35">
        <v>8.7899999999999991</v>
      </c>
      <c r="X299" s="32">
        <f t="shared" si="44"/>
        <v>374.10049999999995</v>
      </c>
      <c r="Y299" s="32">
        <f t="shared" si="45"/>
        <v>465.86999999999995</v>
      </c>
      <c r="Z299" s="32">
        <f t="shared" si="46"/>
        <v>-91.769499999999994</v>
      </c>
      <c r="AA299" s="38">
        <v>53</v>
      </c>
      <c r="AB299" s="37">
        <f>IFERROR(VLOOKUP(A299,'Tash Lookup'!A:E,3,FALSE),"")</f>
        <v>446.83000000000004</v>
      </c>
      <c r="AC299" s="6">
        <f t="shared" si="47"/>
        <v>0</v>
      </c>
      <c r="AD299" s="2" t="s">
        <v>6703</v>
      </c>
      <c r="AF299" s="56">
        <v>7.52</v>
      </c>
      <c r="AG299" s="56">
        <f>VLOOKUP(A299,Sheet1!$A$2:$C$1140,3,FALSE)</f>
        <v>7.82</v>
      </c>
      <c r="AH299" s="58">
        <v>7.82</v>
      </c>
      <c r="AI299" s="56" t="str">
        <f t="shared" si="48"/>
        <v>Increase</v>
      </c>
      <c r="AJ299" s="81">
        <f t="shared" si="52"/>
        <v>398.56</v>
      </c>
      <c r="AK299" s="81">
        <f t="shared" si="53"/>
        <v>414.46000000000004</v>
      </c>
      <c r="AL299" s="58" t="s">
        <v>32</v>
      </c>
      <c r="AM299" s="58" t="s">
        <v>6703</v>
      </c>
      <c r="AN299" s="75">
        <v>29</v>
      </c>
      <c r="AO299" s="88">
        <v>7.82</v>
      </c>
      <c r="AP299" s="6" t="str">
        <f t="shared" si="49"/>
        <v>Increase</v>
      </c>
      <c r="AQ299" s="81">
        <f t="shared" si="50"/>
        <v>218.07999999999998</v>
      </c>
      <c r="AR299" s="81">
        <f t="shared" si="51"/>
        <v>226.78</v>
      </c>
      <c r="AS299" s="82">
        <f t="shared" si="54"/>
        <v>8.7000000000000171</v>
      </c>
    </row>
    <row r="300" spans="1:45" hidden="1" x14ac:dyDescent="0.3">
      <c r="A300">
        <v>6365273</v>
      </c>
      <c r="B300" s="15" t="s">
        <v>5636</v>
      </c>
      <c r="C300" s="16" t="s">
        <v>30</v>
      </c>
      <c r="D300" s="6" t="s">
        <v>31</v>
      </c>
      <c r="E300" t="s">
        <v>755</v>
      </c>
      <c r="F300" t="s">
        <v>755</v>
      </c>
      <c r="H300" s="11" t="s">
        <v>27</v>
      </c>
      <c r="I300" s="6" t="s">
        <v>28</v>
      </c>
      <c r="J300" s="6" t="s">
        <v>28</v>
      </c>
      <c r="K300" t="s">
        <v>32</v>
      </c>
      <c r="L300" s="35">
        <v>3.09</v>
      </c>
      <c r="M300" s="6" t="s">
        <v>29</v>
      </c>
      <c r="N300" s="6">
        <v>3105</v>
      </c>
      <c r="P300" s="18"/>
      <c r="Q300" s="17"/>
      <c r="R300" s="19">
        <v>3.09</v>
      </c>
      <c r="S300" s="19">
        <v>3.09</v>
      </c>
      <c r="T300" s="38">
        <v>52</v>
      </c>
      <c r="U300" s="38"/>
      <c r="V300" s="30">
        <v>3.09</v>
      </c>
      <c r="W300" s="35">
        <v>3.09</v>
      </c>
      <c r="X300" s="32">
        <f t="shared" si="44"/>
        <v>160.68</v>
      </c>
      <c r="Y300" s="32">
        <f t="shared" si="45"/>
        <v>160.68</v>
      </c>
      <c r="Z300" s="32">
        <f t="shared" si="46"/>
        <v>0</v>
      </c>
      <c r="AA300" s="38">
        <v>52</v>
      </c>
      <c r="AB300" s="37">
        <f>IFERROR(VLOOKUP(A300,'Tash Lookup'!A:E,3,FALSE),"")</f>
        <v>156.97</v>
      </c>
      <c r="AC300" s="6">
        <f t="shared" si="47"/>
        <v>0</v>
      </c>
      <c r="AD300" s="2" t="s">
        <v>6703</v>
      </c>
      <c r="AF300" s="56">
        <v>3.09</v>
      </c>
      <c r="AG300" s="56">
        <f>VLOOKUP(A300,Sheet1!$A$2:$C$1140,3,FALSE)</f>
        <v>3.15</v>
      </c>
      <c r="AH300" s="58">
        <v>3.15</v>
      </c>
      <c r="AI300" s="56" t="str">
        <f t="shared" si="48"/>
        <v>Increase</v>
      </c>
      <c r="AJ300" s="81">
        <f t="shared" si="52"/>
        <v>160.68</v>
      </c>
      <c r="AK300" s="81">
        <f t="shared" si="53"/>
        <v>163.79999999999998</v>
      </c>
      <c r="AL300" s="58" t="s">
        <v>7206</v>
      </c>
      <c r="AM300" s="58" t="s">
        <v>6703</v>
      </c>
      <c r="AN300" s="75">
        <v>26</v>
      </c>
      <c r="AO300" s="88">
        <v>3.15</v>
      </c>
      <c r="AP300" s="6" t="str">
        <f t="shared" si="49"/>
        <v>Increase</v>
      </c>
      <c r="AQ300" s="81">
        <f t="shared" si="50"/>
        <v>80.34</v>
      </c>
      <c r="AR300" s="81">
        <f t="shared" si="51"/>
        <v>81.899999999999991</v>
      </c>
      <c r="AS300" s="82">
        <f t="shared" si="54"/>
        <v>1.5599999999999881</v>
      </c>
    </row>
    <row r="301" spans="1:45" hidden="1" x14ac:dyDescent="0.3">
      <c r="A301">
        <v>6188834</v>
      </c>
      <c r="B301" s="15" t="s">
        <v>5637</v>
      </c>
      <c r="C301" s="16" t="s">
        <v>30</v>
      </c>
      <c r="D301" s="6" t="s">
        <v>31</v>
      </c>
      <c r="E301" t="s">
        <v>896</v>
      </c>
      <c r="F301" t="s">
        <v>896</v>
      </c>
      <c r="H301" s="11" t="s">
        <v>27</v>
      </c>
      <c r="I301" s="6" t="s">
        <v>28</v>
      </c>
      <c r="J301" s="6" t="s">
        <v>28</v>
      </c>
      <c r="K301" t="s">
        <v>32</v>
      </c>
      <c r="L301" s="35">
        <v>8.7200000000000006</v>
      </c>
      <c r="M301" s="6" t="s">
        <v>29</v>
      </c>
      <c r="N301" s="6">
        <v>3105</v>
      </c>
      <c r="P301" s="18"/>
      <c r="Q301" s="17"/>
      <c r="R301" s="19">
        <v>8.7200000000000006</v>
      </c>
      <c r="S301" s="19">
        <v>8.7200000000000006</v>
      </c>
      <c r="T301" s="38">
        <v>52</v>
      </c>
      <c r="U301" s="38"/>
      <c r="V301" s="30">
        <v>8.7200000000000006</v>
      </c>
      <c r="W301" s="35">
        <v>8.7200000000000006</v>
      </c>
      <c r="X301" s="32">
        <f t="shared" si="44"/>
        <v>453.44000000000005</v>
      </c>
      <c r="Y301" s="32">
        <f t="shared" si="45"/>
        <v>453.44000000000005</v>
      </c>
      <c r="Z301" s="32">
        <f t="shared" si="46"/>
        <v>0</v>
      </c>
      <c r="AA301" s="38">
        <v>52</v>
      </c>
      <c r="AB301" s="37">
        <f>IFERROR(VLOOKUP(A301,'Tash Lookup'!A:E,3,FALSE),"")</f>
        <v>447.82</v>
      </c>
      <c r="AC301" s="6">
        <f t="shared" si="47"/>
        <v>0</v>
      </c>
      <c r="AD301" s="2" t="s">
        <v>6703</v>
      </c>
      <c r="AF301" s="56">
        <v>8.7200000000000006</v>
      </c>
      <c r="AG301" s="56">
        <f>VLOOKUP(A301,Sheet1!$A$2:$C$1140,3,FALSE)</f>
        <v>8.9</v>
      </c>
      <c r="AH301" s="58">
        <v>8.9</v>
      </c>
      <c r="AI301" s="56" t="str">
        <f t="shared" si="48"/>
        <v>Increase</v>
      </c>
      <c r="AJ301" s="81">
        <f t="shared" si="52"/>
        <v>453.44000000000005</v>
      </c>
      <c r="AK301" s="81">
        <f t="shared" si="53"/>
        <v>462.8</v>
      </c>
      <c r="AL301" s="58" t="s">
        <v>7206</v>
      </c>
      <c r="AM301" s="58" t="s">
        <v>6703</v>
      </c>
      <c r="AN301" s="75">
        <v>121</v>
      </c>
      <c r="AO301" s="88">
        <v>8.9</v>
      </c>
      <c r="AP301" s="6" t="str">
        <f t="shared" si="49"/>
        <v>Increase</v>
      </c>
      <c r="AQ301" s="81">
        <f t="shared" si="50"/>
        <v>1055.1200000000001</v>
      </c>
      <c r="AR301" s="81">
        <f t="shared" si="51"/>
        <v>1076.9000000000001</v>
      </c>
      <c r="AS301" s="82">
        <f t="shared" si="54"/>
        <v>21.779999999999973</v>
      </c>
    </row>
    <row r="302" spans="1:45" hidden="1" x14ac:dyDescent="0.3">
      <c r="A302">
        <v>5090892</v>
      </c>
      <c r="B302" s="15" t="s">
        <v>5638</v>
      </c>
      <c r="C302" s="16" t="s">
        <v>30</v>
      </c>
      <c r="D302" s="6" t="s">
        <v>31</v>
      </c>
      <c r="E302" t="s">
        <v>577</v>
      </c>
      <c r="F302" t="s">
        <v>577</v>
      </c>
      <c r="H302" s="11" t="s">
        <v>27</v>
      </c>
      <c r="I302" s="6" t="s">
        <v>28</v>
      </c>
      <c r="J302" s="6" t="s">
        <v>28</v>
      </c>
      <c r="K302" t="s">
        <v>32</v>
      </c>
      <c r="L302" s="35">
        <v>5.25</v>
      </c>
      <c r="M302" s="6" t="s">
        <v>29</v>
      </c>
      <c r="N302" s="6">
        <v>3105</v>
      </c>
      <c r="P302" s="18"/>
      <c r="Q302" s="17"/>
      <c r="R302" s="19">
        <v>5.25</v>
      </c>
      <c r="S302" s="19">
        <v>5.25</v>
      </c>
      <c r="T302" s="38">
        <v>52</v>
      </c>
      <c r="U302" s="38"/>
      <c r="V302" s="29">
        <v>5.25</v>
      </c>
      <c r="W302" s="35">
        <v>5.25</v>
      </c>
      <c r="X302" s="32">
        <f t="shared" si="44"/>
        <v>273</v>
      </c>
      <c r="Y302" s="32">
        <f t="shared" si="45"/>
        <v>273</v>
      </c>
      <c r="Z302" s="32">
        <f t="shared" si="46"/>
        <v>0</v>
      </c>
      <c r="AA302" s="38">
        <v>52</v>
      </c>
      <c r="AB302" s="37">
        <f>IFERROR(VLOOKUP(A302,'Tash Lookup'!A:E,3,FALSE),"")</f>
        <v>271.33999999999997</v>
      </c>
      <c r="AC302" s="6">
        <f t="shared" si="47"/>
        <v>0</v>
      </c>
      <c r="AD302" s="2" t="s">
        <v>6703</v>
      </c>
      <c r="AF302" s="56">
        <v>5.51</v>
      </c>
      <c r="AG302" s="56">
        <f>VLOOKUP(A302,Sheet1!$A$2:$C$1140,3,FALSE)</f>
        <v>5.68</v>
      </c>
      <c r="AH302" s="58">
        <v>5.68</v>
      </c>
      <c r="AI302" s="56" t="str">
        <f t="shared" si="48"/>
        <v>Increase</v>
      </c>
      <c r="AJ302" s="81">
        <f t="shared" si="52"/>
        <v>286.52</v>
      </c>
      <c r="AK302" s="81">
        <f t="shared" si="53"/>
        <v>295.36</v>
      </c>
      <c r="AL302" s="58" t="s">
        <v>32</v>
      </c>
      <c r="AM302" s="58" t="s">
        <v>6703</v>
      </c>
      <c r="AN302" s="75">
        <v>22</v>
      </c>
      <c r="AO302" s="88">
        <v>5.68</v>
      </c>
      <c r="AP302" s="6" t="str">
        <f t="shared" si="49"/>
        <v>Increase</v>
      </c>
      <c r="AQ302" s="81">
        <f t="shared" si="50"/>
        <v>121.22</v>
      </c>
      <c r="AR302" s="81">
        <f t="shared" si="51"/>
        <v>124.96</v>
      </c>
      <c r="AS302" s="82">
        <f t="shared" si="54"/>
        <v>3.7399999999999949</v>
      </c>
    </row>
    <row r="303" spans="1:45" hidden="1" x14ac:dyDescent="0.3">
      <c r="A303">
        <v>6392196</v>
      </c>
      <c r="B303" s="15" t="s">
        <v>5639</v>
      </c>
      <c r="C303" s="16" t="s">
        <v>30</v>
      </c>
      <c r="D303" s="6" t="s">
        <v>31</v>
      </c>
      <c r="E303" t="s">
        <v>2548</v>
      </c>
      <c r="F303" t="s">
        <v>2548</v>
      </c>
      <c r="H303" s="11" t="s">
        <v>27</v>
      </c>
      <c r="I303" s="6" t="s">
        <v>28</v>
      </c>
      <c r="J303" s="6" t="s">
        <v>28</v>
      </c>
      <c r="K303" t="s">
        <v>32</v>
      </c>
      <c r="L303" s="35">
        <v>2.78</v>
      </c>
      <c r="M303" s="6" t="s">
        <v>29</v>
      </c>
      <c r="N303" s="6">
        <v>3105</v>
      </c>
      <c r="P303" s="18"/>
      <c r="Q303" s="17"/>
      <c r="R303" s="19">
        <v>2.78</v>
      </c>
      <c r="S303" s="19">
        <v>2.78</v>
      </c>
      <c r="T303" s="38">
        <v>52</v>
      </c>
      <c r="U303" s="38"/>
      <c r="V303" s="29">
        <v>2.78</v>
      </c>
      <c r="W303" s="35">
        <v>2.78</v>
      </c>
      <c r="X303" s="32">
        <f t="shared" si="44"/>
        <v>144.56</v>
      </c>
      <c r="Y303" s="32">
        <f t="shared" si="45"/>
        <v>144.56</v>
      </c>
      <c r="Z303" s="32">
        <f t="shared" si="46"/>
        <v>0</v>
      </c>
      <c r="AA303" s="38">
        <v>52</v>
      </c>
      <c r="AB303" s="37">
        <f>IFERROR(VLOOKUP(A303,'Tash Lookup'!A:E,3,FALSE),"")</f>
        <v>143.57</v>
      </c>
      <c r="AC303" s="6">
        <f t="shared" si="47"/>
        <v>0</v>
      </c>
      <c r="AD303" s="2" t="s">
        <v>6703</v>
      </c>
      <c r="AF303" s="56">
        <v>2.78</v>
      </c>
      <c r="AG303" s="56">
        <f>VLOOKUP(A303,Sheet1!$A$2:$C$1140,3,FALSE)</f>
        <v>2.83</v>
      </c>
      <c r="AH303" s="58">
        <v>2.83</v>
      </c>
      <c r="AI303" s="56" t="str">
        <f t="shared" si="48"/>
        <v>Increase</v>
      </c>
      <c r="AJ303" s="81">
        <f t="shared" si="52"/>
        <v>144.56</v>
      </c>
      <c r="AK303" s="81">
        <f t="shared" si="53"/>
        <v>147.16</v>
      </c>
      <c r="AL303" s="58" t="s">
        <v>7206</v>
      </c>
      <c r="AM303" s="58" t="s">
        <v>6703</v>
      </c>
      <c r="AN303" s="75">
        <v>6</v>
      </c>
      <c r="AO303" s="88">
        <v>2.83</v>
      </c>
      <c r="AP303" s="6" t="str">
        <f t="shared" si="49"/>
        <v>Increase</v>
      </c>
      <c r="AQ303" s="81">
        <f t="shared" si="50"/>
        <v>16.68</v>
      </c>
      <c r="AR303" s="81">
        <f t="shared" si="51"/>
        <v>16.98</v>
      </c>
      <c r="AS303" s="82">
        <f t="shared" si="54"/>
        <v>0.30000000000000071</v>
      </c>
    </row>
    <row r="304" spans="1:45" hidden="1" x14ac:dyDescent="0.3">
      <c r="A304">
        <v>5218618</v>
      </c>
      <c r="B304" s="15" t="s">
        <v>5640</v>
      </c>
      <c r="C304" s="16" t="s">
        <v>30</v>
      </c>
      <c r="D304" s="6" t="s">
        <v>31</v>
      </c>
      <c r="E304" t="s">
        <v>256</v>
      </c>
      <c r="F304" t="s">
        <v>256</v>
      </c>
      <c r="H304" s="11" t="s">
        <v>27</v>
      </c>
      <c r="I304" s="6" t="s">
        <v>28</v>
      </c>
      <c r="J304" s="6" t="s">
        <v>28</v>
      </c>
      <c r="K304" t="s">
        <v>32</v>
      </c>
      <c r="L304" s="35">
        <v>13.48</v>
      </c>
      <c r="M304" s="6" t="s">
        <v>29</v>
      </c>
      <c r="N304" s="6">
        <v>3105</v>
      </c>
      <c r="P304" s="18"/>
      <c r="Q304" s="17"/>
      <c r="R304" s="19">
        <v>13.48</v>
      </c>
      <c r="S304" s="19">
        <v>13.48</v>
      </c>
      <c r="T304" s="38">
        <v>52</v>
      </c>
      <c r="U304" s="38"/>
      <c r="V304" s="29">
        <v>13.48</v>
      </c>
      <c r="W304" s="45">
        <v>8.08</v>
      </c>
      <c r="X304" s="32">
        <f t="shared" si="44"/>
        <v>700.96</v>
      </c>
      <c r="Y304" s="32">
        <f t="shared" si="45"/>
        <v>700.96</v>
      </c>
      <c r="Z304" s="32">
        <f t="shared" si="46"/>
        <v>0</v>
      </c>
      <c r="AA304" s="38">
        <v>52</v>
      </c>
      <c r="AB304" s="37">
        <f>IFERROR(VLOOKUP(A304,'Tash Lookup'!A:E,3,FALSE),"")</f>
        <v>583.89</v>
      </c>
      <c r="AC304" s="6">
        <f t="shared" si="47"/>
        <v>0</v>
      </c>
      <c r="AD304" s="2" t="s">
        <v>6703</v>
      </c>
      <c r="AF304" s="56">
        <v>15.76</v>
      </c>
      <c r="AG304" s="56">
        <f>VLOOKUP(A304,Sheet1!$A$2:$C$1140,3,FALSE)</f>
        <v>16.23</v>
      </c>
      <c r="AH304" s="58">
        <v>16.23</v>
      </c>
      <c r="AI304" s="56" t="str">
        <f t="shared" si="48"/>
        <v>Increase</v>
      </c>
      <c r="AJ304" s="81">
        <f t="shared" si="52"/>
        <v>819.52</v>
      </c>
      <c r="AK304" s="81">
        <f t="shared" si="53"/>
        <v>843.96</v>
      </c>
      <c r="AL304" s="58" t="s">
        <v>32</v>
      </c>
      <c r="AM304" s="58" t="s">
        <v>6703</v>
      </c>
      <c r="AN304" s="75">
        <v>6</v>
      </c>
      <c r="AO304" s="88">
        <v>16.23</v>
      </c>
      <c r="AP304" s="6" t="str">
        <f t="shared" si="49"/>
        <v>Increase</v>
      </c>
      <c r="AQ304" s="81">
        <f t="shared" si="50"/>
        <v>94.56</v>
      </c>
      <c r="AR304" s="81">
        <f t="shared" si="51"/>
        <v>97.38</v>
      </c>
      <c r="AS304" s="82">
        <f t="shared" si="54"/>
        <v>2.8199999999999932</v>
      </c>
    </row>
    <row r="305" spans="1:45" hidden="1" x14ac:dyDescent="0.3">
      <c r="A305">
        <v>5222318</v>
      </c>
      <c r="B305" s="15" t="s">
        <v>5641</v>
      </c>
      <c r="C305" s="16" t="s">
        <v>30</v>
      </c>
      <c r="D305" s="6" t="s">
        <v>31</v>
      </c>
      <c r="E305" t="s">
        <v>652</v>
      </c>
      <c r="F305" t="s">
        <v>652</v>
      </c>
      <c r="H305" s="11" t="s">
        <v>27</v>
      </c>
      <c r="I305" s="6" t="s">
        <v>28</v>
      </c>
      <c r="J305" s="6" t="s">
        <v>28</v>
      </c>
      <c r="K305" t="s">
        <v>32</v>
      </c>
      <c r="L305" s="35">
        <v>52.6</v>
      </c>
      <c r="M305" s="6" t="s">
        <v>29</v>
      </c>
      <c r="N305" s="6">
        <v>3105</v>
      </c>
      <c r="P305" s="18"/>
      <c r="Q305" s="17"/>
      <c r="R305" s="19">
        <v>52.6</v>
      </c>
      <c r="S305" s="19">
        <v>52.6</v>
      </c>
      <c r="T305" s="38">
        <v>52</v>
      </c>
      <c r="U305" s="38"/>
      <c r="V305" s="30">
        <v>52.6</v>
      </c>
      <c r="W305" s="35">
        <v>52.6</v>
      </c>
      <c r="X305" s="32">
        <f t="shared" si="44"/>
        <v>2735.2000000000003</v>
      </c>
      <c r="Y305" s="32">
        <f t="shared" si="45"/>
        <v>2735.2000000000003</v>
      </c>
      <c r="Z305" s="32">
        <f t="shared" si="46"/>
        <v>0</v>
      </c>
      <c r="AA305" s="38">
        <v>52</v>
      </c>
      <c r="AB305" s="37">
        <f>IFERROR(VLOOKUP(A305,'Tash Lookup'!A:E,3,FALSE),"")</f>
        <v>2710.22</v>
      </c>
      <c r="AC305" s="6">
        <f t="shared" si="47"/>
        <v>0</v>
      </c>
      <c r="AD305" s="2" t="s">
        <v>6703</v>
      </c>
      <c r="AF305" s="56">
        <v>54.71</v>
      </c>
      <c r="AG305" s="56">
        <f>VLOOKUP(A305,Sheet1!$A$2:$C$1140,3,FALSE)</f>
        <v>54.71</v>
      </c>
      <c r="AH305" s="58">
        <v>54.71</v>
      </c>
      <c r="AI305" s="56" t="str">
        <f t="shared" si="48"/>
        <v>Same</v>
      </c>
      <c r="AJ305" s="81">
        <f t="shared" si="52"/>
        <v>2844.92</v>
      </c>
      <c r="AK305" s="81">
        <f t="shared" si="53"/>
        <v>2844.92</v>
      </c>
      <c r="AL305" s="58" t="s">
        <v>7206</v>
      </c>
      <c r="AM305" s="58" t="s">
        <v>6703</v>
      </c>
      <c r="AN305" s="75">
        <v>17</v>
      </c>
      <c r="AO305" s="88">
        <v>54.71</v>
      </c>
      <c r="AP305" s="6" t="str">
        <f t="shared" si="49"/>
        <v>Same</v>
      </c>
      <c r="AQ305" s="81">
        <f t="shared" si="50"/>
        <v>930.07</v>
      </c>
      <c r="AR305" s="81">
        <f t="shared" si="51"/>
        <v>930.07</v>
      </c>
      <c r="AS305" s="81">
        <f t="shared" si="54"/>
        <v>0</v>
      </c>
    </row>
    <row r="306" spans="1:45" hidden="1" x14ac:dyDescent="0.3">
      <c r="A306">
        <v>5218568</v>
      </c>
      <c r="B306" s="15" t="s">
        <v>5642</v>
      </c>
      <c r="C306" s="16" t="s">
        <v>30</v>
      </c>
      <c r="D306" s="6" t="s">
        <v>31</v>
      </c>
      <c r="E306" t="s">
        <v>243</v>
      </c>
      <c r="F306" t="s">
        <v>243</v>
      </c>
      <c r="H306" s="11" t="s">
        <v>27</v>
      </c>
      <c r="I306" s="6" t="s">
        <v>28</v>
      </c>
      <c r="J306" s="6" t="s">
        <v>28</v>
      </c>
      <c r="K306" t="s">
        <v>32</v>
      </c>
      <c r="L306" s="35">
        <v>44.93</v>
      </c>
      <c r="M306" s="6" t="s">
        <v>29</v>
      </c>
      <c r="N306" s="6">
        <v>3105</v>
      </c>
      <c r="P306" s="18"/>
      <c r="Q306" s="17"/>
      <c r="R306" s="19">
        <v>44.93</v>
      </c>
      <c r="S306" s="19">
        <v>44.93</v>
      </c>
      <c r="T306" s="38">
        <v>51</v>
      </c>
      <c r="U306" s="38"/>
      <c r="V306" s="29">
        <v>44.93</v>
      </c>
      <c r="W306" s="45">
        <v>39.5</v>
      </c>
      <c r="X306" s="32">
        <f t="shared" si="44"/>
        <v>2291.4299999999998</v>
      </c>
      <c r="Y306" s="32">
        <f t="shared" si="45"/>
        <v>2291.4299999999998</v>
      </c>
      <c r="Z306" s="32">
        <f t="shared" si="46"/>
        <v>0</v>
      </c>
      <c r="AA306" s="38">
        <v>51</v>
      </c>
      <c r="AB306" s="37">
        <f>IFERROR(VLOOKUP(A306,'Tash Lookup'!A:E,3,FALSE),"")</f>
        <v>2149.81</v>
      </c>
      <c r="AC306" s="6">
        <f t="shared" si="47"/>
        <v>0</v>
      </c>
      <c r="AD306" s="2" t="s">
        <v>6703</v>
      </c>
      <c r="AF306" s="56">
        <v>46.33</v>
      </c>
      <c r="AG306" s="56">
        <f>VLOOKUP(A306,Sheet1!$A$2:$C$1140,3,FALSE)</f>
        <v>47.72</v>
      </c>
      <c r="AH306" s="58">
        <v>47.72</v>
      </c>
      <c r="AI306" s="56" t="str">
        <f t="shared" si="48"/>
        <v>Increase</v>
      </c>
      <c r="AJ306" s="81">
        <f t="shared" si="52"/>
        <v>2362.83</v>
      </c>
      <c r="AK306" s="81">
        <f t="shared" si="53"/>
        <v>2433.7199999999998</v>
      </c>
      <c r="AL306" s="58" t="s">
        <v>32</v>
      </c>
      <c r="AM306" s="58" t="s">
        <v>6703</v>
      </c>
      <c r="AN306" s="75">
        <v>9</v>
      </c>
      <c r="AO306" s="88">
        <v>47.72</v>
      </c>
      <c r="AP306" s="6" t="str">
        <f t="shared" si="49"/>
        <v>Increase</v>
      </c>
      <c r="AQ306" s="81">
        <f t="shared" si="50"/>
        <v>416.96999999999997</v>
      </c>
      <c r="AR306" s="81">
        <f t="shared" si="51"/>
        <v>429.48</v>
      </c>
      <c r="AS306" s="82">
        <f t="shared" si="54"/>
        <v>12.510000000000048</v>
      </c>
    </row>
    <row r="307" spans="1:45" hidden="1" x14ac:dyDescent="0.3">
      <c r="A307">
        <v>6053879</v>
      </c>
      <c r="B307" s="15" t="s">
        <v>5643</v>
      </c>
      <c r="C307" s="16" t="s">
        <v>30</v>
      </c>
      <c r="D307" s="6" t="s">
        <v>31</v>
      </c>
      <c r="E307" t="s">
        <v>1197</v>
      </c>
      <c r="F307" t="s">
        <v>1197</v>
      </c>
      <c r="H307" s="11" t="s">
        <v>27</v>
      </c>
      <c r="I307" s="6" t="s">
        <v>28</v>
      </c>
      <c r="J307" s="6" t="s">
        <v>28</v>
      </c>
      <c r="K307" t="s">
        <v>32</v>
      </c>
      <c r="L307" s="35">
        <v>13.19</v>
      </c>
      <c r="M307" s="6" t="s">
        <v>29</v>
      </c>
      <c r="N307" s="6">
        <v>3105</v>
      </c>
      <c r="P307" s="18"/>
      <c r="Q307" s="17"/>
      <c r="R307" s="19">
        <v>0</v>
      </c>
      <c r="S307" s="19">
        <v>0</v>
      </c>
      <c r="T307" s="38">
        <v>51</v>
      </c>
      <c r="U307" s="38"/>
      <c r="V307" s="31">
        <v>13.19</v>
      </c>
      <c r="W307" s="35">
        <v>13.19</v>
      </c>
      <c r="X307" s="32">
        <f t="shared" si="44"/>
        <v>672.68999999999994</v>
      </c>
      <c r="Y307" s="32">
        <f t="shared" si="45"/>
        <v>672.68999999999994</v>
      </c>
      <c r="Z307" s="32">
        <f t="shared" si="46"/>
        <v>0</v>
      </c>
      <c r="AA307" s="38">
        <v>51</v>
      </c>
      <c r="AB307" s="37">
        <f>IFERROR(VLOOKUP(A307,'Tash Lookup'!A:E,3,FALSE),"")</f>
        <v>643.21</v>
      </c>
      <c r="AC307" s="6">
        <f t="shared" si="47"/>
        <v>0</v>
      </c>
      <c r="AD307" s="2" t="s">
        <v>6703</v>
      </c>
      <c r="AF307" s="56">
        <v>13.19</v>
      </c>
      <c r="AG307" s="56">
        <f>VLOOKUP(A307,Sheet1!$A$2:$C$1140,3,FALSE)</f>
        <v>13.45</v>
      </c>
      <c r="AH307" s="58">
        <v>13.45</v>
      </c>
      <c r="AI307" s="56" t="str">
        <f t="shared" si="48"/>
        <v>Increase</v>
      </c>
      <c r="AJ307" s="81">
        <f t="shared" si="52"/>
        <v>672.68999999999994</v>
      </c>
      <c r="AK307" s="81">
        <f t="shared" si="53"/>
        <v>685.94999999999993</v>
      </c>
      <c r="AL307" s="58" t="s">
        <v>7206</v>
      </c>
      <c r="AM307" s="58" t="s">
        <v>6703</v>
      </c>
      <c r="AN307" s="75">
        <v>23</v>
      </c>
      <c r="AO307" s="88">
        <v>13.45</v>
      </c>
      <c r="AP307" s="6" t="str">
        <f t="shared" si="49"/>
        <v>Increase</v>
      </c>
      <c r="AQ307" s="81">
        <f t="shared" si="50"/>
        <v>303.37</v>
      </c>
      <c r="AR307" s="81">
        <f t="shared" si="51"/>
        <v>309.34999999999997</v>
      </c>
      <c r="AS307" s="82">
        <f t="shared" si="54"/>
        <v>5.9799999999999613</v>
      </c>
    </row>
    <row r="308" spans="1:45" hidden="1" x14ac:dyDescent="0.3">
      <c r="A308">
        <v>5745131</v>
      </c>
      <c r="B308" s="15" t="s">
        <v>5644</v>
      </c>
      <c r="C308" s="16" t="s">
        <v>30</v>
      </c>
      <c r="D308" s="6" t="s">
        <v>31</v>
      </c>
      <c r="E308" t="s">
        <v>231</v>
      </c>
      <c r="F308" t="s">
        <v>231</v>
      </c>
      <c r="H308" s="11" t="s">
        <v>27</v>
      </c>
      <c r="I308" s="6" t="s">
        <v>28</v>
      </c>
      <c r="J308" s="6" t="s">
        <v>28</v>
      </c>
      <c r="K308" t="s">
        <v>32</v>
      </c>
      <c r="L308" s="35">
        <v>40.880000000000003</v>
      </c>
      <c r="M308" s="6" t="s">
        <v>29</v>
      </c>
      <c r="N308" s="6">
        <v>3105</v>
      </c>
      <c r="P308" s="18"/>
      <c r="Q308" s="17"/>
      <c r="R308" s="19">
        <v>40.880000000000003</v>
      </c>
      <c r="S308" s="19">
        <v>40.880000000000003</v>
      </c>
      <c r="T308" s="38">
        <v>51</v>
      </c>
      <c r="U308" s="38"/>
      <c r="V308" s="29">
        <v>40.880000000000003</v>
      </c>
      <c r="W308" s="35">
        <v>40.880000000000003</v>
      </c>
      <c r="X308" s="32">
        <f t="shared" si="44"/>
        <v>2084.88</v>
      </c>
      <c r="Y308" s="32">
        <f t="shared" si="45"/>
        <v>2084.88</v>
      </c>
      <c r="Z308" s="32">
        <f t="shared" si="46"/>
        <v>0</v>
      </c>
      <c r="AA308" s="38">
        <v>51</v>
      </c>
      <c r="AB308" s="37">
        <f>IFERROR(VLOOKUP(A308,'Tash Lookup'!A:E,3,FALSE),"")</f>
        <v>2056.2200000000003</v>
      </c>
      <c r="AC308" s="6">
        <f t="shared" si="47"/>
        <v>0</v>
      </c>
      <c r="AD308" s="2" t="s">
        <v>6703</v>
      </c>
      <c r="AF308" s="56">
        <v>42.74</v>
      </c>
      <c r="AG308" s="56">
        <f>VLOOKUP(A308,Sheet1!$A$2:$C$1140,3,FALSE)</f>
        <v>42.74</v>
      </c>
      <c r="AH308" s="58">
        <v>42.74</v>
      </c>
      <c r="AI308" s="56" t="str">
        <f t="shared" si="48"/>
        <v>Same</v>
      </c>
      <c r="AJ308" s="81">
        <f t="shared" si="52"/>
        <v>2179.7400000000002</v>
      </c>
      <c r="AK308" s="81">
        <f t="shared" si="53"/>
        <v>2179.7400000000002</v>
      </c>
      <c r="AL308" s="58" t="s">
        <v>32</v>
      </c>
      <c r="AM308" s="58" t="s">
        <v>6703</v>
      </c>
      <c r="AN308" s="75">
        <v>40</v>
      </c>
      <c r="AO308" s="88">
        <v>42.74</v>
      </c>
      <c r="AP308" s="6" t="str">
        <f t="shared" si="49"/>
        <v>Same</v>
      </c>
      <c r="AQ308" s="81">
        <f t="shared" si="50"/>
        <v>1709.6000000000001</v>
      </c>
      <c r="AR308" s="81">
        <f t="shared" si="51"/>
        <v>1709.6000000000001</v>
      </c>
      <c r="AS308" s="81">
        <f t="shared" si="54"/>
        <v>0</v>
      </c>
    </row>
    <row r="309" spans="1:45" hidden="1" x14ac:dyDescent="0.3">
      <c r="A309">
        <v>5745136</v>
      </c>
      <c r="B309" s="15" t="s">
        <v>5645</v>
      </c>
      <c r="C309" s="16" t="s">
        <v>30</v>
      </c>
      <c r="D309" s="6" t="s">
        <v>31</v>
      </c>
      <c r="E309" t="s">
        <v>232</v>
      </c>
      <c r="F309" t="s">
        <v>232</v>
      </c>
      <c r="H309" s="11" t="s">
        <v>27</v>
      </c>
      <c r="I309" s="6" t="s">
        <v>28</v>
      </c>
      <c r="J309" s="6" t="s">
        <v>28</v>
      </c>
      <c r="K309" t="s">
        <v>32</v>
      </c>
      <c r="L309" s="35">
        <v>68.150000000000006</v>
      </c>
      <c r="M309" s="6" t="s">
        <v>29</v>
      </c>
      <c r="N309" s="6">
        <v>3105</v>
      </c>
      <c r="P309" s="18"/>
      <c r="Q309" s="17"/>
      <c r="R309" s="19">
        <v>68.150000000000006</v>
      </c>
      <c r="S309" s="19">
        <v>68.150000000000006</v>
      </c>
      <c r="T309" s="38">
        <v>51</v>
      </c>
      <c r="U309" s="38"/>
      <c r="V309" s="29">
        <v>68.150000000000006</v>
      </c>
      <c r="W309" s="35">
        <v>68.150000000000006</v>
      </c>
      <c r="X309" s="32">
        <f t="shared" si="44"/>
        <v>3475.65</v>
      </c>
      <c r="Y309" s="32">
        <f t="shared" si="45"/>
        <v>3475.65</v>
      </c>
      <c r="Z309" s="32">
        <f t="shared" si="46"/>
        <v>0</v>
      </c>
      <c r="AA309" s="38">
        <v>51</v>
      </c>
      <c r="AB309" s="37">
        <f>IFERROR(VLOOKUP(A309,'Tash Lookup'!A:E,3,FALSE),"")</f>
        <v>3427.94</v>
      </c>
      <c r="AC309" s="6">
        <f t="shared" si="47"/>
        <v>0</v>
      </c>
      <c r="AD309" s="2" t="s">
        <v>6703</v>
      </c>
      <c r="AF309" s="56">
        <v>71.209999999999994</v>
      </c>
      <c r="AG309" s="56">
        <f>VLOOKUP(A309,Sheet1!$A$2:$C$1140,3,FALSE)</f>
        <v>71.209999999999994</v>
      </c>
      <c r="AH309" s="58">
        <v>71.209999999999994</v>
      </c>
      <c r="AI309" s="56" t="str">
        <f t="shared" si="48"/>
        <v>Same</v>
      </c>
      <c r="AJ309" s="81">
        <f t="shared" si="52"/>
        <v>3631.7099999999996</v>
      </c>
      <c r="AK309" s="81">
        <f t="shared" si="53"/>
        <v>3631.7099999999996</v>
      </c>
      <c r="AL309" s="58" t="s">
        <v>32</v>
      </c>
      <c r="AM309" s="58" t="s">
        <v>6703</v>
      </c>
      <c r="AN309" s="75">
        <v>26</v>
      </c>
      <c r="AO309" s="88">
        <v>71.209999999999994</v>
      </c>
      <c r="AP309" s="6" t="str">
        <f t="shared" si="49"/>
        <v>Same</v>
      </c>
      <c r="AQ309" s="81">
        <f t="shared" si="50"/>
        <v>1851.4599999999998</v>
      </c>
      <c r="AR309" s="81">
        <f t="shared" si="51"/>
        <v>1851.4599999999998</v>
      </c>
      <c r="AS309" s="81">
        <f t="shared" si="54"/>
        <v>0</v>
      </c>
    </row>
    <row r="310" spans="1:45" hidden="1" x14ac:dyDescent="0.3">
      <c r="A310">
        <v>6058996</v>
      </c>
      <c r="B310" s="15" t="s">
        <v>5646</v>
      </c>
      <c r="C310" s="16" t="s">
        <v>30</v>
      </c>
      <c r="D310" s="6" t="s">
        <v>31</v>
      </c>
      <c r="E310" t="s">
        <v>709</v>
      </c>
      <c r="F310" t="s">
        <v>709</v>
      </c>
      <c r="H310" s="11" t="s">
        <v>27</v>
      </c>
      <c r="I310" s="6" t="s">
        <v>28</v>
      </c>
      <c r="J310" s="6" t="s">
        <v>28</v>
      </c>
      <c r="K310" t="s">
        <v>32</v>
      </c>
      <c r="L310" s="35">
        <v>15.6</v>
      </c>
      <c r="M310" s="6" t="s">
        <v>29</v>
      </c>
      <c r="N310" s="6">
        <v>3105</v>
      </c>
      <c r="P310" s="18"/>
      <c r="Q310" s="17"/>
      <c r="R310" s="19">
        <v>0</v>
      </c>
      <c r="S310" s="19">
        <v>0</v>
      </c>
      <c r="T310" s="38">
        <v>50</v>
      </c>
      <c r="U310" s="38"/>
      <c r="V310" s="31">
        <v>15.6</v>
      </c>
      <c r="W310" s="35">
        <v>15.6</v>
      </c>
      <c r="X310" s="32">
        <f t="shared" si="44"/>
        <v>780</v>
      </c>
      <c r="Y310" s="32">
        <f t="shared" si="45"/>
        <v>780</v>
      </c>
      <c r="Z310" s="32">
        <f t="shared" si="46"/>
        <v>0</v>
      </c>
      <c r="AA310" s="38">
        <v>50</v>
      </c>
      <c r="AB310" s="37">
        <f>IFERROR(VLOOKUP(A310,'Tash Lookup'!A:E,3,FALSE),"")</f>
        <v>767.77</v>
      </c>
      <c r="AC310" s="6">
        <f t="shared" si="47"/>
        <v>0</v>
      </c>
      <c r="AD310" s="2" t="s">
        <v>6703</v>
      </c>
      <c r="AF310" s="56">
        <v>15.6</v>
      </c>
      <c r="AG310" s="56">
        <f>VLOOKUP(A310,Sheet1!$A$2:$C$1140,3,FALSE)</f>
        <v>15.91</v>
      </c>
      <c r="AH310" s="58">
        <v>15.91</v>
      </c>
      <c r="AI310" s="56" t="str">
        <f t="shared" si="48"/>
        <v>Increase</v>
      </c>
      <c r="AJ310" s="81">
        <f t="shared" si="52"/>
        <v>780</v>
      </c>
      <c r="AK310" s="81">
        <f t="shared" si="53"/>
        <v>795.5</v>
      </c>
      <c r="AL310" s="58" t="s">
        <v>7206</v>
      </c>
      <c r="AM310" s="58" t="s">
        <v>6703</v>
      </c>
      <c r="AN310" s="75">
        <v>8</v>
      </c>
      <c r="AO310" s="88">
        <v>15.91</v>
      </c>
      <c r="AP310" s="6" t="str">
        <f t="shared" si="49"/>
        <v>Increase</v>
      </c>
      <c r="AQ310" s="81">
        <f t="shared" si="50"/>
        <v>124.8</v>
      </c>
      <c r="AR310" s="81">
        <f t="shared" si="51"/>
        <v>127.28</v>
      </c>
      <c r="AS310" s="82">
        <f t="shared" si="54"/>
        <v>2.480000000000004</v>
      </c>
    </row>
    <row r="311" spans="1:45" hidden="1" x14ac:dyDescent="0.3">
      <c r="A311">
        <v>6188904</v>
      </c>
      <c r="B311" s="15" t="s">
        <v>5647</v>
      </c>
      <c r="C311" s="16" t="s">
        <v>30</v>
      </c>
      <c r="D311" s="6" t="s">
        <v>31</v>
      </c>
      <c r="E311" t="s">
        <v>864</v>
      </c>
      <c r="F311" t="s">
        <v>864</v>
      </c>
      <c r="H311" s="11" t="s">
        <v>27</v>
      </c>
      <c r="I311" s="6" t="s">
        <v>28</v>
      </c>
      <c r="J311" s="6" t="s">
        <v>28</v>
      </c>
      <c r="K311" t="s">
        <v>32</v>
      </c>
      <c r="L311" s="48">
        <v>3.28</v>
      </c>
      <c r="M311" s="6" t="s">
        <v>29</v>
      </c>
      <c r="N311" s="6">
        <v>3105</v>
      </c>
      <c r="P311" s="18"/>
      <c r="Q311" s="17"/>
      <c r="R311" s="19">
        <v>3.28</v>
      </c>
      <c r="S311" s="19">
        <v>3.28</v>
      </c>
      <c r="T311" s="38">
        <v>50</v>
      </c>
      <c r="U311" s="38"/>
      <c r="V311" s="30">
        <v>3.28</v>
      </c>
      <c r="W311" s="35">
        <v>3.28</v>
      </c>
      <c r="X311" s="32">
        <f t="shared" si="44"/>
        <v>164</v>
      </c>
      <c r="Y311" s="32">
        <f t="shared" si="45"/>
        <v>164</v>
      </c>
      <c r="Z311" s="32">
        <f t="shared" si="46"/>
        <v>0</v>
      </c>
      <c r="AA311" s="38">
        <v>50</v>
      </c>
      <c r="AB311" s="37">
        <f>IFERROR(VLOOKUP(A311,'Tash Lookup'!A:E,3,FALSE),"")</f>
        <v>161.02000000000001</v>
      </c>
      <c r="AC311" s="6">
        <f t="shared" si="47"/>
        <v>0</v>
      </c>
      <c r="AD311" s="2" t="s">
        <v>6703</v>
      </c>
      <c r="AF311" s="56">
        <v>3.28</v>
      </c>
      <c r="AG311" s="56">
        <f>VLOOKUP(A311,Sheet1!$A$2:$C$1140,3,FALSE)</f>
        <v>3.35</v>
      </c>
      <c r="AH311" s="58">
        <v>3.35</v>
      </c>
      <c r="AI311" s="56" t="str">
        <f t="shared" si="48"/>
        <v>Increase</v>
      </c>
      <c r="AJ311" s="81">
        <f t="shared" si="52"/>
        <v>164</v>
      </c>
      <c r="AK311" s="81">
        <f t="shared" si="53"/>
        <v>167.5</v>
      </c>
      <c r="AL311" s="58" t="s">
        <v>7206</v>
      </c>
      <c r="AM311" s="58" t="s">
        <v>6703</v>
      </c>
      <c r="AN311" s="75">
        <v>46</v>
      </c>
      <c r="AO311" s="88">
        <v>3.35</v>
      </c>
      <c r="AP311" s="6" t="str">
        <f t="shared" si="49"/>
        <v>Increase</v>
      </c>
      <c r="AQ311" s="81">
        <f t="shared" si="50"/>
        <v>150.88</v>
      </c>
      <c r="AR311" s="81">
        <f t="shared" si="51"/>
        <v>154.1</v>
      </c>
      <c r="AS311" s="82">
        <f t="shared" si="54"/>
        <v>3.2199999999999989</v>
      </c>
    </row>
    <row r="312" spans="1:45" hidden="1" x14ac:dyDescent="0.3">
      <c r="A312">
        <v>5090740</v>
      </c>
      <c r="B312" s="15" t="s">
        <v>5648</v>
      </c>
      <c r="C312" s="16" t="s">
        <v>30</v>
      </c>
      <c r="D312" s="6" t="s">
        <v>31</v>
      </c>
      <c r="E312" t="s">
        <v>200</v>
      </c>
      <c r="F312" t="s">
        <v>200</v>
      </c>
      <c r="H312" s="11" t="s">
        <v>27</v>
      </c>
      <c r="I312" s="6" t="s">
        <v>28</v>
      </c>
      <c r="J312" s="6" t="s">
        <v>28</v>
      </c>
      <c r="K312" t="s">
        <v>32</v>
      </c>
      <c r="L312" s="35">
        <v>33.78</v>
      </c>
      <c r="M312" s="6" t="s">
        <v>29</v>
      </c>
      <c r="N312" s="6">
        <v>3105</v>
      </c>
      <c r="P312" s="18"/>
      <c r="Q312" s="17"/>
      <c r="R312" s="19">
        <v>33.78</v>
      </c>
      <c r="S312" s="19">
        <v>33.78</v>
      </c>
      <c r="T312" s="38">
        <v>50</v>
      </c>
      <c r="U312" s="38"/>
      <c r="V312" s="29">
        <v>33.78</v>
      </c>
      <c r="W312" s="35">
        <v>33.78</v>
      </c>
      <c r="X312" s="32">
        <f t="shared" si="44"/>
        <v>1689</v>
      </c>
      <c r="Y312" s="32">
        <f t="shared" si="45"/>
        <v>1689</v>
      </c>
      <c r="Z312" s="32">
        <f t="shared" si="46"/>
        <v>0</v>
      </c>
      <c r="AA312" s="38">
        <v>50</v>
      </c>
      <c r="AB312" s="37">
        <f>IFERROR(VLOOKUP(A312,'Tash Lookup'!A:E,3,FALSE),"")</f>
        <v>1654.79</v>
      </c>
      <c r="AC312" s="6">
        <f t="shared" si="47"/>
        <v>0</v>
      </c>
      <c r="AD312" s="2" t="s">
        <v>6703</v>
      </c>
      <c r="AF312" s="56">
        <v>35.33</v>
      </c>
      <c r="AG312" s="56">
        <f>VLOOKUP(A312,Sheet1!$A$2:$C$1140,3,FALSE)</f>
        <v>35.33</v>
      </c>
      <c r="AH312" s="58">
        <v>35.33</v>
      </c>
      <c r="AI312" s="56" t="str">
        <f t="shared" si="48"/>
        <v>Same</v>
      </c>
      <c r="AJ312" s="81">
        <f t="shared" si="52"/>
        <v>1766.5</v>
      </c>
      <c r="AK312" s="81">
        <f t="shared" si="53"/>
        <v>1766.5</v>
      </c>
      <c r="AL312" s="58" t="s">
        <v>32</v>
      </c>
      <c r="AM312" s="58" t="s">
        <v>6703</v>
      </c>
      <c r="AN312" s="75">
        <v>34</v>
      </c>
      <c r="AO312" s="88">
        <v>35.33</v>
      </c>
      <c r="AP312" s="6" t="str">
        <f t="shared" si="49"/>
        <v>Same</v>
      </c>
      <c r="AQ312" s="81">
        <f t="shared" si="50"/>
        <v>1201.22</v>
      </c>
      <c r="AR312" s="81">
        <f t="shared" si="51"/>
        <v>1201.22</v>
      </c>
      <c r="AS312" s="81">
        <f t="shared" si="54"/>
        <v>0</v>
      </c>
    </row>
    <row r="313" spans="1:45" hidden="1" x14ac:dyDescent="0.3">
      <c r="A313">
        <v>6188833</v>
      </c>
      <c r="B313" s="15" t="s">
        <v>5649</v>
      </c>
      <c r="C313" s="16" t="s">
        <v>30</v>
      </c>
      <c r="D313" s="6" t="s">
        <v>31</v>
      </c>
      <c r="E313" t="s">
        <v>895</v>
      </c>
      <c r="F313" t="s">
        <v>895</v>
      </c>
      <c r="H313" s="11" t="s">
        <v>27</v>
      </c>
      <c r="I313" s="6" t="s">
        <v>28</v>
      </c>
      <c r="J313" s="6" t="s">
        <v>28</v>
      </c>
      <c r="K313" t="s">
        <v>32</v>
      </c>
      <c r="L313" s="35">
        <v>10.26</v>
      </c>
      <c r="M313" s="6" t="s">
        <v>29</v>
      </c>
      <c r="N313" s="6">
        <v>3105</v>
      </c>
      <c r="P313" s="18"/>
      <c r="Q313" s="17"/>
      <c r="R313" s="19">
        <v>10.26</v>
      </c>
      <c r="S313" s="19">
        <v>10.26</v>
      </c>
      <c r="T313" s="38">
        <v>49</v>
      </c>
      <c r="U313" s="38"/>
      <c r="V313" s="30">
        <v>10.26</v>
      </c>
      <c r="W313" s="35">
        <v>10.26</v>
      </c>
      <c r="X313" s="32">
        <f t="shared" si="44"/>
        <v>502.74</v>
      </c>
      <c r="Y313" s="32">
        <f t="shared" si="45"/>
        <v>502.74</v>
      </c>
      <c r="Z313" s="32">
        <f t="shared" si="46"/>
        <v>0</v>
      </c>
      <c r="AA313" s="38">
        <v>49</v>
      </c>
      <c r="AB313" s="37">
        <f>IFERROR(VLOOKUP(A313,'Tash Lookup'!A:E,3,FALSE),"")</f>
        <v>499.23</v>
      </c>
      <c r="AC313" s="6">
        <f t="shared" si="47"/>
        <v>0</v>
      </c>
      <c r="AD313" s="2" t="s">
        <v>6703</v>
      </c>
      <c r="AF313" s="56">
        <v>10.26</v>
      </c>
      <c r="AG313" s="56">
        <f>VLOOKUP(A313,Sheet1!$A$2:$C$1140,3,FALSE)</f>
        <v>10.46</v>
      </c>
      <c r="AH313" s="58">
        <v>10.46</v>
      </c>
      <c r="AI313" s="56" t="str">
        <f t="shared" si="48"/>
        <v>Increase</v>
      </c>
      <c r="AJ313" s="81">
        <f t="shared" si="52"/>
        <v>502.74</v>
      </c>
      <c r="AK313" s="81">
        <f t="shared" si="53"/>
        <v>512.54000000000008</v>
      </c>
      <c r="AL313" s="58" t="s">
        <v>7206</v>
      </c>
      <c r="AM313" s="58" t="s">
        <v>6703</v>
      </c>
      <c r="AN313" s="75">
        <v>34</v>
      </c>
      <c r="AO313" s="88">
        <v>10.46</v>
      </c>
      <c r="AP313" s="6" t="str">
        <f t="shared" si="49"/>
        <v>Increase</v>
      </c>
      <c r="AQ313" s="81">
        <f t="shared" si="50"/>
        <v>348.84</v>
      </c>
      <c r="AR313" s="81">
        <f t="shared" si="51"/>
        <v>355.64000000000004</v>
      </c>
      <c r="AS313" s="82">
        <f t="shared" si="54"/>
        <v>6.8000000000000682</v>
      </c>
    </row>
    <row r="314" spans="1:45" hidden="1" x14ac:dyDescent="0.3">
      <c r="A314">
        <v>6316839</v>
      </c>
      <c r="B314" s="15" t="s">
        <v>5650</v>
      </c>
      <c r="C314" s="16" t="s">
        <v>30</v>
      </c>
      <c r="D314" s="6" t="s">
        <v>31</v>
      </c>
      <c r="E314" t="s">
        <v>722</v>
      </c>
      <c r="F314" t="s">
        <v>722</v>
      </c>
      <c r="H314" s="11" t="s">
        <v>27</v>
      </c>
      <c r="I314" s="6" t="s">
        <v>28</v>
      </c>
      <c r="J314" s="6" t="s">
        <v>28</v>
      </c>
      <c r="K314" t="s">
        <v>32</v>
      </c>
      <c r="L314" s="35">
        <v>5.68</v>
      </c>
      <c r="M314" s="6" t="s">
        <v>29</v>
      </c>
      <c r="N314" s="6">
        <v>3105</v>
      </c>
      <c r="P314" s="18"/>
      <c r="Q314" s="17"/>
      <c r="R314" s="19">
        <v>5.68</v>
      </c>
      <c r="S314" s="19">
        <v>5.68</v>
      </c>
      <c r="T314" s="38">
        <v>49</v>
      </c>
      <c r="U314" s="38"/>
      <c r="V314" s="30">
        <v>5.68</v>
      </c>
      <c r="W314" s="35">
        <v>5.68</v>
      </c>
      <c r="X314" s="32">
        <f t="shared" si="44"/>
        <v>278.32</v>
      </c>
      <c r="Y314" s="32">
        <f t="shared" si="45"/>
        <v>278.32</v>
      </c>
      <c r="Z314" s="32">
        <f t="shared" si="46"/>
        <v>0</v>
      </c>
      <c r="AA314" s="38">
        <v>49</v>
      </c>
      <c r="AB314" s="37">
        <f>IFERROR(VLOOKUP(A314,'Tash Lookup'!A:E,3,FALSE),"")</f>
        <v>277.17</v>
      </c>
      <c r="AC314" s="6">
        <f t="shared" si="47"/>
        <v>0</v>
      </c>
      <c r="AD314" s="2" t="s">
        <v>6703</v>
      </c>
      <c r="AF314" s="56">
        <v>5.68</v>
      </c>
      <c r="AG314" s="56">
        <f>VLOOKUP(A314,Sheet1!$A$2:$C$1140,3,FALSE)</f>
        <v>5.8</v>
      </c>
      <c r="AH314" s="58">
        <v>5.8</v>
      </c>
      <c r="AI314" s="56" t="str">
        <f t="shared" si="48"/>
        <v>Increase</v>
      </c>
      <c r="AJ314" s="81">
        <f t="shared" si="52"/>
        <v>278.32</v>
      </c>
      <c r="AK314" s="81">
        <f t="shared" si="53"/>
        <v>284.2</v>
      </c>
      <c r="AL314" s="58" t="s">
        <v>7206</v>
      </c>
      <c r="AM314" s="58" t="s">
        <v>6703</v>
      </c>
      <c r="AN314" s="75">
        <v>51</v>
      </c>
      <c r="AO314" s="88">
        <v>5.8</v>
      </c>
      <c r="AP314" s="6" t="str">
        <f t="shared" si="49"/>
        <v>Increase</v>
      </c>
      <c r="AQ314" s="81">
        <f t="shared" si="50"/>
        <v>289.68</v>
      </c>
      <c r="AR314" s="81">
        <f t="shared" si="51"/>
        <v>295.8</v>
      </c>
      <c r="AS314" s="82">
        <f t="shared" si="54"/>
        <v>6.1200000000000045</v>
      </c>
    </row>
    <row r="315" spans="1:45" hidden="1" x14ac:dyDescent="0.3">
      <c r="A315">
        <v>5218753</v>
      </c>
      <c r="B315" s="15" t="s">
        <v>5651</v>
      </c>
      <c r="C315" s="16" t="s">
        <v>30</v>
      </c>
      <c r="D315" s="6" t="s">
        <v>31</v>
      </c>
      <c r="E315" t="s">
        <v>272</v>
      </c>
      <c r="F315" t="s">
        <v>272</v>
      </c>
      <c r="H315" s="11" t="s">
        <v>27</v>
      </c>
      <c r="I315" s="6" t="s">
        <v>28</v>
      </c>
      <c r="J315" s="6" t="s">
        <v>28</v>
      </c>
      <c r="K315" t="s">
        <v>32</v>
      </c>
      <c r="L315" s="35">
        <v>25.29</v>
      </c>
      <c r="M315" s="6" t="s">
        <v>29</v>
      </c>
      <c r="N315" s="6">
        <v>3105</v>
      </c>
      <c r="P315" s="18"/>
      <c r="Q315" s="17"/>
      <c r="R315" s="19">
        <v>27.82</v>
      </c>
      <c r="S315" s="19">
        <v>27.82</v>
      </c>
      <c r="T315" s="38">
        <v>48</v>
      </c>
      <c r="U315" s="38"/>
      <c r="V315" s="29">
        <v>25.29</v>
      </c>
      <c r="W315" s="45">
        <v>18.52</v>
      </c>
      <c r="X315" s="32">
        <f t="shared" si="44"/>
        <v>1213.92</v>
      </c>
      <c r="Y315" s="32">
        <f t="shared" si="45"/>
        <v>1213.92</v>
      </c>
      <c r="Z315" s="32">
        <f t="shared" si="46"/>
        <v>0</v>
      </c>
      <c r="AA315" s="38">
        <v>48</v>
      </c>
      <c r="AB315" s="37">
        <f>IFERROR(VLOOKUP(A315,'Tash Lookup'!A:E,3,FALSE),"")</f>
        <v>1030.26</v>
      </c>
      <c r="AC315" s="6">
        <f t="shared" si="47"/>
        <v>0</v>
      </c>
      <c r="AD315" s="2" t="s">
        <v>6703</v>
      </c>
      <c r="AF315" s="56">
        <v>26.53</v>
      </c>
      <c r="AG315" s="56">
        <f>VLOOKUP(A315,Sheet1!$A$2:$C$1140,3,FALSE)</f>
        <v>27.32</v>
      </c>
      <c r="AH315" s="58">
        <v>27.32</v>
      </c>
      <c r="AI315" s="56" t="str">
        <f t="shared" si="48"/>
        <v>Increase</v>
      </c>
      <c r="AJ315" s="81">
        <f t="shared" si="52"/>
        <v>1273.44</v>
      </c>
      <c r="AK315" s="81">
        <f t="shared" si="53"/>
        <v>1311.3600000000001</v>
      </c>
      <c r="AL315" s="58" t="s">
        <v>32</v>
      </c>
      <c r="AM315" s="58" t="s">
        <v>6703</v>
      </c>
      <c r="AN315" s="75">
        <v>37</v>
      </c>
      <c r="AO315" s="88">
        <v>27.32</v>
      </c>
      <c r="AP315" s="6" t="str">
        <f t="shared" si="49"/>
        <v>Increase</v>
      </c>
      <c r="AQ315" s="81">
        <f t="shared" si="50"/>
        <v>981.61</v>
      </c>
      <c r="AR315" s="81">
        <f t="shared" si="51"/>
        <v>1010.84</v>
      </c>
      <c r="AS315" s="82">
        <f t="shared" si="54"/>
        <v>29.230000000000018</v>
      </c>
    </row>
    <row r="316" spans="1:45" hidden="1" x14ac:dyDescent="0.3">
      <c r="A316">
        <v>6183905</v>
      </c>
      <c r="B316" s="15" t="s">
        <v>5652</v>
      </c>
      <c r="C316" s="16" t="s">
        <v>30</v>
      </c>
      <c r="D316" s="6" t="s">
        <v>31</v>
      </c>
      <c r="E316" t="s">
        <v>688</v>
      </c>
      <c r="F316" t="s">
        <v>688</v>
      </c>
      <c r="H316" s="11" t="s">
        <v>27</v>
      </c>
      <c r="I316" s="6" t="s">
        <v>28</v>
      </c>
      <c r="J316" s="6" t="s">
        <v>28</v>
      </c>
      <c r="K316" t="s">
        <v>32</v>
      </c>
      <c r="L316" s="35">
        <v>10.88</v>
      </c>
      <c r="M316" s="6" t="s">
        <v>29</v>
      </c>
      <c r="N316" s="6">
        <v>3105</v>
      </c>
      <c r="P316" s="18"/>
      <c r="Q316" s="17"/>
      <c r="R316" s="19">
        <v>10.88</v>
      </c>
      <c r="S316" s="19">
        <v>10.88</v>
      </c>
      <c r="T316" s="38">
        <v>48</v>
      </c>
      <c r="U316" s="38"/>
      <c r="V316" s="30">
        <v>10.88</v>
      </c>
      <c r="W316" s="35">
        <v>10.88</v>
      </c>
      <c r="X316" s="32">
        <f t="shared" si="44"/>
        <v>522.24</v>
      </c>
      <c r="Y316" s="32">
        <f t="shared" si="45"/>
        <v>522.24</v>
      </c>
      <c r="Z316" s="32">
        <f t="shared" si="46"/>
        <v>0</v>
      </c>
      <c r="AA316" s="38">
        <v>48</v>
      </c>
      <c r="AB316" s="37">
        <f>IFERROR(VLOOKUP(A316,'Tash Lookup'!A:E,3,FALSE),"")</f>
        <v>519.35</v>
      </c>
      <c r="AC316" s="6">
        <f t="shared" si="47"/>
        <v>0</v>
      </c>
      <c r="AD316" s="2" t="s">
        <v>6703</v>
      </c>
      <c r="AF316" s="56">
        <v>10.88</v>
      </c>
      <c r="AG316" s="56">
        <f>VLOOKUP(A316,Sheet1!$A$2:$C$1140,3,FALSE)</f>
        <v>11.1</v>
      </c>
      <c r="AH316" s="58">
        <v>11.1</v>
      </c>
      <c r="AI316" s="56" t="str">
        <f t="shared" si="48"/>
        <v>Increase</v>
      </c>
      <c r="AJ316" s="81">
        <f t="shared" si="52"/>
        <v>522.24</v>
      </c>
      <c r="AK316" s="81">
        <f t="shared" si="53"/>
        <v>532.79999999999995</v>
      </c>
      <c r="AL316" s="58" t="s">
        <v>7206</v>
      </c>
      <c r="AM316" s="58" t="s">
        <v>6703</v>
      </c>
      <c r="AN316" s="75">
        <v>26</v>
      </c>
      <c r="AO316" s="88">
        <v>11.1</v>
      </c>
      <c r="AP316" s="6" t="str">
        <f t="shared" si="49"/>
        <v>Increase</v>
      </c>
      <c r="AQ316" s="81">
        <f t="shared" si="50"/>
        <v>282.88</v>
      </c>
      <c r="AR316" s="81">
        <f t="shared" si="51"/>
        <v>288.59999999999997</v>
      </c>
      <c r="AS316" s="82">
        <f t="shared" si="54"/>
        <v>5.7199999999999704</v>
      </c>
    </row>
    <row r="317" spans="1:45" hidden="1" x14ac:dyDescent="0.3">
      <c r="A317">
        <v>5219319</v>
      </c>
      <c r="B317" s="15" t="s">
        <v>5653</v>
      </c>
      <c r="C317" s="16" t="s">
        <v>30</v>
      </c>
      <c r="D317" s="6" t="s">
        <v>31</v>
      </c>
      <c r="E317" t="s">
        <v>259</v>
      </c>
      <c r="F317" t="s">
        <v>259</v>
      </c>
      <c r="H317" s="11" t="s">
        <v>27</v>
      </c>
      <c r="I317" s="6" t="s">
        <v>28</v>
      </c>
      <c r="J317" s="6" t="s">
        <v>28</v>
      </c>
      <c r="K317" t="s">
        <v>32</v>
      </c>
      <c r="L317" s="29">
        <v>14</v>
      </c>
      <c r="M317" s="6" t="s">
        <v>29</v>
      </c>
      <c r="N317" s="6">
        <v>3105</v>
      </c>
      <c r="P317" s="18"/>
      <c r="Q317" s="17"/>
      <c r="R317" s="19">
        <v>15.39</v>
      </c>
      <c r="S317" s="19">
        <v>15.39</v>
      </c>
      <c r="T317" s="38">
        <v>48</v>
      </c>
      <c r="U317" s="38"/>
      <c r="V317" s="29">
        <v>14</v>
      </c>
      <c r="W317" s="44">
        <v>10.62</v>
      </c>
      <c r="X317" s="32">
        <f t="shared" si="44"/>
        <v>672</v>
      </c>
      <c r="Y317" s="32">
        <f t="shared" si="45"/>
        <v>672</v>
      </c>
      <c r="Z317" s="32">
        <f t="shared" si="46"/>
        <v>0</v>
      </c>
      <c r="AA317" s="38">
        <v>48</v>
      </c>
      <c r="AB317" s="37">
        <f>IFERROR(VLOOKUP(A317,'Tash Lookup'!A:E,3,FALSE),"")</f>
        <v>564.08999999999992</v>
      </c>
      <c r="AC317" s="6">
        <f t="shared" si="47"/>
        <v>0</v>
      </c>
      <c r="AD317" s="2" t="s">
        <v>6703</v>
      </c>
      <c r="AF317" s="56">
        <v>15.92</v>
      </c>
      <c r="AG317" s="56">
        <f>VLOOKUP(A317,Sheet1!$A$2:$C$1140,3,FALSE)</f>
        <v>16.39</v>
      </c>
      <c r="AH317" s="58">
        <v>16.39</v>
      </c>
      <c r="AI317" s="56" t="str">
        <f t="shared" si="48"/>
        <v>Increase</v>
      </c>
      <c r="AJ317" s="81">
        <f t="shared" si="52"/>
        <v>764.16</v>
      </c>
      <c r="AK317" s="81">
        <f t="shared" si="53"/>
        <v>786.72</v>
      </c>
      <c r="AL317" s="58" t="s">
        <v>32</v>
      </c>
      <c r="AM317" s="58" t="s">
        <v>6703</v>
      </c>
      <c r="AN317" s="75">
        <v>26</v>
      </c>
      <c r="AO317" s="88">
        <v>16.39</v>
      </c>
      <c r="AP317" s="6" t="str">
        <f t="shared" si="49"/>
        <v>Increase</v>
      </c>
      <c r="AQ317" s="81">
        <f t="shared" si="50"/>
        <v>413.92</v>
      </c>
      <c r="AR317" s="81">
        <f t="shared" si="51"/>
        <v>426.14</v>
      </c>
      <c r="AS317" s="82">
        <f t="shared" si="54"/>
        <v>12.21999999999997</v>
      </c>
    </row>
    <row r="318" spans="1:45" hidden="1" x14ac:dyDescent="0.3">
      <c r="A318">
        <v>5180412</v>
      </c>
      <c r="B318" s="15" t="s">
        <v>5654</v>
      </c>
      <c r="C318" s="16" t="s">
        <v>30</v>
      </c>
      <c r="D318" s="6" t="s">
        <v>31</v>
      </c>
      <c r="E318" t="s">
        <v>197</v>
      </c>
      <c r="F318" t="s">
        <v>197</v>
      </c>
      <c r="H318" s="11" t="s">
        <v>27</v>
      </c>
      <c r="I318" s="6" t="s">
        <v>28</v>
      </c>
      <c r="J318" s="6" t="s">
        <v>28</v>
      </c>
      <c r="K318" t="s">
        <v>32</v>
      </c>
      <c r="L318" s="35">
        <v>27.02</v>
      </c>
      <c r="M318" s="6" t="s">
        <v>29</v>
      </c>
      <c r="N318" s="6">
        <v>3105</v>
      </c>
      <c r="P318" s="18"/>
      <c r="Q318" s="17"/>
      <c r="R318" s="19">
        <v>27.02</v>
      </c>
      <c r="S318" s="19">
        <v>27.02</v>
      </c>
      <c r="T318" s="38">
        <v>47</v>
      </c>
      <c r="U318" s="38"/>
      <c r="V318" s="29">
        <v>27.02</v>
      </c>
      <c r="W318" s="35">
        <v>27.02</v>
      </c>
      <c r="X318" s="32">
        <f t="shared" si="44"/>
        <v>1269.94</v>
      </c>
      <c r="Y318" s="32">
        <f t="shared" si="45"/>
        <v>1269.94</v>
      </c>
      <c r="Z318" s="32">
        <f t="shared" si="46"/>
        <v>0</v>
      </c>
      <c r="AA318" s="38">
        <v>47</v>
      </c>
      <c r="AB318" s="37">
        <f>IFERROR(VLOOKUP(A318,'Tash Lookup'!A:E,3,FALSE),"")</f>
        <v>1221.3900000000001</v>
      </c>
      <c r="AC318" s="6">
        <f t="shared" si="47"/>
        <v>0</v>
      </c>
      <c r="AD318" s="2" t="s">
        <v>6703</v>
      </c>
      <c r="AF318" s="56">
        <v>28.26</v>
      </c>
      <c r="AG318" s="56">
        <f>VLOOKUP(A318,Sheet1!$A$2:$C$1140,3,FALSE)</f>
        <v>28.26</v>
      </c>
      <c r="AH318" s="58">
        <v>28.26</v>
      </c>
      <c r="AI318" s="56" t="str">
        <f t="shared" si="48"/>
        <v>Same</v>
      </c>
      <c r="AJ318" s="81">
        <f t="shared" si="52"/>
        <v>1328.22</v>
      </c>
      <c r="AK318" s="81">
        <f t="shared" si="53"/>
        <v>1328.22</v>
      </c>
      <c r="AL318" s="58" t="s">
        <v>32</v>
      </c>
      <c r="AM318" s="58" t="s">
        <v>6703</v>
      </c>
      <c r="AN318" s="75">
        <v>30</v>
      </c>
      <c r="AO318" s="88">
        <v>28.26</v>
      </c>
      <c r="AP318" s="6" t="str">
        <f t="shared" si="49"/>
        <v>Same</v>
      </c>
      <c r="AQ318" s="81">
        <f t="shared" si="50"/>
        <v>847.80000000000007</v>
      </c>
      <c r="AR318" s="81">
        <f t="shared" si="51"/>
        <v>847.80000000000007</v>
      </c>
      <c r="AS318" s="81">
        <f t="shared" si="54"/>
        <v>0</v>
      </c>
    </row>
    <row r="319" spans="1:45" hidden="1" x14ac:dyDescent="0.3">
      <c r="A319">
        <v>6183948</v>
      </c>
      <c r="B319" s="15" t="s">
        <v>5655</v>
      </c>
      <c r="C319" s="16" t="s">
        <v>30</v>
      </c>
      <c r="D319" s="6" t="s">
        <v>31</v>
      </c>
      <c r="E319" t="s">
        <v>872</v>
      </c>
      <c r="F319" t="s">
        <v>872</v>
      </c>
      <c r="H319" s="11" t="s">
        <v>27</v>
      </c>
      <c r="I319" s="6" t="s">
        <v>28</v>
      </c>
      <c r="J319" s="6" t="s">
        <v>28</v>
      </c>
      <c r="K319" t="s">
        <v>32</v>
      </c>
      <c r="L319" s="35">
        <v>3.51</v>
      </c>
      <c r="M319" s="6" t="s">
        <v>29</v>
      </c>
      <c r="N319" s="6">
        <v>3105</v>
      </c>
      <c r="P319" s="18"/>
      <c r="Q319" s="17"/>
      <c r="R319" s="19">
        <v>3.51</v>
      </c>
      <c r="S319" s="19">
        <v>3.51</v>
      </c>
      <c r="T319" s="38">
        <v>47</v>
      </c>
      <c r="U319" s="38"/>
      <c r="V319" s="30">
        <v>3.51</v>
      </c>
      <c r="W319" s="35">
        <v>3.51</v>
      </c>
      <c r="X319" s="32">
        <f t="shared" si="44"/>
        <v>164.97</v>
      </c>
      <c r="Y319" s="32">
        <f t="shared" si="45"/>
        <v>164.97</v>
      </c>
      <c r="Z319" s="32">
        <f t="shared" si="46"/>
        <v>0</v>
      </c>
      <c r="AA319" s="38">
        <v>47</v>
      </c>
      <c r="AB319" s="37">
        <f>IFERROR(VLOOKUP(A319,'Tash Lookup'!A:E,3,FALSE),"")</f>
        <v>163.44</v>
      </c>
      <c r="AC319" s="6">
        <f t="shared" si="47"/>
        <v>0</v>
      </c>
      <c r="AD319" s="2" t="s">
        <v>6703</v>
      </c>
      <c r="AF319" s="56">
        <v>3.16</v>
      </c>
      <c r="AG319" s="56">
        <f>VLOOKUP(A319,Sheet1!$A$2:$C$1140,3,FALSE)</f>
        <v>3.22</v>
      </c>
      <c r="AH319" s="58">
        <v>3.22</v>
      </c>
      <c r="AI319" s="56" t="str">
        <f t="shared" si="48"/>
        <v>Increase</v>
      </c>
      <c r="AJ319" s="81">
        <f t="shared" si="52"/>
        <v>148.52000000000001</v>
      </c>
      <c r="AK319" s="81">
        <f t="shared" si="53"/>
        <v>151.34</v>
      </c>
      <c r="AL319" s="58" t="s">
        <v>7206</v>
      </c>
      <c r="AM319" s="58" t="s">
        <v>6703</v>
      </c>
      <c r="AN319" s="75">
        <v>27</v>
      </c>
      <c r="AO319" s="88">
        <v>3.22</v>
      </c>
      <c r="AP319" s="6" t="str">
        <f t="shared" si="49"/>
        <v>Increase</v>
      </c>
      <c r="AQ319" s="81">
        <f t="shared" si="50"/>
        <v>85.320000000000007</v>
      </c>
      <c r="AR319" s="81">
        <f t="shared" si="51"/>
        <v>86.940000000000012</v>
      </c>
      <c r="AS319" s="82">
        <f t="shared" si="54"/>
        <v>1.6200000000000045</v>
      </c>
    </row>
    <row r="320" spans="1:45" hidden="1" x14ac:dyDescent="0.3">
      <c r="A320">
        <v>6033965</v>
      </c>
      <c r="B320" s="15" t="s">
        <v>5656</v>
      </c>
      <c r="C320" s="16" t="s">
        <v>30</v>
      </c>
      <c r="D320" s="6" t="s">
        <v>31</v>
      </c>
      <c r="E320" t="s">
        <v>707</v>
      </c>
      <c r="F320" t="s">
        <v>707</v>
      </c>
      <c r="H320" s="11" t="s">
        <v>27</v>
      </c>
      <c r="I320" s="6" t="s">
        <v>28</v>
      </c>
      <c r="J320" s="6" t="s">
        <v>28</v>
      </c>
      <c r="K320" t="s">
        <v>32</v>
      </c>
      <c r="L320" s="35">
        <v>23.13</v>
      </c>
      <c r="M320" s="6" t="s">
        <v>29</v>
      </c>
      <c r="N320" s="6">
        <v>3105</v>
      </c>
      <c r="P320" s="18"/>
      <c r="Q320" s="17"/>
      <c r="R320" s="19">
        <v>24.95</v>
      </c>
      <c r="S320" s="19">
        <v>0</v>
      </c>
      <c r="T320" s="38">
        <v>47</v>
      </c>
      <c r="U320" s="38"/>
      <c r="V320" s="30">
        <v>24.95</v>
      </c>
      <c r="W320" s="35">
        <v>23.13</v>
      </c>
      <c r="X320" s="32">
        <f t="shared" si="44"/>
        <v>1172.6499999999999</v>
      </c>
      <c r="Y320" s="32">
        <f t="shared" si="45"/>
        <v>1087.1099999999999</v>
      </c>
      <c r="Z320" s="32">
        <f t="shared" si="46"/>
        <v>85.539999999999964</v>
      </c>
      <c r="AA320" s="38">
        <v>47</v>
      </c>
      <c r="AB320" s="37">
        <f>IFERROR(VLOOKUP(A320,'Tash Lookup'!A:E,3,FALSE),"")</f>
        <v>1128.75</v>
      </c>
      <c r="AC320" s="6">
        <f t="shared" si="47"/>
        <v>0</v>
      </c>
      <c r="AD320" s="2" t="s">
        <v>6703</v>
      </c>
      <c r="AF320" s="56">
        <v>24.95</v>
      </c>
      <c r="AG320" s="56">
        <f>VLOOKUP(A320,Sheet1!$A$2:$C$1140,3,FALSE)</f>
        <v>25.45</v>
      </c>
      <c r="AH320" s="58">
        <v>25.45</v>
      </c>
      <c r="AI320" s="56" t="str">
        <f t="shared" si="48"/>
        <v>Increase</v>
      </c>
      <c r="AJ320" s="81">
        <f t="shared" si="52"/>
        <v>1172.6499999999999</v>
      </c>
      <c r="AK320" s="81">
        <f t="shared" si="53"/>
        <v>1196.1499999999999</v>
      </c>
      <c r="AL320" s="58" t="s">
        <v>7206</v>
      </c>
      <c r="AM320" s="58" t="s">
        <v>6703</v>
      </c>
      <c r="AN320" s="75">
        <v>39</v>
      </c>
      <c r="AO320" s="88">
        <v>25.45</v>
      </c>
      <c r="AP320" s="6" t="str">
        <f t="shared" si="49"/>
        <v>Increase</v>
      </c>
      <c r="AQ320" s="81">
        <f t="shared" si="50"/>
        <v>973.05</v>
      </c>
      <c r="AR320" s="81">
        <f t="shared" si="51"/>
        <v>992.55</v>
      </c>
      <c r="AS320" s="82">
        <f t="shared" si="54"/>
        <v>19.5</v>
      </c>
    </row>
    <row r="321" spans="1:45" hidden="1" x14ac:dyDescent="0.3">
      <c r="A321">
        <v>6317435</v>
      </c>
      <c r="B321" s="15" t="s">
        <v>5657</v>
      </c>
      <c r="C321" s="16" t="s">
        <v>30</v>
      </c>
      <c r="D321" s="6" t="s">
        <v>31</v>
      </c>
      <c r="E321" t="s">
        <v>2965</v>
      </c>
      <c r="F321" t="s">
        <v>2965</v>
      </c>
      <c r="H321" s="11" t="s">
        <v>27</v>
      </c>
      <c r="I321" s="6" t="s">
        <v>28</v>
      </c>
      <c r="J321" s="6" t="s">
        <v>28</v>
      </c>
      <c r="K321" t="s">
        <v>32</v>
      </c>
      <c r="L321" s="35">
        <v>3.39</v>
      </c>
      <c r="M321" s="6" t="s">
        <v>29</v>
      </c>
      <c r="N321" s="6">
        <v>3105</v>
      </c>
      <c r="P321" s="18"/>
      <c r="Q321" s="17"/>
      <c r="R321" s="19">
        <v>7.94</v>
      </c>
      <c r="S321" s="19">
        <v>7.94</v>
      </c>
      <c r="T321" s="38">
        <v>46</v>
      </c>
      <c r="U321" s="38"/>
      <c r="V321" s="30">
        <v>7.94</v>
      </c>
      <c r="W321" s="35">
        <v>3.39</v>
      </c>
      <c r="X321" s="32">
        <f t="shared" si="44"/>
        <v>365.24</v>
      </c>
      <c r="Y321" s="32">
        <f t="shared" si="45"/>
        <v>155.94</v>
      </c>
      <c r="Z321" s="32">
        <f t="shared" si="46"/>
        <v>209.3</v>
      </c>
      <c r="AA321" s="38">
        <v>46</v>
      </c>
      <c r="AB321" s="37">
        <f>IFERROR(VLOOKUP(A321,'Tash Lookup'!A:E,3,FALSE),"")</f>
        <v>154.76</v>
      </c>
      <c r="AC321" s="6">
        <f t="shared" si="47"/>
        <v>0</v>
      </c>
      <c r="AD321" s="2" t="s">
        <v>6703</v>
      </c>
      <c r="AF321" s="56">
        <v>3.05</v>
      </c>
      <c r="AG321" s="56">
        <f>VLOOKUP(A321,Sheet1!$A$2:$C$1140,3,FALSE)</f>
        <v>3.11</v>
      </c>
      <c r="AH321" s="58">
        <v>3.11</v>
      </c>
      <c r="AI321" s="56" t="str">
        <f t="shared" si="48"/>
        <v>Increase</v>
      </c>
      <c r="AJ321" s="81">
        <f t="shared" si="52"/>
        <v>140.29999999999998</v>
      </c>
      <c r="AK321" s="81">
        <f t="shared" si="53"/>
        <v>143.06</v>
      </c>
      <c r="AL321" s="58" t="s">
        <v>7206</v>
      </c>
      <c r="AM321" s="58" t="s">
        <v>6703</v>
      </c>
      <c r="AN321" s="75">
        <v>49</v>
      </c>
      <c r="AO321" s="88">
        <v>3.11</v>
      </c>
      <c r="AP321" s="6" t="str">
        <f t="shared" si="49"/>
        <v>Increase</v>
      </c>
      <c r="AQ321" s="81">
        <f t="shared" si="50"/>
        <v>149.44999999999999</v>
      </c>
      <c r="AR321" s="81">
        <f t="shared" si="51"/>
        <v>152.38999999999999</v>
      </c>
      <c r="AS321" s="82">
        <f t="shared" si="54"/>
        <v>2.9399999999999977</v>
      </c>
    </row>
    <row r="322" spans="1:45" hidden="1" x14ac:dyDescent="0.3">
      <c r="A322">
        <v>5089158</v>
      </c>
      <c r="B322" s="15" t="s">
        <v>5658</v>
      </c>
      <c r="C322" s="16" t="s">
        <v>30</v>
      </c>
      <c r="D322" s="6" t="s">
        <v>31</v>
      </c>
      <c r="E322" t="s">
        <v>236</v>
      </c>
      <c r="F322" t="s">
        <v>236</v>
      </c>
      <c r="H322" s="11" t="s">
        <v>27</v>
      </c>
      <c r="I322" s="6" t="s">
        <v>28</v>
      </c>
      <c r="J322" s="6" t="s">
        <v>28</v>
      </c>
      <c r="K322" t="s">
        <v>32</v>
      </c>
      <c r="L322" s="35">
        <v>43.45</v>
      </c>
      <c r="M322" s="6" t="s">
        <v>29</v>
      </c>
      <c r="N322" s="6">
        <v>3105</v>
      </c>
      <c r="P322" s="18"/>
      <c r="Q322" s="17"/>
      <c r="R322" s="19">
        <v>43.45</v>
      </c>
      <c r="S322" s="19">
        <v>43.45</v>
      </c>
      <c r="T322" s="38">
        <v>46</v>
      </c>
      <c r="U322" s="38"/>
      <c r="V322" s="29">
        <v>43.45</v>
      </c>
      <c r="W322" s="35">
        <v>43.45</v>
      </c>
      <c r="X322" s="32">
        <f t="shared" si="44"/>
        <v>1998.7</v>
      </c>
      <c r="Y322" s="32">
        <f t="shared" si="45"/>
        <v>1998.7</v>
      </c>
      <c r="Z322" s="32">
        <f t="shared" si="46"/>
        <v>0</v>
      </c>
      <c r="AA322" s="38">
        <v>46</v>
      </c>
      <c r="AB322" s="37">
        <f>IFERROR(VLOOKUP(A322,'Tash Lookup'!A:E,3,FALSE),"")</f>
        <v>1998.74</v>
      </c>
      <c r="AC322" s="6">
        <f t="shared" si="47"/>
        <v>0</v>
      </c>
      <c r="AD322" s="2" t="s">
        <v>6703</v>
      </c>
      <c r="AF322" s="56">
        <v>47.34</v>
      </c>
      <c r="AG322" s="56">
        <f>VLOOKUP(A322,Sheet1!$A$2:$C$1140,3,FALSE)</f>
        <v>47.34</v>
      </c>
      <c r="AH322" s="58">
        <v>47.34</v>
      </c>
      <c r="AI322" s="56" t="str">
        <f t="shared" si="48"/>
        <v>Same</v>
      </c>
      <c r="AJ322" s="81">
        <f t="shared" si="52"/>
        <v>2177.6400000000003</v>
      </c>
      <c r="AK322" s="81">
        <f t="shared" si="53"/>
        <v>2177.6400000000003</v>
      </c>
      <c r="AL322" s="58" t="s">
        <v>32</v>
      </c>
      <c r="AM322" s="58" t="s">
        <v>6703</v>
      </c>
      <c r="AN322" s="75">
        <v>11</v>
      </c>
      <c r="AO322" s="88">
        <v>47.34</v>
      </c>
      <c r="AP322" s="6" t="str">
        <f t="shared" si="49"/>
        <v>Same</v>
      </c>
      <c r="AQ322" s="81">
        <f t="shared" si="50"/>
        <v>520.74</v>
      </c>
      <c r="AR322" s="81">
        <f t="shared" si="51"/>
        <v>520.74</v>
      </c>
      <c r="AS322" s="81">
        <f t="shared" si="54"/>
        <v>0</v>
      </c>
    </row>
    <row r="323" spans="1:45" hidden="1" x14ac:dyDescent="0.3">
      <c r="A323">
        <v>5092434</v>
      </c>
      <c r="B323" s="15" t="s">
        <v>5659</v>
      </c>
      <c r="C323" s="16" t="s">
        <v>30</v>
      </c>
      <c r="D323" s="6" t="s">
        <v>31</v>
      </c>
      <c r="E323" t="s">
        <v>777</v>
      </c>
      <c r="F323" t="s">
        <v>777</v>
      </c>
      <c r="H323" s="11" t="s">
        <v>27</v>
      </c>
      <c r="I323" s="6" t="s">
        <v>28</v>
      </c>
      <c r="J323" s="6" t="s">
        <v>28</v>
      </c>
      <c r="K323" t="s">
        <v>32</v>
      </c>
      <c r="L323" s="35">
        <v>16.96</v>
      </c>
      <c r="M323" s="6" t="s">
        <v>29</v>
      </c>
      <c r="N323" s="6">
        <v>3105</v>
      </c>
      <c r="P323" s="18"/>
      <c r="Q323" s="17"/>
      <c r="R323" s="19">
        <v>16.96</v>
      </c>
      <c r="S323" s="19">
        <v>16.96</v>
      </c>
      <c r="T323" s="38">
        <v>46</v>
      </c>
      <c r="U323" s="38"/>
      <c r="V323" s="30">
        <v>16.96</v>
      </c>
      <c r="W323" s="35">
        <v>16.96</v>
      </c>
      <c r="X323" s="32">
        <f t="shared" si="44"/>
        <v>780.16000000000008</v>
      </c>
      <c r="Y323" s="32">
        <f t="shared" si="45"/>
        <v>780.16000000000008</v>
      </c>
      <c r="Z323" s="32">
        <f t="shared" si="46"/>
        <v>0</v>
      </c>
      <c r="AA323" s="38">
        <v>46</v>
      </c>
      <c r="AB323" s="37">
        <f>IFERROR(VLOOKUP(A323,'Tash Lookup'!A:E,3,FALSE),"")</f>
        <v>762.59</v>
      </c>
      <c r="AC323" s="6">
        <f t="shared" si="47"/>
        <v>0</v>
      </c>
      <c r="AD323" s="2" t="s">
        <v>6703</v>
      </c>
      <c r="AF323" s="56">
        <v>17.649999999999999</v>
      </c>
      <c r="AG323" s="56">
        <f>VLOOKUP(A323,Sheet1!$A$2:$C$1140,3,FALSE)</f>
        <v>17.649999999999999</v>
      </c>
      <c r="AH323" s="58">
        <v>17.649999999999999</v>
      </c>
      <c r="AI323" s="56" t="str">
        <f t="shared" si="48"/>
        <v>Same</v>
      </c>
      <c r="AJ323" s="81">
        <f t="shared" si="52"/>
        <v>811.9</v>
      </c>
      <c r="AK323" s="81">
        <f t="shared" si="53"/>
        <v>811.9</v>
      </c>
      <c r="AL323" s="58" t="s">
        <v>7206</v>
      </c>
      <c r="AM323" s="58" t="s">
        <v>6703</v>
      </c>
      <c r="AN323" s="75">
        <v>144</v>
      </c>
      <c r="AO323" s="88">
        <v>17.649999999999999</v>
      </c>
      <c r="AP323" s="6" t="str">
        <f t="shared" si="49"/>
        <v>Same</v>
      </c>
      <c r="AQ323" s="81">
        <f t="shared" si="50"/>
        <v>2541.6</v>
      </c>
      <c r="AR323" s="81">
        <f t="shared" si="51"/>
        <v>2541.6</v>
      </c>
      <c r="AS323" s="81">
        <f t="shared" si="54"/>
        <v>0</v>
      </c>
    </row>
    <row r="324" spans="1:45" hidden="1" x14ac:dyDescent="0.3">
      <c r="A324">
        <v>6183924</v>
      </c>
      <c r="B324" s="15" t="s">
        <v>5660</v>
      </c>
      <c r="C324" s="16" t="s">
        <v>30</v>
      </c>
      <c r="D324" s="6" t="s">
        <v>31</v>
      </c>
      <c r="E324" t="s">
        <v>845</v>
      </c>
      <c r="F324" t="s">
        <v>845</v>
      </c>
      <c r="H324" s="11" t="s">
        <v>27</v>
      </c>
      <c r="I324" s="6" t="s">
        <v>28</v>
      </c>
      <c r="J324" s="6" t="s">
        <v>28</v>
      </c>
      <c r="K324" t="s">
        <v>32</v>
      </c>
      <c r="L324" s="35">
        <v>6.62</v>
      </c>
      <c r="M324" s="6" t="s">
        <v>29</v>
      </c>
      <c r="N324" s="6">
        <v>3105</v>
      </c>
      <c r="P324" s="18"/>
      <c r="Q324" s="17"/>
      <c r="R324" s="19">
        <v>6.62</v>
      </c>
      <c r="S324" s="19">
        <v>6.62</v>
      </c>
      <c r="T324" s="38">
        <v>46</v>
      </c>
      <c r="U324" s="38"/>
      <c r="V324" s="30">
        <v>6.62</v>
      </c>
      <c r="W324" s="35">
        <v>6.62</v>
      </c>
      <c r="X324" s="32">
        <f t="shared" si="44"/>
        <v>304.52</v>
      </c>
      <c r="Y324" s="32">
        <f t="shared" si="45"/>
        <v>304.52</v>
      </c>
      <c r="Z324" s="32">
        <f t="shared" si="46"/>
        <v>0</v>
      </c>
      <c r="AA324" s="38">
        <v>46</v>
      </c>
      <c r="AB324" s="37">
        <f>IFERROR(VLOOKUP(A324,'Tash Lookup'!A:E,3,FALSE),"")</f>
        <v>302.64</v>
      </c>
      <c r="AC324" s="6">
        <f t="shared" si="47"/>
        <v>0</v>
      </c>
      <c r="AD324" s="2" t="s">
        <v>6703</v>
      </c>
      <c r="AF324" s="56">
        <v>6.62</v>
      </c>
      <c r="AG324" s="56">
        <f>VLOOKUP(A324,Sheet1!$A$2:$C$1140,3,FALSE)</f>
        <v>6.75</v>
      </c>
      <c r="AH324" s="58">
        <v>6.75</v>
      </c>
      <c r="AI324" s="56" t="str">
        <f t="shared" si="48"/>
        <v>Increase</v>
      </c>
      <c r="AJ324" s="81">
        <f t="shared" si="52"/>
        <v>304.52</v>
      </c>
      <c r="AK324" s="81">
        <f t="shared" si="53"/>
        <v>310.5</v>
      </c>
      <c r="AL324" s="58" t="s">
        <v>7206</v>
      </c>
      <c r="AM324" s="58" t="s">
        <v>6703</v>
      </c>
      <c r="AN324" s="75">
        <v>9</v>
      </c>
      <c r="AO324" s="88">
        <v>6.75</v>
      </c>
      <c r="AP324" s="6" t="str">
        <f t="shared" si="49"/>
        <v>Increase</v>
      </c>
      <c r="AQ324" s="81">
        <f t="shared" si="50"/>
        <v>59.58</v>
      </c>
      <c r="AR324" s="81">
        <f t="shared" si="51"/>
        <v>60.75</v>
      </c>
      <c r="AS324" s="82">
        <f t="shared" si="54"/>
        <v>1.1700000000000017</v>
      </c>
    </row>
    <row r="325" spans="1:45" hidden="1" x14ac:dyDescent="0.3">
      <c r="A325">
        <v>6183857</v>
      </c>
      <c r="B325" s="15" t="s">
        <v>5661</v>
      </c>
      <c r="C325" s="16" t="s">
        <v>30</v>
      </c>
      <c r="D325" s="6" t="s">
        <v>31</v>
      </c>
      <c r="E325" t="s">
        <v>821</v>
      </c>
      <c r="F325" t="s">
        <v>821</v>
      </c>
      <c r="H325" s="11" t="s">
        <v>27</v>
      </c>
      <c r="I325" s="6" t="s">
        <v>28</v>
      </c>
      <c r="J325" s="6" t="s">
        <v>28</v>
      </c>
      <c r="K325" t="s">
        <v>32</v>
      </c>
      <c r="L325" s="35">
        <v>21.31</v>
      </c>
      <c r="M325" s="6" t="s">
        <v>29</v>
      </c>
      <c r="N325" s="6">
        <v>3105</v>
      </c>
      <c r="P325" s="18"/>
      <c r="Q325" s="17"/>
      <c r="R325" s="19">
        <v>21.31</v>
      </c>
      <c r="S325" s="19">
        <v>21.31</v>
      </c>
      <c r="T325" s="38">
        <v>46</v>
      </c>
      <c r="U325" s="38"/>
      <c r="V325" s="30">
        <v>21.31</v>
      </c>
      <c r="W325" s="35">
        <v>21.31</v>
      </c>
      <c r="X325" s="32">
        <f t="shared" si="44"/>
        <v>980.26</v>
      </c>
      <c r="Y325" s="32">
        <f t="shared" si="45"/>
        <v>980.26</v>
      </c>
      <c r="Z325" s="32">
        <f t="shared" si="46"/>
        <v>0</v>
      </c>
      <c r="AA325" s="38">
        <v>46</v>
      </c>
      <c r="AB325" s="37">
        <f>IFERROR(VLOOKUP(A325,'Tash Lookup'!A:E,3,FALSE),"")</f>
        <v>977.47</v>
      </c>
      <c r="AC325" s="6">
        <f t="shared" si="47"/>
        <v>0</v>
      </c>
      <c r="AD325" s="2" t="s">
        <v>6703</v>
      </c>
      <c r="AF325" s="56">
        <v>21.31</v>
      </c>
      <c r="AG325" s="56" t="e">
        <f>VLOOKUP(A325,Sheet1!$A$2:$C$1140,3,FALSE)</f>
        <v>#N/A</v>
      </c>
      <c r="AH325" s="58" t="e">
        <v>#N/A</v>
      </c>
      <c r="AI325" s="56" t="str">
        <f t="shared" si="48"/>
        <v>Delete</v>
      </c>
      <c r="AJ325" s="81">
        <f t="shared" si="52"/>
        <v>980.26</v>
      </c>
      <c r="AK325" s="81">
        <f t="shared" si="53"/>
        <v>0</v>
      </c>
      <c r="AL325" s="58" t="s">
        <v>7206</v>
      </c>
      <c r="AM325" s="58" t="s">
        <v>6703</v>
      </c>
      <c r="AN325" s="75">
        <v>63</v>
      </c>
      <c r="AO325" s="88">
        <v>21.74</v>
      </c>
      <c r="AP325" s="6" t="str">
        <f t="shared" si="49"/>
        <v>Increase</v>
      </c>
      <c r="AQ325" s="81">
        <f t="shared" si="50"/>
        <v>1342.53</v>
      </c>
      <c r="AR325" s="81">
        <f t="shared" si="51"/>
        <v>1369.62</v>
      </c>
      <c r="AS325" s="82">
        <f t="shared" si="54"/>
        <v>27.089999999999918</v>
      </c>
    </row>
    <row r="326" spans="1:45" hidden="1" x14ac:dyDescent="0.3">
      <c r="A326">
        <v>5219329</v>
      </c>
      <c r="B326" s="15" t="s">
        <v>5662</v>
      </c>
      <c r="C326" s="16" t="s">
        <v>30</v>
      </c>
      <c r="D326" s="6" t="s">
        <v>31</v>
      </c>
      <c r="E326" t="s">
        <v>302</v>
      </c>
      <c r="F326" t="s">
        <v>302</v>
      </c>
      <c r="H326" s="11" t="s">
        <v>27</v>
      </c>
      <c r="I326" s="6" t="s">
        <v>28</v>
      </c>
      <c r="J326" s="6" t="s">
        <v>28</v>
      </c>
      <c r="K326" t="s">
        <v>32</v>
      </c>
      <c r="L326" s="29">
        <v>18.260000000000002</v>
      </c>
      <c r="M326" s="6" t="s">
        <v>29</v>
      </c>
      <c r="N326" s="6">
        <v>3105</v>
      </c>
      <c r="P326" s="18"/>
      <c r="Q326" s="17"/>
      <c r="R326" s="19">
        <v>25.11</v>
      </c>
      <c r="S326" s="19">
        <v>25.11</v>
      </c>
      <c r="T326" s="38">
        <v>46</v>
      </c>
      <c r="U326" s="38"/>
      <c r="V326" s="29">
        <v>18.260000000000002</v>
      </c>
      <c r="W326" s="44">
        <v>13.44</v>
      </c>
      <c r="X326" s="32">
        <f t="shared" ref="X326:X389" si="55">SUM(V326*T326)</f>
        <v>839.96</v>
      </c>
      <c r="Y326" s="32">
        <f t="shared" ref="Y326:Y389" si="56">SUM(L326*T326)</f>
        <v>839.96</v>
      </c>
      <c r="Z326" s="32">
        <f t="shared" ref="Z326:Z389" si="57">SUM(X326-Y326)</f>
        <v>0</v>
      </c>
      <c r="AA326" s="38">
        <v>46</v>
      </c>
      <c r="AB326" s="37">
        <f>IFERROR(VLOOKUP(A326,'Tash Lookup'!A:E,3,FALSE),"")</f>
        <v>739.88999999999987</v>
      </c>
      <c r="AC326" s="6">
        <f t="shared" ref="AC326:AC389" si="58">IFERROR(AA326-T326,"")</f>
        <v>0</v>
      </c>
      <c r="AD326" s="2" t="s">
        <v>6703</v>
      </c>
      <c r="AF326" s="56">
        <v>18.8</v>
      </c>
      <c r="AG326" s="56">
        <f>VLOOKUP(A326,Sheet1!$A$2:$C$1140,3,FALSE)</f>
        <v>19.37</v>
      </c>
      <c r="AH326" s="58">
        <v>19.37</v>
      </c>
      <c r="AI326" s="56" t="str">
        <f t="shared" ref="AI326:AI389" si="59">IF(ISNA(AH326),"Delete",IF(AH326=AF326,"Same",IF(AH326&gt;AF326,"Increase","Decrease")))</f>
        <v>Increase</v>
      </c>
      <c r="AJ326" s="81">
        <f t="shared" si="52"/>
        <v>864.80000000000007</v>
      </c>
      <c r="AK326" s="81">
        <f t="shared" si="53"/>
        <v>891.0200000000001</v>
      </c>
      <c r="AL326" s="58" t="s">
        <v>32</v>
      </c>
      <c r="AM326" s="58" t="s">
        <v>6703</v>
      </c>
      <c r="AN326" s="75">
        <v>13</v>
      </c>
      <c r="AO326" s="88">
        <v>19.37</v>
      </c>
      <c r="AP326" s="6" t="str">
        <f t="shared" ref="AP326:AP389" si="60">IF(AM326="Delete","Delete",IF(AO326=AF326,"Same",IF(AO326&gt;AF326,"Increase","Decrease")))</f>
        <v>Increase</v>
      </c>
      <c r="AQ326" s="81">
        <f t="shared" ref="AQ326:AQ389" si="61">AN326*AF326</f>
        <v>244.4</v>
      </c>
      <c r="AR326" s="81">
        <f t="shared" ref="AR326:AR389" si="62">AN326*AO326</f>
        <v>251.81</v>
      </c>
      <c r="AS326" s="82">
        <f t="shared" si="54"/>
        <v>7.4099999999999966</v>
      </c>
    </row>
    <row r="327" spans="1:45" hidden="1" x14ac:dyDescent="0.3">
      <c r="A327">
        <v>5090778</v>
      </c>
      <c r="B327" s="15" t="s">
        <v>5663</v>
      </c>
      <c r="C327" s="16" t="s">
        <v>30</v>
      </c>
      <c r="D327" s="6" t="s">
        <v>31</v>
      </c>
      <c r="E327" t="s">
        <v>544</v>
      </c>
      <c r="F327" t="s">
        <v>544</v>
      </c>
      <c r="H327" s="11" t="s">
        <v>27</v>
      </c>
      <c r="I327" s="6" t="s">
        <v>28</v>
      </c>
      <c r="J327" s="6" t="s">
        <v>28</v>
      </c>
      <c r="K327" t="s">
        <v>32</v>
      </c>
      <c r="L327" s="35">
        <v>15.48</v>
      </c>
      <c r="M327" s="6" t="s">
        <v>29</v>
      </c>
      <c r="N327" s="6">
        <v>3105</v>
      </c>
      <c r="P327" s="18"/>
      <c r="Q327" s="17"/>
      <c r="R327" s="19">
        <v>15.48</v>
      </c>
      <c r="S327" s="19">
        <v>15.48</v>
      </c>
      <c r="T327" s="38">
        <v>46</v>
      </c>
      <c r="U327" s="38"/>
      <c r="V327" s="29">
        <v>15.48</v>
      </c>
      <c r="W327" s="35">
        <v>15.48</v>
      </c>
      <c r="X327" s="32">
        <f t="shared" si="55"/>
        <v>712.08</v>
      </c>
      <c r="Y327" s="32">
        <f t="shared" si="56"/>
        <v>712.08</v>
      </c>
      <c r="Z327" s="32">
        <f t="shared" si="57"/>
        <v>0</v>
      </c>
      <c r="AA327" s="38">
        <v>46</v>
      </c>
      <c r="AB327" s="37">
        <f>IFERROR(VLOOKUP(A327,'Tash Lookup'!A:E,3,FALSE),"")</f>
        <v>634.02</v>
      </c>
      <c r="AC327" s="6">
        <f t="shared" si="58"/>
        <v>0</v>
      </c>
      <c r="AD327" s="2" t="s">
        <v>6703</v>
      </c>
      <c r="AF327" s="56">
        <v>15.76</v>
      </c>
      <c r="AG327" s="56">
        <f>VLOOKUP(A327,Sheet1!$A$2:$C$1140,3,FALSE)</f>
        <v>16.23</v>
      </c>
      <c r="AH327" s="58">
        <v>16.23</v>
      </c>
      <c r="AI327" s="56" t="str">
        <f t="shared" si="59"/>
        <v>Increase</v>
      </c>
      <c r="AJ327" s="81">
        <f t="shared" ref="AJ327:AJ390" si="63">IFERROR(AA327*AF327,0)</f>
        <v>724.96</v>
      </c>
      <c r="AK327" s="81">
        <f t="shared" ref="AK327:AK390" si="64">IFERROR(AA327*AH327,0)</f>
        <v>746.58</v>
      </c>
      <c r="AL327" s="58" t="s">
        <v>32</v>
      </c>
      <c r="AM327" s="58" t="s">
        <v>6703</v>
      </c>
      <c r="AN327" s="75">
        <v>15</v>
      </c>
      <c r="AO327" s="88">
        <v>16.23</v>
      </c>
      <c r="AP327" s="6" t="str">
        <f t="shared" si="60"/>
        <v>Increase</v>
      </c>
      <c r="AQ327" s="81">
        <f t="shared" si="61"/>
        <v>236.4</v>
      </c>
      <c r="AR327" s="81">
        <f t="shared" si="62"/>
        <v>243.45000000000002</v>
      </c>
      <c r="AS327" s="82">
        <f t="shared" ref="AS327:AS390" si="65">AR327-AQ327</f>
        <v>7.0500000000000114</v>
      </c>
    </row>
    <row r="328" spans="1:45" hidden="1" x14ac:dyDescent="0.3">
      <c r="A328">
        <v>5092714</v>
      </c>
      <c r="B328" s="15" t="s">
        <v>5664</v>
      </c>
      <c r="C328" s="16" t="s">
        <v>30</v>
      </c>
      <c r="D328" s="6" t="s">
        <v>31</v>
      </c>
      <c r="E328" t="s">
        <v>405</v>
      </c>
      <c r="F328" t="s">
        <v>405</v>
      </c>
      <c r="H328" s="11" t="s">
        <v>27</v>
      </c>
      <c r="I328" s="6" t="s">
        <v>28</v>
      </c>
      <c r="J328" s="6" t="s">
        <v>28</v>
      </c>
      <c r="K328" t="s">
        <v>32</v>
      </c>
      <c r="L328" s="35">
        <v>32.200000000000003</v>
      </c>
      <c r="M328" s="6" t="s">
        <v>29</v>
      </c>
      <c r="N328" s="6">
        <v>3105</v>
      </c>
      <c r="P328" s="18"/>
      <c r="Q328" s="17"/>
      <c r="R328" s="19">
        <v>0</v>
      </c>
      <c r="S328" s="19">
        <v>0</v>
      </c>
      <c r="T328" s="38">
        <v>45</v>
      </c>
      <c r="U328" s="38"/>
      <c r="V328" s="29">
        <v>32.200000000000003</v>
      </c>
      <c r="W328" s="35">
        <v>32.200000000000003</v>
      </c>
      <c r="X328" s="32">
        <f t="shared" si="55"/>
        <v>1449.0000000000002</v>
      </c>
      <c r="Y328" s="32">
        <f t="shared" si="56"/>
        <v>1449.0000000000002</v>
      </c>
      <c r="Z328" s="32">
        <f t="shared" si="57"/>
        <v>0</v>
      </c>
      <c r="AA328" s="38">
        <v>45</v>
      </c>
      <c r="AB328" s="37">
        <f>IFERROR(VLOOKUP(A328,'Tash Lookup'!A:E,3,FALSE),"")</f>
        <v>1549.5</v>
      </c>
      <c r="AC328" s="6">
        <f t="shared" si="58"/>
        <v>0</v>
      </c>
      <c r="AD328" s="2" t="s">
        <v>6703</v>
      </c>
      <c r="AF328" s="56">
        <v>32.909999999999997</v>
      </c>
      <c r="AG328" s="56">
        <f>VLOOKUP(A328,Sheet1!$A$2:$C$1140,3,FALSE)</f>
        <v>33.9</v>
      </c>
      <c r="AH328" s="58">
        <v>33.9</v>
      </c>
      <c r="AI328" s="56" t="str">
        <f t="shared" si="59"/>
        <v>Increase</v>
      </c>
      <c r="AJ328" s="81">
        <f t="shared" si="63"/>
        <v>1480.9499999999998</v>
      </c>
      <c r="AK328" s="81">
        <f t="shared" si="64"/>
        <v>1525.5</v>
      </c>
      <c r="AL328" s="58" t="s">
        <v>32</v>
      </c>
      <c r="AM328" s="58" t="s">
        <v>6703</v>
      </c>
      <c r="AN328" s="75">
        <v>33</v>
      </c>
      <c r="AO328" s="88">
        <v>33.9</v>
      </c>
      <c r="AP328" s="6" t="str">
        <f t="shared" si="60"/>
        <v>Increase</v>
      </c>
      <c r="AQ328" s="81">
        <f t="shared" si="61"/>
        <v>1086.03</v>
      </c>
      <c r="AR328" s="81">
        <f t="shared" si="62"/>
        <v>1118.7</v>
      </c>
      <c r="AS328" s="82">
        <f t="shared" si="65"/>
        <v>32.670000000000073</v>
      </c>
    </row>
    <row r="329" spans="1:45" hidden="1" x14ac:dyDescent="0.3">
      <c r="A329">
        <v>5090792</v>
      </c>
      <c r="B329" s="15" t="s">
        <v>5665</v>
      </c>
      <c r="C329" s="16" t="s">
        <v>30</v>
      </c>
      <c r="D329" s="6" t="s">
        <v>31</v>
      </c>
      <c r="E329" t="s">
        <v>2534</v>
      </c>
      <c r="F329" t="s">
        <v>2534</v>
      </c>
      <c r="H329" s="11" t="s">
        <v>27</v>
      </c>
      <c r="I329" s="6" t="s">
        <v>28</v>
      </c>
      <c r="J329" s="6" t="s">
        <v>28</v>
      </c>
      <c r="K329" t="s">
        <v>32</v>
      </c>
      <c r="L329" s="35">
        <v>79.5</v>
      </c>
      <c r="M329" s="6" t="s">
        <v>29</v>
      </c>
      <c r="N329" s="6">
        <v>3105</v>
      </c>
      <c r="P329" s="18"/>
      <c r="Q329" s="17"/>
      <c r="R329" s="19">
        <v>79.5</v>
      </c>
      <c r="S329" s="19">
        <v>79.5</v>
      </c>
      <c r="T329" s="38">
        <v>45</v>
      </c>
      <c r="U329" s="38"/>
      <c r="V329" s="29">
        <v>79.5</v>
      </c>
      <c r="W329" s="35">
        <v>79.5</v>
      </c>
      <c r="X329" s="32">
        <f t="shared" si="55"/>
        <v>3577.5</v>
      </c>
      <c r="Y329" s="32">
        <f t="shared" si="56"/>
        <v>3577.5</v>
      </c>
      <c r="Z329" s="32">
        <f t="shared" si="57"/>
        <v>0</v>
      </c>
      <c r="AA329" s="38">
        <v>45</v>
      </c>
      <c r="AB329" s="37">
        <f>IFERROR(VLOOKUP(A329,'Tash Lookup'!A:E,3,FALSE),"")</f>
        <v>3266.89</v>
      </c>
      <c r="AC329" s="6">
        <f t="shared" si="58"/>
        <v>0</v>
      </c>
      <c r="AD329" s="2" t="s">
        <v>6703</v>
      </c>
      <c r="AF329" s="56">
        <v>67.67</v>
      </c>
      <c r="AG329" s="56">
        <f>VLOOKUP(A329,Sheet1!$A$2:$C$1140,3,FALSE)</f>
        <v>67.67</v>
      </c>
      <c r="AH329" s="58">
        <v>67.67</v>
      </c>
      <c r="AI329" s="56" t="str">
        <f t="shared" si="59"/>
        <v>Same</v>
      </c>
      <c r="AJ329" s="81">
        <f t="shared" si="63"/>
        <v>3045.15</v>
      </c>
      <c r="AK329" s="81">
        <f t="shared" si="64"/>
        <v>3045.15</v>
      </c>
      <c r="AL329" s="58" t="s">
        <v>32</v>
      </c>
      <c r="AM329" s="58" t="s">
        <v>6703</v>
      </c>
      <c r="AN329" s="75">
        <v>11</v>
      </c>
      <c r="AO329" s="88">
        <v>67.67</v>
      </c>
      <c r="AP329" s="6" t="str">
        <f t="shared" si="60"/>
        <v>Same</v>
      </c>
      <c r="AQ329" s="81">
        <f t="shared" si="61"/>
        <v>744.37</v>
      </c>
      <c r="AR329" s="81">
        <f t="shared" si="62"/>
        <v>744.37</v>
      </c>
      <c r="AS329" s="81">
        <f t="shared" si="65"/>
        <v>0</v>
      </c>
    </row>
    <row r="330" spans="1:45" hidden="1" x14ac:dyDescent="0.3">
      <c r="A330">
        <v>5090791</v>
      </c>
      <c r="B330" s="15" t="s">
        <v>5666</v>
      </c>
      <c r="C330" s="16" t="s">
        <v>30</v>
      </c>
      <c r="D330" s="6" t="s">
        <v>31</v>
      </c>
      <c r="E330" t="s">
        <v>517</v>
      </c>
      <c r="F330" t="s">
        <v>517</v>
      </c>
      <c r="H330" s="11" t="s">
        <v>27</v>
      </c>
      <c r="I330" s="6" t="s">
        <v>28</v>
      </c>
      <c r="J330" s="6" t="s">
        <v>28</v>
      </c>
      <c r="K330" t="s">
        <v>32</v>
      </c>
      <c r="L330" s="35">
        <v>62.83</v>
      </c>
      <c r="M330" s="6" t="s">
        <v>29</v>
      </c>
      <c r="N330" s="6">
        <v>3105</v>
      </c>
      <c r="P330" s="18"/>
      <c r="Q330" s="17"/>
      <c r="R330" s="19">
        <v>62.83</v>
      </c>
      <c r="S330" s="19">
        <v>62.83</v>
      </c>
      <c r="T330" s="38">
        <v>45</v>
      </c>
      <c r="U330" s="38"/>
      <c r="V330" s="29">
        <v>62.83</v>
      </c>
      <c r="W330" s="35">
        <v>62.83</v>
      </c>
      <c r="X330" s="32">
        <f t="shared" si="55"/>
        <v>2827.35</v>
      </c>
      <c r="Y330" s="32">
        <f t="shared" si="56"/>
        <v>2827.35</v>
      </c>
      <c r="Z330" s="32">
        <f t="shared" si="57"/>
        <v>0</v>
      </c>
      <c r="AA330" s="38">
        <v>45</v>
      </c>
      <c r="AB330" s="37">
        <f>IFERROR(VLOOKUP(A330,'Tash Lookup'!A:E,3,FALSE),"")</f>
        <v>2768.09</v>
      </c>
      <c r="AC330" s="6">
        <f t="shared" si="58"/>
        <v>0</v>
      </c>
      <c r="AD330" s="2" t="s">
        <v>6703</v>
      </c>
      <c r="AF330" s="56">
        <v>55.47</v>
      </c>
      <c r="AG330" s="56">
        <f>VLOOKUP(A330,Sheet1!$A$2:$C$1140,3,FALSE)</f>
        <v>55.47</v>
      </c>
      <c r="AH330" s="58">
        <v>55.47</v>
      </c>
      <c r="AI330" s="56" t="str">
        <f t="shared" si="59"/>
        <v>Same</v>
      </c>
      <c r="AJ330" s="81">
        <f t="shared" si="63"/>
        <v>2496.15</v>
      </c>
      <c r="AK330" s="81">
        <f t="shared" si="64"/>
        <v>2496.15</v>
      </c>
      <c r="AL330" s="58" t="s">
        <v>32</v>
      </c>
      <c r="AM330" s="58" t="s">
        <v>6703</v>
      </c>
      <c r="AN330" s="75">
        <v>17</v>
      </c>
      <c r="AO330" s="88">
        <v>55.47</v>
      </c>
      <c r="AP330" s="6" t="str">
        <f t="shared" si="60"/>
        <v>Same</v>
      </c>
      <c r="AQ330" s="81">
        <f t="shared" si="61"/>
        <v>942.99</v>
      </c>
      <c r="AR330" s="81">
        <f t="shared" si="62"/>
        <v>942.99</v>
      </c>
      <c r="AS330" s="81">
        <f t="shared" si="65"/>
        <v>0</v>
      </c>
    </row>
    <row r="331" spans="1:45" hidden="1" x14ac:dyDescent="0.3">
      <c r="A331">
        <v>5218692</v>
      </c>
      <c r="B331" s="15" t="s">
        <v>5667</v>
      </c>
      <c r="C331" s="16" t="s">
        <v>30</v>
      </c>
      <c r="D331" s="6" t="s">
        <v>31</v>
      </c>
      <c r="E331" t="s">
        <v>298</v>
      </c>
      <c r="F331" t="s">
        <v>298</v>
      </c>
      <c r="H331" s="11" t="s">
        <v>27</v>
      </c>
      <c r="I331" s="6" t="s">
        <v>28</v>
      </c>
      <c r="J331" s="6" t="s">
        <v>28</v>
      </c>
      <c r="K331" t="s">
        <v>32</v>
      </c>
      <c r="L331" s="35">
        <v>17.46</v>
      </c>
      <c r="M331" s="6" t="s">
        <v>29</v>
      </c>
      <c r="N331" s="6">
        <v>3105</v>
      </c>
      <c r="P331" s="18"/>
      <c r="Q331" s="17"/>
      <c r="R331" s="19">
        <v>17.46</v>
      </c>
      <c r="S331" s="19">
        <v>17.46</v>
      </c>
      <c r="T331" s="38">
        <v>44</v>
      </c>
      <c r="U331" s="38"/>
      <c r="V331" s="29">
        <v>17.46</v>
      </c>
      <c r="W331" s="45">
        <v>12.22</v>
      </c>
      <c r="X331" s="32">
        <f t="shared" si="55"/>
        <v>768.24</v>
      </c>
      <c r="Y331" s="32">
        <f t="shared" si="56"/>
        <v>768.24</v>
      </c>
      <c r="Z331" s="32">
        <f t="shared" si="57"/>
        <v>0</v>
      </c>
      <c r="AA331" s="38">
        <v>44</v>
      </c>
      <c r="AB331" s="37">
        <f>IFERROR(VLOOKUP(A331,'Tash Lookup'!A:E,3,FALSE),"")</f>
        <v>631.27</v>
      </c>
      <c r="AC331" s="6">
        <f t="shared" si="58"/>
        <v>0</v>
      </c>
      <c r="AD331" s="2" t="s">
        <v>6703</v>
      </c>
      <c r="AF331" s="56">
        <v>20.079999999999998</v>
      </c>
      <c r="AG331" s="56">
        <f>VLOOKUP(A331,Sheet1!$A$2:$C$1140,3,FALSE)</f>
        <v>20.68</v>
      </c>
      <c r="AH331" s="58">
        <v>20.68</v>
      </c>
      <c r="AI331" s="56" t="str">
        <f t="shared" si="59"/>
        <v>Increase</v>
      </c>
      <c r="AJ331" s="81">
        <f t="shared" si="63"/>
        <v>883.52</v>
      </c>
      <c r="AK331" s="81">
        <f t="shared" si="64"/>
        <v>909.92</v>
      </c>
      <c r="AL331" s="58" t="s">
        <v>32</v>
      </c>
      <c r="AM331" s="58" t="s">
        <v>6703</v>
      </c>
      <c r="AN331" s="75">
        <v>21</v>
      </c>
      <c r="AO331" s="88">
        <v>20.68</v>
      </c>
      <c r="AP331" s="6" t="str">
        <f t="shared" si="60"/>
        <v>Increase</v>
      </c>
      <c r="AQ331" s="81">
        <f t="shared" si="61"/>
        <v>421.67999999999995</v>
      </c>
      <c r="AR331" s="81">
        <f t="shared" si="62"/>
        <v>434.28</v>
      </c>
      <c r="AS331" s="82">
        <f t="shared" si="65"/>
        <v>12.600000000000023</v>
      </c>
    </row>
    <row r="332" spans="1:45" hidden="1" x14ac:dyDescent="0.3">
      <c r="A332">
        <v>5091661</v>
      </c>
      <c r="B332" s="15" t="s">
        <v>5668</v>
      </c>
      <c r="C332" s="16" t="s">
        <v>30</v>
      </c>
      <c r="D332" s="6" t="s">
        <v>31</v>
      </c>
      <c r="E332" t="s">
        <v>78</v>
      </c>
      <c r="F332" t="s">
        <v>78</v>
      </c>
      <c r="H332" s="11" t="s">
        <v>27</v>
      </c>
      <c r="I332" s="6" t="s">
        <v>28</v>
      </c>
      <c r="J332" s="6" t="s">
        <v>28</v>
      </c>
      <c r="K332" t="s">
        <v>32</v>
      </c>
      <c r="L332" s="35">
        <v>17.559999999999999</v>
      </c>
      <c r="M332" s="6" t="s">
        <v>29</v>
      </c>
      <c r="N332" s="6">
        <v>3105</v>
      </c>
      <c r="P332" s="18"/>
      <c r="Q332" s="17"/>
      <c r="R332" s="19">
        <v>17.559999999999999</v>
      </c>
      <c r="S332" s="19">
        <v>17.559999999999999</v>
      </c>
      <c r="T332" s="38">
        <v>44</v>
      </c>
      <c r="U332" s="38"/>
      <c r="V332" s="29">
        <v>17.559999999999999</v>
      </c>
      <c r="W332" s="35">
        <v>17.559999999999999</v>
      </c>
      <c r="X332" s="32">
        <f t="shared" si="55"/>
        <v>772.64</v>
      </c>
      <c r="Y332" s="32">
        <f t="shared" si="56"/>
        <v>772.64</v>
      </c>
      <c r="Z332" s="32">
        <f t="shared" si="57"/>
        <v>0</v>
      </c>
      <c r="AA332" s="38">
        <v>44</v>
      </c>
      <c r="AB332" s="37">
        <f>IFERROR(VLOOKUP(A332,'Tash Lookup'!A:E,3,FALSE),"")</f>
        <v>723.04</v>
      </c>
      <c r="AC332" s="6">
        <f t="shared" si="58"/>
        <v>0</v>
      </c>
      <c r="AD332" s="2" t="s">
        <v>6703</v>
      </c>
      <c r="AF332" s="56">
        <v>16.920000000000002</v>
      </c>
      <c r="AG332" s="56">
        <f>VLOOKUP(A332,Sheet1!$A$2:$C$1140,3,FALSE)</f>
        <v>16.920000000000002</v>
      </c>
      <c r="AH332" s="58">
        <v>16.920000000000002</v>
      </c>
      <c r="AI332" s="56" t="str">
        <f t="shared" si="59"/>
        <v>Same</v>
      </c>
      <c r="AJ332" s="81">
        <f t="shared" si="63"/>
        <v>744.48</v>
      </c>
      <c r="AK332" s="81">
        <f t="shared" si="64"/>
        <v>744.48</v>
      </c>
      <c r="AL332" s="58" t="s">
        <v>32</v>
      </c>
      <c r="AM332" s="58" t="s">
        <v>6703</v>
      </c>
      <c r="AN332" s="75">
        <v>13</v>
      </c>
      <c r="AO332" s="88">
        <v>16.920000000000002</v>
      </c>
      <c r="AP332" s="6" t="str">
        <f t="shared" si="60"/>
        <v>Same</v>
      </c>
      <c r="AQ332" s="81">
        <f t="shared" si="61"/>
        <v>219.96000000000004</v>
      </c>
      <c r="AR332" s="81">
        <f t="shared" si="62"/>
        <v>219.96000000000004</v>
      </c>
      <c r="AS332" s="81">
        <f t="shared" si="65"/>
        <v>0</v>
      </c>
    </row>
    <row r="333" spans="1:45" hidden="1" x14ac:dyDescent="0.3">
      <c r="A333">
        <v>6054160</v>
      </c>
      <c r="B333" s="15" t="s">
        <v>5669</v>
      </c>
      <c r="C333" s="16" t="s">
        <v>30</v>
      </c>
      <c r="D333" s="6" t="s">
        <v>31</v>
      </c>
      <c r="E333" t="s">
        <v>1196</v>
      </c>
      <c r="F333" t="s">
        <v>1196</v>
      </c>
      <c r="H333" s="11" t="s">
        <v>27</v>
      </c>
      <c r="I333" s="6" t="s">
        <v>28</v>
      </c>
      <c r="J333" s="6" t="s">
        <v>28</v>
      </c>
      <c r="K333" t="s">
        <v>32</v>
      </c>
      <c r="L333" s="35">
        <v>20.81</v>
      </c>
      <c r="M333" s="6" t="s">
        <v>29</v>
      </c>
      <c r="N333" s="6">
        <v>3105</v>
      </c>
      <c r="P333" s="18"/>
      <c r="Q333" s="17"/>
      <c r="R333" s="19">
        <v>0</v>
      </c>
      <c r="S333" s="19">
        <v>0</v>
      </c>
      <c r="T333" s="38">
        <v>44</v>
      </c>
      <c r="U333" s="38"/>
      <c r="V333" s="31">
        <v>20.81</v>
      </c>
      <c r="W333" s="35">
        <v>20.81</v>
      </c>
      <c r="X333" s="32">
        <f t="shared" si="55"/>
        <v>915.64</v>
      </c>
      <c r="Y333" s="32">
        <f t="shared" si="56"/>
        <v>915.64</v>
      </c>
      <c r="Z333" s="32">
        <f t="shared" si="57"/>
        <v>0</v>
      </c>
      <c r="AA333" s="38">
        <v>44</v>
      </c>
      <c r="AB333" s="37">
        <f>IFERROR(VLOOKUP(A333,'Tash Lookup'!A:E,3,FALSE),"")</f>
        <v>883.44</v>
      </c>
      <c r="AC333" s="6">
        <f t="shared" si="58"/>
        <v>0</v>
      </c>
      <c r="AD333" s="2" t="s">
        <v>6703</v>
      </c>
      <c r="AF333" s="56">
        <v>20.81</v>
      </c>
      <c r="AG333" s="56">
        <f>VLOOKUP(A333,Sheet1!$A$2:$C$1140,3,FALSE)</f>
        <v>21.23</v>
      </c>
      <c r="AH333" s="58">
        <v>21.23</v>
      </c>
      <c r="AI333" s="56" t="str">
        <f t="shared" si="59"/>
        <v>Increase</v>
      </c>
      <c r="AJ333" s="81">
        <f t="shared" si="63"/>
        <v>915.64</v>
      </c>
      <c r="AK333" s="81">
        <f t="shared" si="64"/>
        <v>934.12</v>
      </c>
      <c r="AL333" s="58" t="s">
        <v>7206</v>
      </c>
      <c r="AM333" s="58" t="s">
        <v>6703</v>
      </c>
      <c r="AN333" s="75">
        <v>27</v>
      </c>
      <c r="AO333" s="88">
        <v>21.23</v>
      </c>
      <c r="AP333" s="6" t="str">
        <f t="shared" si="60"/>
        <v>Increase</v>
      </c>
      <c r="AQ333" s="81">
        <f t="shared" si="61"/>
        <v>561.87</v>
      </c>
      <c r="AR333" s="81">
        <f t="shared" si="62"/>
        <v>573.21</v>
      </c>
      <c r="AS333" s="82">
        <f t="shared" si="65"/>
        <v>11.340000000000032</v>
      </c>
    </row>
    <row r="334" spans="1:45" hidden="1" x14ac:dyDescent="0.3">
      <c r="A334">
        <v>6133412</v>
      </c>
      <c r="B334" s="15" t="s">
        <v>5670</v>
      </c>
      <c r="C334" s="16" t="s">
        <v>30</v>
      </c>
      <c r="D334" s="6" t="s">
        <v>31</v>
      </c>
      <c r="E334" t="s">
        <v>1256</v>
      </c>
      <c r="F334" t="s">
        <v>1256</v>
      </c>
      <c r="H334" s="11" t="s">
        <v>27</v>
      </c>
      <c r="I334" s="6" t="s">
        <v>28</v>
      </c>
      <c r="J334" s="6" t="s">
        <v>28</v>
      </c>
      <c r="K334" t="s">
        <v>32</v>
      </c>
      <c r="L334" s="35">
        <v>8.24</v>
      </c>
      <c r="M334" s="6" t="s">
        <v>29</v>
      </c>
      <c r="N334" s="6">
        <v>3105</v>
      </c>
      <c r="P334" s="18"/>
      <c r="Q334" s="17"/>
      <c r="R334" s="19">
        <v>8.6300000000000008</v>
      </c>
      <c r="S334" s="19">
        <v>0</v>
      </c>
      <c r="T334" s="38">
        <v>43</v>
      </c>
      <c r="U334" s="38"/>
      <c r="V334" s="30">
        <v>8.6300000000000008</v>
      </c>
      <c r="W334" s="35">
        <v>8.24</v>
      </c>
      <c r="X334" s="32">
        <f t="shared" si="55"/>
        <v>371.09000000000003</v>
      </c>
      <c r="Y334" s="32">
        <f t="shared" si="56"/>
        <v>354.32</v>
      </c>
      <c r="Z334" s="32">
        <f t="shared" si="57"/>
        <v>16.770000000000039</v>
      </c>
      <c r="AA334" s="38">
        <v>43</v>
      </c>
      <c r="AB334" s="37">
        <f>IFERROR(VLOOKUP(A334,'Tash Lookup'!A:E,3,FALSE),"")</f>
        <v>354.44</v>
      </c>
      <c r="AC334" s="6">
        <f t="shared" si="58"/>
        <v>0</v>
      </c>
      <c r="AD334" s="2" t="s">
        <v>6707</v>
      </c>
      <c r="AF334" s="56">
        <v>8.6300000000000008</v>
      </c>
      <c r="AG334" s="56" t="e">
        <f>VLOOKUP(A334,Sheet1!$A$2:$C$1140,3,FALSE)</f>
        <v>#N/A</v>
      </c>
      <c r="AH334" s="58" t="e">
        <v>#N/A</v>
      </c>
      <c r="AI334" s="56" t="str">
        <f t="shared" si="59"/>
        <v>Delete</v>
      </c>
      <c r="AJ334" s="81">
        <f t="shared" si="63"/>
        <v>371.09000000000003</v>
      </c>
      <c r="AK334" s="81">
        <f t="shared" si="64"/>
        <v>0</v>
      </c>
      <c r="AL334" s="58" t="s">
        <v>7206</v>
      </c>
      <c r="AM334" s="58" t="s">
        <v>6708</v>
      </c>
      <c r="AN334" s="75">
        <v>1</v>
      </c>
      <c r="AO334" s="88">
        <v>8.6300000000000008</v>
      </c>
      <c r="AP334" s="6" t="str">
        <f t="shared" si="60"/>
        <v>Same</v>
      </c>
      <c r="AQ334" s="81">
        <f t="shared" si="61"/>
        <v>8.6300000000000008</v>
      </c>
      <c r="AR334" s="81">
        <f t="shared" si="62"/>
        <v>8.6300000000000008</v>
      </c>
      <c r="AS334" s="81">
        <f t="shared" si="65"/>
        <v>0</v>
      </c>
    </row>
    <row r="335" spans="1:45" hidden="1" x14ac:dyDescent="0.3">
      <c r="A335">
        <v>5092526</v>
      </c>
      <c r="B335" s="15" t="s">
        <v>5671</v>
      </c>
      <c r="C335" s="16" t="s">
        <v>30</v>
      </c>
      <c r="D335" s="6" t="s">
        <v>31</v>
      </c>
      <c r="E335" t="s">
        <v>417</v>
      </c>
      <c r="F335" t="s">
        <v>417</v>
      </c>
      <c r="H335" s="11" t="s">
        <v>27</v>
      </c>
      <c r="I335" s="6" t="s">
        <v>28</v>
      </c>
      <c r="J335" s="6" t="s">
        <v>28</v>
      </c>
      <c r="K335" t="s">
        <v>32</v>
      </c>
      <c r="L335" s="35">
        <v>11.93</v>
      </c>
      <c r="M335" s="6" t="s">
        <v>29</v>
      </c>
      <c r="N335" s="6">
        <v>3105</v>
      </c>
      <c r="P335" s="18"/>
      <c r="Q335" s="17"/>
      <c r="R335" s="19">
        <v>10.74</v>
      </c>
      <c r="S335" s="19">
        <v>0</v>
      </c>
      <c r="T335" s="38">
        <v>43</v>
      </c>
      <c r="U335" s="38"/>
      <c r="V335" s="29">
        <v>11.93</v>
      </c>
      <c r="W335" s="35">
        <v>11.93</v>
      </c>
      <c r="X335" s="32">
        <f t="shared" si="55"/>
        <v>512.99</v>
      </c>
      <c r="Y335" s="32">
        <f t="shared" si="56"/>
        <v>512.99</v>
      </c>
      <c r="Z335" s="32">
        <f t="shared" si="57"/>
        <v>0</v>
      </c>
      <c r="AA335" s="38">
        <v>43</v>
      </c>
      <c r="AB335" s="37">
        <f>IFERROR(VLOOKUP(A335,'Tash Lookup'!A:E,3,FALSE),"")</f>
        <v>555.11</v>
      </c>
      <c r="AC335" s="6">
        <f t="shared" si="58"/>
        <v>0</v>
      </c>
      <c r="AD335" s="2" t="s">
        <v>6703</v>
      </c>
      <c r="AF335" s="56">
        <v>12.81</v>
      </c>
      <c r="AG335" s="56">
        <f>VLOOKUP(A335,Sheet1!$A$2:$C$1140,3,FALSE)</f>
        <v>13.2</v>
      </c>
      <c r="AH335" s="58">
        <v>13.2</v>
      </c>
      <c r="AI335" s="56" t="str">
        <f t="shared" si="59"/>
        <v>Increase</v>
      </c>
      <c r="AJ335" s="81">
        <f t="shared" si="63"/>
        <v>550.83000000000004</v>
      </c>
      <c r="AK335" s="81">
        <f t="shared" si="64"/>
        <v>567.6</v>
      </c>
      <c r="AL335" s="58" t="s">
        <v>32</v>
      </c>
      <c r="AM335" s="58" t="s">
        <v>6703</v>
      </c>
      <c r="AN335" s="75">
        <v>13</v>
      </c>
      <c r="AO335" s="88">
        <v>13.2</v>
      </c>
      <c r="AP335" s="6" t="str">
        <f t="shared" si="60"/>
        <v>Increase</v>
      </c>
      <c r="AQ335" s="81">
        <f t="shared" si="61"/>
        <v>166.53</v>
      </c>
      <c r="AR335" s="81">
        <f t="shared" si="62"/>
        <v>171.6</v>
      </c>
      <c r="AS335" s="82">
        <f t="shared" si="65"/>
        <v>5.0699999999999932</v>
      </c>
    </row>
    <row r="336" spans="1:45" hidden="1" x14ac:dyDescent="0.3">
      <c r="A336">
        <v>5180705</v>
      </c>
      <c r="B336" s="15" t="s">
        <v>5672</v>
      </c>
      <c r="C336" s="16" t="s">
        <v>30</v>
      </c>
      <c r="D336" s="6" t="s">
        <v>31</v>
      </c>
      <c r="E336" t="s">
        <v>613</v>
      </c>
      <c r="F336" t="s">
        <v>613</v>
      </c>
      <c r="H336" s="11" t="s">
        <v>27</v>
      </c>
      <c r="I336" s="6" t="s">
        <v>28</v>
      </c>
      <c r="J336" s="6" t="s">
        <v>28</v>
      </c>
      <c r="K336" t="s">
        <v>32</v>
      </c>
      <c r="L336" s="35">
        <v>61.05</v>
      </c>
      <c r="M336" s="6" t="s">
        <v>29</v>
      </c>
      <c r="N336" s="6">
        <v>3105</v>
      </c>
      <c r="P336" s="18"/>
      <c r="Q336" s="17"/>
      <c r="R336" s="19">
        <v>58</v>
      </c>
      <c r="S336" s="19">
        <v>0</v>
      </c>
      <c r="T336" s="38">
        <v>43</v>
      </c>
      <c r="U336" s="38"/>
      <c r="V336" s="29">
        <v>61.05</v>
      </c>
      <c r="W336" s="35">
        <v>61.05</v>
      </c>
      <c r="X336" s="32">
        <f t="shared" si="55"/>
        <v>2625.15</v>
      </c>
      <c r="Y336" s="32">
        <f t="shared" si="56"/>
        <v>2625.15</v>
      </c>
      <c r="Z336" s="32">
        <f t="shared" si="57"/>
        <v>0</v>
      </c>
      <c r="AA336" s="38">
        <v>43</v>
      </c>
      <c r="AB336" s="37">
        <f>IFERROR(VLOOKUP(A336,'Tash Lookup'!A:E,3,FALSE),"")</f>
        <v>2766.82</v>
      </c>
      <c r="AC336" s="6">
        <f t="shared" si="58"/>
        <v>0</v>
      </c>
      <c r="AD336" s="2" t="s">
        <v>6703</v>
      </c>
      <c r="AF336" s="56">
        <v>68.44</v>
      </c>
      <c r="AG336" s="56">
        <f>VLOOKUP(A336,Sheet1!$A$2:$C$1140,3,FALSE)</f>
        <v>70.489999999999995</v>
      </c>
      <c r="AH336" s="58">
        <v>70.489999999999995</v>
      </c>
      <c r="AI336" s="56" t="str">
        <f t="shared" si="59"/>
        <v>Increase</v>
      </c>
      <c r="AJ336" s="81">
        <f t="shared" si="63"/>
        <v>2942.92</v>
      </c>
      <c r="AK336" s="81">
        <f t="shared" si="64"/>
        <v>3031.0699999999997</v>
      </c>
      <c r="AL336" s="58" t="s">
        <v>32</v>
      </c>
      <c r="AM336" s="58" t="s">
        <v>6703</v>
      </c>
      <c r="AN336" s="75">
        <v>15</v>
      </c>
      <c r="AO336" s="88">
        <v>70.489999999999995</v>
      </c>
      <c r="AP336" s="6" t="str">
        <f t="shared" si="60"/>
        <v>Increase</v>
      </c>
      <c r="AQ336" s="81">
        <f t="shared" si="61"/>
        <v>1026.5999999999999</v>
      </c>
      <c r="AR336" s="81">
        <f t="shared" si="62"/>
        <v>1057.3499999999999</v>
      </c>
      <c r="AS336" s="82">
        <f t="shared" si="65"/>
        <v>30.75</v>
      </c>
    </row>
    <row r="337" spans="1:45" hidden="1" x14ac:dyDescent="0.3">
      <c r="A337">
        <v>6395772</v>
      </c>
      <c r="B337" s="15" t="s">
        <v>5673</v>
      </c>
      <c r="C337" s="16" t="s">
        <v>30</v>
      </c>
      <c r="D337" s="6" t="s">
        <v>31</v>
      </c>
      <c r="E337" t="s">
        <v>958</v>
      </c>
      <c r="F337" t="s">
        <v>958</v>
      </c>
      <c r="H337" s="11" t="s">
        <v>27</v>
      </c>
      <c r="I337" s="6" t="s">
        <v>28</v>
      </c>
      <c r="J337" s="6" t="s">
        <v>28</v>
      </c>
      <c r="K337" t="s">
        <v>32</v>
      </c>
      <c r="L337" s="35">
        <v>6.14</v>
      </c>
      <c r="M337" s="6" t="s">
        <v>29</v>
      </c>
      <c r="N337" s="6">
        <v>3105</v>
      </c>
      <c r="P337" s="18"/>
      <c r="Q337" s="17"/>
      <c r="R337" s="19">
        <v>0</v>
      </c>
      <c r="S337" s="19">
        <v>0</v>
      </c>
      <c r="T337" s="38">
        <v>43</v>
      </c>
      <c r="U337" s="38"/>
      <c r="V337" s="29">
        <v>6.14</v>
      </c>
      <c r="W337" s="35">
        <v>6.14</v>
      </c>
      <c r="X337" s="32">
        <f t="shared" si="55"/>
        <v>264.02</v>
      </c>
      <c r="Y337" s="32">
        <f t="shared" si="56"/>
        <v>264.02</v>
      </c>
      <c r="Z337" s="32">
        <f t="shared" si="57"/>
        <v>0</v>
      </c>
      <c r="AA337" s="38">
        <v>43</v>
      </c>
      <c r="AB337" s="37">
        <f>IFERROR(VLOOKUP(A337,'Tash Lookup'!A:E,3,FALSE),"")</f>
        <v>264.02</v>
      </c>
      <c r="AC337" s="6">
        <f t="shared" si="58"/>
        <v>0</v>
      </c>
      <c r="AD337" s="2" t="s">
        <v>6703</v>
      </c>
      <c r="AF337" s="56">
        <v>6.14</v>
      </c>
      <c r="AG337" s="56">
        <f>VLOOKUP(A337,Sheet1!$A$2:$C$1140,3,FALSE)</f>
        <v>6.14</v>
      </c>
      <c r="AH337" s="58">
        <v>6.14</v>
      </c>
      <c r="AI337" s="56" t="str">
        <f t="shared" si="59"/>
        <v>Same</v>
      </c>
      <c r="AJ337" s="81">
        <f t="shared" si="63"/>
        <v>264.02</v>
      </c>
      <c r="AK337" s="81">
        <f t="shared" si="64"/>
        <v>264.02</v>
      </c>
      <c r="AL337" s="58" t="s">
        <v>7206</v>
      </c>
      <c r="AM337" s="58" t="s">
        <v>6703</v>
      </c>
      <c r="AN337" s="75">
        <v>63</v>
      </c>
      <c r="AO337" s="88">
        <v>6.14</v>
      </c>
      <c r="AP337" s="6" t="str">
        <f t="shared" si="60"/>
        <v>Same</v>
      </c>
      <c r="AQ337" s="81">
        <f t="shared" si="61"/>
        <v>386.82</v>
      </c>
      <c r="AR337" s="81">
        <f t="shared" si="62"/>
        <v>386.82</v>
      </c>
      <c r="AS337" s="81">
        <f t="shared" si="65"/>
        <v>0</v>
      </c>
    </row>
    <row r="338" spans="1:45" hidden="1" x14ac:dyDescent="0.3">
      <c r="A338">
        <v>6107987</v>
      </c>
      <c r="B338" s="15" t="s">
        <v>5674</v>
      </c>
      <c r="C338" s="16" t="s">
        <v>30</v>
      </c>
      <c r="D338" s="6" t="s">
        <v>31</v>
      </c>
      <c r="E338" t="s">
        <v>1125</v>
      </c>
      <c r="F338" t="s">
        <v>1125</v>
      </c>
      <c r="H338" s="11" t="s">
        <v>27</v>
      </c>
      <c r="I338" s="6" t="s">
        <v>28</v>
      </c>
      <c r="J338" s="6" t="s">
        <v>28</v>
      </c>
      <c r="K338" t="s">
        <v>32</v>
      </c>
      <c r="L338" s="35">
        <v>9.81</v>
      </c>
      <c r="M338" s="6" t="s">
        <v>29</v>
      </c>
      <c r="N338" s="6">
        <v>3105</v>
      </c>
      <c r="P338" s="18"/>
      <c r="Q338" s="17"/>
      <c r="R338" s="19">
        <v>0</v>
      </c>
      <c r="S338" s="19">
        <v>0</v>
      </c>
      <c r="T338" s="38">
        <v>43</v>
      </c>
      <c r="U338" s="38"/>
      <c r="V338" s="31">
        <v>9.81</v>
      </c>
      <c r="W338" s="35">
        <v>9.81</v>
      </c>
      <c r="X338" s="32">
        <f t="shared" si="55"/>
        <v>421.83000000000004</v>
      </c>
      <c r="Y338" s="32">
        <f t="shared" si="56"/>
        <v>421.83000000000004</v>
      </c>
      <c r="Z338" s="32">
        <f t="shared" si="57"/>
        <v>0</v>
      </c>
      <c r="AA338" s="38">
        <v>43</v>
      </c>
      <c r="AB338" s="37">
        <f>IFERROR(VLOOKUP(A338,'Tash Lookup'!A:E,3,FALSE),"")</f>
        <v>385.87</v>
      </c>
      <c r="AC338" s="6">
        <f t="shared" si="58"/>
        <v>0</v>
      </c>
      <c r="AD338" s="2" t="s">
        <v>6703</v>
      </c>
      <c r="AF338" s="56">
        <v>9.32</v>
      </c>
      <c r="AG338" s="56">
        <f>VLOOKUP(A338,Sheet1!$A$2:$C$1140,3,FALSE)</f>
        <v>9.51</v>
      </c>
      <c r="AH338" s="58">
        <v>9.51</v>
      </c>
      <c r="AI338" s="56" t="str">
        <f t="shared" si="59"/>
        <v>Increase</v>
      </c>
      <c r="AJ338" s="81">
        <f t="shared" si="63"/>
        <v>400.76</v>
      </c>
      <c r="AK338" s="81">
        <f t="shared" si="64"/>
        <v>408.93</v>
      </c>
      <c r="AL338" s="58" t="s">
        <v>7206</v>
      </c>
      <c r="AM338" s="58" t="s">
        <v>6703</v>
      </c>
      <c r="AN338" s="75">
        <v>14</v>
      </c>
      <c r="AO338" s="88">
        <v>9.51</v>
      </c>
      <c r="AP338" s="6" t="str">
        <f t="shared" si="60"/>
        <v>Increase</v>
      </c>
      <c r="AQ338" s="81">
        <f t="shared" si="61"/>
        <v>130.48000000000002</v>
      </c>
      <c r="AR338" s="81">
        <f t="shared" si="62"/>
        <v>133.13999999999999</v>
      </c>
      <c r="AS338" s="82">
        <f t="shared" si="65"/>
        <v>2.6599999999999682</v>
      </c>
    </row>
    <row r="339" spans="1:45" hidden="1" x14ac:dyDescent="0.3">
      <c r="A339">
        <v>6372926</v>
      </c>
      <c r="B339" s="15" t="s">
        <v>5675</v>
      </c>
      <c r="C339" s="16" t="s">
        <v>30</v>
      </c>
      <c r="D339" s="6" t="s">
        <v>31</v>
      </c>
      <c r="E339" t="s">
        <v>1312</v>
      </c>
      <c r="F339" t="s">
        <v>1312</v>
      </c>
      <c r="H339" s="11" t="s">
        <v>27</v>
      </c>
      <c r="I339" s="6" t="s">
        <v>28</v>
      </c>
      <c r="J339" s="6" t="s">
        <v>28</v>
      </c>
      <c r="K339" t="s">
        <v>32</v>
      </c>
      <c r="L339" s="35">
        <v>5.62</v>
      </c>
      <c r="M339" s="6" t="s">
        <v>29</v>
      </c>
      <c r="N339" s="6">
        <v>3105</v>
      </c>
      <c r="P339" s="18"/>
      <c r="Q339" s="17"/>
      <c r="R339" s="19">
        <v>5.62</v>
      </c>
      <c r="S339" s="19">
        <v>5.62</v>
      </c>
      <c r="T339" s="38">
        <v>43</v>
      </c>
      <c r="U339" s="38"/>
      <c r="V339" s="30">
        <v>5.62</v>
      </c>
      <c r="W339" s="35">
        <v>5.62</v>
      </c>
      <c r="X339" s="32">
        <f t="shared" si="55"/>
        <v>241.66</v>
      </c>
      <c r="Y339" s="32">
        <f t="shared" si="56"/>
        <v>241.66</v>
      </c>
      <c r="Z339" s="32">
        <f t="shared" si="57"/>
        <v>0</v>
      </c>
      <c r="AA339" s="38">
        <v>43</v>
      </c>
      <c r="AB339" s="37">
        <f>IFERROR(VLOOKUP(A339,'Tash Lookup'!A:E,3,FALSE),"")</f>
        <v>239.7</v>
      </c>
      <c r="AC339" s="6">
        <f t="shared" si="58"/>
        <v>0</v>
      </c>
      <c r="AD339" s="2" t="s">
        <v>6703</v>
      </c>
      <c r="AF339" s="56">
        <v>6.26</v>
      </c>
      <c r="AG339" s="56">
        <f>VLOOKUP(A339,Sheet1!$A$2:$C$1140,3,FALSE)</f>
        <v>6.26</v>
      </c>
      <c r="AH339" s="58">
        <v>6.26</v>
      </c>
      <c r="AI339" s="56" t="str">
        <f t="shared" si="59"/>
        <v>Same</v>
      </c>
      <c r="AJ339" s="81">
        <f t="shared" si="63"/>
        <v>269.18</v>
      </c>
      <c r="AK339" s="81">
        <f t="shared" si="64"/>
        <v>269.18</v>
      </c>
      <c r="AL339" s="58" t="s">
        <v>7206</v>
      </c>
      <c r="AM339" s="58" t="s">
        <v>6703</v>
      </c>
      <c r="AN339" s="75">
        <v>86</v>
      </c>
      <c r="AO339" s="88">
        <v>6.26</v>
      </c>
      <c r="AP339" s="6" t="str">
        <f t="shared" si="60"/>
        <v>Same</v>
      </c>
      <c r="AQ339" s="81">
        <f t="shared" si="61"/>
        <v>538.36</v>
      </c>
      <c r="AR339" s="81">
        <f t="shared" si="62"/>
        <v>538.36</v>
      </c>
      <c r="AS339" s="81">
        <f t="shared" si="65"/>
        <v>0</v>
      </c>
    </row>
    <row r="340" spans="1:45" hidden="1" x14ac:dyDescent="0.3">
      <c r="A340">
        <v>5220398</v>
      </c>
      <c r="B340" s="15" t="s">
        <v>5676</v>
      </c>
      <c r="C340" s="16" t="s">
        <v>30</v>
      </c>
      <c r="D340" s="6" t="s">
        <v>31</v>
      </c>
      <c r="E340" t="s">
        <v>126</v>
      </c>
      <c r="F340" t="s">
        <v>126</v>
      </c>
      <c r="H340" s="11" t="s">
        <v>27</v>
      </c>
      <c r="I340" s="6" t="s">
        <v>28</v>
      </c>
      <c r="J340" s="6" t="s">
        <v>28</v>
      </c>
      <c r="K340" t="s">
        <v>32</v>
      </c>
      <c r="L340" s="35">
        <v>17.239999999999998</v>
      </c>
      <c r="M340" s="6" t="s">
        <v>29</v>
      </c>
      <c r="N340" s="6">
        <v>3105</v>
      </c>
      <c r="P340" s="18"/>
      <c r="Q340" s="17"/>
      <c r="R340" s="19">
        <v>17.239999999999998</v>
      </c>
      <c r="S340" s="19">
        <v>17.239999999999998</v>
      </c>
      <c r="T340" s="38">
        <v>43</v>
      </c>
      <c r="U340" s="38"/>
      <c r="V340" s="29">
        <v>17.239999999999998</v>
      </c>
      <c r="W340" s="35">
        <v>17.239999999999998</v>
      </c>
      <c r="X340" s="32">
        <f t="shared" si="55"/>
        <v>741.31999999999994</v>
      </c>
      <c r="Y340" s="32">
        <f t="shared" si="56"/>
        <v>741.31999999999994</v>
      </c>
      <c r="Z340" s="32">
        <f t="shared" si="57"/>
        <v>0</v>
      </c>
      <c r="AA340" s="38">
        <v>43</v>
      </c>
      <c r="AB340" s="37">
        <f>IFERROR(VLOOKUP(A340,'Tash Lookup'!A:E,3,FALSE),"")</f>
        <v>733.03</v>
      </c>
      <c r="AC340" s="6">
        <f t="shared" si="58"/>
        <v>0</v>
      </c>
      <c r="AD340" s="2" t="s">
        <v>6703</v>
      </c>
      <c r="AF340" s="56">
        <v>17.98</v>
      </c>
      <c r="AG340" s="56">
        <f>VLOOKUP(A340,Sheet1!$A$2:$C$1140,3,FALSE)</f>
        <v>17.98</v>
      </c>
      <c r="AH340" s="58">
        <v>17.98</v>
      </c>
      <c r="AI340" s="56" t="str">
        <f t="shared" si="59"/>
        <v>Same</v>
      </c>
      <c r="AJ340" s="81">
        <f t="shared" si="63"/>
        <v>773.14</v>
      </c>
      <c r="AK340" s="81">
        <f t="shared" si="64"/>
        <v>773.14</v>
      </c>
      <c r="AL340" s="58" t="s">
        <v>32</v>
      </c>
      <c r="AM340" s="58" t="s">
        <v>6703</v>
      </c>
      <c r="AN340" s="75">
        <v>33</v>
      </c>
      <c r="AO340" s="88">
        <v>17.98</v>
      </c>
      <c r="AP340" s="6" t="str">
        <f t="shared" si="60"/>
        <v>Same</v>
      </c>
      <c r="AQ340" s="81">
        <f t="shared" si="61"/>
        <v>593.34</v>
      </c>
      <c r="AR340" s="81">
        <f t="shared" si="62"/>
        <v>593.34</v>
      </c>
      <c r="AS340" s="81">
        <f t="shared" si="65"/>
        <v>0</v>
      </c>
    </row>
    <row r="341" spans="1:45" hidden="1" x14ac:dyDescent="0.3">
      <c r="A341">
        <v>6103934</v>
      </c>
      <c r="B341" s="15" t="s">
        <v>5677</v>
      </c>
      <c r="C341" s="16" t="s">
        <v>30</v>
      </c>
      <c r="D341" s="6" t="s">
        <v>31</v>
      </c>
      <c r="E341" t="s">
        <v>672</v>
      </c>
      <c r="F341" t="s">
        <v>672</v>
      </c>
      <c r="H341" s="11" t="s">
        <v>27</v>
      </c>
      <c r="I341" s="6" t="s">
        <v>28</v>
      </c>
      <c r="J341" s="6" t="s">
        <v>28</v>
      </c>
      <c r="K341" t="s">
        <v>32</v>
      </c>
      <c r="L341" s="35">
        <v>6.41</v>
      </c>
      <c r="M341" s="6" t="s">
        <v>29</v>
      </c>
      <c r="N341" s="6">
        <v>3105</v>
      </c>
      <c r="P341" s="18"/>
      <c r="Q341" s="17"/>
      <c r="R341" s="19">
        <v>6.41</v>
      </c>
      <c r="S341" s="19">
        <v>6.41</v>
      </c>
      <c r="T341" s="38">
        <v>42</v>
      </c>
      <c r="U341" s="38"/>
      <c r="V341" s="30">
        <v>6.41</v>
      </c>
      <c r="W341" s="35">
        <v>6.41</v>
      </c>
      <c r="X341" s="32">
        <f t="shared" si="55"/>
        <v>269.22000000000003</v>
      </c>
      <c r="Y341" s="32">
        <f t="shared" si="56"/>
        <v>269.22000000000003</v>
      </c>
      <c r="Z341" s="32">
        <f t="shared" si="57"/>
        <v>0</v>
      </c>
      <c r="AA341" s="38">
        <v>42</v>
      </c>
      <c r="AB341" s="37">
        <f>IFERROR(VLOOKUP(A341,'Tash Lookup'!A:E,3,FALSE),"")</f>
        <v>267.38</v>
      </c>
      <c r="AC341" s="6">
        <f t="shared" si="58"/>
        <v>0</v>
      </c>
      <c r="AD341" s="2" t="s">
        <v>6703</v>
      </c>
      <c r="AF341" s="56">
        <v>6.41</v>
      </c>
      <c r="AG341" s="56">
        <f>VLOOKUP(A341,Sheet1!$A$2:$C$1140,3,FALSE)</f>
        <v>6.54</v>
      </c>
      <c r="AH341" s="58">
        <v>6.54</v>
      </c>
      <c r="AI341" s="56" t="str">
        <f t="shared" si="59"/>
        <v>Increase</v>
      </c>
      <c r="AJ341" s="81">
        <f t="shared" si="63"/>
        <v>269.22000000000003</v>
      </c>
      <c r="AK341" s="81">
        <f t="shared" si="64"/>
        <v>274.68</v>
      </c>
      <c r="AL341" s="58" t="s">
        <v>7206</v>
      </c>
      <c r="AM341" s="58" t="s">
        <v>6703</v>
      </c>
      <c r="AN341" s="75">
        <v>37</v>
      </c>
      <c r="AO341" s="88">
        <v>6.54</v>
      </c>
      <c r="AP341" s="6" t="str">
        <f t="shared" si="60"/>
        <v>Increase</v>
      </c>
      <c r="AQ341" s="81">
        <f t="shared" si="61"/>
        <v>237.17000000000002</v>
      </c>
      <c r="AR341" s="81">
        <f t="shared" si="62"/>
        <v>241.98</v>
      </c>
      <c r="AS341" s="82">
        <f t="shared" si="65"/>
        <v>4.8099999999999739</v>
      </c>
    </row>
    <row r="342" spans="1:45" hidden="1" x14ac:dyDescent="0.3">
      <c r="A342">
        <v>6183871</v>
      </c>
      <c r="B342" s="15" t="s">
        <v>5678</v>
      </c>
      <c r="C342" s="16" t="s">
        <v>30</v>
      </c>
      <c r="D342" s="6" t="s">
        <v>31</v>
      </c>
      <c r="E342" t="s">
        <v>867</v>
      </c>
      <c r="F342" t="s">
        <v>867</v>
      </c>
      <c r="H342" s="11" t="s">
        <v>27</v>
      </c>
      <c r="I342" s="6" t="s">
        <v>28</v>
      </c>
      <c r="J342" s="6" t="s">
        <v>28</v>
      </c>
      <c r="K342" t="s">
        <v>32</v>
      </c>
      <c r="L342" s="35">
        <v>10.25</v>
      </c>
      <c r="M342" s="6" t="s">
        <v>29</v>
      </c>
      <c r="N342" s="6">
        <v>3105</v>
      </c>
      <c r="P342" s="18"/>
      <c r="Q342" s="17"/>
      <c r="R342" s="19">
        <v>10.25</v>
      </c>
      <c r="S342" s="19">
        <v>10.25</v>
      </c>
      <c r="T342" s="38">
        <v>42</v>
      </c>
      <c r="U342" s="38"/>
      <c r="V342" s="30">
        <v>10.25</v>
      </c>
      <c r="W342" s="35">
        <v>10.25</v>
      </c>
      <c r="X342" s="32">
        <f t="shared" si="55"/>
        <v>430.5</v>
      </c>
      <c r="Y342" s="32">
        <f t="shared" si="56"/>
        <v>430.5</v>
      </c>
      <c r="Z342" s="32">
        <f t="shared" si="57"/>
        <v>0</v>
      </c>
      <c r="AA342" s="38">
        <v>42</v>
      </c>
      <c r="AB342" s="37">
        <f>IFERROR(VLOOKUP(A342,'Tash Lookup'!A:E,3,FALSE),"")</f>
        <v>430.46</v>
      </c>
      <c r="AC342" s="6">
        <f t="shared" si="58"/>
        <v>0</v>
      </c>
      <c r="AD342" s="2" t="s">
        <v>6703</v>
      </c>
      <c r="AF342" s="56">
        <v>10.25</v>
      </c>
      <c r="AG342" s="56">
        <f>VLOOKUP(A342,Sheet1!$A$2:$C$1140,3,FALSE)</f>
        <v>10.45</v>
      </c>
      <c r="AH342" s="58">
        <v>10.45</v>
      </c>
      <c r="AI342" s="56" t="str">
        <f t="shared" si="59"/>
        <v>Increase</v>
      </c>
      <c r="AJ342" s="81">
        <f t="shared" si="63"/>
        <v>430.5</v>
      </c>
      <c r="AK342" s="81">
        <f t="shared" si="64"/>
        <v>438.9</v>
      </c>
      <c r="AL342" s="58" t="s">
        <v>7206</v>
      </c>
      <c r="AM342" s="58" t="s">
        <v>6703</v>
      </c>
      <c r="AN342" s="75">
        <v>15</v>
      </c>
      <c r="AO342" s="88">
        <v>10.45</v>
      </c>
      <c r="AP342" s="6" t="str">
        <f t="shared" si="60"/>
        <v>Increase</v>
      </c>
      <c r="AQ342" s="81">
        <f t="shared" si="61"/>
        <v>153.75</v>
      </c>
      <c r="AR342" s="81">
        <f t="shared" si="62"/>
        <v>156.75</v>
      </c>
      <c r="AS342" s="82">
        <f t="shared" si="65"/>
        <v>3</v>
      </c>
    </row>
    <row r="343" spans="1:45" hidden="1" x14ac:dyDescent="0.3">
      <c r="A343">
        <v>5241253</v>
      </c>
      <c r="B343" s="15" t="s">
        <v>5679</v>
      </c>
      <c r="C343" s="16" t="s">
        <v>30</v>
      </c>
      <c r="D343" s="6" t="s">
        <v>31</v>
      </c>
      <c r="E343" t="s">
        <v>509</v>
      </c>
      <c r="F343" t="s">
        <v>509</v>
      </c>
      <c r="H343" s="11" t="s">
        <v>27</v>
      </c>
      <c r="I343" s="6" t="s">
        <v>28</v>
      </c>
      <c r="J343" s="6" t="s">
        <v>28</v>
      </c>
      <c r="K343" t="s">
        <v>32</v>
      </c>
      <c r="L343" s="35">
        <v>89.35</v>
      </c>
      <c r="M343" s="6" t="s">
        <v>29</v>
      </c>
      <c r="N343" s="6">
        <v>3105</v>
      </c>
      <c r="P343" s="18"/>
      <c r="Q343" s="17"/>
      <c r="R343" s="19">
        <v>89.35</v>
      </c>
      <c r="S343" s="19">
        <v>89.35</v>
      </c>
      <c r="T343" s="38">
        <v>42</v>
      </c>
      <c r="U343" s="38"/>
      <c r="V343" s="29">
        <v>89.35</v>
      </c>
      <c r="W343" s="35">
        <v>89.35</v>
      </c>
      <c r="X343" s="32">
        <f t="shared" si="55"/>
        <v>3752.7</v>
      </c>
      <c r="Y343" s="32">
        <f t="shared" si="56"/>
        <v>3752.7</v>
      </c>
      <c r="Z343" s="32">
        <f t="shared" si="57"/>
        <v>0</v>
      </c>
      <c r="AA343" s="38">
        <v>42</v>
      </c>
      <c r="AB343" s="37">
        <f>IFERROR(VLOOKUP(A343,'Tash Lookup'!A:E,3,FALSE),"")</f>
        <v>3828.07</v>
      </c>
      <c r="AC343" s="6">
        <f t="shared" si="58"/>
        <v>0</v>
      </c>
      <c r="AD343" s="2" t="s">
        <v>6703</v>
      </c>
      <c r="AF343" s="56">
        <v>90.83</v>
      </c>
      <c r="AG343" s="56">
        <f>VLOOKUP(A343,Sheet1!$A$2:$C$1140,3,FALSE)</f>
        <v>93.56</v>
      </c>
      <c r="AH343" s="58">
        <v>93.56</v>
      </c>
      <c r="AI343" s="56" t="str">
        <f t="shared" si="59"/>
        <v>Increase</v>
      </c>
      <c r="AJ343" s="81">
        <f t="shared" si="63"/>
        <v>3814.86</v>
      </c>
      <c r="AK343" s="81">
        <f t="shared" si="64"/>
        <v>3929.52</v>
      </c>
      <c r="AL343" s="58" t="s">
        <v>32</v>
      </c>
      <c r="AM343" s="58" t="s">
        <v>6703</v>
      </c>
      <c r="AN343" s="75">
        <v>31</v>
      </c>
      <c r="AO343" s="88">
        <v>93.56</v>
      </c>
      <c r="AP343" s="6" t="str">
        <f t="shared" si="60"/>
        <v>Increase</v>
      </c>
      <c r="AQ343" s="81">
        <f t="shared" si="61"/>
        <v>2815.73</v>
      </c>
      <c r="AR343" s="81">
        <f t="shared" si="62"/>
        <v>2900.36</v>
      </c>
      <c r="AS343" s="82">
        <f t="shared" si="65"/>
        <v>84.630000000000109</v>
      </c>
    </row>
    <row r="344" spans="1:45" hidden="1" x14ac:dyDescent="0.3">
      <c r="A344">
        <v>6188883</v>
      </c>
      <c r="B344" s="15" t="s">
        <v>5680</v>
      </c>
      <c r="C344" s="16" t="s">
        <v>30</v>
      </c>
      <c r="D344" s="6" t="s">
        <v>31</v>
      </c>
      <c r="E344" t="s">
        <v>701</v>
      </c>
      <c r="F344" t="s">
        <v>701</v>
      </c>
      <c r="H344" s="11" t="s">
        <v>27</v>
      </c>
      <c r="I344" s="6" t="s">
        <v>28</v>
      </c>
      <c r="J344" s="6" t="s">
        <v>28</v>
      </c>
      <c r="K344" t="s">
        <v>32</v>
      </c>
      <c r="L344" s="35">
        <v>9.49</v>
      </c>
      <c r="M344" s="6" t="s">
        <v>29</v>
      </c>
      <c r="N344" s="6">
        <v>3105</v>
      </c>
      <c r="P344" s="18"/>
      <c r="Q344" s="17"/>
      <c r="R344" s="19">
        <v>9.49</v>
      </c>
      <c r="S344" s="19">
        <v>9.49</v>
      </c>
      <c r="T344" s="38">
        <v>42</v>
      </c>
      <c r="U344" s="38"/>
      <c r="V344" s="30">
        <v>9.49</v>
      </c>
      <c r="W344" s="35">
        <v>9.49</v>
      </c>
      <c r="X344" s="32">
        <f t="shared" si="55"/>
        <v>398.58</v>
      </c>
      <c r="Y344" s="32">
        <f t="shared" si="56"/>
        <v>398.58</v>
      </c>
      <c r="Z344" s="32">
        <f t="shared" si="57"/>
        <v>0</v>
      </c>
      <c r="AA344" s="38">
        <v>42</v>
      </c>
      <c r="AB344" s="37">
        <f>IFERROR(VLOOKUP(A344,'Tash Lookup'!A:E,3,FALSE),"")</f>
        <v>397.28</v>
      </c>
      <c r="AC344" s="6">
        <f t="shared" si="58"/>
        <v>0</v>
      </c>
      <c r="AD344" s="2" t="s">
        <v>6703</v>
      </c>
      <c r="AF344" s="56">
        <v>9.49</v>
      </c>
      <c r="AG344" s="56">
        <f>VLOOKUP(A344,Sheet1!$A$2:$C$1140,3,FALSE)</f>
        <v>9.68</v>
      </c>
      <c r="AH344" s="58">
        <v>9.68</v>
      </c>
      <c r="AI344" s="56" t="str">
        <f t="shared" si="59"/>
        <v>Increase</v>
      </c>
      <c r="AJ344" s="81">
        <f t="shared" si="63"/>
        <v>398.58</v>
      </c>
      <c r="AK344" s="81">
        <f t="shared" si="64"/>
        <v>406.56</v>
      </c>
      <c r="AL344" s="58" t="s">
        <v>7206</v>
      </c>
      <c r="AM344" s="58" t="s">
        <v>6703</v>
      </c>
      <c r="AN344" s="75">
        <v>43</v>
      </c>
      <c r="AO344" s="88">
        <v>9.68</v>
      </c>
      <c r="AP344" s="6" t="str">
        <f t="shared" si="60"/>
        <v>Increase</v>
      </c>
      <c r="AQ344" s="81">
        <f t="shared" si="61"/>
        <v>408.07</v>
      </c>
      <c r="AR344" s="81">
        <f t="shared" si="62"/>
        <v>416.24</v>
      </c>
      <c r="AS344" s="82">
        <f t="shared" si="65"/>
        <v>8.1700000000000159</v>
      </c>
    </row>
    <row r="345" spans="1:45" hidden="1" x14ac:dyDescent="0.3">
      <c r="A345">
        <v>5218646</v>
      </c>
      <c r="B345" s="15" t="s">
        <v>5681</v>
      </c>
      <c r="C345" s="16" t="s">
        <v>30</v>
      </c>
      <c r="D345" s="6" t="s">
        <v>31</v>
      </c>
      <c r="E345" t="s">
        <v>268</v>
      </c>
      <c r="F345" t="s">
        <v>268</v>
      </c>
      <c r="H345" s="11" t="s">
        <v>27</v>
      </c>
      <c r="I345" s="6" t="s">
        <v>28</v>
      </c>
      <c r="J345" s="6" t="s">
        <v>28</v>
      </c>
      <c r="K345" t="s">
        <v>32</v>
      </c>
      <c r="L345" s="35">
        <v>14.42</v>
      </c>
      <c r="M345" s="6" t="s">
        <v>29</v>
      </c>
      <c r="N345" s="6">
        <v>3105</v>
      </c>
      <c r="P345" s="18"/>
      <c r="Q345" s="17"/>
      <c r="R345" s="19">
        <v>14.42</v>
      </c>
      <c r="S345" s="19">
        <v>14.42</v>
      </c>
      <c r="T345" s="38">
        <v>41</v>
      </c>
      <c r="U345" s="38"/>
      <c r="V345" s="29">
        <v>14.42</v>
      </c>
      <c r="W345" s="35">
        <v>14.42</v>
      </c>
      <c r="X345" s="32">
        <f t="shared" si="55"/>
        <v>591.22</v>
      </c>
      <c r="Y345" s="32">
        <f t="shared" si="56"/>
        <v>591.22</v>
      </c>
      <c r="Z345" s="32">
        <f t="shared" si="57"/>
        <v>0</v>
      </c>
      <c r="AA345" s="38">
        <v>41</v>
      </c>
      <c r="AB345" s="37">
        <f>IFERROR(VLOOKUP(A345,'Tash Lookup'!A:E,3,FALSE),"")</f>
        <v>569.59</v>
      </c>
      <c r="AC345" s="6">
        <f t="shared" si="58"/>
        <v>0</v>
      </c>
      <c r="AD345" s="2" t="s">
        <v>6703</v>
      </c>
      <c r="AF345" s="56">
        <v>15.33</v>
      </c>
      <c r="AG345" s="56">
        <f>VLOOKUP(A345,Sheet1!$A$2:$C$1140,3,FALSE)</f>
        <v>15.79</v>
      </c>
      <c r="AH345" s="58">
        <v>15.79</v>
      </c>
      <c r="AI345" s="56" t="str">
        <f t="shared" si="59"/>
        <v>Increase</v>
      </c>
      <c r="AJ345" s="81">
        <f t="shared" si="63"/>
        <v>628.53</v>
      </c>
      <c r="AK345" s="81">
        <f t="shared" si="64"/>
        <v>647.39</v>
      </c>
      <c r="AL345" s="58" t="s">
        <v>32</v>
      </c>
      <c r="AM345" s="58" t="s">
        <v>6703</v>
      </c>
      <c r="AN345" s="75">
        <v>18</v>
      </c>
      <c r="AO345" s="88">
        <v>15.79</v>
      </c>
      <c r="AP345" s="6" t="str">
        <f t="shared" si="60"/>
        <v>Increase</v>
      </c>
      <c r="AQ345" s="81">
        <f t="shared" si="61"/>
        <v>275.94</v>
      </c>
      <c r="AR345" s="81">
        <f t="shared" si="62"/>
        <v>284.21999999999997</v>
      </c>
      <c r="AS345" s="82">
        <f t="shared" si="65"/>
        <v>8.2799999999999727</v>
      </c>
    </row>
    <row r="346" spans="1:45" hidden="1" x14ac:dyDescent="0.3">
      <c r="A346">
        <v>5183272</v>
      </c>
      <c r="B346" s="15" t="s">
        <v>5682</v>
      </c>
      <c r="C346" s="16" t="s">
        <v>30</v>
      </c>
      <c r="D346" s="6" t="s">
        <v>31</v>
      </c>
      <c r="E346" t="s">
        <v>496</v>
      </c>
      <c r="F346" t="s">
        <v>496</v>
      </c>
      <c r="H346" s="11" t="s">
        <v>27</v>
      </c>
      <c r="I346" s="6" t="s">
        <v>28</v>
      </c>
      <c r="J346" s="6" t="s">
        <v>28</v>
      </c>
      <c r="K346" t="s">
        <v>32</v>
      </c>
      <c r="L346" s="35">
        <v>18.690000000000001</v>
      </c>
      <c r="M346" s="6" t="s">
        <v>29</v>
      </c>
      <c r="N346" s="6">
        <v>3105</v>
      </c>
      <c r="P346" s="18"/>
      <c r="Q346" s="17"/>
      <c r="R346" s="19">
        <v>18.690000000000001</v>
      </c>
      <c r="S346" s="19">
        <v>18.690000000000001</v>
      </c>
      <c r="T346" s="38">
        <v>41</v>
      </c>
      <c r="U346" s="38"/>
      <c r="V346" s="29">
        <v>18.690000000000001</v>
      </c>
      <c r="W346" s="35">
        <v>18.690000000000001</v>
      </c>
      <c r="X346" s="32">
        <f t="shared" si="55"/>
        <v>766.29000000000008</v>
      </c>
      <c r="Y346" s="32">
        <f t="shared" si="56"/>
        <v>766.29000000000008</v>
      </c>
      <c r="Z346" s="32">
        <f t="shared" si="57"/>
        <v>0</v>
      </c>
      <c r="AA346" s="38">
        <v>41</v>
      </c>
      <c r="AB346" s="37">
        <f>IFERROR(VLOOKUP(A346,'Tash Lookup'!A:E,3,FALSE),"")</f>
        <v>766.47</v>
      </c>
      <c r="AC346" s="6">
        <f t="shared" si="58"/>
        <v>0</v>
      </c>
      <c r="AD346" s="2" t="s">
        <v>6703</v>
      </c>
      <c r="AF346" s="56">
        <v>20.059999999999999</v>
      </c>
      <c r="AG346" s="56">
        <f>VLOOKUP(A346,Sheet1!$A$2:$C$1140,3,FALSE)</f>
        <v>20.66</v>
      </c>
      <c r="AH346" s="58">
        <v>20.66</v>
      </c>
      <c r="AI346" s="56" t="str">
        <f t="shared" si="59"/>
        <v>Increase</v>
      </c>
      <c r="AJ346" s="81">
        <f t="shared" si="63"/>
        <v>822.45999999999992</v>
      </c>
      <c r="AK346" s="81">
        <f t="shared" si="64"/>
        <v>847.06000000000006</v>
      </c>
      <c r="AL346" s="58" t="s">
        <v>32</v>
      </c>
      <c r="AM346" s="58" t="s">
        <v>6703</v>
      </c>
      <c r="AN346" s="75">
        <v>1</v>
      </c>
      <c r="AO346" s="88">
        <v>20.66</v>
      </c>
      <c r="AP346" s="6" t="str">
        <f t="shared" si="60"/>
        <v>Increase</v>
      </c>
      <c r="AQ346" s="81">
        <f t="shared" si="61"/>
        <v>20.059999999999999</v>
      </c>
      <c r="AR346" s="81">
        <f t="shared" si="62"/>
        <v>20.66</v>
      </c>
      <c r="AS346" s="82">
        <f t="shared" si="65"/>
        <v>0.60000000000000142</v>
      </c>
    </row>
    <row r="347" spans="1:45" hidden="1" x14ac:dyDescent="0.3">
      <c r="A347">
        <v>5090732</v>
      </c>
      <c r="B347" s="15" t="s">
        <v>5683</v>
      </c>
      <c r="C347" s="16" t="s">
        <v>30</v>
      </c>
      <c r="D347" s="6" t="s">
        <v>31</v>
      </c>
      <c r="E347" t="s">
        <v>190</v>
      </c>
      <c r="F347" t="s">
        <v>190</v>
      </c>
      <c r="H347" s="11" t="s">
        <v>27</v>
      </c>
      <c r="I347" s="6" t="s">
        <v>28</v>
      </c>
      <c r="J347" s="6" t="s">
        <v>28</v>
      </c>
      <c r="K347" t="s">
        <v>32</v>
      </c>
      <c r="L347" s="35">
        <v>16.739999999999998</v>
      </c>
      <c r="M347" s="6" t="s">
        <v>29</v>
      </c>
      <c r="N347" s="6">
        <v>3105</v>
      </c>
      <c r="P347" s="18"/>
      <c r="Q347" s="17"/>
      <c r="R347" s="19">
        <v>16.739999999999998</v>
      </c>
      <c r="S347" s="19">
        <v>16.739999999999998</v>
      </c>
      <c r="T347" s="38">
        <v>41</v>
      </c>
      <c r="U347" s="38"/>
      <c r="V347" s="29">
        <v>16.739999999999998</v>
      </c>
      <c r="W347" s="35">
        <v>16.739999999999998</v>
      </c>
      <c r="X347" s="32">
        <f t="shared" si="55"/>
        <v>686.33999999999992</v>
      </c>
      <c r="Y347" s="32">
        <f t="shared" si="56"/>
        <v>686.33999999999992</v>
      </c>
      <c r="Z347" s="32">
        <f t="shared" si="57"/>
        <v>0</v>
      </c>
      <c r="AA347" s="38">
        <v>41</v>
      </c>
      <c r="AB347" s="37">
        <f>IFERROR(VLOOKUP(A347,'Tash Lookup'!A:E,3,FALSE),"")</f>
        <v>680.69</v>
      </c>
      <c r="AC347" s="6">
        <f t="shared" si="58"/>
        <v>0</v>
      </c>
      <c r="AD347" s="2" t="s">
        <v>6703</v>
      </c>
      <c r="AF347" s="56">
        <v>18.29</v>
      </c>
      <c r="AG347" s="56">
        <f>VLOOKUP(A347,Sheet1!$A$2:$C$1140,3,FALSE)</f>
        <v>18.29</v>
      </c>
      <c r="AH347" s="58">
        <v>18.29</v>
      </c>
      <c r="AI347" s="56" t="str">
        <f t="shared" si="59"/>
        <v>Same</v>
      </c>
      <c r="AJ347" s="81">
        <f t="shared" si="63"/>
        <v>749.89</v>
      </c>
      <c r="AK347" s="81">
        <f t="shared" si="64"/>
        <v>749.89</v>
      </c>
      <c r="AL347" s="58" t="s">
        <v>32</v>
      </c>
      <c r="AM347" s="58" t="s">
        <v>6703</v>
      </c>
      <c r="AN347" s="75">
        <v>44</v>
      </c>
      <c r="AO347" s="88">
        <v>18.29</v>
      </c>
      <c r="AP347" s="6" t="str">
        <f t="shared" si="60"/>
        <v>Same</v>
      </c>
      <c r="AQ347" s="81">
        <f t="shared" si="61"/>
        <v>804.76</v>
      </c>
      <c r="AR347" s="81">
        <f t="shared" si="62"/>
        <v>804.76</v>
      </c>
      <c r="AS347" s="81">
        <f t="shared" si="65"/>
        <v>0</v>
      </c>
    </row>
    <row r="348" spans="1:45" hidden="1" x14ac:dyDescent="0.3">
      <c r="A348">
        <v>5218723</v>
      </c>
      <c r="B348" s="15" t="s">
        <v>5684</v>
      </c>
      <c r="C348" s="16" t="s">
        <v>30</v>
      </c>
      <c r="D348" s="6" t="s">
        <v>31</v>
      </c>
      <c r="E348" t="s">
        <v>265</v>
      </c>
      <c r="F348" t="s">
        <v>265</v>
      </c>
      <c r="H348" s="11" t="s">
        <v>27</v>
      </c>
      <c r="I348" s="6" t="s">
        <v>28</v>
      </c>
      <c r="J348" s="6" t="s">
        <v>28</v>
      </c>
      <c r="K348" t="s">
        <v>32</v>
      </c>
      <c r="L348" s="35">
        <v>23.99</v>
      </c>
      <c r="M348" s="6" t="s">
        <v>29</v>
      </c>
      <c r="N348" s="6">
        <v>3105</v>
      </c>
      <c r="P348" s="18"/>
      <c r="Q348" s="17"/>
      <c r="R348" s="19">
        <v>23.99</v>
      </c>
      <c r="S348" s="19">
        <v>23.99</v>
      </c>
      <c r="T348" s="38">
        <v>40</v>
      </c>
      <c r="U348" s="38"/>
      <c r="V348" s="29">
        <v>23.99</v>
      </c>
      <c r="W348" s="45">
        <v>17.61</v>
      </c>
      <c r="X348" s="32">
        <f t="shared" si="55"/>
        <v>959.59999999999991</v>
      </c>
      <c r="Y348" s="32">
        <f t="shared" si="56"/>
        <v>959.59999999999991</v>
      </c>
      <c r="Z348" s="32">
        <f t="shared" si="57"/>
        <v>0</v>
      </c>
      <c r="AA348" s="38">
        <v>40</v>
      </c>
      <c r="AB348" s="37">
        <f>IFERROR(VLOOKUP(A348,'Tash Lookup'!A:E,3,FALSE),"")</f>
        <v>902.1</v>
      </c>
      <c r="AC348" s="6">
        <f t="shared" si="58"/>
        <v>0</v>
      </c>
      <c r="AD348" s="2" t="s">
        <v>6703</v>
      </c>
      <c r="AF348" s="56">
        <v>25.4</v>
      </c>
      <c r="AG348" s="56">
        <f>VLOOKUP(A348,Sheet1!$A$2:$C$1140,3,FALSE)</f>
        <v>26.16</v>
      </c>
      <c r="AH348" s="58">
        <v>26.16</v>
      </c>
      <c r="AI348" s="56" t="str">
        <f t="shared" si="59"/>
        <v>Increase</v>
      </c>
      <c r="AJ348" s="81">
        <f t="shared" si="63"/>
        <v>1016</v>
      </c>
      <c r="AK348" s="81">
        <f t="shared" si="64"/>
        <v>1046.4000000000001</v>
      </c>
      <c r="AL348" s="58" t="s">
        <v>32</v>
      </c>
      <c r="AM348" s="58" t="s">
        <v>6703</v>
      </c>
      <c r="AN348" s="75">
        <v>4</v>
      </c>
      <c r="AO348" s="88">
        <v>26.16</v>
      </c>
      <c r="AP348" s="6" t="str">
        <f t="shared" si="60"/>
        <v>Increase</v>
      </c>
      <c r="AQ348" s="81">
        <f t="shared" si="61"/>
        <v>101.6</v>
      </c>
      <c r="AR348" s="81">
        <f t="shared" si="62"/>
        <v>104.64</v>
      </c>
      <c r="AS348" s="82">
        <f t="shared" si="65"/>
        <v>3.0400000000000063</v>
      </c>
    </row>
    <row r="349" spans="1:45" hidden="1" x14ac:dyDescent="0.3">
      <c r="A349">
        <v>5081988</v>
      </c>
      <c r="B349" s="15" t="s">
        <v>5685</v>
      </c>
      <c r="C349" s="16" t="s">
        <v>30</v>
      </c>
      <c r="D349" s="6" t="s">
        <v>31</v>
      </c>
      <c r="E349" t="s">
        <v>542</v>
      </c>
      <c r="F349" t="s">
        <v>542</v>
      </c>
      <c r="H349" s="11" t="s">
        <v>27</v>
      </c>
      <c r="I349" s="6" t="s">
        <v>28</v>
      </c>
      <c r="J349" s="6" t="s">
        <v>28</v>
      </c>
      <c r="K349" t="s">
        <v>32</v>
      </c>
      <c r="L349" s="35">
        <v>33.630000000000003</v>
      </c>
      <c r="M349" s="6" t="s">
        <v>29</v>
      </c>
      <c r="N349" s="6">
        <v>3105</v>
      </c>
      <c r="P349" s="18"/>
      <c r="Q349" s="17"/>
      <c r="R349" s="19">
        <v>33.630000000000003</v>
      </c>
      <c r="S349" s="19">
        <v>33.630000000000003</v>
      </c>
      <c r="T349" s="38">
        <v>40</v>
      </c>
      <c r="U349" s="38"/>
      <c r="V349" s="29">
        <v>33.630000000000003</v>
      </c>
      <c r="W349" s="35">
        <v>33.630000000000003</v>
      </c>
      <c r="X349" s="32">
        <f t="shared" si="55"/>
        <v>1345.2</v>
      </c>
      <c r="Y349" s="32">
        <f t="shared" si="56"/>
        <v>1345.2</v>
      </c>
      <c r="Z349" s="32">
        <f t="shared" si="57"/>
        <v>0</v>
      </c>
      <c r="AA349" s="38">
        <v>40</v>
      </c>
      <c r="AB349" s="37">
        <f>IFERROR(VLOOKUP(A349,'Tash Lookup'!A:E,3,FALSE),"")</f>
        <v>1361.28</v>
      </c>
      <c r="AC349" s="6">
        <f t="shared" si="58"/>
        <v>0</v>
      </c>
      <c r="AD349" s="2" t="s">
        <v>6703</v>
      </c>
      <c r="AF349" s="56">
        <v>34.200000000000003</v>
      </c>
      <c r="AG349" s="56">
        <f>VLOOKUP(A349,Sheet1!$A$2:$C$1140,3,FALSE)</f>
        <v>35.22</v>
      </c>
      <c r="AH349" s="58">
        <v>35.22</v>
      </c>
      <c r="AI349" s="56" t="str">
        <f t="shared" si="59"/>
        <v>Increase</v>
      </c>
      <c r="AJ349" s="81">
        <f t="shared" si="63"/>
        <v>1368</v>
      </c>
      <c r="AK349" s="81">
        <f t="shared" si="64"/>
        <v>1408.8</v>
      </c>
      <c r="AL349" s="58" t="s">
        <v>32</v>
      </c>
      <c r="AM349" s="58" t="s">
        <v>6703</v>
      </c>
      <c r="AN349" s="75">
        <v>17</v>
      </c>
      <c r="AO349" s="88">
        <v>35.22</v>
      </c>
      <c r="AP349" s="6" t="str">
        <f t="shared" si="60"/>
        <v>Increase</v>
      </c>
      <c r="AQ349" s="81">
        <f t="shared" si="61"/>
        <v>581.40000000000009</v>
      </c>
      <c r="AR349" s="81">
        <f t="shared" si="62"/>
        <v>598.74</v>
      </c>
      <c r="AS349" s="82">
        <f t="shared" si="65"/>
        <v>17.339999999999918</v>
      </c>
    </row>
    <row r="350" spans="1:45" hidden="1" x14ac:dyDescent="0.3">
      <c r="A350">
        <v>5624589</v>
      </c>
      <c r="B350" s="15" t="s">
        <v>5686</v>
      </c>
      <c r="C350" s="16" t="s">
        <v>30</v>
      </c>
      <c r="D350" s="6" t="s">
        <v>31</v>
      </c>
      <c r="E350" t="s">
        <v>228</v>
      </c>
      <c r="F350" t="s">
        <v>228</v>
      </c>
      <c r="H350" s="11" t="s">
        <v>27</v>
      </c>
      <c r="I350" s="6" t="s">
        <v>28</v>
      </c>
      <c r="J350" s="6" t="s">
        <v>28</v>
      </c>
      <c r="K350" t="s">
        <v>32</v>
      </c>
      <c r="L350" s="35">
        <v>29.74</v>
      </c>
      <c r="M350" s="6" t="s">
        <v>29</v>
      </c>
      <c r="N350" s="6">
        <v>3105</v>
      </c>
      <c r="P350" s="18"/>
      <c r="Q350" s="17"/>
      <c r="R350" s="19">
        <v>29.74</v>
      </c>
      <c r="S350" s="19">
        <v>29.74</v>
      </c>
      <c r="T350" s="38">
        <v>40</v>
      </c>
      <c r="U350" s="38"/>
      <c r="V350" s="29">
        <v>29.74</v>
      </c>
      <c r="W350" s="35">
        <v>29.74</v>
      </c>
      <c r="X350" s="32">
        <f t="shared" si="55"/>
        <v>1189.5999999999999</v>
      </c>
      <c r="Y350" s="32">
        <f t="shared" si="56"/>
        <v>1189.5999999999999</v>
      </c>
      <c r="Z350" s="32">
        <f t="shared" si="57"/>
        <v>0</v>
      </c>
      <c r="AA350" s="38">
        <v>40</v>
      </c>
      <c r="AB350" s="37">
        <f>IFERROR(VLOOKUP(A350,'Tash Lookup'!A:E,3,FALSE),"")</f>
        <v>1189.57</v>
      </c>
      <c r="AC350" s="6">
        <f t="shared" si="58"/>
        <v>0</v>
      </c>
      <c r="AD350" s="2" t="s">
        <v>6703</v>
      </c>
      <c r="AF350" s="56">
        <v>30.28</v>
      </c>
      <c r="AG350" s="56">
        <f>VLOOKUP(A350,Sheet1!$A$2:$C$1140,3,FALSE)</f>
        <v>30.28</v>
      </c>
      <c r="AH350" s="58">
        <v>30.28</v>
      </c>
      <c r="AI350" s="56" t="str">
        <f t="shared" si="59"/>
        <v>Same</v>
      </c>
      <c r="AJ350" s="81">
        <f t="shared" si="63"/>
        <v>1211.2</v>
      </c>
      <c r="AK350" s="81">
        <f t="shared" si="64"/>
        <v>1211.2</v>
      </c>
      <c r="AL350" s="58" t="s">
        <v>32</v>
      </c>
      <c r="AM350" s="58" t="s">
        <v>6703</v>
      </c>
      <c r="AN350" s="75">
        <v>23</v>
      </c>
      <c r="AO350" s="88">
        <v>30.28</v>
      </c>
      <c r="AP350" s="6" t="str">
        <f t="shared" si="60"/>
        <v>Same</v>
      </c>
      <c r="AQ350" s="81">
        <f t="shared" si="61"/>
        <v>696.44</v>
      </c>
      <c r="AR350" s="81">
        <f t="shared" si="62"/>
        <v>696.44</v>
      </c>
      <c r="AS350" s="81">
        <f t="shared" si="65"/>
        <v>0</v>
      </c>
    </row>
    <row r="351" spans="1:45" hidden="1" x14ac:dyDescent="0.3">
      <c r="A351">
        <v>6188878</v>
      </c>
      <c r="B351" s="15" t="s">
        <v>5687</v>
      </c>
      <c r="C351" s="16" t="s">
        <v>30</v>
      </c>
      <c r="D351" s="6" t="s">
        <v>31</v>
      </c>
      <c r="E351" t="s">
        <v>839</v>
      </c>
      <c r="F351" t="s">
        <v>839</v>
      </c>
      <c r="H351" s="11" t="s">
        <v>27</v>
      </c>
      <c r="I351" s="6" t="s">
        <v>28</v>
      </c>
      <c r="J351" s="6" t="s">
        <v>28</v>
      </c>
      <c r="K351" t="s">
        <v>32</v>
      </c>
      <c r="L351" s="35">
        <v>3.58</v>
      </c>
      <c r="M351" s="6" t="s">
        <v>29</v>
      </c>
      <c r="N351" s="6">
        <v>3105</v>
      </c>
      <c r="P351" s="18"/>
      <c r="Q351" s="17"/>
      <c r="R351" s="19">
        <v>3.58</v>
      </c>
      <c r="S351" s="19">
        <v>3.58</v>
      </c>
      <c r="T351" s="38">
        <v>40</v>
      </c>
      <c r="U351" s="38"/>
      <c r="V351" s="30">
        <v>3.58</v>
      </c>
      <c r="W351" s="35">
        <v>3.58</v>
      </c>
      <c r="X351" s="32">
        <f t="shared" si="55"/>
        <v>143.19999999999999</v>
      </c>
      <c r="Y351" s="32">
        <f t="shared" si="56"/>
        <v>143.19999999999999</v>
      </c>
      <c r="Z351" s="32">
        <f t="shared" si="57"/>
        <v>0</v>
      </c>
      <c r="AA351" s="38">
        <v>40</v>
      </c>
      <c r="AB351" s="37">
        <f>IFERROR(VLOOKUP(A351,'Tash Lookup'!A:E,3,FALSE),"")</f>
        <v>143.18</v>
      </c>
      <c r="AC351" s="6">
        <f t="shared" si="58"/>
        <v>0</v>
      </c>
      <c r="AD351" s="2" t="s">
        <v>6703</v>
      </c>
      <c r="AF351" s="56">
        <v>3.22</v>
      </c>
      <c r="AG351" s="56">
        <f>VLOOKUP(A351,Sheet1!$A$2:$C$1140,3,FALSE)</f>
        <v>3.28</v>
      </c>
      <c r="AH351" s="58">
        <v>3.28</v>
      </c>
      <c r="AI351" s="56" t="str">
        <f t="shared" si="59"/>
        <v>Increase</v>
      </c>
      <c r="AJ351" s="81">
        <f t="shared" si="63"/>
        <v>128.80000000000001</v>
      </c>
      <c r="AK351" s="81">
        <f t="shared" si="64"/>
        <v>131.19999999999999</v>
      </c>
      <c r="AL351" s="58" t="s">
        <v>7206</v>
      </c>
      <c r="AM351" s="58" t="s">
        <v>6703</v>
      </c>
      <c r="AN351" s="75">
        <v>27</v>
      </c>
      <c r="AO351" s="88">
        <v>3.28</v>
      </c>
      <c r="AP351" s="6" t="str">
        <f t="shared" si="60"/>
        <v>Increase</v>
      </c>
      <c r="AQ351" s="81">
        <f t="shared" si="61"/>
        <v>86.940000000000012</v>
      </c>
      <c r="AR351" s="81">
        <f t="shared" si="62"/>
        <v>88.559999999999988</v>
      </c>
      <c r="AS351" s="82">
        <f t="shared" si="65"/>
        <v>1.6199999999999761</v>
      </c>
    </row>
    <row r="352" spans="1:45" hidden="1" x14ac:dyDescent="0.3">
      <c r="A352">
        <v>6034078</v>
      </c>
      <c r="B352" s="15" t="s">
        <v>5688</v>
      </c>
      <c r="C352" s="16" t="s">
        <v>30</v>
      </c>
      <c r="D352" s="6" t="s">
        <v>31</v>
      </c>
      <c r="E352" t="s">
        <v>2990</v>
      </c>
      <c r="F352" t="s">
        <v>2990</v>
      </c>
      <c r="H352" s="11" t="s">
        <v>27</v>
      </c>
      <c r="I352" s="6" t="s">
        <v>28</v>
      </c>
      <c r="J352" s="6" t="s">
        <v>28</v>
      </c>
      <c r="K352" t="s">
        <v>32</v>
      </c>
      <c r="L352" s="35">
        <v>0.82</v>
      </c>
      <c r="M352" s="6" t="s">
        <v>29</v>
      </c>
      <c r="N352" s="6">
        <v>3105</v>
      </c>
      <c r="P352" s="18"/>
      <c r="Q352" s="17"/>
      <c r="R352" s="19">
        <v>1.72</v>
      </c>
      <c r="S352" s="19">
        <v>1.72</v>
      </c>
      <c r="T352" s="38">
        <v>40</v>
      </c>
      <c r="U352" s="38"/>
      <c r="V352" s="30">
        <v>1.72</v>
      </c>
      <c r="W352" s="35">
        <v>0.82</v>
      </c>
      <c r="X352" s="32">
        <f t="shared" si="55"/>
        <v>68.8</v>
      </c>
      <c r="Y352" s="32">
        <f t="shared" si="56"/>
        <v>32.799999999999997</v>
      </c>
      <c r="Z352" s="32">
        <f t="shared" si="57"/>
        <v>36</v>
      </c>
      <c r="AA352" s="38">
        <v>40</v>
      </c>
      <c r="AB352" s="37">
        <f>IFERROR(VLOOKUP(A352,'Tash Lookup'!A:E,3,FALSE),"")</f>
        <v>32.21</v>
      </c>
      <c r="AC352" s="6">
        <f t="shared" si="58"/>
        <v>0</v>
      </c>
      <c r="AD352" s="2" t="s">
        <v>6703</v>
      </c>
      <c r="AF352" s="56">
        <v>1.55</v>
      </c>
      <c r="AG352" s="56" t="e">
        <f>VLOOKUP(A352,Sheet1!$A$2:$C$1140,3,FALSE)</f>
        <v>#N/A</v>
      </c>
      <c r="AH352" s="58" t="e">
        <v>#N/A</v>
      </c>
      <c r="AI352" s="56" t="str">
        <f t="shared" si="59"/>
        <v>Delete</v>
      </c>
      <c r="AJ352" s="81">
        <f t="shared" si="63"/>
        <v>62</v>
      </c>
      <c r="AK352" s="81">
        <f t="shared" si="64"/>
        <v>0</v>
      </c>
      <c r="AL352" s="58" t="s">
        <v>7206</v>
      </c>
      <c r="AM352" s="58" t="s">
        <v>6708</v>
      </c>
      <c r="AN352" s="75">
        <v>18</v>
      </c>
      <c r="AO352" s="88">
        <v>1.55</v>
      </c>
      <c r="AP352" s="6" t="str">
        <f t="shared" si="60"/>
        <v>Same</v>
      </c>
      <c r="AQ352" s="81">
        <f t="shared" si="61"/>
        <v>27.900000000000002</v>
      </c>
      <c r="AR352" s="81">
        <f t="shared" si="62"/>
        <v>27.900000000000002</v>
      </c>
      <c r="AS352" s="81">
        <f t="shared" si="65"/>
        <v>0</v>
      </c>
    </row>
    <row r="353" spans="1:45" hidden="1" x14ac:dyDescent="0.3">
      <c r="A353">
        <v>5218675</v>
      </c>
      <c r="B353" s="15" t="s">
        <v>5689</v>
      </c>
      <c r="C353" s="16" t="s">
        <v>30</v>
      </c>
      <c r="D353" s="6" t="s">
        <v>31</v>
      </c>
      <c r="E353" t="s">
        <v>91</v>
      </c>
      <c r="F353" t="s">
        <v>91</v>
      </c>
      <c r="H353" s="11" t="s">
        <v>27</v>
      </c>
      <c r="I353" s="6" t="s">
        <v>28</v>
      </c>
      <c r="J353" s="6" t="s">
        <v>28</v>
      </c>
      <c r="K353" t="s">
        <v>32</v>
      </c>
      <c r="L353" s="35">
        <v>14.17</v>
      </c>
      <c r="M353" s="6" t="s">
        <v>29</v>
      </c>
      <c r="N353" s="6">
        <v>3105</v>
      </c>
      <c r="P353" s="18"/>
      <c r="Q353" s="17"/>
      <c r="R353" s="19">
        <v>14.17</v>
      </c>
      <c r="S353" s="19">
        <v>14.17</v>
      </c>
      <c r="T353" s="38">
        <v>39</v>
      </c>
      <c r="U353" s="38"/>
      <c r="V353" s="29">
        <v>14.17</v>
      </c>
      <c r="W353" s="45">
        <v>8.67</v>
      </c>
      <c r="X353" s="32">
        <f t="shared" si="55"/>
        <v>552.63</v>
      </c>
      <c r="Y353" s="32">
        <f t="shared" si="56"/>
        <v>552.63</v>
      </c>
      <c r="Z353" s="32">
        <f t="shared" si="57"/>
        <v>0</v>
      </c>
      <c r="AA353" s="38">
        <v>39</v>
      </c>
      <c r="AB353" s="37">
        <f>IFERROR(VLOOKUP(A353,'Tash Lookup'!A:E,3,FALSE),"")</f>
        <v>463.68</v>
      </c>
      <c r="AC353" s="6">
        <f t="shared" si="58"/>
        <v>0</v>
      </c>
      <c r="AD353" s="2" t="s">
        <v>6703</v>
      </c>
      <c r="AF353" s="56">
        <v>15.13</v>
      </c>
      <c r="AG353" s="56">
        <f>VLOOKUP(A353,Sheet1!$A$2:$C$1140,3,FALSE)</f>
        <v>15.13</v>
      </c>
      <c r="AH353" s="58">
        <v>15.13</v>
      </c>
      <c r="AI353" s="56" t="str">
        <f t="shared" si="59"/>
        <v>Same</v>
      </c>
      <c r="AJ353" s="81">
        <f t="shared" si="63"/>
        <v>590.07000000000005</v>
      </c>
      <c r="AK353" s="81">
        <f t="shared" si="64"/>
        <v>590.07000000000005</v>
      </c>
      <c r="AL353" s="58" t="s">
        <v>32</v>
      </c>
      <c r="AM353" s="58" t="s">
        <v>6703</v>
      </c>
      <c r="AN353" s="75">
        <v>29</v>
      </c>
      <c r="AO353" s="88">
        <v>15.13</v>
      </c>
      <c r="AP353" s="6" t="str">
        <f t="shared" si="60"/>
        <v>Same</v>
      </c>
      <c r="AQ353" s="81">
        <f t="shared" si="61"/>
        <v>438.77000000000004</v>
      </c>
      <c r="AR353" s="81">
        <f t="shared" si="62"/>
        <v>438.77000000000004</v>
      </c>
      <c r="AS353" s="81">
        <f t="shared" si="65"/>
        <v>0</v>
      </c>
    </row>
    <row r="354" spans="1:45" hidden="1" x14ac:dyDescent="0.3">
      <c r="A354">
        <v>5315921</v>
      </c>
      <c r="B354" s="15" t="s">
        <v>5690</v>
      </c>
      <c r="C354" s="16" t="s">
        <v>30</v>
      </c>
      <c r="D354" s="6" t="s">
        <v>31</v>
      </c>
      <c r="E354" t="s">
        <v>1308</v>
      </c>
      <c r="F354" t="s">
        <v>1308</v>
      </c>
      <c r="H354" s="11" t="s">
        <v>27</v>
      </c>
      <c r="I354" s="6" t="s">
        <v>28</v>
      </c>
      <c r="J354" s="6" t="s">
        <v>28</v>
      </c>
      <c r="K354" t="s">
        <v>32</v>
      </c>
      <c r="L354" s="35">
        <v>50.39</v>
      </c>
      <c r="M354" s="6" t="s">
        <v>29</v>
      </c>
      <c r="N354" s="6">
        <v>3105</v>
      </c>
      <c r="P354" s="18"/>
      <c r="Q354" s="17"/>
      <c r="R354" s="19">
        <v>50.39</v>
      </c>
      <c r="S354" s="19">
        <v>50.39</v>
      </c>
      <c r="T354" s="38">
        <v>39</v>
      </c>
      <c r="U354" s="38"/>
      <c r="V354" s="30">
        <v>50.39</v>
      </c>
      <c r="W354" s="35">
        <v>50.39</v>
      </c>
      <c r="X354" s="32">
        <f t="shared" si="55"/>
        <v>1965.21</v>
      </c>
      <c r="Y354" s="32">
        <f t="shared" si="56"/>
        <v>1965.21</v>
      </c>
      <c r="Z354" s="32">
        <f t="shared" si="57"/>
        <v>0</v>
      </c>
      <c r="AA354" s="38">
        <v>39</v>
      </c>
      <c r="AB354" s="37">
        <f>IFERROR(VLOOKUP(A354,'Tash Lookup'!A:E,3,FALSE),"")</f>
        <v>1958.59</v>
      </c>
      <c r="AC354" s="6">
        <f t="shared" si="58"/>
        <v>0</v>
      </c>
      <c r="AD354" s="2" t="s">
        <v>6703</v>
      </c>
      <c r="AF354" s="56">
        <v>56.15</v>
      </c>
      <c r="AG354" s="56">
        <f>VLOOKUP(A354,Sheet1!$A$2:$C$1140,3,FALSE)</f>
        <v>56.15</v>
      </c>
      <c r="AH354" s="58">
        <v>56.15</v>
      </c>
      <c r="AI354" s="56" t="str">
        <f t="shared" si="59"/>
        <v>Same</v>
      </c>
      <c r="AJ354" s="81">
        <f t="shared" si="63"/>
        <v>2189.85</v>
      </c>
      <c r="AK354" s="81">
        <f t="shared" si="64"/>
        <v>2189.85</v>
      </c>
      <c r="AL354" s="58" t="s">
        <v>7206</v>
      </c>
      <c r="AM354" s="58" t="s">
        <v>6703</v>
      </c>
      <c r="AN354" s="75">
        <v>9</v>
      </c>
      <c r="AO354" s="88">
        <v>56.15</v>
      </c>
      <c r="AP354" s="6" t="str">
        <f t="shared" si="60"/>
        <v>Same</v>
      </c>
      <c r="AQ354" s="81">
        <f t="shared" si="61"/>
        <v>505.34999999999997</v>
      </c>
      <c r="AR354" s="81">
        <f t="shared" si="62"/>
        <v>505.34999999999997</v>
      </c>
      <c r="AS354" s="81">
        <f t="shared" si="65"/>
        <v>0</v>
      </c>
    </row>
    <row r="355" spans="1:45" hidden="1" x14ac:dyDescent="0.3">
      <c r="A355">
        <v>6188872</v>
      </c>
      <c r="B355" s="15" t="s">
        <v>5691</v>
      </c>
      <c r="C355" s="16" t="s">
        <v>30</v>
      </c>
      <c r="D355" s="6" t="s">
        <v>31</v>
      </c>
      <c r="E355" t="s">
        <v>851</v>
      </c>
      <c r="F355" t="s">
        <v>851</v>
      </c>
      <c r="H355" s="11" t="s">
        <v>27</v>
      </c>
      <c r="I355" s="6" t="s">
        <v>28</v>
      </c>
      <c r="J355" s="6" t="s">
        <v>28</v>
      </c>
      <c r="K355" t="s">
        <v>32</v>
      </c>
      <c r="L355" s="35">
        <v>7.39</v>
      </c>
      <c r="M355" s="6" t="s">
        <v>29</v>
      </c>
      <c r="N355" s="6">
        <v>3105</v>
      </c>
      <c r="P355" s="18"/>
      <c r="Q355" s="17"/>
      <c r="R355" s="19">
        <v>8.25</v>
      </c>
      <c r="S355" s="19">
        <v>0</v>
      </c>
      <c r="T355" s="38">
        <v>39</v>
      </c>
      <c r="U355" s="38"/>
      <c r="V355" s="30">
        <v>8.25</v>
      </c>
      <c r="W355" s="35">
        <v>7.39</v>
      </c>
      <c r="X355" s="32">
        <f t="shared" si="55"/>
        <v>321.75</v>
      </c>
      <c r="Y355" s="32">
        <f t="shared" si="56"/>
        <v>288.20999999999998</v>
      </c>
      <c r="Z355" s="32">
        <f t="shared" si="57"/>
        <v>33.54000000000002</v>
      </c>
      <c r="AA355" s="38">
        <v>39</v>
      </c>
      <c r="AB355" s="37">
        <f>IFERROR(VLOOKUP(A355,'Tash Lookup'!A:E,3,FALSE),"")</f>
        <v>291.56</v>
      </c>
      <c r="AC355" s="6">
        <f t="shared" si="58"/>
        <v>0</v>
      </c>
      <c r="AD355" s="2" t="s">
        <v>6703</v>
      </c>
      <c r="AF355" s="56">
        <v>7.43</v>
      </c>
      <c r="AG355" s="56">
        <f>VLOOKUP(A355,Sheet1!$A$2:$C$1140,3,FALSE)</f>
        <v>7.58</v>
      </c>
      <c r="AH355" s="58">
        <v>7.58</v>
      </c>
      <c r="AI355" s="56" t="str">
        <f t="shared" si="59"/>
        <v>Increase</v>
      </c>
      <c r="AJ355" s="81">
        <f t="shared" si="63"/>
        <v>289.77</v>
      </c>
      <c r="AK355" s="81">
        <f t="shared" si="64"/>
        <v>295.62</v>
      </c>
      <c r="AL355" s="58" t="s">
        <v>7206</v>
      </c>
      <c r="AM355" s="58" t="s">
        <v>6703</v>
      </c>
      <c r="AN355" s="75">
        <v>14</v>
      </c>
      <c r="AO355" s="88">
        <v>7.58</v>
      </c>
      <c r="AP355" s="6" t="str">
        <f t="shared" si="60"/>
        <v>Increase</v>
      </c>
      <c r="AQ355" s="81">
        <f t="shared" si="61"/>
        <v>104.02</v>
      </c>
      <c r="AR355" s="81">
        <f t="shared" si="62"/>
        <v>106.12</v>
      </c>
      <c r="AS355" s="82">
        <f t="shared" si="65"/>
        <v>2.1000000000000085</v>
      </c>
    </row>
    <row r="356" spans="1:45" hidden="1" x14ac:dyDescent="0.3">
      <c r="A356">
        <v>5180652</v>
      </c>
      <c r="B356" s="15" t="s">
        <v>5692</v>
      </c>
      <c r="C356" s="16" t="s">
        <v>30</v>
      </c>
      <c r="D356" s="6" t="s">
        <v>31</v>
      </c>
      <c r="E356" t="s">
        <v>597</v>
      </c>
      <c r="F356" t="s">
        <v>597</v>
      </c>
      <c r="H356" s="11" t="s">
        <v>27</v>
      </c>
      <c r="I356" s="6" t="s">
        <v>28</v>
      </c>
      <c r="J356" s="6" t="s">
        <v>28</v>
      </c>
      <c r="K356" t="s">
        <v>32</v>
      </c>
      <c r="L356" s="35">
        <v>35.4</v>
      </c>
      <c r="M356" s="6" t="s">
        <v>29</v>
      </c>
      <c r="N356" s="6">
        <v>3105</v>
      </c>
      <c r="P356" s="18"/>
      <c r="Q356" s="17"/>
      <c r="R356" s="19">
        <v>35.4</v>
      </c>
      <c r="S356" s="19">
        <v>35.4</v>
      </c>
      <c r="T356" s="38">
        <v>39</v>
      </c>
      <c r="U356" s="38"/>
      <c r="V356" s="29">
        <v>35.4</v>
      </c>
      <c r="W356" s="35">
        <v>35.4</v>
      </c>
      <c r="X356" s="32">
        <f t="shared" si="55"/>
        <v>1380.6</v>
      </c>
      <c r="Y356" s="32">
        <f t="shared" si="56"/>
        <v>1380.6</v>
      </c>
      <c r="Z356" s="32">
        <f t="shared" si="57"/>
        <v>0</v>
      </c>
      <c r="AA356" s="38">
        <v>39</v>
      </c>
      <c r="AB356" s="37">
        <f>IFERROR(VLOOKUP(A356,'Tash Lookup'!A:E,3,FALSE),"")</f>
        <v>1409.36</v>
      </c>
      <c r="AC356" s="6">
        <f t="shared" si="58"/>
        <v>0</v>
      </c>
      <c r="AD356" s="2" t="s">
        <v>6703</v>
      </c>
      <c r="AF356" s="56">
        <v>33.85</v>
      </c>
      <c r="AG356" s="56">
        <f>VLOOKUP(A356,Sheet1!$A$2:$C$1140,3,FALSE)</f>
        <v>34.869999999999997</v>
      </c>
      <c r="AH356" s="58">
        <v>34.869999999999997</v>
      </c>
      <c r="AI356" s="56" t="str">
        <f t="shared" si="59"/>
        <v>Increase</v>
      </c>
      <c r="AJ356" s="81">
        <f t="shared" si="63"/>
        <v>1320.15</v>
      </c>
      <c r="AK356" s="81">
        <f t="shared" si="64"/>
        <v>1359.9299999999998</v>
      </c>
      <c r="AL356" s="58" t="s">
        <v>32</v>
      </c>
      <c r="AM356" s="58" t="s">
        <v>6703</v>
      </c>
      <c r="AN356" s="75">
        <v>21</v>
      </c>
      <c r="AO356" s="88">
        <v>34.869999999999997</v>
      </c>
      <c r="AP356" s="6" t="str">
        <f t="shared" si="60"/>
        <v>Increase</v>
      </c>
      <c r="AQ356" s="81">
        <f t="shared" si="61"/>
        <v>710.85</v>
      </c>
      <c r="AR356" s="81">
        <f t="shared" si="62"/>
        <v>732.27</v>
      </c>
      <c r="AS356" s="82">
        <f t="shared" si="65"/>
        <v>21.419999999999959</v>
      </c>
    </row>
    <row r="357" spans="1:45" hidden="1" x14ac:dyDescent="0.3">
      <c r="A357">
        <v>5090371</v>
      </c>
      <c r="B357" s="15" t="s">
        <v>5693</v>
      </c>
      <c r="C357" s="16" t="s">
        <v>30</v>
      </c>
      <c r="D357" s="6" t="s">
        <v>31</v>
      </c>
      <c r="E357" t="s">
        <v>430</v>
      </c>
      <c r="F357" t="s">
        <v>430</v>
      </c>
      <c r="H357" s="11" t="s">
        <v>27</v>
      </c>
      <c r="I357" s="6" t="s">
        <v>28</v>
      </c>
      <c r="J357" s="6" t="s">
        <v>28</v>
      </c>
      <c r="K357" t="s">
        <v>32</v>
      </c>
      <c r="L357" s="35">
        <v>148.13</v>
      </c>
      <c r="M357" s="6" t="s">
        <v>29</v>
      </c>
      <c r="N357" s="6">
        <v>3105</v>
      </c>
      <c r="P357" s="18"/>
      <c r="Q357" s="17"/>
      <c r="R357" s="19">
        <v>148.13</v>
      </c>
      <c r="S357" s="19">
        <v>148.13</v>
      </c>
      <c r="T357" s="38">
        <v>39</v>
      </c>
      <c r="U357" s="38"/>
      <c r="V357" s="29">
        <v>148.13</v>
      </c>
      <c r="W357" s="35">
        <v>148.13</v>
      </c>
      <c r="X357" s="32">
        <f t="shared" si="55"/>
        <v>5777.07</v>
      </c>
      <c r="Y357" s="32">
        <f t="shared" si="56"/>
        <v>5777.07</v>
      </c>
      <c r="Z357" s="32">
        <f t="shared" si="57"/>
        <v>0</v>
      </c>
      <c r="AA357" s="38">
        <v>39</v>
      </c>
      <c r="AB357" s="37">
        <f>IFERROR(VLOOKUP(A357,'Tash Lookup'!A:E,3,FALSE),"")</f>
        <v>5795.5</v>
      </c>
      <c r="AC357" s="6">
        <f t="shared" si="58"/>
        <v>0</v>
      </c>
      <c r="AD357" s="2" t="s">
        <v>6705</v>
      </c>
      <c r="AF357" s="56">
        <v>158.55000000000001</v>
      </c>
      <c r="AG357" s="56">
        <f>VLOOKUP(A357,Sheet1!$A$2:$C$1140,3,FALSE)</f>
        <v>163.31</v>
      </c>
      <c r="AH357" s="58">
        <v>163.31</v>
      </c>
      <c r="AI357" s="56" t="str">
        <f t="shared" si="59"/>
        <v>Increase</v>
      </c>
      <c r="AJ357" s="81">
        <f t="shared" si="63"/>
        <v>6183.4500000000007</v>
      </c>
      <c r="AK357" s="81">
        <f t="shared" si="64"/>
        <v>6369.09</v>
      </c>
      <c r="AL357" s="58" t="s">
        <v>32</v>
      </c>
      <c r="AM357" s="58" t="s">
        <v>6705</v>
      </c>
      <c r="AN357" s="75">
        <v>13</v>
      </c>
      <c r="AO357" s="88">
        <v>163.31</v>
      </c>
      <c r="AP357" s="6" t="str">
        <f t="shared" si="60"/>
        <v>Increase</v>
      </c>
      <c r="AQ357" s="81">
        <f t="shared" si="61"/>
        <v>2061.15</v>
      </c>
      <c r="AR357" s="81">
        <f t="shared" si="62"/>
        <v>2123.0300000000002</v>
      </c>
      <c r="AS357" s="82">
        <f t="shared" si="65"/>
        <v>61.880000000000109</v>
      </c>
    </row>
    <row r="358" spans="1:45" hidden="1" x14ac:dyDescent="0.3">
      <c r="A358">
        <v>5090753</v>
      </c>
      <c r="B358" s="15" t="s">
        <v>5694</v>
      </c>
      <c r="C358" s="16" t="s">
        <v>30</v>
      </c>
      <c r="D358" s="6" t="s">
        <v>31</v>
      </c>
      <c r="E358" t="s">
        <v>475</v>
      </c>
      <c r="F358" t="s">
        <v>475</v>
      </c>
      <c r="H358" s="11" t="s">
        <v>27</v>
      </c>
      <c r="I358" s="6" t="s">
        <v>28</v>
      </c>
      <c r="J358" s="6" t="s">
        <v>28</v>
      </c>
      <c r="K358" t="s">
        <v>32</v>
      </c>
      <c r="L358" s="35">
        <v>31</v>
      </c>
      <c r="M358" s="6" t="s">
        <v>29</v>
      </c>
      <c r="N358" s="6">
        <v>3105</v>
      </c>
      <c r="P358" s="18"/>
      <c r="Q358" s="17"/>
      <c r="R358" s="19">
        <v>31</v>
      </c>
      <c r="S358" s="19">
        <v>31</v>
      </c>
      <c r="T358" s="38">
        <v>39</v>
      </c>
      <c r="U358" s="38"/>
      <c r="V358" s="29">
        <v>31</v>
      </c>
      <c r="W358" s="35">
        <v>31</v>
      </c>
      <c r="X358" s="32">
        <f t="shared" si="55"/>
        <v>1209</v>
      </c>
      <c r="Y358" s="32">
        <f t="shared" si="56"/>
        <v>1209</v>
      </c>
      <c r="Z358" s="32">
        <f t="shared" si="57"/>
        <v>0</v>
      </c>
      <c r="AA358" s="38">
        <v>39</v>
      </c>
      <c r="AB358" s="37">
        <f>IFERROR(VLOOKUP(A358,'Tash Lookup'!A:E,3,FALSE),"")</f>
        <v>1244.0899999999999</v>
      </c>
      <c r="AC358" s="6">
        <f t="shared" si="58"/>
        <v>0</v>
      </c>
      <c r="AD358" s="2" t="s">
        <v>6703</v>
      </c>
      <c r="AF358" s="56">
        <v>33.21</v>
      </c>
      <c r="AG358" s="56">
        <f>VLOOKUP(A358,Sheet1!$A$2:$C$1140,3,FALSE)</f>
        <v>34.200000000000003</v>
      </c>
      <c r="AH358" s="58">
        <v>34.200000000000003</v>
      </c>
      <c r="AI358" s="56" t="str">
        <f t="shared" si="59"/>
        <v>Increase</v>
      </c>
      <c r="AJ358" s="81">
        <f t="shared" si="63"/>
        <v>1295.19</v>
      </c>
      <c r="AK358" s="81">
        <f t="shared" si="64"/>
        <v>1333.8000000000002</v>
      </c>
      <c r="AL358" s="58" t="s">
        <v>32</v>
      </c>
      <c r="AM358" s="58" t="s">
        <v>6703</v>
      </c>
      <c r="AN358" s="75">
        <v>14</v>
      </c>
      <c r="AO358" s="88">
        <v>34.200000000000003</v>
      </c>
      <c r="AP358" s="6" t="str">
        <f t="shared" si="60"/>
        <v>Increase</v>
      </c>
      <c r="AQ358" s="81">
        <f t="shared" si="61"/>
        <v>464.94</v>
      </c>
      <c r="AR358" s="81">
        <f t="shared" si="62"/>
        <v>478.80000000000007</v>
      </c>
      <c r="AS358" s="82">
        <f t="shared" si="65"/>
        <v>13.86000000000007</v>
      </c>
    </row>
    <row r="359" spans="1:45" hidden="1" x14ac:dyDescent="0.3">
      <c r="A359">
        <v>5085001</v>
      </c>
      <c r="B359" s="15" t="s">
        <v>5695</v>
      </c>
      <c r="C359" s="16" t="s">
        <v>30</v>
      </c>
      <c r="D359" s="6" t="s">
        <v>31</v>
      </c>
      <c r="E359" t="s">
        <v>1103</v>
      </c>
      <c r="F359" t="s">
        <v>1103</v>
      </c>
      <c r="H359" s="11" t="s">
        <v>27</v>
      </c>
      <c r="I359" s="6" t="s">
        <v>28</v>
      </c>
      <c r="J359" s="6" t="s">
        <v>28</v>
      </c>
      <c r="K359" t="s">
        <v>32</v>
      </c>
      <c r="L359" s="35">
        <v>20.96</v>
      </c>
      <c r="M359" s="6" t="s">
        <v>29</v>
      </c>
      <c r="N359" s="6">
        <v>3105</v>
      </c>
      <c r="P359" s="18"/>
      <c r="Q359" s="17"/>
      <c r="R359" s="19">
        <v>20.96</v>
      </c>
      <c r="S359" s="19">
        <v>20.96</v>
      </c>
      <c r="T359" s="38">
        <v>38</v>
      </c>
      <c r="U359" s="38"/>
      <c r="V359" s="30">
        <v>20.96</v>
      </c>
      <c r="W359" s="35">
        <v>20.96</v>
      </c>
      <c r="X359" s="32">
        <f t="shared" si="55"/>
        <v>796.48</v>
      </c>
      <c r="Y359" s="32">
        <f t="shared" si="56"/>
        <v>796.48</v>
      </c>
      <c r="Z359" s="32">
        <f t="shared" si="57"/>
        <v>0</v>
      </c>
      <c r="AA359" s="38">
        <v>38</v>
      </c>
      <c r="AB359" s="37">
        <f>IFERROR(VLOOKUP(A359,'Tash Lookup'!A:E,3,FALSE),"")</f>
        <v>783.63</v>
      </c>
      <c r="AC359" s="6">
        <f t="shared" si="58"/>
        <v>0</v>
      </c>
      <c r="AD359" s="2" t="s">
        <v>6703</v>
      </c>
      <c r="AF359" s="56">
        <v>20.2</v>
      </c>
      <c r="AG359" s="56">
        <f>VLOOKUP(A359,Sheet1!$A$2:$C$1140,3,FALSE)</f>
        <v>20.2</v>
      </c>
      <c r="AH359" s="58">
        <v>20.2</v>
      </c>
      <c r="AI359" s="56" t="str">
        <f t="shared" si="59"/>
        <v>Same</v>
      </c>
      <c r="AJ359" s="81">
        <f t="shared" si="63"/>
        <v>767.6</v>
      </c>
      <c r="AK359" s="81">
        <f t="shared" si="64"/>
        <v>767.6</v>
      </c>
      <c r="AL359" s="58" t="s">
        <v>7206</v>
      </c>
      <c r="AM359" s="58" t="s">
        <v>6703</v>
      </c>
      <c r="AN359" s="75">
        <v>15</v>
      </c>
      <c r="AO359" s="88">
        <v>20.2</v>
      </c>
      <c r="AP359" s="6" t="str">
        <f t="shared" si="60"/>
        <v>Same</v>
      </c>
      <c r="AQ359" s="81">
        <f t="shared" si="61"/>
        <v>303</v>
      </c>
      <c r="AR359" s="81">
        <f t="shared" si="62"/>
        <v>303</v>
      </c>
      <c r="AS359" s="81">
        <f t="shared" si="65"/>
        <v>0</v>
      </c>
    </row>
    <row r="360" spans="1:45" hidden="1" x14ac:dyDescent="0.3">
      <c r="A360">
        <v>5092438</v>
      </c>
      <c r="B360" s="15" t="s">
        <v>5696</v>
      </c>
      <c r="C360" s="16" t="s">
        <v>30</v>
      </c>
      <c r="D360" s="6" t="s">
        <v>31</v>
      </c>
      <c r="E360" t="s">
        <v>776</v>
      </c>
      <c r="F360" t="s">
        <v>776</v>
      </c>
      <c r="H360" s="11" t="s">
        <v>27</v>
      </c>
      <c r="I360" s="6" t="s">
        <v>28</v>
      </c>
      <c r="J360" s="6" t="s">
        <v>28</v>
      </c>
      <c r="K360" t="s">
        <v>32</v>
      </c>
      <c r="L360" s="35">
        <v>16.96</v>
      </c>
      <c r="M360" s="6" t="s">
        <v>29</v>
      </c>
      <c r="N360" s="6">
        <v>3105</v>
      </c>
      <c r="P360" s="18"/>
      <c r="Q360" s="17"/>
      <c r="R360" s="19">
        <v>16.96</v>
      </c>
      <c r="S360" s="19">
        <v>16.96</v>
      </c>
      <c r="T360" s="38">
        <v>38</v>
      </c>
      <c r="U360" s="38"/>
      <c r="V360" s="30">
        <v>16.96</v>
      </c>
      <c r="W360" s="35">
        <v>16.96</v>
      </c>
      <c r="X360" s="32">
        <f t="shared" si="55"/>
        <v>644.48</v>
      </c>
      <c r="Y360" s="32">
        <f t="shared" si="56"/>
        <v>644.48</v>
      </c>
      <c r="Z360" s="32">
        <f t="shared" si="57"/>
        <v>0</v>
      </c>
      <c r="AA360" s="38">
        <v>38</v>
      </c>
      <c r="AB360" s="37">
        <f>IFERROR(VLOOKUP(A360,'Tash Lookup'!A:E,3,FALSE),"")</f>
        <v>644.51</v>
      </c>
      <c r="AC360" s="6">
        <f t="shared" si="58"/>
        <v>0</v>
      </c>
      <c r="AD360" s="2" t="s">
        <v>6703</v>
      </c>
      <c r="AF360" s="56">
        <v>17.649999999999999</v>
      </c>
      <c r="AG360" s="56">
        <f>VLOOKUP(A360,Sheet1!$A$2:$C$1140,3,FALSE)</f>
        <v>17.649999999999999</v>
      </c>
      <c r="AH360" s="58">
        <v>17.649999999999999</v>
      </c>
      <c r="AI360" s="56" t="str">
        <f t="shared" si="59"/>
        <v>Same</v>
      </c>
      <c r="AJ360" s="81">
        <f t="shared" si="63"/>
        <v>670.69999999999993</v>
      </c>
      <c r="AK360" s="81">
        <f t="shared" si="64"/>
        <v>670.69999999999993</v>
      </c>
      <c r="AL360" s="58" t="s">
        <v>7206</v>
      </c>
      <c r="AM360" s="58" t="s">
        <v>6703</v>
      </c>
      <c r="AN360" s="75">
        <v>4</v>
      </c>
      <c r="AO360" s="88">
        <v>17.649999999999999</v>
      </c>
      <c r="AP360" s="6" t="str">
        <f t="shared" si="60"/>
        <v>Same</v>
      </c>
      <c r="AQ360" s="81">
        <f t="shared" si="61"/>
        <v>70.599999999999994</v>
      </c>
      <c r="AR360" s="81">
        <f t="shared" si="62"/>
        <v>70.599999999999994</v>
      </c>
      <c r="AS360" s="81">
        <f t="shared" si="65"/>
        <v>0</v>
      </c>
    </row>
    <row r="361" spans="1:45" hidden="1" x14ac:dyDescent="0.3">
      <c r="A361">
        <v>5480940</v>
      </c>
      <c r="B361" s="15" t="s">
        <v>5697</v>
      </c>
      <c r="C361" s="16" t="s">
        <v>30</v>
      </c>
      <c r="D361" s="6" t="s">
        <v>31</v>
      </c>
      <c r="E361" t="s">
        <v>489</v>
      </c>
      <c r="F361" t="s">
        <v>489</v>
      </c>
      <c r="H361" s="11" t="s">
        <v>27</v>
      </c>
      <c r="I361" s="6" t="s">
        <v>28</v>
      </c>
      <c r="J361" s="6" t="s">
        <v>28</v>
      </c>
      <c r="K361" t="s">
        <v>32</v>
      </c>
      <c r="L361" s="35">
        <v>36.78</v>
      </c>
      <c r="M361" s="6" t="s">
        <v>29</v>
      </c>
      <c r="N361" s="6">
        <v>3105</v>
      </c>
      <c r="P361" s="18"/>
      <c r="Q361" s="17"/>
      <c r="R361" s="19">
        <v>36.78</v>
      </c>
      <c r="S361" s="19">
        <v>36.78</v>
      </c>
      <c r="T361" s="38">
        <v>38</v>
      </c>
      <c r="U361" s="38"/>
      <c r="V361" s="29">
        <v>36.78</v>
      </c>
      <c r="W361" s="35">
        <v>36.78</v>
      </c>
      <c r="X361" s="32">
        <f t="shared" si="55"/>
        <v>1397.64</v>
      </c>
      <c r="Y361" s="32">
        <f t="shared" si="56"/>
        <v>1397.64</v>
      </c>
      <c r="Z361" s="32">
        <f t="shared" si="57"/>
        <v>0</v>
      </c>
      <c r="AA361" s="38">
        <v>38</v>
      </c>
      <c r="AB361" s="37">
        <f>IFERROR(VLOOKUP(A361,'Tash Lookup'!A:E,3,FALSE),"")</f>
        <v>1397.47</v>
      </c>
      <c r="AC361" s="6">
        <f t="shared" si="58"/>
        <v>0</v>
      </c>
      <c r="AD361" s="2" t="s">
        <v>6703</v>
      </c>
      <c r="AF361" s="56">
        <v>35.020000000000003</v>
      </c>
      <c r="AG361" s="56">
        <f>VLOOKUP(A361,Sheet1!$A$2:$C$1140,3,FALSE)</f>
        <v>35.020000000000003</v>
      </c>
      <c r="AH361" s="58">
        <v>35.020000000000003</v>
      </c>
      <c r="AI361" s="56" t="str">
        <f t="shared" si="59"/>
        <v>Same</v>
      </c>
      <c r="AJ361" s="81">
        <f t="shared" si="63"/>
        <v>1330.7600000000002</v>
      </c>
      <c r="AK361" s="81">
        <f t="shared" si="64"/>
        <v>1330.7600000000002</v>
      </c>
      <c r="AL361" s="58" t="s">
        <v>32</v>
      </c>
      <c r="AM361" s="58" t="s">
        <v>6703</v>
      </c>
      <c r="AN361" s="75">
        <v>106</v>
      </c>
      <c r="AO361" s="88">
        <v>35.020000000000003</v>
      </c>
      <c r="AP361" s="6" t="str">
        <f t="shared" si="60"/>
        <v>Same</v>
      </c>
      <c r="AQ361" s="81">
        <f t="shared" si="61"/>
        <v>3712.1200000000003</v>
      </c>
      <c r="AR361" s="81">
        <f t="shared" si="62"/>
        <v>3712.1200000000003</v>
      </c>
      <c r="AS361" s="81">
        <f t="shared" si="65"/>
        <v>0</v>
      </c>
    </row>
    <row r="362" spans="1:45" hidden="1" x14ac:dyDescent="0.3">
      <c r="A362">
        <v>6316993</v>
      </c>
      <c r="B362" s="15" t="s">
        <v>5698</v>
      </c>
      <c r="C362" s="16" t="s">
        <v>30</v>
      </c>
      <c r="D362" s="6" t="s">
        <v>31</v>
      </c>
      <c r="E362" t="s">
        <v>719</v>
      </c>
      <c r="F362" t="s">
        <v>719</v>
      </c>
      <c r="H362" s="11" t="s">
        <v>27</v>
      </c>
      <c r="I362" s="6" t="s">
        <v>28</v>
      </c>
      <c r="J362" s="6" t="s">
        <v>28</v>
      </c>
      <c r="K362" t="s">
        <v>32</v>
      </c>
      <c r="L362" s="35">
        <v>4.76</v>
      </c>
      <c r="M362" s="6" t="s">
        <v>29</v>
      </c>
      <c r="N362" s="6">
        <v>3105</v>
      </c>
      <c r="P362" s="18"/>
      <c r="Q362" s="17"/>
      <c r="R362" s="19">
        <v>4.76</v>
      </c>
      <c r="S362" s="19">
        <v>4.76</v>
      </c>
      <c r="T362" s="38">
        <v>37</v>
      </c>
      <c r="U362" s="38"/>
      <c r="V362" s="30">
        <v>4.76</v>
      </c>
      <c r="W362" s="35">
        <v>4.76</v>
      </c>
      <c r="X362" s="32">
        <f t="shared" si="55"/>
        <v>176.12</v>
      </c>
      <c r="Y362" s="32">
        <f t="shared" si="56"/>
        <v>176.12</v>
      </c>
      <c r="Z362" s="32">
        <f t="shared" si="57"/>
        <v>0</v>
      </c>
      <c r="AA362" s="38">
        <v>37</v>
      </c>
      <c r="AB362" s="37">
        <f>IFERROR(VLOOKUP(A362,'Tash Lookup'!A:E,3,FALSE),"")</f>
        <v>175.72</v>
      </c>
      <c r="AC362" s="6">
        <f t="shared" si="58"/>
        <v>0</v>
      </c>
      <c r="AD362" s="2" t="s">
        <v>6703</v>
      </c>
      <c r="AF362" s="56">
        <v>4.76</v>
      </c>
      <c r="AG362" s="56">
        <f>VLOOKUP(A362,Sheet1!$A$2:$C$1140,3,FALSE)</f>
        <v>4.8600000000000003</v>
      </c>
      <c r="AH362" s="58">
        <v>4.8600000000000003</v>
      </c>
      <c r="AI362" s="56" t="str">
        <f t="shared" si="59"/>
        <v>Increase</v>
      </c>
      <c r="AJ362" s="81">
        <f t="shared" si="63"/>
        <v>176.12</v>
      </c>
      <c r="AK362" s="81">
        <f t="shared" si="64"/>
        <v>179.82000000000002</v>
      </c>
      <c r="AL362" s="58" t="s">
        <v>7206</v>
      </c>
      <c r="AM362" s="58" t="s">
        <v>6703</v>
      </c>
      <c r="AN362" s="75">
        <v>13</v>
      </c>
      <c r="AO362" s="88">
        <v>4.8600000000000003</v>
      </c>
      <c r="AP362" s="6" t="str">
        <f t="shared" si="60"/>
        <v>Increase</v>
      </c>
      <c r="AQ362" s="81">
        <f t="shared" si="61"/>
        <v>61.879999999999995</v>
      </c>
      <c r="AR362" s="81">
        <f t="shared" si="62"/>
        <v>63.180000000000007</v>
      </c>
      <c r="AS362" s="82">
        <f t="shared" si="65"/>
        <v>1.3000000000000114</v>
      </c>
    </row>
    <row r="363" spans="1:45" hidden="1" x14ac:dyDescent="0.3">
      <c r="A363">
        <v>5320602</v>
      </c>
      <c r="B363" s="15" t="s">
        <v>5699</v>
      </c>
      <c r="C363" s="16" t="s">
        <v>30</v>
      </c>
      <c r="D363" s="6" t="s">
        <v>31</v>
      </c>
      <c r="E363" t="s">
        <v>436</v>
      </c>
      <c r="F363" t="s">
        <v>436</v>
      </c>
      <c r="H363" s="11" t="s">
        <v>27</v>
      </c>
      <c r="I363" s="6" t="s">
        <v>28</v>
      </c>
      <c r="J363" s="6" t="s">
        <v>28</v>
      </c>
      <c r="K363" t="s">
        <v>32</v>
      </c>
      <c r="L363" s="35">
        <v>56.71</v>
      </c>
      <c r="M363" s="6" t="s">
        <v>29</v>
      </c>
      <c r="N363" s="6">
        <v>3105</v>
      </c>
      <c r="P363" s="18"/>
      <c r="Q363" s="17"/>
      <c r="R363" s="19">
        <v>56.71</v>
      </c>
      <c r="S363" s="19">
        <v>56.71</v>
      </c>
      <c r="T363" s="38">
        <v>37</v>
      </c>
      <c r="U363" s="38"/>
      <c r="V363" s="30">
        <v>56.71</v>
      </c>
      <c r="W363" s="35">
        <v>56.71</v>
      </c>
      <c r="X363" s="32">
        <f t="shared" si="55"/>
        <v>2098.27</v>
      </c>
      <c r="Y363" s="32">
        <f t="shared" si="56"/>
        <v>2098.27</v>
      </c>
      <c r="Z363" s="32">
        <f t="shared" si="57"/>
        <v>0</v>
      </c>
      <c r="AA363" s="38">
        <v>37</v>
      </c>
      <c r="AB363" s="37">
        <f>IFERROR(VLOOKUP(A363,'Tash Lookup'!A:E,3,FALSE),"")</f>
        <v>2092.77</v>
      </c>
      <c r="AC363" s="6">
        <f t="shared" si="58"/>
        <v>0</v>
      </c>
      <c r="AD363" s="2" t="s">
        <v>6703</v>
      </c>
      <c r="AF363" s="56">
        <v>57.44</v>
      </c>
      <c r="AG363" s="56">
        <f>VLOOKUP(A363,Sheet1!$A$2:$C$1140,3,FALSE)</f>
        <v>59.16</v>
      </c>
      <c r="AH363" s="58">
        <v>59.16</v>
      </c>
      <c r="AI363" s="56" t="str">
        <f t="shared" si="59"/>
        <v>Increase</v>
      </c>
      <c r="AJ363" s="81">
        <f t="shared" si="63"/>
        <v>2125.2799999999997</v>
      </c>
      <c r="AK363" s="81">
        <f t="shared" si="64"/>
        <v>2188.92</v>
      </c>
      <c r="AL363" s="58" t="s">
        <v>32</v>
      </c>
      <c r="AM363" s="58" t="s">
        <v>6703</v>
      </c>
      <c r="AN363" s="75">
        <v>4</v>
      </c>
      <c r="AO363" s="88">
        <v>59.16</v>
      </c>
      <c r="AP363" s="6" t="str">
        <f t="shared" si="60"/>
        <v>Increase</v>
      </c>
      <c r="AQ363" s="81">
        <f t="shared" si="61"/>
        <v>229.76</v>
      </c>
      <c r="AR363" s="81">
        <f t="shared" si="62"/>
        <v>236.64</v>
      </c>
      <c r="AS363" s="82">
        <f t="shared" si="65"/>
        <v>6.8799999999999955</v>
      </c>
    </row>
    <row r="364" spans="1:45" hidden="1" x14ac:dyDescent="0.3">
      <c r="A364">
        <v>6203504</v>
      </c>
      <c r="B364" s="15" t="s">
        <v>5700</v>
      </c>
      <c r="C364" s="16" t="s">
        <v>30</v>
      </c>
      <c r="D364" s="6" t="s">
        <v>31</v>
      </c>
      <c r="E364" t="s">
        <v>917</v>
      </c>
      <c r="F364" t="s">
        <v>917</v>
      </c>
      <c r="H364" s="11" t="s">
        <v>27</v>
      </c>
      <c r="I364" s="6" t="s">
        <v>28</v>
      </c>
      <c r="J364" s="6" t="s">
        <v>28</v>
      </c>
      <c r="K364" t="s">
        <v>32</v>
      </c>
      <c r="L364" s="35">
        <v>4.8600000000000003</v>
      </c>
      <c r="M364" s="6" t="s">
        <v>29</v>
      </c>
      <c r="N364" s="6">
        <v>3105</v>
      </c>
      <c r="P364" s="18"/>
      <c r="Q364" s="17"/>
      <c r="R364" s="19">
        <v>4.8600000000000003</v>
      </c>
      <c r="S364" s="19">
        <v>4.8600000000000003</v>
      </c>
      <c r="T364" s="38">
        <v>37</v>
      </c>
      <c r="U364" s="38"/>
      <c r="V364" s="29">
        <v>4.8600000000000003</v>
      </c>
      <c r="W364" s="35">
        <v>4.8600000000000003</v>
      </c>
      <c r="X364" s="32">
        <f t="shared" si="55"/>
        <v>179.82000000000002</v>
      </c>
      <c r="Y364" s="32">
        <f t="shared" si="56"/>
        <v>179.82000000000002</v>
      </c>
      <c r="Z364" s="32">
        <f t="shared" si="57"/>
        <v>0</v>
      </c>
      <c r="AA364" s="38">
        <v>37</v>
      </c>
      <c r="AB364" s="37">
        <f>IFERROR(VLOOKUP(A364,'Tash Lookup'!A:E,3,FALSE),"")</f>
        <v>178.28</v>
      </c>
      <c r="AC364" s="6">
        <f t="shared" si="58"/>
        <v>0</v>
      </c>
      <c r="AD364" s="2" t="s">
        <v>6711</v>
      </c>
      <c r="AE364" s="2" t="s">
        <v>6701</v>
      </c>
      <c r="AF364" s="56">
        <v>4.8600000000000003</v>
      </c>
      <c r="AG364" s="56" t="e">
        <f>VLOOKUP(A364,Sheet1!$A$2:$C$1140,3,FALSE)</f>
        <v>#N/A</v>
      </c>
      <c r="AH364" s="58" t="e">
        <v>#N/A</v>
      </c>
      <c r="AI364" s="56" t="str">
        <f t="shared" si="59"/>
        <v>Delete</v>
      </c>
      <c r="AJ364" s="81">
        <f t="shared" si="63"/>
        <v>179.82000000000002</v>
      </c>
      <c r="AK364" s="81">
        <f t="shared" si="64"/>
        <v>0</v>
      </c>
      <c r="AL364" s="58" t="s">
        <v>7206</v>
      </c>
      <c r="AM364" s="58" t="s">
        <v>6711</v>
      </c>
      <c r="AN364" s="75">
        <v>0</v>
      </c>
      <c r="AO364" s="88">
        <v>4.8600000000000003</v>
      </c>
      <c r="AP364" s="6" t="str">
        <f t="shared" si="60"/>
        <v>Delete</v>
      </c>
      <c r="AQ364" s="81">
        <f t="shared" si="61"/>
        <v>0</v>
      </c>
      <c r="AR364" s="81">
        <f t="shared" si="62"/>
        <v>0</v>
      </c>
      <c r="AS364" s="81">
        <f t="shared" si="65"/>
        <v>0</v>
      </c>
    </row>
    <row r="365" spans="1:45" hidden="1" x14ac:dyDescent="0.3">
      <c r="A365">
        <v>6190524</v>
      </c>
      <c r="B365" s="15" t="s">
        <v>5701</v>
      </c>
      <c r="C365" s="16" t="s">
        <v>30</v>
      </c>
      <c r="D365" s="6" t="s">
        <v>31</v>
      </c>
      <c r="E365" t="s">
        <v>1122</v>
      </c>
      <c r="F365" t="s">
        <v>1122</v>
      </c>
      <c r="H365" s="11" t="s">
        <v>27</v>
      </c>
      <c r="I365" s="6" t="s">
        <v>28</v>
      </c>
      <c r="J365" s="6" t="s">
        <v>28</v>
      </c>
      <c r="K365" t="s">
        <v>32</v>
      </c>
      <c r="L365" s="35">
        <v>13.57</v>
      </c>
      <c r="M365" s="6" t="s">
        <v>29</v>
      </c>
      <c r="N365" s="6">
        <v>3105</v>
      </c>
      <c r="P365" s="18"/>
      <c r="Q365" s="17"/>
      <c r="R365" s="19">
        <v>0</v>
      </c>
      <c r="S365" s="19">
        <v>0</v>
      </c>
      <c r="T365" s="38">
        <v>37</v>
      </c>
      <c r="U365" s="38"/>
      <c r="V365" s="31">
        <v>13.57</v>
      </c>
      <c r="W365" s="35">
        <v>13.57</v>
      </c>
      <c r="X365" s="32">
        <f t="shared" si="55"/>
        <v>502.09000000000003</v>
      </c>
      <c r="Y365" s="32">
        <f t="shared" si="56"/>
        <v>502.09000000000003</v>
      </c>
      <c r="Z365" s="32">
        <f t="shared" si="57"/>
        <v>0</v>
      </c>
      <c r="AA365" s="38">
        <v>37</v>
      </c>
      <c r="AB365" s="37">
        <f>IFERROR(VLOOKUP(A365,'Tash Lookup'!A:E,3,FALSE),"")</f>
        <v>472.38</v>
      </c>
      <c r="AC365" s="6">
        <f t="shared" si="58"/>
        <v>0</v>
      </c>
      <c r="AD365" s="2" t="s">
        <v>6703</v>
      </c>
      <c r="AF365" s="56">
        <v>12.89</v>
      </c>
      <c r="AG365" s="56">
        <f>VLOOKUP(A365,Sheet1!$A$2:$C$1140,3,FALSE)</f>
        <v>13.15</v>
      </c>
      <c r="AH365" s="58">
        <v>13.15</v>
      </c>
      <c r="AI365" s="56" t="str">
        <f t="shared" si="59"/>
        <v>Increase</v>
      </c>
      <c r="AJ365" s="81">
        <f t="shared" si="63"/>
        <v>476.93</v>
      </c>
      <c r="AK365" s="81">
        <f t="shared" si="64"/>
        <v>486.55</v>
      </c>
      <c r="AL365" s="58" t="s">
        <v>7206</v>
      </c>
      <c r="AM365" s="58" t="s">
        <v>6703</v>
      </c>
      <c r="AN365" s="75">
        <v>16</v>
      </c>
      <c r="AO365" s="88">
        <v>13.15</v>
      </c>
      <c r="AP365" s="6" t="str">
        <f t="shared" si="60"/>
        <v>Increase</v>
      </c>
      <c r="AQ365" s="81">
        <f t="shared" si="61"/>
        <v>206.24</v>
      </c>
      <c r="AR365" s="81">
        <f t="shared" si="62"/>
        <v>210.4</v>
      </c>
      <c r="AS365" s="82">
        <f t="shared" si="65"/>
        <v>4.1599999999999966</v>
      </c>
    </row>
    <row r="366" spans="1:45" hidden="1" x14ac:dyDescent="0.3">
      <c r="A366">
        <v>5219321</v>
      </c>
      <c r="B366" s="15" t="s">
        <v>5702</v>
      </c>
      <c r="C366" s="16" t="s">
        <v>30</v>
      </c>
      <c r="D366" s="6" t="s">
        <v>31</v>
      </c>
      <c r="E366" t="s">
        <v>281</v>
      </c>
      <c r="F366" t="s">
        <v>281</v>
      </c>
      <c r="H366" s="11" t="s">
        <v>27</v>
      </c>
      <c r="I366" s="6" t="s">
        <v>28</v>
      </c>
      <c r="J366" s="6" t="s">
        <v>28</v>
      </c>
      <c r="K366" t="s">
        <v>32</v>
      </c>
      <c r="L366" s="29">
        <v>17.89</v>
      </c>
      <c r="M366" s="6" t="s">
        <v>29</v>
      </c>
      <c r="N366" s="6">
        <v>3105</v>
      </c>
      <c r="P366" s="18"/>
      <c r="Q366" s="17"/>
      <c r="R366" s="19">
        <v>19.68</v>
      </c>
      <c r="S366" s="19">
        <v>19.68</v>
      </c>
      <c r="T366" s="38">
        <v>37</v>
      </c>
      <c r="U366" s="38"/>
      <c r="V366" s="29">
        <v>17.89</v>
      </c>
      <c r="W366" s="44">
        <v>12.74</v>
      </c>
      <c r="X366" s="32">
        <f t="shared" si="55"/>
        <v>661.93000000000006</v>
      </c>
      <c r="Y366" s="32">
        <f t="shared" si="56"/>
        <v>661.93000000000006</v>
      </c>
      <c r="Z366" s="32">
        <f t="shared" si="57"/>
        <v>0</v>
      </c>
      <c r="AA366" s="38">
        <v>37</v>
      </c>
      <c r="AB366" s="37">
        <f>IFERROR(VLOOKUP(A366,'Tash Lookup'!A:E,3,FALSE),"")</f>
        <v>548.29</v>
      </c>
      <c r="AC366" s="6">
        <f t="shared" si="58"/>
        <v>0</v>
      </c>
      <c r="AD366" s="2" t="s">
        <v>6703</v>
      </c>
      <c r="AF366" s="56">
        <v>18.29</v>
      </c>
      <c r="AG366" s="56">
        <f>VLOOKUP(A366,Sheet1!$A$2:$C$1140,3,FALSE)</f>
        <v>18.84</v>
      </c>
      <c r="AH366" s="58">
        <v>18.84</v>
      </c>
      <c r="AI366" s="56" t="str">
        <f t="shared" si="59"/>
        <v>Increase</v>
      </c>
      <c r="AJ366" s="81">
        <f t="shared" si="63"/>
        <v>676.73</v>
      </c>
      <c r="AK366" s="81">
        <f t="shared" si="64"/>
        <v>697.08</v>
      </c>
      <c r="AL366" s="58" t="s">
        <v>32</v>
      </c>
      <c r="AM366" s="58" t="s">
        <v>6703</v>
      </c>
      <c r="AN366" s="75">
        <v>34</v>
      </c>
      <c r="AO366" s="88">
        <v>18.84</v>
      </c>
      <c r="AP366" s="6" t="str">
        <f t="shared" si="60"/>
        <v>Increase</v>
      </c>
      <c r="AQ366" s="81">
        <f t="shared" si="61"/>
        <v>621.86</v>
      </c>
      <c r="AR366" s="81">
        <f t="shared" si="62"/>
        <v>640.55999999999995</v>
      </c>
      <c r="AS366" s="82">
        <f t="shared" si="65"/>
        <v>18.699999999999932</v>
      </c>
    </row>
    <row r="367" spans="1:45" hidden="1" x14ac:dyDescent="0.3">
      <c r="A367">
        <v>5242767</v>
      </c>
      <c r="B367" s="15" t="s">
        <v>5703</v>
      </c>
      <c r="C367" s="16" t="s">
        <v>30</v>
      </c>
      <c r="D367" s="6" t="s">
        <v>31</v>
      </c>
      <c r="E367" t="s">
        <v>135</v>
      </c>
      <c r="F367" t="s">
        <v>135</v>
      </c>
      <c r="H367" s="11" t="s">
        <v>27</v>
      </c>
      <c r="I367" s="6" t="s">
        <v>28</v>
      </c>
      <c r="J367" s="6" t="s">
        <v>28</v>
      </c>
      <c r="K367" t="s">
        <v>32</v>
      </c>
      <c r="L367" s="35">
        <v>13.77</v>
      </c>
      <c r="M367" s="6" t="s">
        <v>29</v>
      </c>
      <c r="N367" s="6">
        <v>3105</v>
      </c>
      <c r="P367" s="18"/>
      <c r="Q367" s="17"/>
      <c r="R367" s="19">
        <v>13.77</v>
      </c>
      <c r="S367" s="19">
        <v>13.77</v>
      </c>
      <c r="T367" s="38">
        <v>37</v>
      </c>
      <c r="U367" s="38"/>
      <c r="V367" s="29">
        <v>13.77</v>
      </c>
      <c r="W367" s="35">
        <v>13.77</v>
      </c>
      <c r="X367" s="32">
        <f t="shared" si="55"/>
        <v>509.49</v>
      </c>
      <c r="Y367" s="32">
        <f t="shared" si="56"/>
        <v>509.49</v>
      </c>
      <c r="Z367" s="32">
        <f t="shared" si="57"/>
        <v>0</v>
      </c>
      <c r="AA367" s="38">
        <v>37</v>
      </c>
      <c r="AB367" s="37">
        <f>IFERROR(VLOOKUP(A367,'Tash Lookup'!A:E,3,FALSE),"")</f>
        <v>498.37</v>
      </c>
      <c r="AC367" s="6">
        <f t="shared" si="58"/>
        <v>0</v>
      </c>
      <c r="AD367" s="2" t="s">
        <v>6703</v>
      </c>
      <c r="AF367" s="56">
        <v>13.9</v>
      </c>
      <c r="AG367" s="56">
        <f>VLOOKUP(A367,Sheet1!$A$2:$C$1140,3,FALSE)</f>
        <v>13.9</v>
      </c>
      <c r="AH367" s="58">
        <v>13.9</v>
      </c>
      <c r="AI367" s="56" t="str">
        <f t="shared" si="59"/>
        <v>Same</v>
      </c>
      <c r="AJ367" s="81">
        <f t="shared" si="63"/>
        <v>514.30000000000007</v>
      </c>
      <c r="AK367" s="81">
        <f t="shared" si="64"/>
        <v>514.30000000000007</v>
      </c>
      <c r="AL367" s="58" t="s">
        <v>32</v>
      </c>
      <c r="AM367" s="58" t="s">
        <v>6703</v>
      </c>
      <c r="AN367" s="75">
        <v>54</v>
      </c>
      <c r="AO367" s="88">
        <v>13.9</v>
      </c>
      <c r="AP367" s="6" t="str">
        <f t="shared" si="60"/>
        <v>Same</v>
      </c>
      <c r="AQ367" s="81">
        <f t="shared" si="61"/>
        <v>750.6</v>
      </c>
      <c r="AR367" s="81">
        <f t="shared" si="62"/>
        <v>750.6</v>
      </c>
      <c r="AS367" s="81">
        <f t="shared" si="65"/>
        <v>0</v>
      </c>
    </row>
    <row r="368" spans="1:45" hidden="1" x14ac:dyDescent="0.3">
      <c r="A368">
        <v>6398717</v>
      </c>
      <c r="B368" s="15" t="s">
        <v>5704</v>
      </c>
      <c r="C368" s="16" t="s">
        <v>30</v>
      </c>
      <c r="D368" s="6" t="s">
        <v>31</v>
      </c>
      <c r="E368" t="s">
        <v>1094</v>
      </c>
      <c r="F368" t="s">
        <v>1094</v>
      </c>
      <c r="H368" s="11" t="s">
        <v>27</v>
      </c>
      <c r="I368" s="6" t="s">
        <v>28</v>
      </c>
      <c r="J368" s="6" t="s">
        <v>28</v>
      </c>
      <c r="K368" t="s">
        <v>32</v>
      </c>
      <c r="L368" s="35">
        <v>11.82</v>
      </c>
      <c r="M368" s="6" t="s">
        <v>29</v>
      </c>
      <c r="N368" s="6">
        <v>3105</v>
      </c>
      <c r="P368" s="18"/>
      <c r="Q368" s="17"/>
      <c r="R368" s="19">
        <v>11.82</v>
      </c>
      <c r="S368" s="19">
        <v>11.82</v>
      </c>
      <c r="T368" s="38">
        <v>36</v>
      </c>
      <c r="U368" s="38"/>
      <c r="V368" s="30">
        <v>11.82</v>
      </c>
      <c r="W368" s="35">
        <v>11.82</v>
      </c>
      <c r="X368" s="32">
        <f t="shared" si="55"/>
        <v>425.52</v>
      </c>
      <c r="Y368" s="32">
        <f t="shared" si="56"/>
        <v>425.52</v>
      </c>
      <c r="Z368" s="32">
        <f t="shared" si="57"/>
        <v>0</v>
      </c>
      <c r="AA368" s="38">
        <v>36</v>
      </c>
      <c r="AB368" s="37">
        <f>IFERROR(VLOOKUP(A368,'Tash Lookup'!A:E,3,FALSE),"")</f>
        <v>422.46</v>
      </c>
      <c r="AC368" s="6">
        <f t="shared" si="58"/>
        <v>0</v>
      </c>
      <c r="AD368" s="2" t="s">
        <v>6704</v>
      </c>
      <c r="AF368" s="56">
        <v>11.82</v>
      </c>
      <c r="AG368" s="56" t="e">
        <f>VLOOKUP(A368,Sheet1!$A$2:$C$1140,3,FALSE)</f>
        <v>#N/A</v>
      </c>
      <c r="AH368" s="58" t="e">
        <v>#N/A</v>
      </c>
      <c r="AI368" s="56" t="str">
        <f t="shared" si="59"/>
        <v>Delete</v>
      </c>
      <c r="AJ368" s="81">
        <f t="shared" si="63"/>
        <v>425.52</v>
      </c>
      <c r="AK368" s="81">
        <f t="shared" si="64"/>
        <v>0</v>
      </c>
      <c r="AL368" s="58" t="s">
        <v>7206</v>
      </c>
      <c r="AM368" s="58" t="s">
        <v>6708</v>
      </c>
      <c r="AN368" s="75">
        <v>0</v>
      </c>
      <c r="AO368" s="88">
        <v>11.82</v>
      </c>
      <c r="AP368" s="6" t="str">
        <f t="shared" si="60"/>
        <v>Same</v>
      </c>
      <c r="AQ368" s="81">
        <f t="shared" si="61"/>
        <v>0</v>
      </c>
      <c r="AR368" s="81">
        <f t="shared" si="62"/>
        <v>0</v>
      </c>
      <c r="AS368" s="81">
        <f t="shared" si="65"/>
        <v>0</v>
      </c>
    </row>
    <row r="369" spans="1:45" hidden="1" x14ac:dyDescent="0.3">
      <c r="A369">
        <v>5219323</v>
      </c>
      <c r="B369" s="15" t="s">
        <v>5705</v>
      </c>
      <c r="C369" s="16" t="s">
        <v>30</v>
      </c>
      <c r="D369" s="6" t="s">
        <v>31</v>
      </c>
      <c r="E369" t="s">
        <v>290</v>
      </c>
      <c r="F369" t="s">
        <v>290</v>
      </c>
      <c r="H369" s="11" t="s">
        <v>27</v>
      </c>
      <c r="I369" s="6" t="s">
        <v>28</v>
      </c>
      <c r="J369" s="6" t="s">
        <v>28</v>
      </c>
      <c r="K369" t="s">
        <v>32</v>
      </c>
      <c r="L369" s="29">
        <v>18.899999999999999</v>
      </c>
      <c r="M369" s="6" t="s">
        <v>29</v>
      </c>
      <c r="N369" s="6">
        <v>3105</v>
      </c>
      <c r="P369" s="18"/>
      <c r="Q369" s="17"/>
      <c r="R369" s="19">
        <v>25.99</v>
      </c>
      <c r="S369" s="19">
        <v>25.99</v>
      </c>
      <c r="T369" s="38">
        <v>36</v>
      </c>
      <c r="U369" s="38"/>
      <c r="V369" s="29">
        <v>18.899999999999999</v>
      </c>
      <c r="W369" s="44">
        <v>13.21</v>
      </c>
      <c r="X369" s="32">
        <f t="shared" si="55"/>
        <v>680.4</v>
      </c>
      <c r="Y369" s="32">
        <f t="shared" si="56"/>
        <v>680.4</v>
      </c>
      <c r="Z369" s="32">
        <f t="shared" si="57"/>
        <v>0</v>
      </c>
      <c r="AA369" s="38">
        <v>36</v>
      </c>
      <c r="AB369" s="37">
        <f>IFERROR(VLOOKUP(A369,'Tash Lookup'!A:E,3,FALSE),"")</f>
        <v>577.51</v>
      </c>
      <c r="AC369" s="6">
        <f t="shared" si="58"/>
        <v>0</v>
      </c>
      <c r="AD369" s="2" t="s">
        <v>6703</v>
      </c>
      <c r="AF369" s="56">
        <v>21.28</v>
      </c>
      <c r="AG369" s="56">
        <f>VLOOKUP(A369,Sheet1!$A$2:$C$1140,3,FALSE)</f>
        <v>21.92</v>
      </c>
      <c r="AH369" s="58">
        <v>21.92</v>
      </c>
      <c r="AI369" s="56" t="str">
        <f t="shared" si="59"/>
        <v>Increase</v>
      </c>
      <c r="AJ369" s="81">
        <f t="shared" si="63"/>
        <v>766.08</v>
      </c>
      <c r="AK369" s="81">
        <f t="shared" si="64"/>
        <v>789.12000000000012</v>
      </c>
      <c r="AL369" s="58" t="s">
        <v>32</v>
      </c>
      <c r="AM369" s="58" t="s">
        <v>6703</v>
      </c>
      <c r="AN369" s="75">
        <v>36</v>
      </c>
      <c r="AO369" s="88">
        <v>21.92</v>
      </c>
      <c r="AP369" s="6" t="str">
        <f t="shared" si="60"/>
        <v>Increase</v>
      </c>
      <c r="AQ369" s="81">
        <f t="shared" si="61"/>
        <v>766.08</v>
      </c>
      <c r="AR369" s="81">
        <f t="shared" si="62"/>
        <v>789.12000000000012</v>
      </c>
      <c r="AS369" s="82">
        <f t="shared" si="65"/>
        <v>23.040000000000077</v>
      </c>
    </row>
    <row r="370" spans="1:45" hidden="1" x14ac:dyDescent="0.3">
      <c r="A370">
        <v>6188835</v>
      </c>
      <c r="B370" s="15" t="s">
        <v>5706</v>
      </c>
      <c r="C370" s="16" t="s">
        <v>30</v>
      </c>
      <c r="D370" s="6" t="s">
        <v>31</v>
      </c>
      <c r="E370" t="s">
        <v>786</v>
      </c>
      <c r="F370" t="s">
        <v>786</v>
      </c>
      <c r="H370" s="11" t="s">
        <v>27</v>
      </c>
      <c r="I370" s="6" t="s">
        <v>28</v>
      </c>
      <c r="J370" s="6" t="s">
        <v>28</v>
      </c>
      <c r="K370" t="s">
        <v>32</v>
      </c>
      <c r="L370" s="35">
        <v>2.0699999999999998</v>
      </c>
      <c r="M370" s="6" t="s">
        <v>29</v>
      </c>
      <c r="N370" s="6">
        <v>3105</v>
      </c>
      <c r="P370" s="18"/>
      <c r="Q370" s="17"/>
      <c r="R370" s="19">
        <v>2.14</v>
      </c>
      <c r="S370" s="19">
        <v>0</v>
      </c>
      <c r="T370" s="38">
        <v>35</v>
      </c>
      <c r="U370" s="38"/>
      <c r="V370" s="30">
        <v>2.14</v>
      </c>
      <c r="W370" s="35">
        <v>2.0699999999999998</v>
      </c>
      <c r="X370" s="32">
        <f t="shared" si="55"/>
        <v>74.900000000000006</v>
      </c>
      <c r="Y370" s="32">
        <f t="shared" si="56"/>
        <v>72.449999999999989</v>
      </c>
      <c r="Z370" s="32">
        <f t="shared" si="57"/>
        <v>2.4500000000000171</v>
      </c>
      <c r="AA370" s="38">
        <v>35</v>
      </c>
      <c r="AB370" s="37">
        <f>IFERROR(VLOOKUP(A370,'Tash Lookup'!A:E,3,FALSE),"")</f>
        <v>72.459999999999994</v>
      </c>
      <c r="AC370" s="6">
        <f t="shared" si="58"/>
        <v>0</v>
      </c>
      <c r="AD370" s="2" t="s">
        <v>6703</v>
      </c>
      <c r="AF370" s="56">
        <v>2.14</v>
      </c>
      <c r="AG370" s="56">
        <f>VLOOKUP(A370,Sheet1!$A$2:$C$1140,3,FALSE)</f>
        <v>2.19</v>
      </c>
      <c r="AH370" s="58">
        <v>2.19</v>
      </c>
      <c r="AI370" s="56" t="str">
        <f t="shared" si="59"/>
        <v>Increase</v>
      </c>
      <c r="AJ370" s="81">
        <f t="shared" si="63"/>
        <v>74.900000000000006</v>
      </c>
      <c r="AK370" s="81">
        <f t="shared" si="64"/>
        <v>76.649999999999991</v>
      </c>
      <c r="AL370" s="58" t="s">
        <v>7206</v>
      </c>
      <c r="AM370" s="58" t="s">
        <v>6703</v>
      </c>
      <c r="AN370" s="75">
        <v>27</v>
      </c>
      <c r="AO370" s="88">
        <v>2.19</v>
      </c>
      <c r="AP370" s="6" t="str">
        <f t="shared" si="60"/>
        <v>Increase</v>
      </c>
      <c r="AQ370" s="81">
        <f t="shared" si="61"/>
        <v>57.78</v>
      </c>
      <c r="AR370" s="81">
        <f t="shared" si="62"/>
        <v>59.129999999999995</v>
      </c>
      <c r="AS370" s="82">
        <f t="shared" si="65"/>
        <v>1.3499999999999943</v>
      </c>
    </row>
    <row r="371" spans="1:45" hidden="1" x14ac:dyDescent="0.3">
      <c r="A371">
        <v>5183423</v>
      </c>
      <c r="B371" s="15" t="s">
        <v>5707</v>
      </c>
      <c r="C371" s="16" t="s">
        <v>30</v>
      </c>
      <c r="D371" s="6" t="s">
        <v>31</v>
      </c>
      <c r="E371" t="s">
        <v>609</v>
      </c>
      <c r="F371" t="s">
        <v>609</v>
      </c>
      <c r="H371" s="11" t="s">
        <v>27</v>
      </c>
      <c r="I371" s="6" t="s">
        <v>28</v>
      </c>
      <c r="J371" s="6" t="s">
        <v>28</v>
      </c>
      <c r="K371" t="s">
        <v>32</v>
      </c>
      <c r="L371" s="35">
        <v>35.4</v>
      </c>
      <c r="M371" s="6" t="s">
        <v>29</v>
      </c>
      <c r="N371" s="6">
        <v>3105</v>
      </c>
      <c r="P371" s="18"/>
      <c r="Q371" s="17"/>
      <c r="R371" s="19">
        <v>33.630000000000003</v>
      </c>
      <c r="S371" s="19">
        <v>0</v>
      </c>
      <c r="T371" s="38">
        <v>35</v>
      </c>
      <c r="U371" s="38"/>
      <c r="V371" s="29">
        <v>35.4</v>
      </c>
      <c r="W371" s="35">
        <v>35.4</v>
      </c>
      <c r="X371" s="32">
        <f t="shared" si="55"/>
        <v>1239</v>
      </c>
      <c r="Y371" s="32">
        <f t="shared" si="56"/>
        <v>1239</v>
      </c>
      <c r="Z371" s="32">
        <f t="shared" si="57"/>
        <v>0</v>
      </c>
      <c r="AA371" s="38">
        <v>35</v>
      </c>
      <c r="AB371" s="37">
        <f>IFERROR(VLOOKUP(A371,'Tash Lookup'!A:E,3,FALSE),"")</f>
        <v>1233.79</v>
      </c>
      <c r="AC371" s="6">
        <f t="shared" si="58"/>
        <v>0</v>
      </c>
      <c r="AD371" s="2" t="s">
        <v>6703</v>
      </c>
      <c r="AF371" s="56">
        <v>35.64</v>
      </c>
      <c r="AG371" s="56">
        <f>VLOOKUP(A371,Sheet1!$A$2:$C$1140,3,FALSE)</f>
        <v>36.700000000000003</v>
      </c>
      <c r="AH371" s="58">
        <v>36.700000000000003</v>
      </c>
      <c r="AI371" s="56" t="str">
        <f t="shared" si="59"/>
        <v>Increase</v>
      </c>
      <c r="AJ371" s="81">
        <f t="shared" si="63"/>
        <v>1247.4000000000001</v>
      </c>
      <c r="AK371" s="81">
        <f t="shared" si="64"/>
        <v>1284.5</v>
      </c>
      <c r="AL371" s="58" t="s">
        <v>32</v>
      </c>
      <c r="AM371" s="58" t="s">
        <v>6703</v>
      </c>
      <c r="AN371" s="75">
        <v>8</v>
      </c>
      <c r="AO371" s="88">
        <v>36.700000000000003</v>
      </c>
      <c r="AP371" s="6" t="str">
        <f t="shared" si="60"/>
        <v>Increase</v>
      </c>
      <c r="AQ371" s="81">
        <f t="shared" si="61"/>
        <v>285.12</v>
      </c>
      <c r="AR371" s="81">
        <f t="shared" si="62"/>
        <v>293.60000000000002</v>
      </c>
      <c r="AS371" s="82">
        <f t="shared" si="65"/>
        <v>8.4800000000000182</v>
      </c>
    </row>
    <row r="372" spans="1:45" hidden="1" x14ac:dyDescent="0.3">
      <c r="A372">
        <v>6203618</v>
      </c>
      <c r="B372" s="15" t="s">
        <v>5708</v>
      </c>
      <c r="C372" s="16" t="s">
        <v>30</v>
      </c>
      <c r="D372" s="6" t="s">
        <v>31</v>
      </c>
      <c r="E372" t="s">
        <v>916</v>
      </c>
      <c r="F372" t="s">
        <v>916</v>
      </c>
      <c r="H372" s="11" t="s">
        <v>27</v>
      </c>
      <c r="I372" s="6" t="s">
        <v>28</v>
      </c>
      <c r="J372" s="6" t="s">
        <v>28</v>
      </c>
      <c r="K372" t="s">
        <v>32</v>
      </c>
      <c r="L372" s="35">
        <v>4.29</v>
      </c>
      <c r="M372" s="6" t="s">
        <v>29</v>
      </c>
      <c r="N372" s="6">
        <v>3105</v>
      </c>
      <c r="P372" s="18"/>
      <c r="Q372" s="17"/>
      <c r="R372" s="19">
        <v>4.29</v>
      </c>
      <c r="S372" s="19">
        <v>4.29</v>
      </c>
      <c r="T372" s="38">
        <v>35</v>
      </c>
      <c r="U372" s="38"/>
      <c r="V372" s="29">
        <v>4.29</v>
      </c>
      <c r="W372" s="35">
        <v>4.29</v>
      </c>
      <c r="X372" s="32">
        <f t="shared" si="55"/>
        <v>150.15</v>
      </c>
      <c r="Y372" s="32">
        <f t="shared" si="56"/>
        <v>150.15</v>
      </c>
      <c r="Z372" s="32">
        <f t="shared" si="57"/>
        <v>0</v>
      </c>
      <c r="AA372" s="38">
        <v>35</v>
      </c>
      <c r="AB372" s="37">
        <f>IFERROR(VLOOKUP(A372,'Tash Lookup'!A:E,3,FALSE),"")</f>
        <v>147.83000000000001</v>
      </c>
      <c r="AC372" s="6">
        <f t="shared" si="58"/>
        <v>0</v>
      </c>
      <c r="AD372" s="2" t="s">
        <v>6704</v>
      </c>
      <c r="AF372" s="56">
        <v>4.29</v>
      </c>
      <c r="AG372" s="56" t="e">
        <f>VLOOKUP(A372,Sheet1!$A$2:$C$1140,3,FALSE)</f>
        <v>#N/A</v>
      </c>
      <c r="AH372" s="58" t="e">
        <v>#N/A</v>
      </c>
      <c r="AI372" s="56" t="str">
        <f t="shared" si="59"/>
        <v>Delete</v>
      </c>
      <c r="AJ372" s="81">
        <f t="shared" si="63"/>
        <v>150.15</v>
      </c>
      <c r="AK372" s="81">
        <f t="shared" si="64"/>
        <v>0</v>
      </c>
      <c r="AL372" s="58" t="s">
        <v>7206</v>
      </c>
      <c r="AM372" s="58" t="s">
        <v>6711</v>
      </c>
      <c r="AN372" s="75">
        <v>0</v>
      </c>
      <c r="AO372" s="88">
        <v>4.29</v>
      </c>
      <c r="AP372" s="6" t="str">
        <f t="shared" si="60"/>
        <v>Delete</v>
      </c>
      <c r="AQ372" s="81">
        <f t="shared" si="61"/>
        <v>0</v>
      </c>
      <c r="AR372" s="81">
        <f t="shared" si="62"/>
        <v>0</v>
      </c>
      <c r="AS372" s="81">
        <f t="shared" si="65"/>
        <v>0</v>
      </c>
    </row>
    <row r="373" spans="1:45" hidden="1" x14ac:dyDescent="0.3">
      <c r="A373">
        <v>5218660</v>
      </c>
      <c r="B373" s="15" t="s">
        <v>5709</v>
      </c>
      <c r="C373" s="16" t="s">
        <v>30</v>
      </c>
      <c r="D373" s="6" t="s">
        <v>31</v>
      </c>
      <c r="E373" t="s">
        <v>288</v>
      </c>
      <c r="F373" t="s">
        <v>288</v>
      </c>
      <c r="H373" s="11" t="s">
        <v>27</v>
      </c>
      <c r="I373" s="6" t="s">
        <v>28</v>
      </c>
      <c r="J373" s="6" t="s">
        <v>28</v>
      </c>
      <c r="K373" t="s">
        <v>32</v>
      </c>
      <c r="L373" s="35">
        <v>16.95</v>
      </c>
      <c r="M373" s="6" t="s">
        <v>29</v>
      </c>
      <c r="N373" s="6">
        <v>3105</v>
      </c>
      <c r="P373" s="18"/>
      <c r="Q373" s="17"/>
      <c r="R373" s="19">
        <v>23.31</v>
      </c>
      <c r="S373" s="19">
        <v>23.31</v>
      </c>
      <c r="T373" s="38">
        <v>35</v>
      </c>
      <c r="U373" s="38"/>
      <c r="V373" s="29">
        <v>16.95</v>
      </c>
      <c r="W373" s="45">
        <v>12.86</v>
      </c>
      <c r="X373" s="32">
        <f t="shared" si="55"/>
        <v>593.25</v>
      </c>
      <c r="Y373" s="32">
        <f t="shared" si="56"/>
        <v>593.25</v>
      </c>
      <c r="Z373" s="32">
        <f t="shared" si="57"/>
        <v>0</v>
      </c>
      <c r="AA373" s="38">
        <v>35</v>
      </c>
      <c r="AB373" s="37">
        <f>IFERROR(VLOOKUP(A373,'Tash Lookup'!A:E,3,FALSE),"")</f>
        <v>505.66</v>
      </c>
      <c r="AC373" s="6">
        <f t="shared" si="58"/>
        <v>0</v>
      </c>
      <c r="AD373" s="2" t="s">
        <v>6703</v>
      </c>
      <c r="AF373" s="56">
        <v>18.440000000000001</v>
      </c>
      <c r="AG373" s="56">
        <f>VLOOKUP(A373,Sheet1!$A$2:$C$1140,3,FALSE)</f>
        <v>18.989999999999998</v>
      </c>
      <c r="AH373" s="58">
        <v>18.989999999999998</v>
      </c>
      <c r="AI373" s="56" t="str">
        <f t="shared" si="59"/>
        <v>Increase</v>
      </c>
      <c r="AJ373" s="81">
        <f t="shared" si="63"/>
        <v>645.40000000000009</v>
      </c>
      <c r="AK373" s="81">
        <f t="shared" si="64"/>
        <v>664.65</v>
      </c>
      <c r="AL373" s="58" t="s">
        <v>32</v>
      </c>
      <c r="AM373" s="58" t="s">
        <v>6703</v>
      </c>
      <c r="AN373" s="75">
        <v>24</v>
      </c>
      <c r="AO373" s="88">
        <v>18.989999999999998</v>
      </c>
      <c r="AP373" s="6" t="str">
        <f t="shared" si="60"/>
        <v>Increase</v>
      </c>
      <c r="AQ373" s="81">
        <f t="shared" si="61"/>
        <v>442.56000000000006</v>
      </c>
      <c r="AR373" s="81">
        <f t="shared" si="62"/>
        <v>455.76</v>
      </c>
      <c r="AS373" s="82">
        <f t="shared" si="65"/>
        <v>13.199999999999932</v>
      </c>
    </row>
    <row r="374" spans="1:45" hidden="1" x14ac:dyDescent="0.3">
      <c r="A374">
        <v>5193078</v>
      </c>
      <c r="B374" s="15" t="s">
        <v>5710</v>
      </c>
      <c r="C374" s="16" t="s">
        <v>30</v>
      </c>
      <c r="D374" s="6" t="s">
        <v>31</v>
      </c>
      <c r="E374" t="s">
        <v>429</v>
      </c>
      <c r="F374" t="s">
        <v>429</v>
      </c>
      <c r="H374" s="11" t="s">
        <v>27</v>
      </c>
      <c r="I374" s="6" t="s">
        <v>28</v>
      </c>
      <c r="J374" s="6" t="s">
        <v>28</v>
      </c>
      <c r="K374" t="s">
        <v>32</v>
      </c>
      <c r="L374" s="35">
        <v>36.06</v>
      </c>
      <c r="M374" s="6" t="s">
        <v>29</v>
      </c>
      <c r="N374" s="6">
        <v>3105</v>
      </c>
      <c r="P374" s="18"/>
      <c r="Q374" s="17"/>
      <c r="R374" s="19">
        <v>36.06</v>
      </c>
      <c r="S374" s="19">
        <v>36.06</v>
      </c>
      <c r="T374" s="38">
        <v>35</v>
      </c>
      <c r="U374" s="38"/>
      <c r="V374" s="29">
        <v>36.06</v>
      </c>
      <c r="W374" s="35">
        <v>36.06</v>
      </c>
      <c r="X374" s="32">
        <f t="shared" si="55"/>
        <v>1262.1000000000001</v>
      </c>
      <c r="Y374" s="32">
        <f t="shared" si="56"/>
        <v>1262.1000000000001</v>
      </c>
      <c r="Z374" s="32">
        <f t="shared" si="57"/>
        <v>0</v>
      </c>
      <c r="AA374" s="38">
        <v>35</v>
      </c>
      <c r="AB374" s="37">
        <f>IFERROR(VLOOKUP(A374,'Tash Lookup'!A:E,3,FALSE),"")</f>
        <v>1262.03</v>
      </c>
      <c r="AC374" s="6">
        <f t="shared" si="58"/>
        <v>0</v>
      </c>
      <c r="AD374" s="2" t="s">
        <v>6705</v>
      </c>
      <c r="AF374" s="56">
        <v>44.09</v>
      </c>
      <c r="AG374" s="56">
        <f>VLOOKUP(A374,Sheet1!$A$2:$C$1140,3,FALSE)</f>
        <v>45.41</v>
      </c>
      <c r="AH374" s="58">
        <v>45.41</v>
      </c>
      <c r="AI374" s="56" t="str">
        <f t="shared" si="59"/>
        <v>Increase</v>
      </c>
      <c r="AJ374" s="81">
        <f t="shared" si="63"/>
        <v>1543.15</v>
      </c>
      <c r="AK374" s="81">
        <f t="shared" si="64"/>
        <v>1589.35</v>
      </c>
      <c r="AL374" s="58" t="s">
        <v>32</v>
      </c>
      <c r="AM374" s="58" t="s">
        <v>6705</v>
      </c>
      <c r="AN374" s="75">
        <v>13</v>
      </c>
      <c r="AO374" s="88">
        <v>45.41</v>
      </c>
      <c r="AP374" s="6" t="str">
        <f t="shared" si="60"/>
        <v>Increase</v>
      </c>
      <c r="AQ374" s="81">
        <f t="shared" si="61"/>
        <v>573.17000000000007</v>
      </c>
      <c r="AR374" s="81">
        <f t="shared" si="62"/>
        <v>590.32999999999993</v>
      </c>
      <c r="AS374" s="82">
        <f t="shared" si="65"/>
        <v>17.159999999999854</v>
      </c>
    </row>
    <row r="375" spans="1:45" hidden="1" x14ac:dyDescent="0.3">
      <c r="A375">
        <v>5090812</v>
      </c>
      <c r="B375" s="15" t="s">
        <v>5711</v>
      </c>
      <c r="C375" s="16" t="s">
        <v>30</v>
      </c>
      <c r="D375" s="6" t="s">
        <v>31</v>
      </c>
      <c r="E375" t="s">
        <v>565</v>
      </c>
      <c r="F375" t="s">
        <v>565</v>
      </c>
      <c r="H375" s="11" t="s">
        <v>27</v>
      </c>
      <c r="I375" s="6" t="s">
        <v>28</v>
      </c>
      <c r="J375" s="6" t="s">
        <v>28</v>
      </c>
      <c r="K375" t="s">
        <v>32</v>
      </c>
      <c r="L375" s="35">
        <v>24.39</v>
      </c>
      <c r="M375" s="6" t="s">
        <v>29</v>
      </c>
      <c r="N375" s="6">
        <v>3105</v>
      </c>
      <c r="P375" s="18"/>
      <c r="Q375" s="17"/>
      <c r="R375" s="19">
        <v>24.39</v>
      </c>
      <c r="S375" s="19">
        <v>24.39</v>
      </c>
      <c r="T375" s="38">
        <v>35</v>
      </c>
      <c r="U375" s="38"/>
      <c r="V375" s="29">
        <v>24.39</v>
      </c>
      <c r="W375" s="35">
        <v>24.39</v>
      </c>
      <c r="X375" s="32">
        <f t="shared" si="55"/>
        <v>853.65</v>
      </c>
      <c r="Y375" s="32">
        <f t="shared" si="56"/>
        <v>853.65</v>
      </c>
      <c r="Z375" s="32">
        <f t="shared" si="57"/>
        <v>0</v>
      </c>
      <c r="AA375" s="38">
        <v>35</v>
      </c>
      <c r="AB375" s="37">
        <f>IFERROR(VLOOKUP(A375,'Tash Lookup'!A:E,3,FALSE),"")</f>
        <v>852.49</v>
      </c>
      <c r="AC375" s="6">
        <f t="shared" si="58"/>
        <v>0</v>
      </c>
      <c r="AD375" s="2" t="s">
        <v>6703</v>
      </c>
      <c r="AF375" s="56">
        <v>24.51</v>
      </c>
      <c r="AG375" s="56">
        <f>VLOOKUP(A375,Sheet1!$A$2:$C$1140,3,FALSE)</f>
        <v>25.25</v>
      </c>
      <c r="AH375" s="58">
        <v>25.25</v>
      </c>
      <c r="AI375" s="56" t="str">
        <f t="shared" si="59"/>
        <v>Increase</v>
      </c>
      <c r="AJ375" s="81">
        <f t="shared" si="63"/>
        <v>857.85</v>
      </c>
      <c r="AK375" s="81">
        <f t="shared" si="64"/>
        <v>883.75</v>
      </c>
      <c r="AL375" s="58" t="s">
        <v>32</v>
      </c>
      <c r="AM375" s="58" t="s">
        <v>6703</v>
      </c>
      <c r="AN375" s="75">
        <v>10</v>
      </c>
      <c r="AO375" s="88">
        <v>25.25</v>
      </c>
      <c r="AP375" s="6" t="str">
        <f t="shared" si="60"/>
        <v>Increase</v>
      </c>
      <c r="AQ375" s="81">
        <f t="shared" si="61"/>
        <v>245.10000000000002</v>
      </c>
      <c r="AR375" s="81">
        <f t="shared" si="62"/>
        <v>252.5</v>
      </c>
      <c r="AS375" s="82">
        <f t="shared" si="65"/>
        <v>7.3999999999999773</v>
      </c>
    </row>
    <row r="376" spans="1:45" hidden="1" x14ac:dyDescent="0.3">
      <c r="A376">
        <v>5218562</v>
      </c>
      <c r="B376" s="15" t="s">
        <v>5712</v>
      </c>
      <c r="C376" s="16" t="s">
        <v>30</v>
      </c>
      <c r="D376" s="6" t="s">
        <v>31</v>
      </c>
      <c r="E376" t="s">
        <v>276</v>
      </c>
      <c r="F376" t="s">
        <v>276</v>
      </c>
      <c r="H376" s="11" t="s">
        <v>27</v>
      </c>
      <c r="I376" s="6" t="s">
        <v>28</v>
      </c>
      <c r="J376" s="6" t="s">
        <v>28</v>
      </c>
      <c r="K376" t="s">
        <v>32</v>
      </c>
      <c r="L376" s="35">
        <v>13.55</v>
      </c>
      <c r="M376" s="6" t="s">
        <v>29</v>
      </c>
      <c r="N376" s="6">
        <v>3105</v>
      </c>
      <c r="P376" s="18"/>
      <c r="Q376" s="17"/>
      <c r="R376" s="19">
        <v>14.9</v>
      </c>
      <c r="S376" s="19">
        <v>14.9</v>
      </c>
      <c r="T376" s="38">
        <v>34</v>
      </c>
      <c r="U376" s="38"/>
      <c r="V376" s="29">
        <v>13.55</v>
      </c>
      <c r="W376" s="45">
        <v>9.5299999999999994</v>
      </c>
      <c r="X376" s="32">
        <f t="shared" si="55"/>
        <v>460.70000000000005</v>
      </c>
      <c r="Y376" s="32">
        <f t="shared" si="56"/>
        <v>460.70000000000005</v>
      </c>
      <c r="Z376" s="32">
        <f t="shared" si="57"/>
        <v>0</v>
      </c>
      <c r="AA376" s="38">
        <v>34</v>
      </c>
      <c r="AB376" s="37">
        <f>IFERROR(VLOOKUP(A376,'Tash Lookup'!A:E,3,FALSE),"")</f>
        <v>391.62</v>
      </c>
      <c r="AC376" s="6">
        <f t="shared" si="58"/>
        <v>0</v>
      </c>
      <c r="AD376" s="2" t="s">
        <v>6703</v>
      </c>
      <c r="AF376" s="56">
        <v>14.54</v>
      </c>
      <c r="AG376" s="56">
        <f>VLOOKUP(A376,Sheet1!$A$2:$C$1140,3,FALSE)</f>
        <v>14.98</v>
      </c>
      <c r="AH376" s="58">
        <v>14.98</v>
      </c>
      <c r="AI376" s="56" t="str">
        <f t="shared" si="59"/>
        <v>Increase</v>
      </c>
      <c r="AJ376" s="81">
        <f t="shared" si="63"/>
        <v>494.35999999999996</v>
      </c>
      <c r="AK376" s="81">
        <f t="shared" si="64"/>
        <v>509.32</v>
      </c>
      <c r="AL376" s="58" t="s">
        <v>32</v>
      </c>
      <c r="AM376" s="58" t="s">
        <v>6703</v>
      </c>
      <c r="AN376" s="75">
        <v>27</v>
      </c>
      <c r="AO376" s="88">
        <v>14.98</v>
      </c>
      <c r="AP376" s="6" t="str">
        <f t="shared" si="60"/>
        <v>Increase</v>
      </c>
      <c r="AQ376" s="81">
        <f t="shared" si="61"/>
        <v>392.58</v>
      </c>
      <c r="AR376" s="81">
        <f t="shared" si="62"/>
        <v>404.46000000000004</v>
      </c>
      <c r="AS376" s="82">
        <f t="shared" si="65"/>
        <v>11.880000000000052</v>
      </c>
    </row>
    <row r="377" spans="1:45" hidden="1" x14ac:dyDescent="0.3">
      <c r="A377">
        <v>6365254</v>
      </c>
      <c r="B377" s="15" t="s">
        <v>5713</v>
      </c>
      <c r="C377" s="16" t="s">
        <v>30</v>
      </c>
      <c r="D377" s="6" t="s">
        <v>31</v>
      </c>
      <c r="E377" t="s">
        <v>721</v>
      </c>
      <c r="F377" t="s">
        <v>721</v>
      </c>
      <c r="H377" s="11" t="s">
        <v>27</v>
      </c>
      <c r="I377" s="6" t="s">
        <v>28</v>
      </c>
      <c r="J377" s="6" t="s">
        <v>28</v>
      </c>
      <c r="K377" t="s">
        <v>32</v>
      </c>
      <c r="L377" s="35">
        <v>3.07</v>
      </c>
      <c r="M377" s="6" t="s">
        <v>29</v>
      </c>
      <c r="N377" s="6">
        <v>3105</v>
      </c>
      <c r="P377" s="18"/>
      <c r="Q377" s="17"/>
      <c r="R377" s="19">
        <v>3.07</v>
      </c>
      <c r="S377" s="19">
        <v>3.07</v>
      </c>
      <c r="T377" s="38">
        <v>34</v>
      </c>
      <c r="U377" s="38"/>
      <c r="V377" s="30">
        <v>3.07</v>
      </c>
      <c r="W377" s="35">
        <v>3.07</v>
      </c>
      <c r="X377" s="32">
        <f t="shared" si="55"/>
        <v>104.38</v>
      </c>
      <c r="Y377" s="32">
        <f t="shared" si="56"/>
        <v>104.38</v>
      </c>
      <c r="Z377" s="32">
        <f t="shared" si="57"/>
        <v>0</v>
      </c>
      <c r="AA377" s="38">
        <v>34</v>
      </c>
      <c r="AB377" s="37">
        <f>IFERROR(VLOOKUP(A377,'Tash Lookup'!A:E,3,FALSE),"")</f>
        <v>103.8</v>
      </c>
      <c r="AC377" s="6">
        <f t="shared" si="58"/>
        <v>0</v>
      </c>
      <c r="AD377" s="2" t="s">
        <v>6703</v>
      </c>
      <c r="AF377" s="56">
        <v>3.07</v>
      </c>
      <c r="AG377" s="56">
        <f>VLOOKUP(A377,Sheet1!$A$2:$C$1140,3,FALSE)</f>
        <v>3.13</v>
      </c>
      <c r="AH377" s="58">
        <v>3.13</v>
      </c>
      <c r="AI377" s="56" t="str">
        <f t="shared" si="59"/>
        <v>Increase</v>
      </c>
      <c r="AJ377" s="81">
        <f t="shared" si="63"/>
        <v>104.38</v>
      </c>
      <c r="AK377" s="81">
        <f t="shared" si="64"/>
        <v>106.42</v>
      </c>
      <c r="AL377" s="58" t="s">
        <v>7206</v>
      </c>
      <c r="AM377" s="58" t="s">
        <v>6703</v>
      </c>
      <c r="AN377" s="75">
        <v>5</v>
      </c>
      <c r="AO377" s="88">
        <v>3.13</v>
      </c>
      <c r="AP377" s="6" t="str">
        <f t="shared" si="60"/>
        <v>Increase</v>
      </c>
      <c r="AQ377" s="81">
        <f t="shared" si="61"/>
        <v>15.35</v>
      </c>
      <c r="AR377" s="81">
        <f t="shared" si="62"/>
        <v>15.649999999999999</v>
      </c>
      <c r="AS377" s="82">
        <f t="shared" si="65"/>
        <v>0.29999999999999893</v>
      </c>
    </row>
    <row r="378" spans="1:45" hidden="1" x14ac:dyDescent="0.3">
      <c r="A378">
        <v>6107266</v>
      </c>
      <c r="B378" s="15" t="s">
        <v>5714</v>
      </c>
      <c r="C378" s="16" t="s">
        <v>30</v>
      </c>
      <c r="D378" s="6" t="s">
        <v>31</v>
      </c>
      <c r="E378" t="s">
        <v>952</v>
      </c>
      <c r="F378" t="s">
        <v>952</v>
      </c>
      <c r="H378" s="11" t="s">
        <v>27</v>
      </c>
      <c r="I378" s="6" t="s">
        <v>28</v>
      </c>
      <c r="J378" s="6" t="s">
        <v>28</v>
      </c>
      <c r="K378" t="s">
        <v>32</v>
      </c>
      <c r="L378" s="35">
        <v>6.66</v>
      </c>
      <c r="M378" s="6" t="s">
        <v>29</v>
      </c>
      <c r="N378" s="6">
        <v>3105</v>
      </c>
      <c r="P378" s="18"/>
      <c r="Q378" s="17"/>
      <c r="R378" s="19">
        <v>0</v>
      </c>
      <c r="S378" s="19">
        <v>0</v>
      </c>
      <c r="T378" s="38">
        <v>34</v>
      </c>
      <c r="U378" s="38"/>
      <c r="V378" s="29">
        <v>6.66</v>
      </c>
      <c r="W378" s="35">
        <v>6.66</v>
      </c>
      <c r="X378" s="32">
        <f t="shared" si="55"/>
        <v>226.44</v>
      </c>
      <c r="Y378" s="32">
        <f t="shared" si="56"/>
        <v>226.44</v>
      </c>
      <c r="Z378" s="32">
        <f t="shared" si="57"/>
        <v>0</v>
      </c>
      <c r="AA378" s="38">
        <v>34</v>
      </c>
      <c r="AB378" s="37">
        <f>IFERROR(VLOOKUP(A378,'Tash Lookup'!A:E,3,FALSE),"")</f>
        <v>226.33</v>
      </c>
      <c r="AC378" s="6">
        <f t="shared" si="58"/>
        <v>0</v>
      </c>
      <c r="AD378" s="2" t="s">
        <v>6703</v>
      </c>
      <c r="AF378" s="56">
        <v>6.9</v>
      </c>
      <c r="AG378" s="56">
        <f>VLOOKUP(A378,Sheet1!$A$2:$C$1140,3,FALSE)</f>
        <v>6.9</v>
      </c>
      <c r="AH378" s="58">
        <v>6.9</v>
      </c>
      <c r="AI378" s="56" t="str">
        <f t="shared" si="59"/>
        <v>Same</v>
      </c>
      <c r="AJ378" s="81">
        <f t="shared" si="63"/>
        <v>234.60000000000002</v>
      </c>
      <c r="AK378" s="81">
        <f t="shared" si="64"/>
        <v>234.60000000000002</v>
      </c>
      <c r="AL378" s="58" t="s">
        <v>7206</v>
      </c>
      <c r="AM378" s="58" t="s">
        <v>6703</v>
      </c>
      <c r="AN378" s="75">
        <v>0</v>
      </c>
      <c r="AO378" s="88">
        <v>6.9</v>
      </c>
      <c r="AP378" s="6" t="str">
        <f t="shared" si="60"/>
        <v>Same</v>
      </c>
      <c r="AQ378" s="81">
        <f t="shared" si="61"/>
        <v>0</v>
      </c>
      <c r="AR378" s="81">
        <f t="shared" si="62"/>
        <v>0</v>
      </c>
      <c r="AS378" s="81">
        <f t="shared" si="65"/>
        <v>0</v>
      </c>
    </row>
    <row r="379" spans="1:45" hidden="1" x14ac:dyDescent="0.3">
      <c r="A379">
        <v>6033892</v>
      </c>
      <c r="B379" s="15" t="s">
        <v>5715</v>
      </c>
      <c r="C379" s="16" t="s">
        <v>30</v>
      </c>
      <c r="D379" s="6" t="s">
        <v>31</v>
      </c>
      <c r="E379" t="s">
        <v>1097</v>
      </c>
      <c r="F379" t="s">
        <v>1097</v>
      </c>
      <c r="H379" s="11" t="s">
        <v>27</v>
      </c>
      <c r="I379" s="6" t="s">
        <v>28</v>
      </c>
      <c r="J379" s="6" t="s">
        <v>28</v>
      </c>
      <c r="K379" t="s">
        <v>32</v>
      </c>
      <c r="L379" s="35">
        <v>20.67</v>
      </c>
      <c r="M379" s="6" t="s">
        <v>29</v>
      </c>
      <c r="N379" s="6">
        <v>3105</v>
      </c>
      <c r="P379" s="18"/>
      <c r="Q379" s="17"/>
      <c r="R379" s="19">
        <v>20.67</v>
      </c>
      <c r="S379" s="19">
        <v>20.67</v>
      </c>
      <c r="T379" s="38">
        <v>34</v>
      </c>
      <c r="U379" s="38"/>
      <c r="V379" s="30">
        <v>20.67</v>
      </c>
      <c r="W379" s="35">
        <v>20.67</v>
      </c>
      <c r="X379" s="32">
        <f t="shared" si="55"/>
        <v>702.78000000000009</v>
      </c>
      <c r="Y379" s="32">
        <f t="shared" si="56"/>
        <v>702.78000000000009</v>
      </c>
      <c r="Z379" s="32">
        <f t="shared" si="57"/>
        <v>0</v>
      </c>
      <c r="AA379" s="38">
        <v>34</v>
      </c>
      <c r="AB379" s="37">
        <f>IFERROR(VLOOKUP(A379,'Tash Lookup'!A:E,3,FALSE),"")</f>
        <v>696.56</v>
      </c>
      <c r="AC379" s="6">
        <f t="shared" si="58"/>
        <v>0</v>
      </c>
      <c r="AD379" s="2" t="s">
        <v>6703</v>
      </c>
      <c r="AF379" s="56">
        <v>20.67</v>
      </c>
      <c r="AG379" s="56">
        <f>VLOOKUP(A379,Sheet1!$A$2:$C$1140,3,FALSE)</f>
        <v>21.08</v>
      </c>
      <c r="AH379" s="58">
        <v>21.08</v>
      </c>
      <c r="AI379" s="56" t="str">
        <f t="shared" si="59"/>
        <v>Increase</v>
      </c>
      <c r="AJ379" s="81">
        <f t="shared" si="63"/>
        <v>702.78000000000009</v>
      </c>
      <c r="AK379" s="81">
        <f t="shared" si="64"/>
        <v>716.71999999999991</v>
      </c>
      <c r="AL379" s="58" t="s">
        <v>7206</v>
      </c>
      <c r="AM379" s="58" t="s">
        <v>6703</v>
      </c>
      <c r="AN379" s="75">
        <v>84</v>
      </c>
      <c r="AO379" s="88">
        <v>21.08</v>
      </c>
      <c r="AP379" s="6" t="str">
        <f t="shared" si="60"/>
        <v>Increase</v>
      </c>
      <c r="AQ379" s="81">
        <f t="shared" si="61"/>
        <v>1736.2800000000002</v>
      </c>
      <c r="AR379" s="81">
        <f t="shared" si="62"/>
        <v>1770.7199999999998</v>
      </c>
      <c r="AS379" s="82">
        <f t="shared" si="65"/>
        <v>34.4399999999996</v>
      </c>
    </row>
    <row r="380" spans="1:45" hidden="1" x14ac:dyDescent="0.3">
      <c r="A380">
        <v>5084999</v>
      </c>
      <c r="B380" s="15" t="s">
        <v>5716</v>
      </c>
      <c r="C380" s="16" t="s">
        <v>30</v>
      </c>
      <c r="D380" s="6" t="s">
        <v>31</v>
      </c>
      <c r="E380" t="s">
        <v>1106</v>
      </c>
      <c r="F380" t="s">
        <v>1106</v>
      </c>
      <c r="H380" s="11" t="s">
        <v>27</v>
      </c>
      <c r="I380" s="6" t="s">
        <v>28</v>
      </c>
      <c r="J380" s="6" t="s">
        <v>28</v>
      </c>
      <c r="K380" t="s">
        <v>32</v>
      </c>
      <c r="L380" s="35">
        <v>6.58</v>
      </c>
      <c r="M380" s="6" t="s">
        <v>29</v>
      </c>
      <c r="N380" s="6">
        <v>3105</v>
      </c>
      <c r="P380" s="18"/>
      <c r="Q380" s="17"/>
      <c r="R380" s="19">
        <v>6.58</v>
      </c>
      <c r="S380" s="19">
        <v>6.58</v>
      </c>
      <c r="T380" s="38">
        <v>34</v>
      </c>
      <c r="U380" s="38"/>
      <c r="V380" s="30">
        <v>6.58</v>
      </c>
      <c r="W380" s="35">
        <v>6.58</v>
      </c>
      <c r="X380" s="32">
        <f t="shared" si="55"/>
        <v>223.72</v>
      </c>
      <c r="Y380" s="32">
        <f t="shared" si="56"/>
        <v>223.72</v>
      </c>
      <c r="Z380" s="32">
        <f t="shared" si="57"/>
        <v>0</v>
      </c>
      <c r="AA380" s="38">
        <v>34</v>
      </c>
      <c r="AB380" s="37">
        <f>IFERROR(VLOOKUP(A380,'Tash Lookup'!A:E,3,FALSE),"")</f>
        <v>220.52</v>
      </c>
      <c r="AC380" s="6">
        <f t="shared" si="58"/>
        <v>0</v>
      </c>
      <c r="AD380" s="2" t="s">
        <v>6703</v>
      </c>
      <c r="AF380" s="56">
        <v>5.92</v>
      </c>
      <c r="AG380" s="56">
        <f>VLOOKUP(A380,Sheet1!$A$2:$C$1140,3,FALSE)</f>
        <v>5.92</v>
      </c>
      <c r="AH380" s="58">
        <v>5.92</v>
      </c>
      <c r="AI380" s="56" t="str">
        <f t="shared" si="59"/>
        <v>Same</v>
      </c>
      <c r="AJ380" s="81">
        <f t="shared" si="63"/>
        <v>201.28</v>
      </c>
      <c r="AK380" s="81">
        <f t="shared" si="64"/>
        <v>201.28</v>
      </c>
      <c r="AL380" s="58" t="s">
        <v>7206</v>
      </c>
      <c r="AM380" s="58" t="s">
        <v>6703</v>
      </c>
      <c r="AN380" s="75">
        <v>16</v>
      </c>
      <c r="AO380" s="88">
        <v>5.92</v>
      </c>
      <c r="AP380" s="6" t="str">
        <f t="shared" si="60"/>
        <v>Same</v>
      </c>
      <c r="AQ380" s="81">
        <f t="shared" si="61"/>
        <v>94.72</v>
      </c>
      <c r="AR380" s="81">
        <f t="shared" si="62"/>
        <v>94.72</v>
      </c>
      <c r="AS380" s="81">
        <f t="shared" si="65"/>
        <v>0</v>
      </c>
    </row>
    <row r="381" spans="1:45" hidden="1" x14ac:dyDescent="0.3">
      <c r="A381">
        <v>6316940</v>
      </c>
      <c r="B381" s="15" t="s">
        <v>5717</v>
      </c>
      <c r="C381" s="16" t="s">
        <v>30</v>
      </c>
      <c r="D381" s="6" t="s">
        <v>31</v>
      </c>
      <c r="E381" t="s">
        <v>741</v>
      </c>
      <c r="F381" t="s">
        <v>741</v>
      </c>
      <c r="H381" s="11" t="s">
        <v>27</v>
      </c>
      <c r="I381" s="6" t="s">
        <v>28</v>
      </c>
      <c r="J381" s="6" t="s">
        <v>28</v>
      </c>
      <c r="K381" t="s">
        <v>32</v>
      </c>
      <c r="L381" s="35">
        <v>10.98</v>
      </c>
      <c r="M381" s="6" t="s">
        <v>29</v>
      </c>
      <c r="N381" s="6">
        <v>3105</v>
      </c>
      <c r="P381" s="18"/>
      <c r="Q381" s="17"/>
      <c r="R381" s="19">
        <v>10.98</v>
      </c>
      <c r="S381" s="19">
        <v>10.98</v>
      </c>
      <c r="T381" s="38">
        <v>33</v>
      </c>
      <c r="U381" s="38"/>
      <c r="V381" s="30">
        <v>10.98</v>
      </c>
      <c r="W381" s="35">
        <v>10.98</v>
      </c>
      <c r="X381" s="32">
        <f t="shared" si="55"/>
        <v>362.34000000000003</v>
      </c>
      <c r="Y381" s="32">
        <f t="shared" si="56"/>
        <v>362.34000000000003</v>
      </c>
      <c r="Z381" s="32">
        <f t="shared" si="57"/>
        <v>0</v>
      </c>
      <c r="AA381" s="38">
        <v>33</v>
      </c>
      <c r="AB381" s="37">
        <f>IFERROR(VLOOKUP(A381,'Tash Lookup'!A:E,3,FALSE),"")</f>
        <v>316.23</v>
      </c>
      <c r="AC381" s="6">
        <f t="shared" si="58"/>
        <v>0</v>
      </c>
      <c r="AD381" s="2" t="s">
        <v>6708</v>
      </c>
      <c r="AF381" s="56">
        <v>10.98</v>
      </c>
      <c r="AG381" s="56" t="e">
        <f>VLOOKUP(A381,Sheet1!$A$2:$C$1140,3,FALSE)</f>
        <v>#N/A</v>
      </c>
      <c r="AH381" s="58" t="e">
        <v>#N/A</v>
      </c>
      <c r="AI381" s="56" t="str">
        <f t="shared" si="59"/>
        <v>Delete</v>
      </c>
      <c r="AJ381" s="81">
        <f t="shared" si="63"/>
        <v>362.34000000000003</v>
      </c>
      <c r="AK381" s="81">
        <f t="shared" si="64"/>
        <v>0</v>
      </c>
      <c r="AL381" s="58" t="s">
        <v>7206</v>
      </c>
      <c r="AM381" s="58" t="s">
        <v>6708</v>
      </c>
      <c r="AN381" s="75">
        <v>1</v>
      </c>
      <c r="AO381" s="88">
        <v>10.98</v>
      </c>
      <c r="AP381" s="6" t="str">
        <f t="shared" si="60"/>
        <v>Same</v>
      </c>
      <c r="AQ381" s="81">
        <f t="shared" si="61"/>
        <v>10.98</v>
      </c>
      <c r="AR381" s="81">
        <f t="shared" si="62"/>
        <v>10.98</v>
      </c>
      <c r="AS381" s="81">
        <f t="shared" si="65"/>
        <v>0</v>
      </c>
    </row>
    <row r="382" spans="1:45" hidden="1" x14ac:dyDescent="0.3">
      <c r="A382">
        <v>5092846</v>
      </c>
      <c r="B382" s="15" t="s">
        <v>5718</v>
      </c>
      <c r="C382" s="16" t="s">
        <v>30</v>
      </c>
      <c r="D382" s="6" t="s">
        <v>31</v>
      </c>
      <c r="E382" t="s">
        <v>975</v>
      </c>
      <c r="F382" t="s">
        <v>975</v>
      </c>
      <c r="H382" s="11" t="s">
        <v>27</v>
      </c>
      <c r="I382" s="6" t="s">
        <v>28</v>
      </c>
      <c r="J382" s="6" t="s">
        <v>28</v>
      </c>
      <c r="K382" t="s">
        <v>32</v>
      </c>
      <c r="L382" s="35">
        <v>11.2</v>
      </c>
      <c r="M382" s="6" t="s">
        <v>29</v>
      </c>
      <c r="N382" s="6">
        <v>3105</v>
      </c>
      <c r="P382" s="18"/>
      <c r="Q382" s="17"/>
      <c r="R382" s="19">
        <v>11.2</v>
      </c>
      <c r="S382" s="19">
        <v>11.2</v>
      </c>
      <c r="T382" s="38">
        <v>33</v>
      </c>
      <c r="U382" s="38"/>
      <c r="V382" s="30">
        <v>11.2</v>
      </c>
      <c r="W382" s="35">
        <v>11.2</v>
      </c>
      <c r="X382" s="32">
        <f t="shared" si="55"/>
        <v>369.59999999999997</v>
      </c>
      <c r="Y382" s="32">
        <f t="shared" si="56"/>
        <v>369.59999999999997</v>
      </c>
      <c r="Z382" s="32">
        <f t="shared" si="57"/>
        <v>0</v>
      </c>
      <c r="AA382" s="38">
        <v>33</v>
      </c>
      <c r="AB382" s="37">
        <f>IFERROR(VLOOKUP(A382,'Tash Lookup'!A:E,3,FALSE),"")</f>
        <v>357.25</v>
      </c>
      <c r="AC382" s="6">
        <f t="shared" si="58"/>
        <v>0</v>
      </c>
      <c r="AD382" s="2" t="s">
        <v>6703</v>
      </c>
      <c r="AF382" s="56">
        <v>11.92</v>
      </c>
      <c r="AG382" s="56">
        <f>VLOOKUP(A382,Sheet1!$A$2:$C$1140,3,FALSE)</f>
        <v>11.92</v>
      </c>
      <c r="AH382" s="58">
        <v>11.92</v>
      </c>
      <c r="AI382" s="56" t="str">
        <f t="shared" si="59"/>
        <v>Same</v>
      </c>
      <c r="AJ382" s="81">
        <f t="shared" si="63"/>
        <v>393.36</v>
      </c>
      <c r="AK382" s="81">
        <f t="shared" si="64"/>
        <v>393.36</v>
      </c>
      <c r="AL382" s="58" t="s">
        <v>7206</v>
      </c>
      <c r="AM382" s="58" t="s">
        <v>6703</v>
      </c>
      <c r="AN382" s="75">
        <v>8</v>
      </c>
      <c r="AO382" s="88">
        <v>11.92</v>
      </c>
      <c r="AP382" s="6" t="str">
        <f t="shared" si="60"/>
        <v>Same</v>
      </c>
      <c r="AQ382" s="81">
        <f t="shared" si="61"/>
        <v>95.36</v>
      </c>
      <c r="AR382" s="81">
        <f t="shared" si="62"/>
        <v>95.36</v>
      </c>
      <c r="AS382" s="81">
        <f t="shared" si="65"/>
        <v>0</v>
      </c>
    </row>
    <row r="383" spans="1:45" hidden="1" x14ac:dyDescent="0.3">
      <c r="A383">
        <v>6107980</v>
      </c>
      <c r="B383" s="15" t="s">
        <v>5719</v>
      </c>
      <c r="C383" s="16" t="s">
        <v>30</v>
      </c>
      <c r="D383" s="6" t="s">
        <v>31</v>
      </c>
      <c r="E383" t="s">
        <v>1144</v>
      </c>
      <c r="F383" t="s">
        <v>1144</v>
      </c>
      <c r="H383" s="11" t="s">
        <v>27</v>
      </c>
      <c r="I383" s="6" t="s">
        <v>28</v>
      </c>
      <c r="J383" s="6" t="s">
        <v>28</v>
      </c>
      <c r="K383" t="s">
        <v>32</v>
      </c>
      <c r="L383" s="35">
        <v>7.49</v>
      </c>
      <c r="M383" s="6" t="s">
        <v>29</v>
      </c>
      <c r="N383" s="6">
        <v>3105</v>
      </c>
      <c r="P383" s="18"/>
      <c r="Q383" s="17"/>
      <c r="R383" s="19">
        <v>0</v>
      </c>
      <c r="S383" s="19">
        <v>0</v>
      </c>
      <c r="T383" s="38">
        <v>33</v>
      </c>
      <c r="U383" s="38"/>
      <c r="V383" s="31">
        <v>7.49</v>
      </c>
      <c r="W383" s="35">
        <v>7.49</v>
      </c>
      <c r="X383" s="32">
        <f t="shared" si="55"/>
        <v>247.17000000000002</v>
      </c>
      <c r="Y383" s="32">
        <f t="shared" si="56"/>
        <v>247.17000000000002</v>
      </c>
      <c r="Z383" s="32">
        <f t="shared" si="57"/>
        <v>0</v>
      </c>
      <c r="AA383" s="38">
        <v>33</v>
      </c>
      <c r="AB383" s="37">
        <f>IFERROR(VLOOKUP(A383,'Tash Lookup'!A:E,3,FALSE),"")</f>
        <v>240.15</v>
      </c>
      <c r="AC383" s="6">
        <f t="shared" si="58"/>
        <v>0</v>
      </c>
      <c r="AD383" s="2" t="s">
        <v>6703</v>
      </c>
      <c r="AF383" s="56">
        <v>7.49</v>
      </c>
      <c r="AG383" s="56">
        <f>VLOOKUP(A383,Sheet1!$A$2:$C$1140,3,FALSE)</f>
        <v>7.64</v>
      </c>
      <c r="AH383" s="58">
        <v>7.64</v>
      </c>
      <c r="AI383" s="56" t="str">
        <f t="shared" si="59"/>
        <v>Increase</v>
      </c>
      <c r="AJ383" s="81">
        <f t="shared" si="63"/>
        <v>247.17000000000002</v>
      </c>
      <c r="AK383" s="81">
        <f t="shared" si="64"/>
        <v>252.11999999999998</v>
      </c>
      <c r="AL383" s="58" t="s">
        <v>7206</v>
      </c>
      <c r="AM383" s="58" t="s">
        <v>6703</v>
      </c>
      <c r="AN383" s="75">
        <v>6</v>
      </c>
      <c r="AO383" s="88">
        <v>7.64</v>
      </c>
      <c r="AP383" s="6" t="str">
        <f t="shared" si="60"/>
        <v>Increase</v>
      </c>
      <c r="AQ383" s="81">
        <f t="shared" si="61"/>
        <v>44.94</v>
      </c>
      <c r="AR383" s="81">
        <f t="shared" si="62"/>
        <v>45.839999999999996</v>
      </c>
      <c r="AS383" s="82">
        <f t="shared" si="65"/>
        <v>0.89999999999999858</v>
      </c>
    </row>
    <row r="384" spans="1:45" hidden="1" x14ac:dyDescent="0.3">
      <c r="A384">
        <v>5090742</v>
      </c>
      <c r="B384" s="15" t="s">
        <v>5720</v>
      </c>
      <c r="C384" s="16" t="s">
        <v>30</v>
      </c>
      <c r="D384" s="6" t="s">
        <v>31</v>
      </c>
      <c r="E384" t="s">
        <v>569</v>
      </c>
      <c r="F384" t="s">
        <v>569</v>
      </c>
      <c r="H384" s="11" t="s">
        <v>27</v>
      </c>
      <c r="I384" s="6" t="s">
        <v>28</v>
      </c>
      <c r="J384" s="6" t="s">
        <v>28</v>
      </c>
      <c r="K384" t="s">
        <v>32</v>
      </c>
      <c r="L384" s="35">
        <v>73.59</v>
      </c>
      <c r="M384" s="6" t="s">
        <v>29</v>
      </c>
      <c r="N384" s="6">
        <v>3105</v>
      </c>
      <c r="P384" s="18"/>
      <c r="Q384" s="17"/>
      <c r="R384" s="19">
        <v>73.59</v>
      </c>
      <c r="S384" s="19">
        <v>73.59</v>
      </c>
      <c r="T384" s="38">
        <v>33</v>
      </c>
      <c r="U384" s="38"/>
      <c r="V384" s="29">
        <v>73.59</v>
      </c>
      <c r="W384" s="35">
        <v>73.59</v>
      </c>
      <c r="X384" s="32">
        <f t="shared" si="55"/>
        <v>2428.4700000000003</v>
      </c>
      <c r="Y384" s="32">
        <f t="shared" si="56"/>
        <v>2428.4700000000003</v>
      </c>
      <c r="Z384" s="32">
        <f t="shared" si="57"/>
        <v>0</v>
      </c>
      <c r="AA384" s="38">
        <v>33</v>
      </c>
      <c r="AB384" s="37">
        <f>IFERROR(VLOOKUP(A384,'Tash Lookup'!A:E,3,FALSE),"")</f>
        <v>2375.62</v>
      </c>
      <c r="AC384" s="6">
        <f t="shared" si="58"/>
        <v>0</v>
      </c>
      <c r="AD384" s="2" t="s">
        <v>6703</v>
      </c>
      <c r="AF384" s="56">
        <v>60.47</v>
      </c>
      <c r="AG384" s="56">
        <f>VLOOKUP(A384,Sheet1!$A$2:$C$1140,3,FALSE)</f>
        <v>60.47</v>
      </c>
      <c r="AH384" s="58">
        <v>60.47</v>
      </c>
      <c r="AI384" s="56" t="str">
        <f t="shared" si="59"/>
        <v>Same</v>
      </c>
      <c r="AJ384" s="81">
        <f t="shared" si="63"/>
        <v>1995.51</v>
      </c>
      <c r="AK384" s="81">
        <f t="shared" si="64"/>
        <v>1995.51</v>
      </c>
      <c r="AL384" s="58" t="s">
        <v>32</v>
      </c>
      <c r="AM384" s="58" t="s">
        <v>6703</v>
      </c>
      <c r="AN384" s="75">
        <v>0</v>
      </c>
      <c r="AO384" s="88">
        <v>60.47</v>
      </c>
      <c r="AP384" s="6" t="str">
        <f t="shared" si="60"/>
        <v>Same</v>
      </c>
      <c r="AQ384" s="81">
        <f t="shared" si="61"/>
        <v>0</v>
      </c>
      <c r="AR384" s="81">
        <f t="shared" si="62"/>
        <v>0</v>
      </c>
      <c r="AS384" s="81">
        <f t="shared" si="65"/>
        <v>0</v>
      </c>
    </row>
    <row r="385" spans="1:45" hidden="1" x14ac:dyDescent="0.3">
      <c r="A385">
        <v>6061768</v>
      </c>
      <c r="B385" s="15" t="s">
        <v>5721</v>
      </c>
      <c r="C385" s="16" t="s">
        <v>30</v>
      </c>
      <c r="D385" s="6" t="s">
        <v>31</v>
      </c>
      <c r="E385" t="s">
        <v>710</v>
      </c>
      <c r="F385" t="s">
        <v>710</v>
      </c>
      <c r="H385" s="11" t="s">
        <v>27</v>
      </c>
      <c r="I385" s="6" t="s">
        <v>28</v>
      </c>
      <c r="J385" s="6" t="s">
        <v>28</v>
      </c>
      <c r="K385" t="s">
        <v>32</v>
      </c>
      <c r="L385" s="35">
        <v>29.2</v>
      </c>
      <c r="M385" s="6" t="s">
        <v>29</v>
      </c>
      <c r="N385" s="6">
        <v>3105</v>
      </c>
      <c r="P385" s="18"/>
      <c r="Q385" s="17"/>
      <c r="R385" s="19">
        <v>0</v>
      </c>
      <c r="S385" s="19">
        <v>0</v>
      </c>
      <c r="T385" s="38">
        <v>32</v>
      </c>
      <c r="U385" s="38"/>
      <c r="V385" s="31">
        <v>29.2</v>
      </c>
      <c r="W385" s="35">
        <v>29.2</v>
      </c>
      <c r="X385" s="32">
        <f t="shared" si="55"/>
        <v>934.4</v>
      </c>
      <c r="Y385" s="32">
        <f t="shared" si="56"/>
        <v>934.4</v>
      </c>
      <c r="Z385" s="32">
        <f t="shared" si="57"/>
        <v>0</v>
      </c>
      <c r="AA385" s="38">
        <v>32</v>
      </c>
      <c r="AB385" s="37">
        <f>IFERROR(VLOOKUP(A385,'Tash Lookup'!A:E,3,FALSE),"")</f>
        <v>929.37</v>
      </c>
      <c r="AC385" s="6">
        <f t="shared" si="58"/>
        <v>0</v>
      </c>
      <c r="AD385" s="2" t="s">
        <v>6703</v>
      </c>
      <c r="AF385" s="56">
        <v>29.2</v>
      </c>
      <c r="AG385" s="56">
        <f>VLOOKUP(A385,Sheet1!$A$2:$C$1140,3,FALSE)</f>
        <v>29.78</v>
      </c>
      <c r="AH385" s="58">
        <v>29.78</v>
      </c>
      <c r="AI385" s="56" t="str">
        <f t="shared" si="59"/>
        <v>Increase</v>
      </c>
      <c r="AJ385" s="81">
        <f t="shared" si="63"/>
        <v>934.4</v>
      </c>
      <c r="AK385" s="81">
        <f t="shared" si="64"/>
        <v>952.96</v>
      </c>
      <c r="AL385" s="58" t="s">
        <v>7206</v>
      </c>
      <c r="AM385" s="58" t="s">
        <v>6703</v>
      </c>
      <c r="AN385" s="75">
        <v>0</v>
      </c>
      <c r="AO385" s="88">
        <v>29.78</v>
      </c>
      <c r="AP385" s="6" t="str">
        <f t="shared" si="60"/>
        <v>Increase</v>
      </c>
      <c r="AQ385" s="81">
        <f t="shared" si="61"/>
        <v>0</v>
      </c>
      <c r="AR385" s="81">
        <f t="shared" si="62"/>
        <v>0</v>
      </c>
      <c r="AS385" s="82">
        <f t="shared" si="65"/>
        <v>0</v>
      </c>
    </row>
    <row r="386" spans="1:45" hidden="1" x14ac:dyDescent="0.3">
      <c r="A386">
        <v>5184004</v>
      </c>
      <c r="B386" s="15" t="s">
        <v>5722</v>
      </c>
      <c r="C386" s="16" t="s">
        <v>30</v>
      </c>
      <c r="D386" s="6" t="s">
        <v>31</v>
      </c>
      <c r="E386" t="s">
        <v>149</v>
      </c>
      <c r="F386" t="s">
        <v>149</v>
      </c>
      <c r="H386" s="11" t="s">
        <v>27</v>
      </c>
      <c r="I386" s="6" t="s">
        <v>28</v>
      </c>
      <c r="J386" s="6" t="s">
        <v>28</v>
      </c>
      <c r="K386" t="s">
        <v>32</v>
      </c>
      <c r="L386" s="35">
        <v>28.11</v>
      </c>
      <c r="M386" s="6" t="s">
        <v>29</v>
      </c>
      <c r="N386" s="6">
        <v>3105</v>
      </c>
      <c r="P386" s="18"/>
      <c r="Q386" s="17"/>
      <c r="R386" s="19">
        <v>28.11</v>
      </c>
      <c r="S386" s="19">
        <v>28.11</v>
      </c>
      <c r="T386" s="38">
        <v>32</v>
      </c>
      <c r="U386" s="38"/>
      <c r="V386" s="29">
        <v>28.11</v>
      </c>
      <c r="W386" s="35">
        <v>28.11</v>
      </c>
      <c r="X386" s="32">
        <f t="shared" si="55"/>
        <v>899.52</v>
      </c>
      <c r="Y386" s="32">
        <f t="shared" si="56"/>
        <v>899.52</v>
      </c>
      <c r="Z386" s="32">
        <f t="shared" si="57"/>
        <v>0</v>
      </c>
      <c r="AA386" s="38">
        <v>32</v>
      </c>
      <c r="AB386" s="37">
        <f>IFERROR(VLOOKUP(A386,'Tash Lookup'!A:E,3,FALSE),"")</f>
        <v>888.96</v>
      </c>
      <c r="AC386" s="6">
        <f t="shared" si="58"/>
        <v>0</v>
      </c>
      <c r="AD386" s="2" t="s">
        <v>6703</v>
      </c>
      <c r="AF386" s="56">
        <v>31.43</v>
      </c>
      <c r="AG386" s="56">
        <f>VLOOKUP(A386,Sheet1!$A$2:$C$1140,3,FALSE)</f>
        <v>31.43</v>
      </c>
      <c r="AH386" s="58">
        <v>31.43</v>
      </c>
      <c r="AI386" s="56" t="str">
        <f t="shared" si="59"/>
        <v>Same</v>
      </c>
      <c r="AJ386" s="81">
        <f t="shared" si="63"/>
        <v>1005.76</v>
      </c>
      <c r="AK386" s="81">
        <f t="shared" si="64"/>
        <v>1005.76</v>
      </c>
      <c r="AL386" s="58" t="s">
        <v>32</v>
      </c>
      <c r="AM386" s="58" t="s">
        <v>6703</v>
      </c>
      <c r="AN386" s="75">
        <v>96</v>
      </c>
      <c r="AO386" s="88">
        <v>31.43</v>
      </c>
      <c r="AP386" s="6" t="str">
        <f t="shared" si="60"/>
        <v>Same</v>
      </c>
      <c r="AQ386" s="81">
        <f t="shared" si="61"/>
        <v>3017.2799999999997</v>
      </c>
      <c r="AR386" s="81">
        <f t="shared" si="62"/>
        <v>3017.2799999999997</v>
      </c>
      <c r="AS386" s="81">
        <f t="shared" si="65"/>
        <v>0</v>
      </c>
    </row>
    <row r="387" spans="1:45" hidden="1" x14ac:dyDescent="0.3">
      <c r="A387">
        <v>5222334</v>
      </c>
      <c r="B387" s="15" t="s">
        <v>5723</v>
      </c>
      <c r="C387" s="16" t="s">
        <v>30</v>
      </c>
      <c r="D387" s="6" t="s">
        <v>31</v>
      </c>
      <c r="E387" t="s">
        <v>657</v>
      </c>
      <c r="F387" t="s">
        <v>657</v>
      </c>
      <c r="H387" s="11" t="s">
        <v>27</v>
      </c>
      <c r="I387" s="6" t="s">
        <v>28</v>
      </c>
      <c r="J387" s="6" t="s">
        <v>28</v>
      </c>
      <c r="K387" t="s">
        <v>32</v>
      </c>
      <c r="L387" s="35">
        <v>9.7899999999999991</v>
      </c>
      <c r="M387" s="6" t="s">
        <v>29</v>
      </c>
      <c r="N387" s="6">
        <v>3105</v>
      </c>
      <c r="P387" s="18"/>
      <c r="Q387" s="17"/>
      <c r="R387" s="19">
        <v>9.7899999999999991</v>
      </c>
      <c r="S387" s="19">
        <v>9.7899999999999991</v>
      </c>
      <c r="T387" s="38">
        <v>32</v>
      </c>
      <c r="U387" s="38"/>
      <c r="V387" s="30">
        <v>9.7899999999999991</v>
      </c>
      <c r="W387" s="35">
        <v>9.7899999999999991</v>
      </c>
      <c r="X387" s="32">
        <f t="shared" si="55"/>
        <v>313.27999999999997</v>
      </c>
      <c r="Y387" s="32">
        <f t="shared" si="56"/>
        <v>313.27999999999997</v>
      </c>
      <c r="Z387" s="32">
        <f t="shared" si="57"/>
        <v>0</v>
      </c>
      <c r="AA387" s="38">
        <v>32</v>
      </c>
      <c r="AB387" s="37">
        <f>IFERROR(VLOOKUP(A387,'Tash Lookup'!A:E,3,FALSE),"")</f>
        <v>311.16000000000003</v>
      </c>
      <c r="AC387" s="6">
        <f t="shared" si="58"/>
        <v>0</v>
      </c>
      <c r="AD387" s="2" t="s">
        <v>6703</v>
      </c>
      <c r="AF387" s="56">
        <v>10.18</v>
      </c>
      <c r="AG387" s="56">
        <f>VLOOKUP(A387,Sheet1!$A$2:$C$1140,3,FALSE)</f>
        <v>10.18</v>
      </c>
      <c r="AH387" s="58">
        <v>10.18</v>
      </c>
      <c r="AI387" s="56" t="str">
        <f t="shared" si="59"/>
        <v>Same</v>
      </c>
      <c r="AJ387" s="81">
        <f t="shared" si="63"/>
        <v>325.76</v>
      </c>
      <c r="AK387" s="81">
        <f t="shared" si="64"/>
        <v>325.76</v>
      </c>
      <c r="AL387" s="58" t="s">
        <v>7206</v>
      </c>
      <c r="AM387" s="58" t="s">
        <v>6703</v>
      </c>
      <c r="AN387" s="75">
        <v>18</v>
      </c>
      <c r="AO387" s="88">
        <v>10.18</v>
      </c>
      <c r="AP387" s="6" t="str">
        <f t="shared" si="60"/>
        <v>Same</v>
      </c>
      <c r="AQ387" s="81">
        <f t="shared" si="61"/>
        <v>183.24</v>
      </c>
      <c r="AR387" s="81">
        <f t="shared" si="62"/>
        <v>183.24</v>
      </c>
      <c r="AS387" s="81">
        <f t="shared" si="65"/>
        <v>0</v>
      </c>
    </row>
    <row r="388" spans="1:45" hidden="1" x14ac:dyDescent="0.3">
      <c r="A388">
        <v>5183426</v>
      </c>
      <c r="B388" s="15" t="s">
        <v>5724</v>
      </c>
      <c r="C388" s="16" t="s">
        <v>30</v>
      </c>
      <c r="D388" s="6" t="s">
        <v>31</v>
      </c>
      <c r="E388" t="s">
        <v>621</v>
      </c>
      <c r="F388" t="s">
        <v>621</v>
      </c>
      <c r="H388" s="11" t="s">
        <v>27</v>
      </c>
      <c r="I388" s="6" t="s">
        <v>28</v>
      </c>
      <c r="J388" s="6" t="s">
        <v>28</v>
      </c>
      <c r="K388" t="s">
        <v>32</v>
      </c>
      <c r="L388" s="35">
        <v>35.4</v>
      </c>
      <c r="M388" s="6" t="s">
        <v>29</v>
      </c>
      <c r="N388" s="6">
        <v>3105</v>
      </c>
      <c r="P388" s="18"/>
      <c r="Q388" s="17"/>
      <c r="R388" s="19">
        <v>33.630000000000003</v>
      </c>
      <c r="S388" s="19">
        <v>0</v>
      </c>
      <c r="T388" s="38">
        <v>32</v>
      </c>
      <c r="U388" s="38"/>
      <c r="V388" s="29">
        <v>35.4</v>
      </c>
      <c r="W388" s="35">
        <v>35.4</v>
      </c>
      <c r="X388" s="32">
        <f t="shared" si="55"/>
        <v>1132.8</v>
      </c>
      <c r="Y388" s="32">
        <f t="shared" si="56"/>
        <v>1132.8</v>
      </c>
      <c r="Z388" s="32">
        <f t="shared" si="57"/>
        <v>0</v>
      </c>
      <c r="AA388" s="38">
        <v>32</v>
      </c>
      <c r="AB388" s="37">
        <f>IFERROR(VLOOKUP(A388,'Tash Lookup'!A:E,3,FALSE),"")</f>
        <v>1134.6600000000001</v>
      </c>
      <c r="AC388" s="6">
        <f t="shared" si="58"/>
        <v>0</v>
      </c>
      <c r="AD388" s="2" t="s">
        <v>6703</v>
      </c>
      <c r="AF388" s="56">
        <v>35.64</v>
      </c>
      <c r="AG388" s="56">
        <f>VLOOKUP(A388,Sheet1!$A$2:$C$1140,3,FALSE)</f>
        <v>36.700000000000003</v>
      </c>
      <c r="AH388" s="58">
        <v>36.700000000000003</v>
      </c>
      <c r="AI388" s="56" t="str">
        <f t="shared" si="59"/>
        <v>Increase</v>
      </c>
      <c r="AJ388" s="81">
        <f t="shared" si="63"/>
        <v>1140.48</v>
      </c>
      <c r="AK388" s="81">
        <f t="shared" si="64"/>
        <v>1174.4000000000001</v>
      </c>
      <c r="AL388" s="58" t="s">
        <v>32</v>
      </c>
      <c r="AM388" s="58" t="s">
        <v>6703</v>
      </c>
      <c r="AN388" s="75">
        <v>3</v>
      </c>
      <c r="AO388" s="88">
        <v>36.700000000000003</v>
      </c>
      <c r="AP388" s="6" t="str">
        <f t="shared" si="60"/>
        <v>Increase</v>
      </c>
      <c r="AQ388" s="81">
        <f t="shared" si="61"/>
        <v>106.92</v>
      </c>
      <c r="AR388" s="81">
        <f t="shared" si="62"/>
        <v>110.10000000000001</v>
      </c>
      <c r="AS388" s="82">
        <f t="shared" si="65"/>
        <v>3.1800000000000068</v>
      </c>
    </row>
    <row r="389" spans="1:45" hidden="1" x14ac:dyDescent="0.3">
      <c r="A389">
        <v>6188820</v>
      </c>
      <c r="B389" s="15" t="s">
        <v>5725</v>
      </c>
      <c r="C389" s="16" t="s">
        <v>30</v>
      </c>
      <c r="D389" s="6" t="s">
        <v>31</v>
      </c>
      <c r="E389" t="s">
        <v>868</v>
      </c>
      <c r="F389" t="s">
        <v>868</v>
      </c>
      <c r="H389" s="11" t="s">
        <v>27</v>
      </c>
      <c r="I389" s="6" t="s">
        <v>28</v>
      </c>
      <c r="J389" s="6" t="s">
        <v>28</v>
      </c>
      <c r="K389" t="s">
        <v>32</v>
      </c>
      <c r="L389" s="35">
        <v>8.44</v>
      </c>
      <c r="M389" s="6" t="s">
        <v>29</v>
      </c>
      <c r="N389" s="6">
        <v>3105</v>
      </c>
      <c r="P389" s="18"/>
      <c r="Q389" s="17"/>
      <c r="R389" s="19">
        <v>8.44</v>
      </c>
      <c r="S389" s="19">
        <v>8.44</v>
      </c>
      <c r="T389" s="38">
        <v>32</v>
      </c>
      <c r="U389" s="38"/>
      <c r="V389" s="30">
        <v>8.44</v>
      </c>
      <c r="W389" s="35">
        <v>8.44</v>
      </c>
      <c r="X389" s="32">
        <f t="shared" si="55"/>
        <v>270.08</v>
      </c>
      <c r="Y389" s="32">
        <f t="shared" si="56"/>
        <v>270.08</v>
      </c>
      <c r="Z389" s="32">
        <f t="shared" si="57"/>
        <v>0</v>
      </c>
      <c r="AA389" s="38">
        <v>32</v>
      </c>
      <c r="AB389" s="37">
        <f>IFERROR(VLOOKUP(A389,'Tash Lookup'!A:E,3,FALSE),"")</f>
        <v>263.39</v>
      </c>
      <c r="AC389" s="6">
        <f t="shared" si="58"/>
        <v>0</v>
      </c>
      <c r="AD389" s="2" t="s">
        <v>6703</v>
      </c>
      <c r="AF389" s="56">
        <v>8.2200000000000006</v>
      </c>
      <c r="AG389" s="56">
        <f>VLOOKUP(A389,Sheet1!$A$2:$C$1140,3,FALSE)</f>
        <v>8.3800000000000008</v>
      </c>
      <c r="AH389" s="58">
        <v>8.3800000000000008</v>
      </c>
      <c r="AI389" s="56" t="str">
        <f t="shared" si="59"/>
        <v>Increase</v>
      </c>
      <c r="AJ389" s="81">
        <f t="shared" si="63"/>
        <v>263.04000000000002</v>
      </c>
      <c r="AK389" s="81">
        <f t="shared" si="64"/>
        <v>268.16000000000003</v>
      </c>
      <c r="AL389" s="58" t="s">
        <v>7206</v>
      </c>
      <c r="AM389" s="58" t="s">
        <v>6703</v>
      </c>
      <c r="AN389" s="75">
        <v>8</v>
      </c>
      <c r="AO389" s="88">
        <v>8.3800000000000008</v>
      </c>
      <c r="AP389" s="6" t="str">
        <f t="shared" si="60"/>
        <v>Increase</v>
      </c>
      <c r="AQ389" s="81">
        <f t="shared" si="61"/>
        <v>65.760000000000005</v>
      </c>
      <c r="AR389" s="81">
        <f t="shared" si="62"/>
        <v>67.040000000000006</v>
      </c>
      <c r="AS389" s="82">
        <f t="shared" si="65"/>
        <v>1.2800000000000011</v>
      </c>
    </row>
    <row r="390" spans="1:45" hidden="1" x14ac:dyDescent="0.3">
      <c r="A390">
        <v>5183948</v>
      </c>
      <c r="B390" s="15" t="s">
        <v>5726</v>
      </c>
      <c r="C390" s="16" t="s">
        <v>30</v>
      </c>
      <c r="D390" s="6" t="s">
        <v>31</v>
      </c>
      <c r="E390" t="s">
        <v>573</v>
      </c>
      <c r="F390" t="s">
        <v>573</v>
      </c>
      <c r="H390" s="11" t="s">
        <v>27</v>
      </c>
      <c r="I390" s="6" t="s">
        <v>28</v>
      </c>
      <c r="J390" s="6" t="s">
        <v>28</v>
      </c>
      <c r="K390" t="s">
        <v>32</v>
      </c>
      <c r="L390" s="35">
        <v>55.45</v>
      </c>
      <c r="M390" s="6" t="s">
        <v>29</v>
      </c>
      <c r="N390" s="6">
        <v>3105</v>
      </c>
      <c r="P390" s="18"/>
      <c r="Q390" s="17"/>
      <c r="R390" s="19">
        <v>55.45</v>
      </c>
      <c r="S390" s="19">
        <v>55.45</v>
      </c>
      <c r="T390" s="38">
        <v>32</v>
      </c>
      <c r="U390" s="38"/>
      <c r="V390" s="29">
        <v>55.45</v>
      </c>
      <c r="W390" s="35">
        <v>55.45</v>
      </c>
      <c r="X390" s="32">
        <f t="shared" ref="X390:X453" si="66">SUM(V390*T390)</f>
        <v>1774.4</v>
      </c>
      <c r="Y390" s="32">
        <f t="shared" ref="Y390:Y453" si="67">SUM(L390*T390)</f>
        <v>1774.4</v>
      </c>
      <c r="Z390" s="32">
        <f t="shared" ref="Z390:Z453" si="68">SUM(X390-Y390)</f>
        <v>0</v>
      </c>
      <c r="AA390" s="38">
        <v>32</v>
      </c>
      <c r="AB390" s="37">
        <f>IFERROR(VLOOKUP(A390,'Tash Lookup'!A:E,3,FALSE),"")</f>
        <v>1806.79</v>
      </c>
      <c r="AC390" s="6">
        <f t="shared" ref="AC390:AC453" si="69">IFERROR(AA390-T390,"")</f>
        <v>0</v>
      </c>
      <c r="AD390" s="2" t="s">
        <v>6707</v>
      </c>
      <c r="AF390" s="56">
        <v>42.62</v>
      </c>
      <c r="AG390" s="56" t="e">
        <f>VLOOKUP(A390,Sheet1!$A$2:$C$1140,3,FALSE)</f>
        <v>#N/A</v>
      </c>
      <c r="AH390" s="58" t="e">
        <v>#N/A</v>
      </c>
      <c r="AI390" s="56" t="str">
        <f t="shared" ref="AI390:AI453" si="70">IF(ISNA(AH390),"Delete",IF(AH390=AF390,"Same",IF(AH390&gt;AF390,"Increase","Decrease")))</f>
        <v>Delete</v>
      </c>
      <c r="AJ390" s="81">
        <f t="shared" si="63"/>
        <v>1363.84</v>
      </c>
      <c r="AK390" s="81">
        <f t="shared" si="64"/>
        <v>0</v>
      </c>
      <c r="AL390" s="58" t="s">
        <v>32</v>
      </c>
      <c r="AM390" s="58" t="s">
        <v>6708</v>
      </c>
      <c r="AN390" s="75">
        <v>6</v>
      </c>
      <c r="AO390" s="88">
        <v>42.62</v>
      </c>
      <c r="AP390" s="6" t="str">
        <f t="shared" ref="AP390:AP453" si="71">IF(AM390="Delete","Delete",IF(AO390=AF390,"Same",IF(AO390&gt;AF390,"Increase","Decrease")))</f>
        <v>Same</v>
      </c>
      <c r="AQ390" s="81">
        <f t="shared" ref="AQ390:AQ453" si="72">AN390*AF390</f>
        <v>255.71999999999997</v>
      </c>
      <c r="AR390" s="81">
        <f t="shared" ref="AR390:AR453" si="73">AN390*AO390</f>
        <v>255.71999999999997</v>
      </c>
      <c r="AS390" s="81">
        <f t="shared" si="65"/>
        <v>0</v>
      </c>
    </row>
    <row r="391" spans="1:45" hidden="1" x14ac:dyDescent="0.3">
      <c r="A391">
        <v>5090782</v>
      </c>
      <c r="B391" s="15" t="s">
        <v>5727</v>
      </c>
      <c r="C391" s="16" t="s">
        <v>30</v>
      </c>
      <c r="D391" s="6" t="s">
        <v>31</v>
      </c>
      <c r="E391" t="s">
        <v>560</v>
      </c>
      <c r="F391" t="s">
        <v>560</v>
      </c>
      <c r="H391" s="11" t="s">
        <v>27</v>
      </c>
      <c r="I391" s="6" t="s">
        <v>28</v>
      </c>
      <c r="J391" s="6" t="s">
        <v>28</v>
      </c>
      <c r="K391" t="s">
        <v>32</v>
      </c>
      <c r="L391" s="35">
        <v>36.42</v>
      </c>
      <c r="M391" s="6" t="s">
        <v>29</v>
      </c>
      <c r="N391" s="6">
        <v>3105</v>
      </c>
      <c r="P391" s="18"/>
      <c r="Q391" s="17"/>
      <c r="R391" s="19">
        <v>34.6</v>
      </c>
      <c r="S391" s="19">
        <v>0</v>
      </c>
      <c r="T391" s="38">
        <v>32</v>
      </c>
      <c r="U391" s="38"/>
      <c r="V391" s="29">
        <v>34.6</v>
      </c>
      <c r="W391" s="35">
        <v>36.42</v>
      </c>
      <c r="X391" s="32">
        <f t="shared" si="66"/>
        <v>1107.2</v>
      </c>
      <c r="Y391" s="32">
        <f t="shared" si="67"/>
        <v>1165.44</v>
      </c>
      <c r="Z391" s="32">
        <f t="shared" si="68"/>
        <v>-58.240000000000009</v>
      </c>
      <c r="AA391" s="38">
        <v>32</v>
      </c>
      <c r="AB391" s="37">
        <f>IFERROR(VLOOKUP(A391,'Tash Lookup'!A:E,3,FALSE),"")</f>
        <v>1120.1099999999999</v>
      </c>
      <c r="AC391" s="6">
        <f t="shared" si="69"/>
        <v>0</v>
      </c>
      <c r="AD391" s="2" t="s">
        <v>6703</v>
      </c>
      <c r="AF391" s="56">
        <v>35.64</v>
      </c>
      <c r="AG391" s="56">
        <f>VLOOKUP(A391,Sheet1!$A$2:$C$1140,3,FALSE)</f>
        <v>36.71</v>
      </c>
      <c r="AH391" s="58">
        <v>36.71</v>
      </c>
      <c r="AI391" s="56" t="str">
        <f t="shared" si="70"/>
        <v>Increase</v>
      </c>
      <c r="AJ391" s="81">
        <f t="shared" ref="AJ391:AJ454" si="74">IFERROR(AA391*AF391,0)</f>
        <v>1140.48</v>
      </c>
      <c r="AK391" s="81">
        <f t="shared" ref="AK391:AK454" si="75">IFERROR(AA391*AH391,0)</f>
        <v>1174.72</v>
      </c>
      <c r="AL391" s="58" t="s">
        <v>32</v>
      </c>
      <c r="AM391" s="58" t="s">
        <v>6703</v>
      </c>
      <c r="AN391" s="75">
        <v>24</v>
      </c>
      <c r="AO391" s="88">
        <v>36.71</v>
      </c>
      <c r="AP391" s="6" t="str">
        <f t="shared" si="71"/>
        <v>Increase</v>
      </c>
      <c r="AQ391" s="81">
        <f t="shared" si="72"/>
        <v>855.36</v>
      </c>
      <c r="AR391" s="81">
        <f t="shared" si="73"/>
        <v>881.04</v>
      </c>
      <c r="AS391" s="82">
        <f t="shared" ref="AS391:AS454" si="76">AR391-AQ391</f>
        <v>25.67999999999995</v>
      </c>
    </row>
    <row r="392" spans="1:45" hidden="1" x14ac:dyDescent="0.3">
      <c r="A392">
        <v>5223733</v>
      </c>
      <c r="B392" s="15" t="s">
        <v>5728</v>
      </c>
      <c r="C392" s="16" t="s">
        <v>30</v>
      </c>
      <c r="D392" s="6" t="s">
        <v>31</v>
      </c>
      <c r="E392" t="s">
        <v>764</v>
      </c>
      <c r="F392" t="s">
        <v>764</v>
      </c>
      <c r="H392" s="11" t="s">
        <v>27</v>
      </c>
      <c r="I392" s="6" t="s">
        <v>28</v>
      </c>
      <c r="J392" s="6" t="s">
        <v>28</v>
      </c>
      <c r="K392" t="s">
        <v>32</v>
      </c>
      <c r="L392" s="35">
        <v>51.07</v>
      </c>
      <c r="M392" s="6" t="s">
        <v>29</v>
      </c>
      <c r="N392" s="6">
        <v>3105</v>
      </c>
      <c r="P392" s="18"/>
      <c r="Q392" s="17"/>
      <c r="R392" s="19">
        <v>51.07</v>
      </c>
      <c r="S392" s="19">
        <v>51.07</v>
      </c>
      <c r="T392" s="38">
        <v>31</v>
      </c>
      <c r="U392" s="38"/>
      <c r="V392" s="30">
        <v>51.07</v>
      </c>
      <c r="W392" s="35">
        <v>51.07</v>
      </c>
      <c r="X392" s="32">
        <f t="shared" si="66"/>
        <v>1583.17</v>
      </c>
      <c r="Y392" s="32">
        <f t="shared" si="67"/>
        <v>1583.17</v>
      </c>
      <c r="Z392" s="32">
        <f t="shared" si="68"/>
        <v>0</v>
      </c>
      <c r="AA392" s="38">
        <v>31</v>
      </c>
      <c r="AB392" s="37">
        <f>IFERROR(VLOOKUP(A392,'Tash Lookup'!A:E,3,FALSE),"")</f>
        <v>1583.23</v>
      </c>
      <c r="AC392" s="6">
        <f t="shared" si="69"/>
        <v>0</v>
      </c>
      <c r="AD392" s="2" t="s">
        <v>6703</v>
      </c>
      <c r="AF392" s="56">
        <v>53.06</v>
      </c>
      <c r="AG392" s="56">
        <f>VLOOKUP(A392,Sheet1!$A$2:$C$1140,3,FALSE)</f>
        <v>54.12</v>
      </c>
      <c r="AH392" s="58">
        <v>54.12</v>
      </c>
      <c r="AI392" s="56" t="str">
        <f t="shared" si="70"/>
        <v>Increase</v>
      </c>
      <c r="AJ392" s="81">
        <f t="shared" si="74"/>
        <v>1644.8600000000001</v>
      </c>
      <c r="AK392" s="81">
        <f t="shared" si="75"/>
        <v>1677.72</v>
      </c>
      <c r="AL392" s="58" t="s">
        <v>7206</v>
      </c>
      <c r="AM392" s="58" t="s">
        <v>6703</v>
      </c>
      <c r="AN392" s="75">
        <v>0</v>
      </c>
      <c r="AO392" s="88">
        <v>54.12</v>
      </c>
      <c r="AP392" s="6" t="str">
        <f t="shared" si="71"/>
        <v>Increase</v>
      </c>
      <c r="AQ392" s="81">
        <f t="shared" si="72"/>
        <v>0</v>
      </c>
      <c r="AR392" s="81">
        <f t="shared" si="73"/>
        <v>0</v>
      </c>
      <c r="AS392" s="82">
        <f t="shared" si="76"/>
        <v>0</v>
      </c>
    </row>
    <row r="393" spans="1:45" hidden="1" x14ac:dyDescent="0.3">
      <c r="A393">
        <v>6188851</v>
      </c>
      <c r="B393" s="15" t="s">
        <v>5729</v>
      </c>
      <c r="C393" s="16" t="s">
        <v>30</v>
      </c>
      <c r="D393" s="6" t="s">
        <v>31</v>
      </c>
      <c r="E393" t="s">
        <v>793</v>
      </c>
      <c r="F393" t="s">
        <v>793</v>
      </c>
      <c r="H393" s="11" t="s">
        <v>27</v>
      </c>
      <c r="I393" s="6" t="s">
        <v>28</v>
      </c>
      <c r="J393" s="6" t="s">
        <v>28</v>
      </c>
      <c r="K393" t="s">
        <v>32</v>
      </c>
      <c r="L393" s="35">
        <v>3.07</v>
      </c>
      <c r="M393" s="6" t="s">
        <v>29</v>
      </c>
      <c r="N393" s="6">
        <v>3105</v>
      </c>
      <c r="P393" s="18"/>
      <c r="Q393" s="17"/>
      <c r="R393" s="19">
        <v>3.58</v>
      </c>
      <c r="S393" s="19">
        <v>0</v>
      </c>
      <c r="T393" s="38">
        <v>31</v>
      </c>
      <c r="U393" s="38"/>
      <c r="V393" s="30">
        <v>3.58</v>
      </c>
      <c r="W393" s="35">
        <v>3.07</v>
      </c>
      <c r="X393" s="32">
        <f t="shared" si="66"/>
        <v>110.98</v>
      </c>
      <c r="Y393" s="32">
        <f t="shared" si="67"/>
        <v>95.17</v>
      </c>
      <c r="Z393" s="32">
        <f t="shared" si="68"/>
        <v>15.810000000000002</v>
      </c>
      <c r="AA393" s="38">
        <v>31</v>
      </c>
      <c r="AB393" s="37">
        <f>IFERROR(VLOOKUP(A393,'Tash Lookup'!A:E,3,FALSE),"")</f>
        <v>96.32</v>
      </c>
      <c r="AC393" s="6">
        <f t="shared" si="69"/>
        <v>0</v>
      </c>
      <c r="AD393" s="2" t="s">
        <v>6703</v>
      </c>
      <c r="AF393" s="56">
        <v>3.58</v>
      </c>
      <c r="AG393" s="56">
        <f>VLOOKUP(A393,Sheet1!$A$2:$C$1140,3,FALSE)</f>
        <v>3.65</v>
      </c>
      <c r="AH393" s="58">
        <v>3.65</v>
      </c>
      <c r="AI393" s="56" t="str">
        <f t="shared" si="70"/>
        <v>Increase</v>
      </c>
      <c r="AJ393" s="81">
        <f t="shared" si="74"/>
        <v>110.98</v>
      </c>
      <c r="AK393" s="81">
        <f t="shared" si="75"/>
        <v>113.14999999999999</v>
      </c>
      <c r="AL393" s="58" t="s">
        <v>7206</v>
      </c>
      <c r="AM393" s="58" t="s">
        <v>6703</v>
      </c>
      <c r="AN393" s="75">
        <v>13</v>
      </c>
      <c r="AO393" s="88">
        <v>3.65</v>
      </c>
      <c r="AP393" s="6" t="str">
        <f t="shared" si="71"/>
        <v>Increase</v>
      </c>
      <c r="AQ393" s="81">
        <f t="shared" si="72"/>
        <v>46.54</v>
      </c>
      <c r="AR393" s="81">
        <f t="shared" si="73"/>
        <v>47.449999999999996</v>
      </c>
      <c r="AS393" s="82">
        <f t="shared" si="76"/>
        <v>0.90999999999999659</v>
      </c>
    </row>
    <row r="394" spans="1:45" hidden="1" x14ac:dyDescent="0.3">
      <c r="A394">
        <v>6183946</v>
      </c>
      <c r="B394" s="15" t="s">
        <v>5730</v>
      </c>
      <c r="C394" s="16" t="s">
        <v>30</v>
      </c>
      <c r="D394" s="6" t="s">
        <v>31</v>
      </c>
      <c r="E394" t="s">
        <v>802</v>
      </c>
      <c r="F394" t="s">
        <v>802</v>
      </c>
      <c r="H394" s="11" t="s">
        <v>27</v>
      </c>
      <c r="I394" s="6" t="s">
        <v>28</v>
      </c>
      <c r="J394" s="6" t="s">
        <v>28</v>
      </c>
      <c r="K394" t="s">
        <v>32</v>
      </c>
      <c r="L394" s="35">
        <v>20.71</v>
      </c>
      <c r="M394" s="6" t="s">
        <v>29</v>
      </c>
      <c r="N394" s="6">
        <v>3105</v>
      </c>
      <c r="P394" s="18"/>
      <c r="Q394" s="17"/>
      <c r="R394" s="19">
        <v>20.71</v>
      </c>
      <c r="S394" s="19">
        <v>20.71</v>
      </c>
      <c r="T394" s="38">
        <v>31</v>
      </c>
      <c r="U394" s="38"/>
      <c r="V394" s="30">
        <v>20.71</v>
      </c>
      <c r="W394" s="35">
        <v>20.71</v>
      </c>
      <c r="X394" s="32">
        <f t="shared" si="66"/>
        <v>642.01</v>
      </c>
      <c r="Y394" s="32">
        <f t="shared" si="67"/>
        <v>642.01</v>
      </c>
      <c r="Z394" s="32">
        <f t="shared" si="68"/>
        <v>0</v>
      </c>
      <c r="AA394" s="38">
        <v>31</v>
      </c>
      <c r="AB394" s="37">
        <f>IFERROR(VLOOKUP(A394,'Tash Lookup'!A:E,3,FALSE),"")</f>
        <v>638.38</v>
      </c>
      <c r="AC394" s="6">
        <f t="shared" si="69"/>
        <v>0</v>
      </c>
      <c r="AD394" s="2" t="s">
        <v>6703</v>
      </c>
      <c r="AF394" s="56">
        <v>20.71</v>
      </c>
      <c r="AG394" s="56">
        <f>VLOOKUP(A394,Sheet1!$A$2:$C$1140,3,FALSE)</f>
        <v>21.12</v>
      </c>
      <c r="AH394" s="58">
        <v>21.12</v>
      </c>
      <c r="AI394" s="56" t="str">
        <f t="shared" si="70"/>
        <v>Increase</v>
      </c>
      <c r="AJ394" s="81">
        <f t="shared" si="74"/>
        <v>642.01</v>
      </c>
      <c r="AK394" s="81">
        <f t="shared" si="75"/>
        <v>654.72</v>
      </c>
      <c r="AL394" s="58" t="s">
        <v>7206</v>
      </c>
      <c r="AM394" s="58" t="s">
        <v>6703</v>
      </c>
      <c r="AN394" s="75">
        <v>19</v>
      </c>
      <c r="AO394" s="88">
        <v>21.12</v>
      </c>
      <c r="AP394" s="6" t="str">
        <f t="shared" si="71"/>
        <v>Increase</v>
      </c>
      <c r="AQ394" s="81">
        <f t="shared" si="72"/>
        <v>393.49</v>
      </c>
      <c r="AR394" s="81">
        <f t="shared" si="73"/>
        <v>401.28000000000003</v>
      </c>
      <c r="AS394" s="82">
        <f t="shared" si="76"/>
        <v>7.7900000000000205</v>
      </c>
    </row>
    <row r="395" spans="1:45" hidden="1" x14ac:dyDescent="0.3">
      <c r="A395">
        <v>6317504</v>
      </c>
      <c r="B395" s="15" t="s">
        <v>5731</v>
      </c>
      <c r="C395" s="16" t="s">
        <v>30</v>
      </c>
      <c r="D395" s="6" t="s">
        <v>31</v>
      </c>
      <c r="E395" t="s">
        <v>2963</v>
      </c>
      <c r="F395" t="s">
        <v>2963</v>
      </c>
      <c r="H395" s="11" t="s">
        <v>27</v>
      </c>
      <c r="I395" s="6" t="s">
        <v>28</v>
      </c>
      <c r="J395" s="6" t="s">
        <v>28</v>
      </c>
      <c r="K395" t="s">
        <v>32</v>
      </c>
      <c r="L395" s="35">
        <v>1.69</v>
      </c>
      <c r="M395" s="6" t="s">
        <v>29</v>
      </c>
      <c r="N395" s="6">
        <v>3105</v>
      </c>
      <c r="P395" s="18"/>
      <c r="Q395" s="17"/>
      <c r="R395" s="19">
        <v>4.3099999999999996</v>
      </c>
      <c r="S395" s="19">
        <v>4.3099999999999996</v>
      </c>
      <c r="T395" s="38">
        <v>30</v>
      </c>
      <c r="U395" s="38"/>
      <c r="V395" s="30">
        <v>4.3099999999999996</v>
      </c>
      <c r="W395" s="35">
        <v>1.69</v>
      </c>
      <c r="X395" s="32">
        <f t="shared" si="66"/>
        <v>129.29999999999998</v>
      </c>
      <c r="Y395" s="32">
        <f t="shared" si="67"/>
        <v>50.699999999999996</v>
      </c>
      <c r="Z395" s="32">
        <f t="shared" si="68"/>
        <v>78.599999999999994</v>
      </c>
      <c r="AA395" s="38">
        <v>30</v>
      </c>
      <c r="AB395" s="37">
        <f>IFERROR(VLOOKUP(A395,'Tash Lookup'!A:E,3,FALSE),"")</f>
        <v>50.54</v>
      </c>
      <c r="AC395" s="6">
        <f t="shared" si="69"/>
        <v>0</v>
      </c>
      <c r="AD395" s="2" t="s">
        <v>6703</v>
      </c>
      <c r="AF395" s="56">
        <v>1.52</v>
      </c>
      <c r="AG395" s="56">
        <f>VLOOKUP(A395,Sheet1!$A$2:$C$1140,3,FALSE)</f>
        <v>1.55</v>
      </c>
      <c r="AH395" s="58">
        <v>1.55</v>
      </c>
      <c r="AI395" s="56" t="str">
        <f t="shared" si="70"/>
        <v>Increase</v>
      </c>
      <c r="AJ395" s="81">
        <f t="shared" si="74"/>
        <v>45.6</v>
      </c>
      <c r="AK395" s="81">
        <f t="shared" si="75"/>
        <v>46.5</v>
      </c>
      <c r="AL395" s="58" t="s">
        <v>7206</v>
      </c>
      <c r="AM395" s="58" t="s">
        <v>6703</v>
      </c>
      <c r="AN395" s="75">
        <v>4</v>
      </c>
      <c r="AO395" s="88">
        <v>1.55</v>
      </c>
      <c r="AP395" s="6" t="str">
        <f t="shared" si="71"/>
        <v>Increase</v>
      </c>
      <c r="AQ395" s="81">
        <f t="shared" si="72"/>
        <v>6.08</v>
      </c>
      <c r="AR395" s="81">
        <f t="shared" si="73"/>
        <v>6.2</v>
      </c>
      <c r="AS395" s="82">
        <f t="shared" si="76"/>
        <v>0.12000000000000011</v>
      </c>
    </row>
    <row r="396" spans="1:45" hidden="1" x14ac:dyDescent="0.3">
      <c r="A396">
        <v>6107296</v>
      </c>
      <c r="B396" s="15" t="s">
        <v>5732</v>
      </c>
      <c r="C396" s="16" t="s">
        <v>30</v>
      </c>
      <c r="D396" s="6" t="s">
        <v>31</v>
      </c>
      <c r="E396" t="s">
        <v>949</v>
      </c>
      <c r="F396" t="s">
        <v>949</v>
      </c>
      <c r="H396" s="11" t="s">
        <v>27</v>
      </c>
      <c r="I396" s="6" t="s">
        <v>28</v>
      </c>
      <c r="J396" s="6" t="s">
        <v>28</v>
      </c>
      <c r="K396" t="s">
        <v>32</v>
      </c>
      <c r="L396" s="35">
        <v>28.13</v>
      </c>
      <c r="M396" s="6" t="s">
        <v>29</v>
      </c>
      <c r="N396" s="6">
        <v>3105</v>
      </c>
      <c r="P396" s="18"/>
      <c r="Q396" s="17"/>
      <c r="R396" s="19">
        <v>0</v>
      </c>
      <c r="S396" s="19">
        <v>0</v>
      </c>
      <c r="T396" s="38">
        <v>30</v>
      </c>
      <c r="U396" s="38"/>
      <c r="V396" s="29">
        <v>28.13</v>
      </c>
      <c r="W396" s="35">
        <v>28.13</v>
      </c>
      <c r="X396" s="32">
        <f t="shared" si="66"/>
        <v>843.9</v>
      </c>
      <c r="Y396" s="32">
        <f t="shared" si="67"/>
        <v>843.9</v>
      </c>
      <c r="Z396" s="32">
        <f t="shared" si="68"/>
        <v>0</v>
      </c>
      <c r="AA396" s="38">
        <v>30</v>
      </c>
      <c r="AB396" s="37">
        <f>IFERROR(VLOOKUP(A396,'Tash Lookup'!A:E,3,FALSE),"")</f>
        <v>843.95</v>
      </c>
      <c r="AC396" s="6">
        <f t="shared" si="69"/>
        <v>0</v>
      </c>
      <c r="AD396" s="2" t="s">
        <v>6703</v>
      </c>
      <c r="AF396" s="56">
        <v>28.13</v>
      </c>
      <c r="AG396" s="56">
        <f>VLOOKUP(A396,Sheet1!$A$2:$C$1140,3,FALSE)</f>
        <v>28.13</v>
      </c>
      <c r="AH396" s="58">
        <v>28.13</v>
      </c>
      <c r="AI396" s="56" t="str">
        <f t="shared" si="70"/>
        <v>Same</v>
      </c>
      <c r="AJ396" s="81">
        <f t="shared" si="74"/>
        <v>843.9</v>
      </c>
      <c r="AK396" s="81">
        <f t="shared" si="75"/>
        <v>843.9</v>
      </c>
      <c r="AL396" s="58" t="s">
        <v>7206</v>
      </c>
      <c r="AM396" s="58" t="s">
        <v>6703</v>
      </c>
      <c r="AN396" s="75">
        <v>20</v>
      </c>
      <c r="AO396" s="88">
        <v>28.13</v>
      </c>
      <c r="AP396" s="6" t="str">
        <f t="shared" si="71"/>
        <v>Same</v>
      </c>
      <c r="AQ396" s="81">
        <f t="shared" si="72"/>
        <v>562.6</v>
      </c>
      <c r="AR396" s="81">
        <f t="shared" si="73"/>
        <v>562.6</v>
      </c>
      <c r="AS396" s="81">
        <f t="shared" si="76"/>
        <v>0</v>
      </c>
    </row>
    <row r="397" spans="1:45" hidden="1" x14ac:dyDescent="0.3">
      <c r="A397">
        <v>5315918</v>
      </c>
      <c r="B397" s="15" t="s">
        <v>5733</v>
      </c>
      <c r="C397" s="16" t="s">
        <v>30</v>
      </c>
      <c r="D397" s="6" t="s">
        <v>31</v>
      </c>
      <c r="E397" t="s">
        <v>1307</v>
      </c>
      <c r="F397" t="s">
        <v>1307</v>
      </c>
      <c r="H397" s="11" t="s">
        <v>27</v>
      </c>
      <c r="I397" s="6" t="s">
        <v>28</v>
      </c>
      <c r="J397" s="6" t="s">
        <v>28</v>
      </c>
      <c r="K397" t="s">
        <v>32</v>
      </c>
      <c r="L397" s="35">
        <v>34.18</v>
      </c>
      <c r="M397" s="6" t="s">
        <v>29</v>
      </c>
      <c r="N397" s="6">
        <v>3105</v>
      </c>
      <c r="P397" s="18"/>
      <c r="Q397" s="17"/>
      <c r="R397" s="19">
        <v>34.18</v>
      </c>
      <c r="S397" s="19">
        <v>34.18</v>
      </c>
      <c r="T397" s="38">
        <v>30</v>
      </c>
      <c r="U397" s="38"/>
      <c r="V397" s="30">
        <v>34.18</v>
      </c>
      <c r="W397" s="35">
        <v>34.18</v>
      </c>
      <c r="X397" s="32">
        <f t="shared" si="66"/>
        <v>1025.4000000000001</v>
      </c>
      <c r="Y397" s="32">
        <f t="shared" si="67"/>
        <v>1025.4000000000001</v>
      </c>
      <c r="Z397" s="32">
        <f t="shared" si="68"/>
        <v>0</v>
      </c>
      <c r="AA397" s="38">
        <v>30</v>
      </c>
      <c r="AB397" s="37">
        <f>IFERROR(VLOOKUP(A397,'Tash Lookup'!A:E,3,FALSE),"")</f>
        <v>1025.4100000000001</v>
      </c>
      <c r="AC397" s="6">
        <f t="shared" si="69"/>
        <v>0</v>
      </c>
      <c r="AD397" s="2" t="s">
        <v>6703</v>
      </c>
      <c r="AF397" s="56">
        <v>38.090000000000003</v>
      </c>
      <c r="AG397" s="56">
        <f>VLOOKUP(A397,Sheet1!$A$2:$C$1140,3,FALSE)</f>
        <v>38.090000000000003</v>
      </c>
      <c r="AH397" s="58">
        <v>38.090000000000003</v>
      </c>
      <c r="AI397" s="56" t="str">
        <f t="shared" si="70"/>
        <v>Same</v>
      </c>
      <c r="AJ397" s="81">
        <f t="shared" si="74"/>
        <v>1142.7</v>
      </c>
      <c r="AK397" s="81">
        <f t="shared" si="75"/>
        <v>1142.7</v>
      </c>
      <c r="AL397" s="58" t="s">
        <v>7206</v>
      </c>
      <c r="AM397" s="58" t="s">
        <v>6703</v>
      </c>
      <c r="AN397" s="75">
        <v>6</v>
      </c>
      <c r="AO397" s="88">
        <v>38.090000000000003</v>
      </c>
      <c r="AP397" s="6" t="str">
        <f t="shared" si="71"/>
        <v>Same</v>
      </c>
      <c r="AQ397" s="81">
        <f t="shared" si="72"/>
        <v>228.54000000000002</v>
      </c>
      <c r="AR397" s="81">
        <f t="shared" si="73"/>
        <v>228.54000000000002</v>
      </c>
      <c r="AS397" s="81">
        <f t="shared" si="76"/>
        <v>0</v>
      </c>
    </row>
    <row r="398" spans="1:45" hidden="1" x14ac:dyDescent="0.3">
      <c r="A398">
        <v>5091651</v>
      </c>
      <c r="B398" s="15" t="s">
        <v>5734</v>
      </c>
      <c r="C398" s="16" t="s">
        <v>30</v>
      </c>
      <c r="D398" s="6" t="s">
        <v>31</v>
      </c>
      <c r="E398" t="s">
        <v>158</v>
      </c>
      <c r="F398" t="s">
        <v>158</v>
      </c>
      <c r="H398" s="11" t="s">
        <v>27</v>
      </c>
      <c r="I398" s="6" t="s">
        <v>28</v>
      </c>
      <c r="J398" s="6" t="s">
        <v>28</v>
      </c>
      <c r="K398" t="s">
        <v>32</v>
      </c>
      <c r="L398" s="35">
        <v>27.14</v>
      </c>
      <c r="M398" s="6" t="s">
        <v>29</v>
      </c>
      <c r="N398" s="6">
        <v>3105</v>
      </c>
      <c r="P398" s="18"/>
      <c r="Q398" s="17"/>
      <c r="R398" s="19">
        <v>27.14</v>
      </c>
      <c r="S398" s="19">
        <v>27.14</v>
      </c>
      <c r="T398" s="38">
        <v>30</v>
      </c>
      <c r="U398" s="38"/>
      <c r="V398" s="29">
        <v>23.512499999999999</v>
      </c>
      <c r="W398" s="35">
        <v>27.14</v>
      </c>
      <c r="X398" s="32">
        <f t="shared" si="66"/>
        <v>705.375</v>
      </c>
      <c r="Y398" s="32">
        <f t="shared" si="67"/>
        <v>814.2</v>
      </c>
      <c r="Z398" s="32">
        <f t="shared" si="68"/>
        <v>-108.82500000000005</v>
      </c>
      <c r="AA398" s="38">
        <v>30</v>
      </c>
      <c r="AB398" s="37">
        <f>IFERROR(VLOOKUP(A398,'Tash Lookup'!A:E,3,FALSE),"")</f>
        <v>809.31</v>
      </c>
      <c r="AC398" s="6">
        <f t="shared" si="69"/>
        <v>0</v>
      </c>
      <c r="AD398" s="2" t="s">
        <v>6703</v>
      </c>
      <c r="AF398" s="56">
        <v>24.2</v>
      </c>
      <c r="AG398" s="56">
        <f>VLOOKUP(A398,Sheet1!$A$2:$C$1140,3,FALSE)</f>
        <v>24.2</v>
      </c>
      <c r="AH398" s="58">
        <v>24.2</v>
      </c>
      <c r="AI398" s="56" t="str">
        <f t="shared" si="70"/>
        <v>Same</v>
      </c>
      <c r="AJ398" s="81">
        <f t="shared" si="74"/>
        <v>726</v>
      </c>
      <c r="AK398" s="81">
        <f t="shared" si="75"/>
        <v>726</v>
      </c>
      <c r="AL398" s="58" t="s">
        <v>32</v>
      </c>
      <c r="AM398" s="58" t="s">
        <v>6703</v>
      </c>
      <c r="AN398" s="75">
        <v>86</v>
      </c>
      <c r="AO398" s="88">
        <v>24.2</v>
      </c>
      <c r="AP398" s="6" t="str">
        <f t="shared" si="71"/>
        <v>Same</v>
      </c>
      <c r="AQ398" s="81">
        <f t="shared" si="72"/>
        <v>2081.1999999999998</v>
      </c>
      <c r="AR398" s="81">
        <f t="shared" si="73"/>
        <v>2081.1999999999998</v>
      </c>
      <c r="AS398" s="81">
        <f t="shared" si="76"/>
        <v>0</v>
      </c>
    </row>
    <row r="399" spans="1:45" hidden="1" x14ac:dyDescent="0.3">
      <c r="A399">
        <v>5242800</v>
      </c>
      <c r="B399" s="15" t="s">
        <v>5735</v>
      </c>
      <c r="C399" s="16" t="s">
        <v>30</v>
      </c>
      <c r="D399" s="6" t="s">
        <v>31</v>
      </c>
      <c r="E399" t="s">
        <v>41</v>
      </c>
      <c r="F399" t="s">
        <v>41</v>
      </c>
      <c r="H399" s="11" t="s">
        <v>27</v>
      </c>
      <c r="I399" s="6" t="s">
        <v>28</v>
      </c>
      <c r="J399" s="6" t="s">
        <v>28</v>
      </c>
      <c r="K399" t="s">
        <v>32</v>
      </c>
      <c r="L399" s="35">
        <v>19.670000000000002</v>
      </c>
      <c r="M399" s="6" t="s">
        <v>29</v>
      </c>
      <c r="N399" s="6">
        <v>3105</v>
      </c>
      <c r="P399" s="18"/>
      <c r="Q399" s="17"/>
      <c r="R399" s="19">
        <v>19.670000000000002</v>
      </c>
      <c r="S399" s="19">
        <v>19.670000000000002</v>
      </c>
      <c r="T399" s="38">
        <v>29</v>
      </c>
      <c r="U399" s="38"/>
      <c r="V399" s="29">
        <v>19.670000000000002</v>
      </c>
      <c r="W399" s="45">
        <v>13.55</v>
      </c>
      <c r="X399" s="32">
        <f t="shared" si="66"/>
        <v>570.43000000000006</v>
      </c>
      <c r="Y399" s="32">
        <f t="shared" si="67"/>
        <v>570.43000000000006</v>
      </c>
      <c r="Z399" s="32">
        <f t="shared" si="68"/>
        <v>0</v>
      </c>
      <c r="AA399" s="38">
        <v>29</v>
      </c>
      <c r="AB399" s="37">
        <f>IFERROR(VLOOKUP(A399,'Tash Lookup'!A:E,3,FALSE),"")</f>
        <v>483.8</v>
      </c>
      <c r="AC399" s="6">
        <f t="shared" si="69"/>
        <v>0</v>
      </c>
      <c r="AD399" s="2" t="s">
        <v>6703</v>
      </c>
      <c r="AF399" s="56">
        <v>20.39</v>
      </c>
      <c r="AG399" s="56">
        <f>VLOOKUP(A399,Sheet1!$A$2:$C$1140,3,FALSE)</f>
        <v>20.39</v>
      </c>
      <c r="AH399" s="58">
        <v>20.39</v>
      </c>
      <c r="AI399" s="56" t="str">
        <f t="shared" si="70"/>
        <v>Same</v>
      </c>
      <c r="AJ399" s="81">
        <f t="shared" si="74"/>
        <v>591.31000000000006</v>
      </c>
      <c r="AK399" s="81">
        <f t="shared" si="75"/>
        <v>591.31000000000006</v>
      </c>
      <c r="AL399" s="58" t="s">
        <v>32</v>
      </c>
      <c r="AM399" s="58" t="s">
        <v>6703</v>
      </c>
      <c r="AN399" s="75">
        <v>32</v>
      </c>
      <c r="AO399" s="88">
        <v>20.39</v>
      </c>
      <c r="AP399" s="6" t="str">
        <f t="shared" si="71"/>
        <v>Same</v>
      </c>
      <c r="AQ399" s="81">
        <f t="shared" si="72"/>
        <v>652.48</v>
      </c>
      <c r="AR399" s="81">
        <f t="shared" si="73"/>
        <v>652.48</v>
      </c>
      <c r="AS399" s="81">
        <f t="shared" si="76"/>
        <v>0</v>
      </c>
    </row>
    <row r="400" spans="1:45" hidden="1" x14ac:dyDescent="0.3">
      <c r="A400">
        <v>6390806</v>
      </c>
      <c r="B400" s="15" t="s">
        <v>5736</v>
      </c>
      <c r="C400" s="16" t="s">
        <v>30</v>
      </c>
      <c r="D400" s="6" t="s">
        <v>31</v>
      </c>
      <c r="E400" t="s">
        <v>963</v>
      </c>
      <c r="F400" t="s">
        <v>963</v>
      </c>
      <c r="H400" s="11" t="s">
        <v>27</v>
      </c>
      <c r="I400" s="6" t="s">
        <v>28</v>
      </c>
      <c r="J400" s="6" t="s">
        <v>28</v>
      </c>
      <c r="K400" t="s">
        <v>32</v>
      </c>
      <c r="L400" s="35">
        <v>10.119999999999999</v>
      </c>
      <c r="M400" s="6" t="s">
        <v>29</v>
      </c>
      <c r="N400" s="6">
        <v>3105</v>
      </c>
      <c r="P400" s="18"/>
      <c r="Q400" s="17"/>
      <c r="R400" s="19">
        <v>0</v>
      </c>
      <c r="S400" s="19">
        <v>0</v>
      </c>
      <c r="T400" s="38">
        <v>29</v>
      </c>
      <c r="U400" s="38"/>
      <c r="V400" s="29">
        <v>10.119999999999999</v>
      </c>
      <c r="W400" s="35">
        <v>10.119999999999999</v>
      </c>
      <c r="X400" s="32">
        <f t="shared" si="66"/>
        <v>293.47999999999996</v>
      </c>
      <c r="Y400" s="32">
        <f t="shared" si="67"/>
        <v>293.47999999999996</v>
      </c>
      <c r="Z400" s="32">
        <f t="shared" si="68"/>
        <v>0</v>
      </c>
      <c r="AA400" s="38">
        <v>29</v>
      </c>
      <c r="AB400" s="37">
        <f>IFERROR(VLOOKUP(A400,'Tash Lookup'!A:E,3,FALSE),"")</f>
        <v>293.52</v>
      </c>
      <c r="AC400" s="6">
        <f t="shared" si="69"/>
        <v>0</v>
      </c>
      <c r="AD400" s="2" t="s">
        <v>6703</v>
      </c>
      <c r="AF400" s="56">
        <v>10.119999999999999</v>
      </c>
      <c r="AG400" s="56">
        <f>VLOOKUP(A400,Sheet1!$A$2:$C$1140,3,FALSE)</f>
        <v>10.119999999999999</v>
      </c>
      <c r="AH400" s="58">
        <v>10.119999999999999</v>
      </c>
      <c r="AI400" s="56" t="str">
        <f t="shared" si="70"/>
        <v>Same</v>
      </c>
      <c r="AJ400" s="81">
        <f t="shared" si="74"/>
        <v>293.47999999999996</v>
      </c>
      <c r="AK400" s="81">
        <f t="shared" si="75"/>
        <v>293.47999999999996</v>
      </c>
      <c r="AL400" s="58" t="s">
        <v>7206</v>
      </c>
      <c r="AM400" s="58" t="s">
        <v>6703</v>
      </c>
      <c r="AN400" s="75">
        <v>9</v>
      </c>
      <c r="AO400" s="88">
        <v>10.119999999999999</v>
      </c>
      <c r="AP400" s="6" t="str">
        <f t="shared" si="71"/>
        <v>Same</v>
      </c>
      <c r="AQ400" s="81">
        <f t="shared" si="72"/>
        <v>91.08</v>
      </c>
      <c r="AR400" s="81">
        <f t="shared" si="73"/>
        <v>91.08</v>
      </c>
      <c r="AS400" s="81">
        <f t="shared" si="76"/>
        <v>0</v>
      </c>
    </row>
    <row r="401" spans="1:45" hidden="1" x14ac:dyDescent="0.3">
      <c r="A401">
        <v>6416440</v>
      </c>
      <c r="B401" s="15" t="s">
        <v>5737</v>
      </c>
      <c r="C401" s="16" t="s">
        <v>30</v>
      </c>
      <c r="D401" s="6" t="s">
        <v>31</v>
      </c>
      <c r="E401" t="s">
        <v>974</v>
      </c>
      <c r="F401" t="s">
        <v>974</v>
      </c>
      <c r="H401" s="11" t="s">
        <v>27</v>
      </c>
      <c r="I401" s="6" t="s">
        <v>28</v>
      </c>
      <c r="J401" s="6" t="s">
        <v>28</v>
      </c>
      <c r="K401" t="s">
        <v>32</v>
      </c>
      <c r="L401" s="35">
        <v>23.06</v>
      </c>
      <c r="M401" s="6" t="s">
        <v>29</v>
      </c>
      <c r="N401" s="6">
        <v>3105</v>
      </c>
      <c r="P401" s="18"/>
      <c r="Q401" s="17"/>
      <c r="R401" s="19">
        <v>23.06</v>
      </c>
      <c r="S401" s="19">
        <v>23.06</v>
      </c>
      <c r="T401" s="38">
        <v>29</v>
      </c>
      <c r="U401" s="38"/>
      <c r="V401" s="30">
        <v>23.06</v>
      </c>
      <c r="W401" s="35">
        <v>23.06</v>
      </c>
      <c r="X401" s="32">
        <f t="shared" si="66"/>
        <v>668.74</v>
      </c>
      <c r="Y401" s="32">
        <f t="shared" si="67"/>
        <v>668.74</v>
      </c>
      <c r="Z401" s="32">
        <f t="shared" si="68"/>
        <v>0</v>
      </c>
      <c r="AA401" s="38">
        <v>29</v>
      </c>
      <c r="AB401" s="37">
        <f>IFERROR(VLOOKUP(A401,'Tash Lookup'!A:E,3,FALSE),"")</f>
        <v>660.75</v>
      </c>
      <c r="AC401" s="6">
        <f t="shared" si="69"/>
        <v>0</v>
      </c>
      <c r="AD401" s="2" t="s">
        <v>6708</v>
      </c>
      <c r="AF401" s="56">
        <v>23.06</v>
      </c>
      <c r="AG401" s="56" t="e">
        <f>VLOOKUP(A401,Sheet1!$A$2:$C$1140,3,FALSE)</f>
        <v>#N/A</v>
      </c>
      <c r="AH401" s="58" t="e">
        <v>#N/A</v>
      </c>
      <c r="AI401" s="56" t="str">
        <f t="shared" si="70"/>
        <v>Delete</v>
      </c>
      <c r="AJ401" s="81">
        <f t="shared" si="74"/>
        <v>668.74</v>
      </c>
      <c r="AK401" s="81">
        <f t="shared" si="75"/>
        <v>0</v>
      </c>
      <c r="AL401" s="58" t="s">
        <v>7206</v>
      </c>
      <c r="AM401" s="58" t="s">
        <v>6708</v>
      </c>
      <c r="AN401" s="75">
        <v>0</v>
      </c>
      <c r="AO401" s="88">
        <v>23.06</v>
      </c>
      <c r="AP401" s="6" t="str">
        <f t="shared" si="71"/>
        <v>Same</v>
      </c>
      <c r="AQ401" s="81">
        <f t="shared" si="72"/>
        <v>0</v>
      </c>
      <c r="AR401" s="81">
        <f t="shared" si="73"/>
        <v>0</v>
      </c>
      <c r="AS401" s="81">
        <f t="shared" si="76"/>
        <v>0</v>
      </c>
    </row>
    <row r="402" spans="1:45" hidden="1" x14ac:dyDescent="0.3">
      <c r="A402">
        <v>6390793</v>
      </c>
      <c r="B402" s="15" t="s">
        <v>5738</v>
      </c>
      <c r="C402" s="16" t="s">
        <v>30</v>
      </c>
      <c r="D402" s="6" t="s">
        <v>31</v>
      </c>
      <c r="E402" t="s">
        <v>670</v>
      </c>
      <c r="F402" t="s">
        <v>670</v>
      </c>
      <c r="H402" s="11" t="s">
        <v>27</v>
      </c>
      <c r="I402" s="6" t="s">
        <v>28</v>
      </c>
      <c r="J402" s="6" t="s">
        <v>28</v>
      </c>
      <c r="K402" t="s">
        <v>32</v>
      </c>
      <c r="L402" s="35">
        <v>8.1199999999999992</v>
      </c>
      <c r="M402" s="6" t="s">
        <v>29</v>
      </c>
      <c r="N402" s="6">
        <v>3105</v>
      </c>
      <c r="P402" s="18"/>
      <c r="Q402" s="17"/>
      <c r="R402" s="19">
        <v>8.1199999999999992</v>
      </c>
      <c r="S402" s="19">
        <v>8.1199999999999992</v>
      </c>
      <c r="T402" s="38">
        <v>29</v>
      </c>
      <c r="U402" s="38"/>
      <c r="V402" s="30">
        <v>8.1199999999999992</v>
      </c>
      <c r="W402" s="35">
        <v>8.1199999999999992</v>
      </c>
      <c r="X402" s="32">
        <f t="shared" si="66"/>
        <v>235.48</v>
      </c>
      <c r="Y402" s="32">
        <f t="shared" si="67"/>
        <v>235.48</v>
      </c>
      <c r="Z402" s="32">
        <f t="shared" si="68"/>
        <v>0</v>
      </c>
      <c r="AA402" s="38">
        <v>29</v>
      </c>
      <c r="AB402" s="37">
        <f>IFERROR(VLOOKUP(A402,'Tash Lookup'!A:E,3,FALSE),"")</f>
        <v>233.03</v>
      </c>
      <c r="AC402" s="6">
        <f t="shared" si="69"/>
        <v>0</v>
      </c>
      <c r="AD402" s="2" t="s">
        <v>6703</v>
      </c>
      <c r="AF402" s="56">
        <v>8.1199999999999992</v>
      </c>
      <c r="AG402" s="56">
        <f>VLOOKUP(A402,Sheet1!$A$2:$C$1140,3,FALSE)</f>
        <v>8.2799999999999994</v>
      </c>
      <c r="AH402" s="58">
        <v>8.2799999999999994</v>
      </c>
      <c r="AI402" s="56" t="str">
        <f t="shared" si="70"/>
        <v>Increase</v>
      </c>
      <c r="AJ402" s="81">
        <f t="shared" si="74"/>
        <v>235.48</v>
      </c>
      <c r="AK402" s="81">
        <f t="shared" si="75"/>
        <v>240.11999999999998</v>
      </c>
      <c r="AL402" s="58" t="s">
        <v>7206</v>
      </c>
      <c r="AM402" s="58" t="s">
        <v>6703</v>
      </c>
      <c r="AN402" s="75">
        <v>15</v>
      </c>
      <c r="AO402" s="88">
        <v>8.2799999999999994</v>
      </c>
      <c r="AP402" s="6" t="str">
        <f t="shared" si="71"/>
        <v>Increase</v>
      </c>
      <c r="AQ402" s="81">
        <f t="shared" si="72"/>
        <v>121.79999999999998</v>
      </c>
      <c r="AR402" s="81">
        <f t="shared" si="73"/>
        <v>124.19999999999999</v>
      </c>
      <c r="AS402" s="82">
        <f t="shared" si="76"/>
        <v>2.4000000000000057</v>
      </c>
    </row>
    <row r="403" spans="1:45" hidden="1" x14ac:dyDescent="0.3">
      <c r="A403">
        <v>5219322</v>
      </c>
      <c r="B403" s="15" t="s">
        <v>5739</v>
      </c>
      <c r="C403" s="16" t="s">
        <v>30</v>
      </c>
      <c r="D403" s="6" t="s">
        <v>31</v>
      </c>
      <c r="E403" t="s">
        <v>289</v>
      </c>
      <c r="F403" t="s">
        <v>289</v>
      </c>
      <c r="H403" s="11" t="s">
        <v>27</v>
      </c>
      <c r="I403" s="6" t="s">
        <v>28</v>
      </c>
      <c r="J403" s="6" t="s">
        <v>28</v>
      </c>
      <c r="K403" t="s">
        <v>32</v>
      </c>
      <c r="L403" s="29">
        <v>14.95</v>
      </c>
      <c r="M403" s="6" t="s">
        <v>29</v>
      </c>
      <c r="N403" s="6">
        <v>3105</v>
      </c>
      <c r="P403" s="18"/>
      <c r="Q403" s="17"/>
      <c r="R403" s="19">
        <v>14.95</v>
      </c>
      <c r="S403" s="19">
        <v>14.95</v>
      </c>
      <c r="T403" s="38">
        <v>29</v>
      </c>
      <c r="U403" s="38"/>
      <c r="V403" s="29">
        <v>14.95</v>
      </c>
      <c r="W403" s="44">
        <v>10.62</v>
      </c>
      <c r="X403" s="32">
        <f t="shared" si="66"/>
        <v>433.54999999999995</v>
      </c>
      <c r="Y403" s="32">
        <f t="shared" si="67"/>
        <v>433.54999999999995</v>
      </c>
      <c r="Z403" s="32">
        <f t="shared" si="68"/>
        <v>0</v>
      </c>
      <c r="AA403" s="38">
        <v>29</v>
      </c>
      <c r="AB403" s="37">
        <f>IFERROR(VLOOKUP(A403,'Tash Lookup'!A:E,3,FALSE),"")</f>
        <v>355.53999999999996</v>
      </c>
      <c r="AC403" s="6">
        <f t="shared" si="69"/>
        <v>0</v>
      </c>
      <c r="AD403" s="2" t="s">
        <v>6703</v>
      </c>
      <c r="AF403" s="56">
        <v>17.489999999999998</v>
      </c>
      <c r="AG403" s="56">
        <f>VLOOKUP(A403,Sheet1!$A$2:$C$1140,3,FALSE)</f>
        <v>18.02</v>
      </c>
      <c r="AH403" s="58">
        <v>18.02</v>
      </c>
      <c r="AI403" s="56" t="str">
        <f t="shared" si="70"/>
        <v>Increase</v>
      </c>
      <c r="AJ403" s="81">
        <f t="shared" si="74"/>
        <v>507.21</v>
      </c>
      <c r="AK403" s="81">
        <f t="shared" si="75"/>
        <v>522.58000000000004</v>
      </c>
      <c r="AL403" s="58" t="s">
        <v>32</v>
      </c>
      <c r="AM403" s="58" t="s">
        <v>6703</v>
      </c>
      <c r="AN403" s="75">
        <v>7</v>
      </c>
      <c r="AO403" s="88">
        <v>18.02</v>
      </c>
      <c r="AP403" s="6" t="str">
        <f t="shared" si="71"/>
        <v>Increase</v>
      </c>
      <c r="AQ403" s="81">
        <f t="shared" si="72"/>
        <v>122.42999999999999</v>
      </c>
      <c r="AR403" s="81">
        <f t="shared" si="73"/>
        <v>126.14</v>
      </c>
      <c r="AS403" s="82">
        <f t="shared" si="76"/>
        <v>3.710000000000008</v>
      </c>
    </row>
    <row r="404" spans="1:45" hidden="1" x14ac:dyDescent="0.3">
      <c r="A404">
        <v>5249007</v>
      </c>
      <c r="B404" s="15" t="s">
        <v>5740</v>
      </c>
      <c r="C404" s="16" t="s">
        <v>30</v>
      </c>
      <c r="D404" s="6" t="s">
        <v>31</v>
      </c>
      <c r="E404" t="s">
        <v>263</v>
      </c>
      <c r="F404" t="s">
        <v>263</v>
      </c>
      <c r="H404" s="11" t="s">
        <v>27</v>
      </c>
      <c r="I404" s="6" t="s">
        <v>28</v>
      </c>
      <c r="J404" s="6" t="s">
        <v>28</v>
      </c>
      <c r="K404" t="s">
        <v>32</v>
      </c>
      <c r="L404" s="35">
        <v>29.68</v>
      </c>
      <c r="M404" s="6" t="s">
        <v>29</v>
      </c>
      <c r="N404" s="6">
        <v>3105</v>
      </c>
      <c r="P404" s="18"/>
      <c r="Q404" s="17"/>
      <c r="R404" s="19">
        <v>29.68</v>
      </c>
      <c r="S404" s="19">
        <v>29.68</v>
      </c>
      <c r="T404" s="38">
        <v>28</v>
      </c>
      <c r="U404" s="38"/>
      <c r="V404" s="29">
        <v>29.68</v>
      </c>
      <c r="W404" s="45">
        <v>23.91</v>
      </c>
      <c r="X404" s="32">
        <f t="shared" si="66"/>
        <v>831.04</v>
      </c>
      <c r="Y404" s="32">
        <f t="shared" si="67"/>
        <v>831.04</v>
      </c>
      <c r="Z404" s="32">
        <f t="shared" si="68"/>
        <v>0</v>
      </c>
      <c r="AA404" s="38">
        <v>28</v>
      </c>
      <c r="AB404" s="37">
        <f>IFERROR(VLOOKUP(A404,'Tash Lookup'!A:E,3,FALSE),"")</f>
        <v>748.37</v>
      </c>
      <c r="AC404" s="6">
        <f t="shared" si="69"/>
        <v>0</v>
      </c>
      <c r="AD404" s="2" t="s">
        <v>6703</v>
      </c>
      <c r="AF404" s="56">
        <v>27.11</v>
      </c>
      <c r="AG404" s="56">
        <f>VLOOKUP(A404,Sheet1!$A$2:$C$1140,3,FALSE)</f>
        <v>27.92</v>
      </c>
      <c r="AH404" s="58">
        <v>27.92</v>
      </c>
      <c r="AI404" s="56" t="str">
        <f t="shared" si="70"/>
        <v>Increase</v>
      </c>
      <c r="AJ404" s="81">
        <f t="shared" si="74"/>
        <v>759.07999999999993</v>
      </c>
      <c r="AK404" s="81">
        <f t="shared" si="75"/>
        <v>781.76</v>
      </c>
      <c r="AL404" s="58" t="s">
        <v>32</v>
      </c>
      <c r="AM404" s="58" t="s">
        <v>6703</v>
      </c>
      <c r="AN404" s="75">
        <v>35</v>
      </c>
      <c r="AO404" s="88">
        <v>27.92</v>
      </c>
      <c r="AP404" s="6" t="str">
        <f t="shared" si="71"/>
        <v>Increase</v>
      </c>
      <c r="AQ404" s="81">
        <f t="shared" si="72"/>
        <v>948.85</v>
      </c>
      <c r="AR404" s="81">
        <f t="shared" si="73"/>
        <v>977.2</v>
      </c>
      <c r="AS404" s="82">
        <f t="shared" si="76"/>
        <v>28.350000000000023</v>
      </c>
    </row>
    <row r="405" spans="1:45" hidden="1" x14ac:dyDescent="0.3">
      <c r="A405">
        <v>5218670</v>
      </c>
      <c r="B405" s="15" t="s">
        <v>5741</v>
      </c>
      <c r="C405" s="16" t="s">
        <v>30</v>
      </c>
      <c r="D405" s="6" t="s">
        <v>31</v>
      </c>
      <c r="E405" t="s">
        <v>87</v>
      </c>
      <c r="F405" t="s">
        <v>87</v>
      </c>
      <c r="H405" s="11" t="s">
        <v>27</v>
      </c>
      <c r="I405" s="6" t="s">
        <v>28</v>
      </c>
      <c r="J405" s="6" t="s">
        <v>28</v>
      </c>
      <c r="K405" t="s">
        <v>32</v>
      </c>
      <c r="L405" s="35">
        <v>12.18</v>
      </c>
      <c r="M405" s="6" t="s">
        <v>29</v>
      </c>
      <c r="N405" s="6">
        <v>3105</v>
      </c>
      <c r="P405" s="18"/>
      <c r="Q405" s="17"/>
      <c r="R405" s="19">
        <v>14.89</v>
      </c>
      <c r="S405" s="19">
        <v>14.89</v>
      </c>
      <c r="T405" s="38">
        <v>28</v>
      </c>
      <c r="U405" s="38"/>
      <c r="V405" s="29">
        <v>12.18</v>
      </c>
      <c r="W405" s="45">
        <v>8.68</v>
      </c>
      <c r="X405" s="32">
        <f t="shared" si="66"/>
        <v>341.03999999999996</v>
      </c>
      <c r="Y405" s="32">
        <f t="shared" si="67"/>
        <v>341.03999999999996</v>
      </c>
      <c r="Z405" s="32">
        <f t="shared" si="68"/>
        <v>0</v>
      </c>
      <c r="AA405" s="38">
        <v>28</v>
      </c>
      <c r="AB405" s="37">
        <f>IFERROR(VLOOKUP(A405,'Tash Lookup'!A:E,3,FALSE),"")</f>
        <v>291.02</v>
      </c>
      <c r="AC405" s="6">
        <f t="shared" si="69"/>
        <v>0</v>
      </c>
      <c r="AD405" s="2" t="s">
        <v>6703</v>
      </c>
      <c r="AF405" s="56">
        <v>12.38</v>
      </c>
      <c r="AG405" s="56">
        <f>VLOOKUP(A405,Sheet1!$A$2:$C$1140,3,FALSE)</f>
        <v>12.38</v>
      </c>
      <c r="AH405" s="58">
        <v>12.38</v>
      </c>
      <c r="AI405" s="56" t="str">
        <f t="shared" si="70"/>
        <v>Same</v>
      </c>
      <c r="AJ405" s="81">
        <f t="shared" si="74"/>
        <v>346.64000000000004</v>
      </c>
      <c r="AK405" s="81">
        <f t="shared" si="75"/>
        <v>346.64000000000004</v>
      </c>
      <c r="AL405" s="58" t="s">
        <v>32</v>
      </c>
      <c r="AM405" s="58" t="s">
        <v>6703</v>
      </c>
      <c r="AN405" s="75">
        <v>16</v>
      </c>
      <c r="AO405" s="88">
        <v>12.38</v>
      </c>
      <c r="AP405" s="6" t="str">
        <f t="shared" si="71"/>
        <v>Same</v>
      </c>
      <c r="AQ405" s="81">
        <f t="shared" si="72"/>
        <v>198.08</v>
      </c>
      <c r="AR405" s="81">
        <f t="shared" si="73"/>
        <v>198.08</v>
      </c>
      <c r="AS405" s="81">
        <f t="shared" si="76"/>
        <v>0</v>
      </c>
    </row>
    <row r="406" spans="1:45" hidden="1" x14ac:dyDescent="0.3">
      <c r="A406">
        <v>6033962</v>
      </c>
      <c r="B406" s="15" t="s">
        <v>5742</v>
      </c>
      <c r="C406" s="16" t="s">
        <v>30</v>
      </c>
      <c r="D406" s="6" t="s">
        <v>31</v>
      </c>
      <c r="E406" t="s">
        <v>706</v>
      </c>
      <c r="F406" t="s">
        <v>706</v>
      </c>
      <c r="H406" s="11" t="s">
        <v>27</v>
      </c>
      <c r="I406" s="6" t="s">
        <v>28</v>
      </c>
      <c r="J406" s="6" t="s">
        <v>28</v>
      </c>
      <c r="K406" t="s">
        <v>32</v>
      </c>
      <c r="L406" s="35">
        <v>17.260000000000002</v>
      </c>
      <c r="M406" s="6" t="s">
        <v>29</v>
      </c>
      <c r="N406" s="6">
        <v>3105</v>
      </c>
      <c r="P406" s="18"/>
      <c r="Q406" s="17"/>
      <c r="R406" s="19">
        <v>18.14</v>
      </c>
      <c r="S406" s="19">
        <v>0</v>
      </c>
      <c r="T406" s="38">
        <v>28</v>
      </c>
      <c r="U406" s="38"/>
      <c r="V406" s="30">
        <v>18.14</v>
      </c>
      <c r="W406" s="35">
        <v>17.260000000000002</v>
      </c>
      <c r="X406" s="32">
        <f t="shared" si="66"/>
        <v>507.92</v>
      </c>
      <c r="Y406" s="32">
        <f t="shared" si="67"/>
        <v>483.28000000000003</v>
      </c>
      <c r="Z406" s="32">
        <f t="shared" si="68"/>
        <v>24.639999999999986</v>
      </c>
      <c r="AA406" s="38">
        <v>28</v>
      </c>
      <c r="AB406" s="37">
        <f>IFERROR(VLOOKUP(A406,'Tash Lookup'!A:E,3,FALSE),"")</f>
        <v>481.62</v>
      </c>
      <c r="AC406" s="6">
        <f t="shared" si="69"/>
        <v>0</v>
      </c>
      <c r="AD406" s="2" t="s">
        <v>6703</v>
      </c>
      <c r="AF406" s="56">
        <v>18.14</v>
      </c>
      <c r="AG406" s="56">
        <f>VLOOKUP(A406,Sheet1!$A$2:$C$1140,3,FALSE)</f>
        <v>18.5</v>
      </c>
      <c r="AH406" s="58">
        <v>18.5</v>
      </c>
      <c r="AI406" s="56" t="str">
        <f t="shared" si="70"/>
        <v>Increase</v>
      </c>
      <c r="AJ406" s="81">
        <f t="shared" si="74"/>
        <v>507.92</v>
      </c>
      <c r="AK406" s="81">
        <f t="shared" si="75"/>
        <v>518</v>
      </c>
      <c r="AL406" s="58" t="s">
        <v>7206</v>
      </c>
      <c r="AM406" s="58" t="s">
        <v>6703</v>
      </c>
      <c r="AN406" s="75">
        <v>16</v>
      </c>
      <c r="AO406" s="88">
        <v>18.5</v>
      </c>
      <c r="AP406" s="6" t="str">
        <f t="shared" si="71"/>
        <v>Increase</v>
      </c>
      <c r="AQ406" s="81">
        <f t="shared" si="72"/>
        <v>290.24</v>
      </c>
      <c r="AR406" s="81">
        <f t="shared" si="73"/>
        <v>296</v>
      </c>
      <c r="AS406" s="82">
        <f t="shared" si="76"/>
        <v>5.7599999999999909</v>
      </c>
    </row>
    <row r="407" spans="1:45" hidden="1" x14ac:dyDescent="0.3">
      <c r="A407">
        <v>6188868</v>
      </c>
      <c r="B407" s="15" t="s">
        <v>5743</v>
      </c>
      <c r="C407" s="16" t="s">
        <v>30</v>
      </c>
      <c r="D407" s="6" t="s">
        <v>31</v>
      </c>
      <c r="E407" t="s">
        <v>831</v>
      </c>
      <c r="F407" t="s">
        <v>831</v>
      </c>
      <c r="H407" s="11" t="s">
        <v>27</v>
      </c>
      <c r="I407" s="6" t="s">
        <v>28</v>
      </c>
      <c r="J407" s="6" t="s">
        <v>28</v>
      </c>
      <c r="K407" t="s">
        <v>32</v>
      </c>
      <c r="L407" s="35">
        <v>3.87</v>
      </c>
      <c r="M407" s="6" t="s">
        <v>29</v>
      </c>
      <c r="N407" s="6">
        <v>3105</v>
      </c>
      <c r="P407" s="18"/>
      <c r="Q407" s="17"/>
      <c r="R407" s="19">
        <v>3.87</v>
      </c>
      <c r="S407" s="19">
        <v>3.87</v>
      </c>
      <c r="T407" s="38">
        <v>28</v>
      </c>
      <c r="U407" s="38"/>
      <c r="V407" s="30">
        <v>3.87</v>
      </c>
      <c r="W407" s="35">
        <v>3.87</v>
      </c>
      <c r="X407" s="32">
        <f t="shared" si="66"/>
        <v>108.36</v>
      </c>
      <c r="Y407" s="32">
        <f t="shared" si="67"/>
        <v>108.36</v>
      </c>
      <c r="Z407" s="32">
        <f t="shared" si="68"/>
        <v>0</v>
      </c>
      <c r="AA407" s="38">
        <v>28</v>
      </c>
      <c r="AB407" s="37">
        <f>IFERROR(VLOOKUP(A407,'Tash Lookup'!A:E,3,FALSE),"")</f>
        <v>107.68</v>
      </c>
      <c r="AC407" s="6">
        <f t="shared" si="69"/>
        <v>0</v>
      </c>
      <c r="AD407" s="2" t="s">
        <v>6703</v>
      </c>
      <c r="AF407" s="56">
        <v>3.87</v>
      </c>
      <c r="AG407" s="56">
        <f>VLOOKUP(A407,Sheet1!$A$2:$C$1140,3,FALSE)</f>
        <v>3.94</v>
      </c>
      <c r="AH407" s="58">
        <v>3.94</v>
      </c>
      <c r="AI407" s="56" t="str">
        <f t="shared" si="70"/>
        <v>Increase</v>
      </c>
      <c r="AJ407" s="81">
        <f t="shared" si="74"/>
        <v>108.36</v>
      </c>
      <c r="AK407" s="81">
        <f t="shared" si="75"/>
        <v>110.32</v>
      </c>
      <c r="AL407" s="58" t="s">
        <v>7206</v>
      </c>
      <c r="AM407" s="58" t="s">
        <v>6703</v>
      </c>
      <c r="AN407" s="75">
        <v>6</v>
      </c>
      <c r="AO407" s="88">
        <v>3.94</v>
      </c>
      <c r="AP407" s="6" t="str">
        <f t="shared" si="71"/>
        <v>Increase</v>
      </c>
      <c r="AQ407" s="81">
        <f t="shared" si="72"/>
        <v>23.22</v>
      </c>
      <c r="AR407" s="81">
        <f t="shared" si="73"/>
        <v>23.64</v>
      </c>
      <c r="AS407" s="82">
        <f t="shared" si="76"/>
        <v>0.42000000000000171</v>
      </c>
    </row>
    <row r="408" spans="1:45" hidden="1" x14ac:dyDescent="0.3">
      <c r="A408">
        <v>6183867</v>
      </c>
      <c r="B408" s="15" t="s">
        <v>5744</v>
      </c>
      <c r="C408" s="16" t="s">
        <v>30</v>
      </c>
      <c r="D408" s="6" t="s">
        <v>31</v>
      </c>
      <c r="E408" t="s">
        <v>888</v>
      </c>
      <c r="F408" t="s">
        <v>888</v>
      </c>
      <c r="H408" s="11" t="s">
        <v>27</v>
      </c>
      <c r="I408" s="6" t="s">
        <v>28</v>
      </c>
      <c r="J408" s="6" t="s">
        <v>28</v>
      </c>
      <c r="K408" t="s">
        <v>32</v>
      </c>
      <c r="L408" s="35">
        <v>5.78</v>
      </c>
      <c r="M408" s="6" t="s">
        <v>29</v>
      </c>
      <c r="N408" s="6">
        <v>3105</v>
      </c>
      <c r="P408" s="18"/>
      <c r="Q408" s="17"/>
      <c r="R408" s="19">
        <v>5.78</v>
      </c>
      <c r="S408" s="19">
        <v>5.78</v>
      </c>
      <c r="T408" s="38">
        <v>28</v>
      </c>
      <c r="U408" s="38"/>
      <c r="V408" s="30">
        <v>5.78</v>
      </c>
      <c r="W408" s="35">
        <v>5.78</v>
      </c>
      <c r="X408" s="32">
        <f t="shared" si="66"/>
        <v>161.84</v>
      </c>
      <c r="Y408" s="32">
        <f t="shared" si="67"/>
        <v>161.84</v>
      </c>
      <c r="Z408" s="32">
        <f t="shared" si="68"/>
        <v>0</v>
      </c>
      <c r="AA408" s="38">
        <v>28</v>
      </c>
      <c r="AB408" s="37">
        <f>IFERROR(VLOOKUP(A408,'Tash Lookup'!A:E,3,FALSE),"")</f>
        <v>161.37</v>
      </c>
      <c r="AC408" s="6">
        <f t="shared" si="69"/>
        <v>0</v>
      </c>
      <c r="AD408" s="2" t="s">
        <v>6703</v>
      </c>
      <c r="AF408" s="56">
        <v>5.2</v>
      </c>
      <c r="AG408" s="56">
        <f>VLOOKUP(A408,Sheet1!$A$2:$C$1140,3,FALSE)</f>
        <v>5.3</v>
      </c>
      <c r="AH408" s="58">
        <v>5.3</v>
      </c>
      <c r="AI408" s="56" t="str">
        <f t="shared" si="70"/>
        <v>Increase</v>
      </c>
      <c r="AJ408" s="81">
        <f t="shared" si="74"/>
        <v>145.6</v>
      </c>
      <c r="AK408" s="81">
        <f t="shared" si="75"/>
        <v>148.4</v>
      </c>
      <c r="AL408" s="58" t="s">
        <v>7206</v>
      </c>
      <c r="AM408" s="58" t="s">
        <v>6703</v>
      </c>
      <c r="AN408" s="75">
        <v>13</v>
      </c>
      <c r="AO408" s="88">
        <v>5.3</v>
      </c>
      <c r="AP408" s="6" t="str">
        <f t="shared" si="71"/>
        <v>Increase</v>
      </c>
      <c r="AQ408" s="81">
        <f t="shared" si="72"/>
        <v>67.600000000000009</v>
      </c>
      <c r="AR408" s="81">
        <f t="shared" si="73"/>
        <v>68.899999999999991</v>
      </c>
      <c r="AS408" s="82">
        <f t="shared" si="76"/>
        <v>1.2999999999999829</v>
      </c>
    </row>
    <row r="409" spans="1:45" hidden="1" x14ac:dyDescent="0.3">
      <c r="A409">
        <v>5223032</v>
      </c>
      <c r="B409" s="15" t="s">
        <v>5745</v>
      </c>
      <c r="C409" s="16" t="s">
        <v>30</v>
      </c>
      <c r="D409" s="6" t="s">
        <v>31</v>
      </c>
      <c r="E409" t="s">
        <v>918</v>
      </c>
      <c r="F409" t="s">
        <v>918</v>
      </c>
      <c r="H409" s="11" t="s">
        <v>27</v>
      </c>
      <c r="I409" s="6" t="s">
        <v>28</v>
      </c>
      <c r="J409" s="6" t="s">
        <v>28</v>
      </c>
      <c r="K409" t="s">
        <v>32</v>
      </c>
      <c r="L409" s="35">
        <v>1.34</v>
      </c>
      <c r="M409" s="6" t="s">
        <v>29</v>
      </c>
      <c r="N409" s="6">
        <v>3105</v>
      </c>
      <c r="P409" s="18"/>
      <c r="Q409" s="17"/>
      <c r="R409" s="19">
        <v>0</v>
      </c>
      <c r="S409" s="19">
        <v>0</v>
      </c>
      <c r="T409" s="38">
        <v>28</v>
      </c>
      <c r="U409" s="38"/>
      <c r="V409" s="29">
        <v>1.34</v>
      </c>
      <c r="W409" s="35">
        <v>1.34</v>
      </c>
      <c r="X409" s="32">
        <f t="shared" si="66"/>
        <v>37.520000000000003</v>
      </c>
      <c r="Y409" s="32">
        <f t="shared" si="67"/>
        <v>37.520000000000003</v>
      </c>
      <c r="Z409" s="32">
        <f t="shared" si="68"/>
        <v>0</v>
      </c>
      <c r="AA409" s="38">
        <v>28</v>
      </c>
      <c r="AB409" s="37">
        <f>IFERROR(VLOOKUP(A409,'Tash Lookup'!A:E,3,FALSE),"")</f>
        <v>37.22</v>
      </c>
      <c r="AC409" s="6">
        <f t="shared" si="69"/>
        <v>0</v>
      </c>
      <c r="AD409" s="2" t="s">
        <v>6703</v>
      </c>
      <c r="AF409" s="56">
        <v>1.34</v>
      </c>
      <c r="AG409" s="56">
        <f>VLOOKUP(A409,Sheet1!$A$2:$C$1140,3,FALSE)</f>
        <v>1.37</v>
      </c>
      <c r="AH409" s="58">
        <v>1.37</v>
      </c>
      <c r="AI409" s="56" t="str">
        <f t="shared" si="70"/>
        <v>Increase</v>
      </c>
      <c r="AJ409" s="81">
        <f t="shared" si="74"/>
        <v>37.520000000000003</v>
      </c>
      <c r="AK409" s="81">
        <f t="shared" si="75"/>
        <v>38.36</v>
      </c>
      <c r="AL409" s="58" t="s">
        <v>7206</v>
      </c>
      <c r="AM409" s="58" t="s">
        <v>6703</v>
      </c>
      <c r="AN409" s="75">
        <v>63</v>
      </c>
      <c r="AO409" s="88">
        <v>1.37</v>
      </c>
      <c r="AP409" s="6" t="str">
        <f t="shared" si="71"/>
        <v>Increase</v>
      </c>
      <c r="AQ409" s="81">
        <f t="shared" si="72"/>
        <v>84.42</v>
      </c>
      <c r="AR409" s="81">
        <f t="shared" si="73"/>
        <v>86.31</v>
      </c>
      <c r="AS409" s="82">
        <f t="shared" si="76"/>
        <v>1.8900000000000006</v>
      </c>
    </row>
    <row r="410" spans="1:45" hidden="1" x14ac:dyDescent="0.3">
      <c r="A410">
        <v>5180490</v>
      </c>
      <c r="B410" s="15" t="s">
        <v>5746</v>
      </c>
      <c r="C410" s="16" t="s">
        <v>30</v>
      </c>
      <c r="D410" s="6" t="s">
        <v>31</v>
      </c>
      <c r="E410" t="s">
        <v>326</v>
      </c>
      <c r="F410" t="s">
        <v>326</v>
      </c>
      <c r="H410" s="11" t="s">
        <v>27</v>
      </c>
      <c r="I410" s="6" t="s">
        <v>28</v>
      </c>
      <c r="J410" s="6" t="s">
        <v>28</v>
      </c>
      <c r="K410" t="s">
        <v>32</v>
      </c>
      <c r="L410" s="35">
        <v>35.4</v>
      </c>
      <c r="M410" s="6" t="s">
        <v>29</v>
      </c>
      <c r="N410" s="6">
        <v>3105</v>
      </c>
      <c r="P410" s="18"/>
      <c r="Q410" s="17"/>
      <c r="R410" s="19">
        <v>35.4</v>
      </c>
      <c r="S410" s="19">
        <v>35.4</v>
      </c>
      <c r="T410" s="38">
        <v>28</v>
      </c>
      <c r="U410" s="38"/>
      <c r="V410" s="29">
        <v>35.4</v>
      </c>
      <c r="W410" s="35">
        <v>35.4</v>
      </c>
      <c r="X410" s="32">
        <f t="shared" si="66"/>
        <v>991.19999999999993</v>
      </c>
      <c r="Y410" s="32">
        <f t="shared" si="67"/>
        <v>991.19999999999993</v>
      </c>
      <c r="Z410" s="32">
        <f t="shared" si="68"/>
        <v>0</v>
      </c>
      <c r="AA410" s="38">
        <v>28</v>
      </c>
      <c r="AB410" s="37">
        <f>IFERROR(VLOOKUP(A410,'Tash Lookup'!A:E,3,FALSE),"")</f>
        <v>991.3</v>
      </c>
      <c r="AC410" s="6">
        <f t="shared" si="69"/>
        <v>0</v>
      </c>
      <c r="AD410" s="2" t="s">
        <v>6704</v>
      </c>
      <c r="AF410" s="56">
        <v>37.22</v>
      </c>
      <c r="AG410" s="56" t="e">
        <f>VLOOKUP(A410,Sheet1!$A$2:$C$1140,3,FALSE)</f>
        <v>#N/A</v>
      </c>
      <c r="AH410" s="58" t="e">
        <v>#N/A</v>
      </c>
      <c r="AI410" s="56" t="str">
        <f t="shared" si="70"/>
        <v>Delete</v>
      </c>
      <c r="AJ410" s="81">
        <f t="shared" si="74"/>
        <v>1042.1599999999999</v>
      </c>
      <c r="AK410" s="81">
        <f t="shared" si="75"/>
        <v>0</v>
      </c>
      <c r="AL410" s="58" t="s">
        <v>32</v>
      </c>
      <c r="AM410" s="58" t="s">
        <v>6708</v>
      </c>
      <c r="AN410" s="75">
        <v>0</v>
      </c>
      <c r="AO410" s="88">
        <v>37.22</v>
      </c>
      <c r="AP410" s="6" t="str">
        <f t="shared" si="71"/>
        <v>Same</v>
      </c>
      <c r="AQ410" s="81">
        <f t="shared" si="72"/>
        <v>0</v>
      </c>
      <c r="AR410" s="81">
        <f t="shared" si="73"/>
        <v>0</v>
      </c>
      <c r="AS410" s="81">
        <f t="shared" si="76"/>
        <v>0</v>
      </c>
    </row>
    <row r="411" spans="1:45" hidden="1" x14ac:dyDescent="0.3">
      <c r="A411">
        <v>5184501</v>
      </c>
      <c r="B411" s="15" t="s">
        <v>5747</v>
      </c>
      <c r="C411" s="16" t="s">
        <v>30</v>
      </c>
      <c r="D411" s="6" t="s">
        <v>31</v>
      </c>
      <c r="E411" t="s">
        <v>507</v>
      </c>
      <c r="F411" t="s">
        <v>507</v>
      </c>
      <c r="H411" s="11" t="s">
        <v>27</v>
      </c>
      <c r="I411" s="6" t="s">
        <v>28</v>
      </c>
      <c r="J411" s="6" t="s">
        <v>28</v>
      </c>
      <c r="K411" t="s">
        <v>32</v>
      </c>
      <c r="L411" s="35">
        <v>63.18</v>
      </c>
      <c r="M411" s="6" t="s">
        <v>29</v>
      </c>
      <c r="N411" s="6">
        <v>3105</v>
      </c>
      <c r="P411" s="18"/>
      <c r="Q411" s="17"/>
      <c r="R411" s="19">
        <v>63.18</v>
      </c>
      <c r="S411" s="19">
        <v>63.18</v>
      </c>
      <c r="T411" s="38">
        <v>28</v>
      </c>
      <c r="U411" s="38"/>
      <c r="V411" s="29">
        <v>63.18</v>
      </c>
      <c r="W411" s="35">
        <v>63.18</v>
      </c>
      <c r="X411" s="32">
        <f t="shared" si="66"/>
        <v>1769.04</v>
      </c>
      <c r="Y411" s="32">
        <f t="shared" si="67"/>
        <v>1769.04</v>
      </c>
      <c r="Z411" s="32">
        <f t="shared" si="68"/>
        <v>0</v>
      </c>
      <c r="AA411" s="38">
        <v>28</v>
      </c>
      <c r="AB411" s="37">
        <f>IFERROR(VLOOKUP(A411,'Tash Lookup'!A:E,3,FALSE),"")</f>
        <v>1730.2</v>
      </c>
      <c r="AC411" s="6">
        <f t="shared" si="69"/>
        <v>0</v>
      </c>
      <c r="AD411" s="2" t="s">
        <v>6703</v>
      </c>
      <c r="AF411" s="56">
        <v>66.78</v>
      </c>
      <c r="AG411" s="56">
        <f>VLOOKUP(A411,Sheet1!$A$2:$C$1140,3,FALSE)</f>
        <v>68.78</v>
      </c>
      <c r="AH411" s="58">
        <v>68.78</v>
      </c>
      <c r="AI411" s="56" t="str">
        <f t="shared" si="70"/>
        <v>Increase</v>
      </c>
      <c r="AJ411" s="81">
        <f t="shared" si="74"/>
        <v>1869.8400000000001</v>
      </c>
      <c r="AK411" s="81">
        <f t="shared" si="75"/>
        <v>1925.8400000000001</v>
      </c>
      <c r="AL411" s="58" t="s">
        <v>32</v>
      </c>
      <c r="AM411" s="58" t="s">
        <v>6703</v>
      </c>
      <c r="AN411" s="75">
        <v>4</v>
      </c>
      <c r="AO411" s="88">
        <v>68.78</v>
      </c>
      <c r="AP411" s="6" t="str">
        <f t="shared" si="71"/>
        <v>Increase</v>
      </c>
      <c r="AQ411" s="81">
        <f t="shared" si="72"/>
        <v>267.12</v>
      </c>
      <c r="AR411" s="81">
        <f t="shared" si="73"/>
        <v>275.12</v>
      </c>
      <c r="AS411" s="82">
        <f t="shared" si="76"/>
        <v>8</v>
      </c>
    </row>
    <row r="412" spans="1:45" hidden="1" x14ac:dyDescent="0.3">
      <c r="A412">
        <v>6344657</v>
      </c>
      <c r="B412" s="15" t="s">
        <v>5748</v>
      </c>
      <c r="C412" s="16" t="s">
        <v>30</v>
      </c>
      <c r="D412" s="6" t="s">
        <v>31</v>
      </c>
      <c r="E412" t="s">
        <v>739</v>
      </c>
      <c r="F412" t="s">
        <v>739</v>
      </c>
      <c r="H412" s="11" t="s">
        <v>27</v>
      </c>
      <c r="I412" s="6" t="s">
        <v>28</v>
      </c>
      <c r="J412" s="6" t="s">
        <v>28</v>
      </c>
      <c r="K412" t="s">
        <v>32</v>
      </c>
      <c r="L412" s="35">
        <v>16.97</v>
      </c>
      <c r="M412" s="6" t="s">
        <v>29</v>
      </c>
      <c r="N412" s="6">
        <v>3105</v>
      </c>
      <c r="P412" s="18"/>
      <c r="Q412" s="17"/>
      <c r="R412" s="19">
        <v>18.670000000000002</v>
      </c>
      <c r="S412" s="19">
        <v>0</v>
      </c>
      <c r="T412" s="38">
        <v>27</v>
      </c>
      <c r="U412" s="38"/>
      <c r="V412" s="30">
        <v>18.670000000000002</v>
      </c>
      <c r="W412" s="35">
        <v>16.97</v>
      </c>
      <c r="X412" s="32">
        <f t="shared" si="66"/>
        <v>504.09000000000003</v>
      </c>
      <c r="Y412" s="32">
        <f t="shared" si="67"/>
        <v>458.18999999999994</v>
      </c>
      <c r="Z412" s="32">
        <f t="shared" si="68"/>
        <v>45.900000000000091</v>
      </c>
      <c r="AA412" s="38">
        <v>27</v>
      </c>
      <c r="AB412" s="37">
        <f>IFERROR(VLOOKUP(A412,'Tash Lookup'!A:E,3,FALSE),"")</f>
        <v>451.12</v>
      </c>
      <c r="AC412" s="6">
        <f t="shared" si="69"/>
        <v>0</v>
      </c>
      <c r="AD412" s="2" t="s">
        <v>6703</v>
      </c>
      <c r="AF412" s="56">
        <v>18.670000000000002</v>
      </c>
      <c r="AG412" s="56">
        <f>VLOOKUP(A412,Sheet1!$A$2:$C$1140,3,FALSE)</f>
        <v>19.05</v>
      </c>
      <c r="AH412" s="58">
        <v>19.05</v>
      </c>
      <c r="AI412" s="56" t="str">
        <f t="shared" si="70"/>
        <v>Increase</v>
      </c>
      <c r="AJ412" s="81">
        <f t="shared" si="74"/>
        <v>504.09000000000003</v>
      </c>
      <c r="AK412" s="81">
        <f t="shared" si="75"/>
        <v>514.35</v>
      </c>
      <c r="AL412" s="58" t="s">
        <v>7206</v>
      </c>
      <c r="AM412" s="58" t="s">
        <v>6703</v>
      </c>
      <c r="AN412" s="75">
        <v>12</v>
      </c>
      <c r="AO412" s="88">
        <v>19.05</v>
      </c>
      <c r="AP412" s="6" t="str">
        <f t="shared" si="71"/>
        <v>Increase</v>
      </c>
      <c r="AQ412" s="81">
        <f t="shared" si="72"/>
        <v>224.04000000000002</v>
      </c>
      <c r="AR412" s="81">
        <f t="shared" si="73"/>
        <v>228.60000000000002</v>
      </c>
      <c r="AS412" s="82">
        <f t="shared" si="76"/>
        <v>4.5600000000000023</v>
      </c>
    </row>
    <row r="413" spans="1:45" hidden="1" x14ac:dyDescent="0.3">
      <c r="A413">
        <v>5082008</v>
      </c>
      <c r="B413" s="15" t="s">
        <v>5749</v>
      </c>
      <c r="C413" s="16" t="s">
        <v>30</v>
      </c>
      <c r="D413" s="6" t="s">
        <v>31</v>
      </c>
      <c r="E413" t="s">
        <v>484</v>
      </c>
      <c r="F413" t="s">
        <v>484</v>
      </c>
      <c r="H413" s="11" t="s">
        <v>27</v>
      </c>
      <c r="I413" s="6" t="s">
        <v>28</v>
      </c>
      <c r="J413" s="6" t="s">
        <v>28</v>
      </c>
      <c r="K413" t="s">
        <v>32</v>
      </c>
      <c r="L413" s="35">
        <v>23.61</v>
      </c>
      <c r="M413" s="6" t="s">
        <v>29</v>
      </c>
      <c r="N413" s="6">
        <v>3105</v>
      </c>
      <c r="P413" s="18"/>
      <c r="Q413" s="17"/>
      <c r="R413" s="19">
        <v>23.61</v>
      </c>
      <c r="S413" s="19">
        <v>23.61</v>
      </c>
      <c r="T413" s="38">
        <v>27</v>
      </c>
      <c r="U413" s="38"/>
      <c r="V413" s="29">
        <v>23.61</v>
      </c>
      <c r="W413" s="35">
        <v>23.61</v>
      </c>
      <c r="X413" s="32">
        <f t="shared" si="66"/>
        <v>637.47</v>
      </c>
      <c r="Y413" s="32">
        <f t="shared" si="67"/>
        <v>637.47</v>
      </c>
      <c r="Z413" s="32">
        <f t="shared" si="68"/>
        <v>0</v>
      </c>
      <c r="AA413" s="38">
        <v>27</v>
      </c>
      <c r="AB413" s="37">
        <f>IFERROR(VLOOKUP(A413,'Tash Lookup'!A:E,3,FALSE),"")</f>
        <v>637.38</v>
      </c>
      <c r="AC413" s="6">
        <f t="shared" si="69"/>
        <v>0</v>
      </c>
      <c r="AD413" s="2" t="s">
        <v>6703</v>
      </c>
      <c r="AF413" s="56">
        <v>24.09</v>
      </c>
      <c r="AG413" s="56">
        <f>VLOOKUP(A413,Sheet1!$A$2:$C$1140,3,FALSE)</f>
        <v>24.81</v>
      </c>
      <c r="AH413" s="58">
        <v>24.81</v>
      </c>
      <c r="AI413" s="56" t="str">
        <f t="shared" si="70"/>
        <v>Increase</v>
      </c>
      <c r="AJ413" s="81">
        <f t="shared" si="74"/>
        <v>650.42999999999995</v>
      </c>
      <c r="AK413" s="81">
        <f t="shared" si="75"/>
        <v>669.87</v>
      </c>
      <c r="AL413" s="58" t="s">
        <v>32</v>
      </c>
      <c r="AM413" s="58" t="s">
        <v>6703</v>
      </c>
      <c r="AN413" s="75">
        <v>22</v>
      </c>
      <c r="AO413" s="88">
        <v>24.81</v>
      </c>
      <c r="AP413" s="6" t="str">
        <f t="shared" si="71"/>
        <v>Increase</v>
      </c>
      <c r="AQ413" s="81">
        <f t="shared" si="72"/>
        <v>529.98</v>
      </c>
      <c r="AR413" s="81">
        <f t="shared" si="73"/>
        <v>545.81999999999994</v>
      </c>
      <c r="AS413" s="82">
        <f t="shared" si="76"/>
        <v>15.839999999999918</v>
      </c>
    </row>
    <row r="414" spans="1:45" hidden="1" x14ac:dyDescent="0.3">
      <c r="A414">
        <v>5092830</v>
      </c>
      <c r="B414" s="15" t="s">
        <v>5750</v>
      </c>
      <c r="C414" s="16" t="s">
        <v>30</v>
      </c>
      <c r="D414" s="6" t="s">
        <v>31</v>
      </c>
      <c r="E414" t="s">
        <v>982</v>
      </c>
      <c r="F414" t="s">
        <v>982</v>
      </c>
      <c r="H414" s="11" t="s">
        <v>27</v>
      </c>
      <c r="I414" s="6" t="s">
        <v>28</v>
      </c>
      <c r="J414" s="6" t="s">
        <v>28</v>
      </c>
      <c r="K414" t="s">
        <v>32</v>
      </c>
      <c r="L414" s="35">
        <v>17.579999999999998</v>
      </c>
      <c r="M414" s="6" t="s">
        <v>29</v>
      </c>
      <c r="N414" s="6">
        <v>3105</v>
      </c>
      <c r="P414" s="18"/>
      <c r="Q414" s="17"/>
      <c r="R414" s="19">
        <v>17.579999999999998</v>
      </c>
      <c r="S414" s="19">
        <v>17.579999999999998</v>
      </c>
      <c r="T414" s="38">
        <v>27</v>
      </c>
      <c r="U414" s="38"/>
      <c r="V414" s="30">
        <v>17.579999999999998</v>
      </c>
      <c r="W414" s="35">
        <v>17.579999999999998</v>
      </c>
      <c r="X414" s="32">
        <f t="shared" si="66"/>
        <v>474.65999999999997</v>
      </c>
      <c r="Y414" s="32">
        <f t="shared" si="67"/>
        <v>474.65999999999997</v>
      </c>
      <c r="Z414" s="32">
        <f t="shared" si="68"/>
        <v>0</v>
      </c>
      <c r="AA414" s="38">
        <v>27</v>
      </c>
      <c r="AB414" s="37">
        <f>IFERROR(VLOOKUP(A414,'Tash Lookup'!A:E,3,FALSE),"")</f>
        <v>474.6</v>
      </c>
      <c r="AC414" s="6">
        <f t="shared" si="69"/>
        <v>0</v>
      </c>
      <c r="AD414" s="2" t="s">
        <v>6703</v>
      </c>
      <c r="AF414" s="56">
        <v>15.9</v>
      </c>
      <c r="AG414" s="56">
        <f>VLOOKUP(A414,Sheet1!$A$2:$C$1140,3,FALSE)</f>
        <v>15.9</v>
      </c>
      <c r="AH414" s="58">
        <v>15.9</v>
      </c>
      <c r="AI414" s="56" t="str">
        <f t="shared" si="70"/>
        <v>Same</v>
      </c>
      <c r="AJ414" s="81">
        <f t="shared" si="74"/>
        <v>429.3</v>
      </c>
      <c r="AK414" s="81">
        <f t="shared" si="75"/>
        <v>429.3</v>
      </c>
      <c r="AL414" s="58" t="s">
        <v>7206</v>
      </c>
      <c r="AM414" s="58" t="s">
        <v>6703</v>
      </c>
      <c r="AN414" s="75">
        <v>26</v>
      </c>
      <c r="AO414" s="88">
        <v>15.9</v>
      </c>
      <c r="AP414" s="6" t="str">
        <f t="shared" si="71"/>
        <v>Same</v>
      </c>
      <c r="AQ414" s="81">
        <f t="shared" si="72"/>
        <v>413.40000000000003</v>
      </c>
      <c r="AR414" s="81">
        <f t="shared" si="73"/>
        <v>413.40000000000003</v>
      </c>
      <c r="AS414" s="81">
        <f t="shared" si="76"/>
        <v>0</v>
      </c>
    </row>
    <row r="415" spans="1:45" hidden="1" x14ac:dyDescent="0.3">
      <c r="A415">
        <v>5084998</v>
      </c>
      <c r="B415" s="15" t="s">
        <v>5751</v>
      </c>
      <c r="C415" s="16" t="s">
        <v>30</v>
      </c>
      <c r="D415" s="6" t="s">
        <v>31</v>
      </c>
      <c r="E415" t="s">
        <v>1104</v>
      </c>
      <c r="F415" t="s">
        <v>1104</v>
      </c>
      <c r="H415" s="11" t="s">
        <v>27</v>
      </c>
      <c r="I415" s="6" t="s">
        <v>28</v>
      </c>
      <c r="J415" s="6" t="s">
        <v>28</v>
      </c>
      <c r="K415" t="s">
        <v>32</v>
      </c>
      <c r="L415" s="35">
        <v>6.22</v>
      </c>
      <c r="M415" s="6" t="s">
        <v>29</v>
      </c>
      <c r="N415" s="6">
        <v>3105</v>
      </c>
      <c r="P415" s="18"/>
      <c r="Q415" s="17"/>
      <c r="R415" s="19">
        <v>6.22</v>
      </c>
      <c r="S415" s="19">
        <v>6.22</v>
      </c>
      <c r="T415" s="38">
        <v>27</v>
      </c>
      <c r="U415" s="38"/>
      <c r="V415" s="30">
        <v>6.22</v>
      </c>
      <c r="W415" s="35">
        <v>6.22</v>
      </c>
      <c r="X415" s="32">
        <f t="shared" si="66"/>
        <v>167.94</v>
      </c>
      <c r="Y415" s="32">
        <f t="shared" si="67"/>
        <v>167.94</v>
      </c>
      <c r="Z415" s="32">
        <f t="shared" si="68"/>
        <v>0</v>
      </c>
      <c r="AA415" s="38">
        <v>27</v>
      </c>
      <c r="AB415" s="37">
        <f>IFERROR(VLOOKUP(A415,'Tash Lookup'!A:E,3,FALSE),"")</f>
        <v>166.1</v>
      </c>
      <c r="AC415" s="6">
        <f t="shared" si="69"/>
        <v>0</v>
      </c>
      <c r="AD415" s="2" t="s">
        <v>6703</v>
      </c>
      <c r="AF415" s="56">
        <v>6.95</v>
      </c>
      <c r="AG415" s="56">
        <f>VLOOKUP(A415,Sheet1!$A$2:$C$1140,3,FALSE)</f>
        <v>6.95</v>
      </c>
      <c r="AH415" s="58">
        <v>6.95</v>
      </c>
      <c r="AI415" s="56" t="str">
        <f t="shared" si="70"/>
        <v>Same</v>
      </c>
      <c r="AJ415" s="81">
        <f t="shared" si="74"/>
        <v>187.65</v>
      </c>
      <c r="AK415" s="81">
        <f t="shared" si="75"/>
        <v>187.65</v>
      </c>
      <c r="AL415" s="58" t="s">
        <v>7206</v>
      </c>
      <c r="AM415" s="58" t="s">
        <v>6703</v>
      </c>
      <c r="AN415" s="75">
        <v>22</v>
      </c>
      <c r="AO415" s="88">
        <v>6.95</v>
      </c>
      <c r="AP415" s="6" t="str">
        <f t="shared" si="71"/>
        <v>Same</v>
      </c>
      <c r="AQ415" s="81">
        <f t="shared" si="72"/>
        <v>152.9</v>
      </c>
      <c r="AR415" s="81">
        <f t="shared" si="73"/>
        <v>152.9</v>
      </c>
      <c r="AS415" s="81">
        <f t="shared" si="76"/>
        <v>0</v>
      </c>
    </row>
    <row r="416" spans="1:45" hidden="1" x14ac:dyDescent="0.3">
      <c r="A416">
        <v>6183865</v>
      </c>
      <c r="B416" s="15" t="s">
        <v>5752</v>
      </c>
      <c r="C416" s="16" t="s">
        <v>30</v>
      </c>
      <c r="D416" s="6" t="s">
        <v>31</v>
      </c>
      <c r="E416" t="s">
        <v>877</v>
      </c>
      <c r="F416" t="s">
        <v>877</v>
      </c>
      <c r="H416" s="11" t="s">
        <v>27</v>
      </c>
      <c r="I416" s="6" t="s">
        <v>28</v>
      </c>
      <c r="J416" s="6" t="s">
        <v>28</v>
      </c>
      <c r="K416" t="s">
        <v>32</v>
      </c>
      <c r="L416" s="35">
        <v>6.52</v>
      </c>
      <c r="M416" s="6" t="s">
        <v>29</v>
      </c>
      <c r="N416" s="6">
        <v>3105</v>
      </c>
      <c r="P416" s="18"/>
      <c r="Q416" s="17"/>
      <c r="R416" s="19">
        <v>6.52</v>
      </c>
      <c r="S416" s="19">
        <v>6.52</v>
      </c>
      <c r="T416" s="38">
        <v>27</v>
      </c>
      <c r="U416" s="38"/>
      <c r="V416" s="30">
        <v>6.52</v>
      </c>
      <c r="W416" s="35">
        <v>6.52</v>
      </c>
      <c r="X416" s="32">
        <f t="shared" si="66"/>
        <v>176.04</v>
      </c>
      <c r="Y416" s="32">
        <f t="shared" si="67"/>
        <v>176.04</v>
      </c>
      <c r="Z416" s="32">
        <f t="shared" si="68"/>
        <v>0</v>
      </c>
      <c r="AA416" s="38">
        <v>27</v>
      </c>
      <c r="AB416" s="37">
        <f>IFERROR(VLOOKUP(A416,'Tash Lookup'!A:E,3,FALSE),"")</f>
        <v>174.3</v>
      </c>
      <c r="AC416" s="6">
        <f t="shared" si="69"/>
        <v>0</v>
      </c>
      <c r="AD416" s="2" t="s">
        <v>6703</v>
      </c>
      <c r="AF416" s="56">
        <v>6.52</v>
      </c>
      <c r="AG416" s="56">
        <f>VLOOKUP(A416,Sheet1!$A$2:$C$1140,3,FALSE)</f>
        <v>6.65</v>
      </c>
      <c r="AH416" s="58">
        <v>6.65</v>
      </c>
      <c r="AI416" s="56" t="str">
        <f t="shared" si="70"/>
        <v>Increase</v>
      </c>
      <c r="AJ416" s="81">
        <f t="shared" si="74"/>
        <v>176.04</v>
      </c>
      <c r="AK416" s="81">
        <f t="shared" si="75"/>
        <v>179.55</v>
      </c>
      <c r="AL416" s="58" t="s">
        <v>7206</v>
      </c>
      <c r="AM416" s="58" t="s">
        <v>6703</v>
      </c>
      <c r="AN416" s="75">
        <v>11</v>
      </c>
      <c r="AO416" s="88">
        <v>6.65</v>
      </c>
      <c r="AP416" s="6" t="str">
        <f t="shared" si="71"/>
        <v>Increase</v>
      </c>
      <c r="AQ416" s="81">
        <f t="shared" si="72"/>
        <v>71.72</v>
      </c>
      <c r="AR416" s="81">
        <f t="shared" si="73"/>
        <v>73.150000000000006</v>
      </c>
      <c r="AS416" s="82">
        <f t="shared" si="76"/>
        <v>1.4300000000000068</v>
      </c>
    </row>
    <row r="417" spans="1:45" hidden="1" x14ac:dyDescent="0.3">
      <c r="A417">
        <v>6183903</v>
      </c>
      <c r="B417" s="15" t="s">
        <v>5753</v>
      </c>
      <c r="C417" s="16" t="s">
        <v>30</v>
      </c>
      <c r="D417" s="6" t="s">
        <v>31</v>
      </c>
      <c r="E417" t="s">
        <v>850</v>
      </c>
      <c r="F417" t="s">
        <v>850</v>
      </c>
      <c r="H417" s="11" t="s">
        <v>27</v>
      </c>
      <c r="I417" s="6" t="s">
        <v>28</v>
      </c>
      <c r="J417" s="6" t="s">
        <v>28</v>
      </c>
      <c r="K417" t="s">
        <v>32</v>
      </c>
      <c r="L417" s="35">
        <v>13.45</v>
      </c>
      <c r="M417" s="6" t="s">
        <v>29</v>
      </c>
      <c r="N417" s="6">
        <v>3105</v>
      </c>
      <c r="P417" s="18"/>
      <c r="Q417" s="17"/>
      <c r="R417" s="19">
        <v>13.45</v>
      </c>
      <c r="S417" s="19">
        <v>13.45</v>
      </c>
      <c r="T417" s="38">
        <v>26</v>
      </c>
      <c r="U417" s="38"/>
      <c r="V417" s="30">
        <v>13.45</v>
      </c>
      <c r="W417" s="35">
        <v>13.45</v>
      </c>
      <c r="X417" s="32">
        <f t="shared" si="66"/>
        <v>349.7</v>
      </c>
      <c r="Y417" s="32">
        <f t="shared" si="67"/>
        <v>349.7</v>
      </c>
      <c r="Z417" s="32">
        <f t="shared" si="68"/>
        <v>0</v>
      </c>
      <c r="AA417" s="38">
        <v>26</v>
      </c>
      <c r="AB417" s="37">
        <f>IFERROR(VLOOKUP(A417,'Tash Lookup'!A:E,3,FALSE),"")</f>
        <v>345.72</v>
      </c>
      <c r="AC417" s="6">
        <f t="shared" si="69"/>
        <v>0</v>
      </c>
      <c r="AD417" s="2" t="s">
        <v>6703</v>
      </c>
      <c r="AF417" s="56">
        <v>13.45</v>
      </c>
      <c r="AG417" s="56">
        <f>VLOOKUP(A417,Sheet1!$A$2:$C$1140,3,FALSE)</f>
        <v>13.72</v>
      </c>
      <c r="AH417" s="58">
        <v>13.72</v>
      </c>
      <c r="AI417" s="56" t="str">
        <f t="shared" si="70"/>
        <v>Increase</v>
      </c>
      <c r="AJ417" s="81">
        <f t="shared" si="74"/>
        <v>349.7</v>
      </c>
      <c r="AK417" s="81">
        <f t="shared" si="75"/>
        <v>356.72</v>
      </c>
      <c r="AL417" s="58" t="s">
        <v>7206</v>
      </c>
      <c r="AM417" s="58" t="s">
        <v>6703</v>
      </c>
      <c r="AN417" s="75">
        <v>10</v>
      </c>
      <c r="AO417" s="88">
        <v>13.72</v>
      </c>
      <c r="AP417" s="6" t="str">
        <f t="shared" si="71"/>
        <v>Increase</v>
      </c>
      <c r="AQ417" s="81">
        <f t="shared" si="72"/>
        <v>134.5</v>
      </c>
      <c r="AR417" s="81">
        <f t="shared" si="73"/>
        <v>137.20000000000002</v>
      </c>
      <c r="AS417" s="82">
        <f t="shared" si="76"/>
        <v>2.7000000000000171</v>
      </c>
    </row>
    <row r="418" spans="1:45" hidden="1" x14ac:dyDescent="0.3">
      <c r="A418">
        <v>6383049</v>
      </c>
      <c r="B418" s="15" t="s">
        <v>5754</v>
      </c>
      <c r="C418" s="16" t="s">
        <v>30</v>
      </c>
      <c r="D418" s="6" t="s">
        <v>31</v>
      </c>
      <c r="E418" t="s">
        <v>2555</v>
      </c>
      <c r="F418" t="s">
        <v>2555</v>
      </c>
      <c r="H418" s="11" t="s">
        <v>27</v>
      </c>
      <c r="I418" s="6" t="s">
        <v>28</v>
      </c>
      <c r="J418" s="6" t="s">
        <v>28</v>
      </c>
      <c r="K418" t="s">
        <v>32</v>
      </c>
      <c r="L418" s="35">
        <v>5.37</v>
      </c>
      <c r="M418" s="6" t="s">
        <v>29</v>
      </c>
      <c r="N418" s="6">
        <v>3105</v>
      </c>
      <c r="P418" s="18"/>
      <c r="Q418" s="17"/>
      <c r="R418" s="19">
        <v>5.37</v>
      </c>
      <c r="S418" s="19">
        <v>5.37</v>
      </c>
      <c r="T418" s="38">
        <v>26</v>
      </c>
      <c r="U418" s="38"/>
      <c r="V418" s="30">
        <v>5.37</v>
      </c>
      <c r="W418" s="35">
        <v>5.37</v>
      </c>
      <c r="X418" s="32">
        <f t="shared" si="66"/>
        <v>139.62</v>
      </c>
      <c r="Y418" s="32">
        <f t="shared" si="67"/>
        <v>139.62</v>
      </c>
      <c r="Z418" s="32">
        <f t="shared" si="68"/>
        <v>0</v>
      </c>
      <c r="AA418" s="38">
        <v>26</v>
      </c>
      <c r="AB418" s="37">
        <f>IFERROR(VLOOKUP(A418,'Tash Lookup'!A:E,3,FALSE),"")</f>
        <v>139.16</v>
      </c>
      <c r="AC418" s="6">
        <f t="shared" si="69"/>
        <v>0</v>
      </c>
      <c r="AD418" s="2" t="s">
        <v>6703</v>
      </c>
      <c r="AF418" s="56">
        <v>5.37</v>
      </c>
      <c r="AG418" s="56">
        <f>VLOOKUP(A418,Sheet1!$A$2:$C$1140,3,FALSE)</f>
        <v>5.48</v>
      </c>
      <c r="AH418" s="58">
        <v>5.48</v>
      </c>
      <c r="AI418" s="56" t="str">
        <f t="shared" si="70"/>
        <v>Increase</v>
      </c>
      <c r="AJ418" s="81">
        <f t="shared" si="74"/>
        <v>139.62</v>
      </c>
      <c r="AK418" s="81">
        <f t="shared" si="75"/>
        <v>142.48000000000002</v>
      </c>
      <c r="AL418" s="58" t="s">
        <v>7206</v>
      </c>
      <c r="AM418" s="58" t="s">
        <v>6703</v>
      </c>
      <c r="AN418" s="75">
        <v>21</v>
      </c>
      <c r="AO418" s="88">
        <v>5.48</v>
      </c>
      <c r="AP418" s="6" t="str">
        <f t="shared" si="71"/>
        <v>Increase</v>
      </c>
      <c r="AQ418" s="81">
        <f t="shared" si="72"/>
        <v>112.77</v>
      </c>
      <c r="AR418" s="81">
        <f t="shared" si="73"/>
        <v>115.08000000000001</v>
      </c>
      <c r="AS418" s="82">
        <f t="shared" si="76"/>
        <v>2.3100000000000165</v>
      </c>
    </row>
    <row r="419" spans="1:45" hidden="1" x14ac:dyDescent="0.3">
      <c r="A419">
        <v>6392934</v>
      </c>
      <c r="B419" s="15" t="s">
        <v>5755</v>
      </c>
      <c r="C419" s="16" t="s">
        <v>30</v>
      </c>
      <c r="D419" s="6" t="s">
        <v>31</v>
      </c>
      <c r="E419" t="s">
        <v>830</v>
      </c>
      <c r="F419" t="s">
        <v>830</v>
      </c>
      <c r="H419" s="11" t="s">
        <v>27</v>
      </c>
      <c r="I419" s="6" t="s">
        <v>28</v>
      </c>
      <c r="J419" s="6" t="s">
        <v>28</v>
      </c>
      <c r="K419" t="s">
        <v>32</v>
      </c>
      <c r="L419" s="35">
        <v>8.59</v>
      </c>
      <c r="M419" s="6" t="s">
        <v>29</v>
      </c>
      <c r="N419" s="6">
        <v>3105</v>
      </c>
      <c r="P419" s="18"/>
      <c r="Q419" s="17"/>
      <c r="R419" s="19">
        <v>8.59</v>
      </c>
      <c r="S419" s="19">
        <v>8.59</v>
      </c>
      <c r="T419" s="38">
        <v>26</v>
      </c>
      <c r="U419" s="38"/>
      <c r="V419" s="30">
        <v>8.59</v>
      </c>
      <c r="W419" s="35">
        <v>8.59</v>
      </c>
      <c r="X419" s="32">
        <f t="shared" si="66"/>
        <v>223.34</v>
      </c>
      <c r="Y419" s="32">
        <f t="shared" si="67"/>
        <v>223.34</v>
      </c>
      <c r="Z419" s="32">
        <f t="shared" si="68"/>
        <v>0</v>
      </c>
      <c r="AA419" s="38">
        <v>26</v>
      </c>
      <c r="AB419" s="37">
        <f>IFERROR(VLOOKUP(A419,'Tash Lookup'!A:E,3,FALSE),"")</f>
        <v>215.97</v>
      </c>
      <c r="AC419" s="6">
        <f t="shared" si="69"/>
        <v>0</v>
      </c>
      <c r="AD419" s="2" t="s">
        <v>6708</v>
      </c>
      <c r="AF419" s="56">
        <v>8.59</v>
      </c>
      <c r="AG419" s="56" t="e">
        <f>VLOOKUP(A419,Sheet1!$A$2:$C$1140,3,FALSE)</f>
        <v>#N/A</v>
      </c>
      <c r="AH419" s="58" t="e">
        <v>#N/A</v>
      </c>
      <c r="AI419" s="56" t="str">
        <f t="shared" si="70"/>
        <v>Delete</v>
      </c>
      <c r="AJ419" s="81">
        <f t="shared" si="74"/>
        <v>223.34</v>
      </c>
      <c r="AK419" s="81">
        <f t="shared" si="75"/>
        <v>0</v>
      </c>
      <c r="AL419" s="58" t="s">
        <v>7206</v>
      </c>
      <c r="AM419" s="58" t="s">
        <v>6708</v>
      </c>
      <c r="AN419" s="75">
        <v>0</v>
      </c>
      <c r="AO419" s="88">
        <v>8.59</v>
      </c>
      <c r="AP419" s="6" t="str">
        <f t="shared" si="71"/>
        <v>Same</v>
      </c>
      <c r="AQ419" s="81">
        <f t="shared" si="72"/>
        <v>0</v>
      </c>
      <c r="AR419" s="81">
        <f t="shared" si="73"/>
        <v>0</v>
      </c>
      <c r="AS419" s="81">
        <f t="shared" si="76"/>
        <v>0</v>
      </c>
    </row>
    <row r="420" spans="1:45" hidden="1" x14ac:dyDescent="0.3">
      <c r="A420">
        <v>6183852</v>
      </c>
      <c r="B420" s="15" t="s">
        <v>5756</v>
      </c>
      <c r="C420" s="16" t="s">
        <v>30</v>
      </c>
      <c r="D420" s="6" t="s">
        <v>31</v>
      </c>
      <c r="E420" t="s">
        <v>2557</v>
      </c>
      <c r="F420" t="s">
        <v>2557</v>
      </c>
      <c r="H420" s="11" t="s">
        <v>27</v>
      </c>
      <c r="I420" s="6" t="s">
        <v>28</v>
      </c>
      <c r="J420" s="6" t="s">
        <v>28</v>
      </c>
      <c r="K420" t="s">
        <v>32</v>
      </c>
      <c r="L420" s="35">
        <v>1.34</v>
      </c>
      <c r="M420" s="6" t="s">
        <v>29</v>
      </c>
      <c r="N420" s="6">
        <v>3105</v>
      </c>
      <c r="P420" s="18"/>
      <c r="Q420" s="17"/>
      <c r="R420" s="19">
        <v>3.42</v>
      </c>
      <c r="S420" s="19">
        <v>3.42</v>
      </c>
      <c r="T420" s="38">
        <v>26</v>
      </c>
      <c r="U420" s="38"/>
      <c r="V420" s="30">
        <v>3.42</v>
      </c>
      <c r="W420" s="35">
        <v>1.34</v>
      </c>
      <c r="X420" s="32">
        <f t="shared" si="66"/>
        <v>88.92</v>
      </c>
      <c r="Y420" s="32">
        <f t="shared" si="67"/>
        <v>34.840000000000003</v>
      </c>
      <c r="Z420" s="32">
        <f t="shared" si="68"/>
        <v>54.08</v>
      </c>
      <c r="AA420" s="38">
        <v>26</v>
      </c>
      <c r="AB420" s="37">
        <f>IFERROR(VLOOKUP(A420,'Tash Lookup'!A:E,3,FALSE),"")</f>
        <v>34.65</v>
      </c>
      <c r="AC420" s="6">
        <f t="shared" si="69"/>
        <v>0</v>
      </c>
      <c r="AD420" s="2" t="s">
        <v>6703</v>
      </c>
      <c r="AF420" s="56">
        <v>1.03</v>
      </c>
      <c r="AG420" s="56">
        <f>VLOOKUP(A420,Sheet1!$A$2:$C$1140,3,FALSE)</f>
        <v>1.05</v>
      </c>
      <c r="AH420" s="58">
        <v>1.05</v>
      </c>
      <c r="AI420" s="56" t="str">
        <f t="shared" si="70"/>
        <v>Increase</v>
      </c>
      <c r="AJ420" s="81">
        <f t="shared" si="74"/>
        <v>26.78</v>
      </c>
      <c r="AK420" s="81">
        <f t="shared" si="75"/>
        <v>27.3</v>
      </c>
      <c r="AL420" s="58" t="s">
        <v>7206</v>
      </c>
      <c r="AM420" s="58" t="s">
        <v>6703</v>
      </c>
      <c r="AN420" s="75">
        <v>22</v>
      </c>
      <c r="AO420" s="88">
        <v>1.05</v>
      </c>
      <c r="AP420" s="6" t="str">
        <f t="shared" si="71"/>
        <v>Increase</v>
      </c>
      <c r="AQ420" s="81">
        <f t="shared" si="72"/>
        <v>22.66</v>
      </c>
      <c r="AR420" s="81">
        <f t="shared" si="73"/>
        <v>23.1</v>
      </c>
      <c r="AS420" s="82">
        <f t="shared" si="76"/>
        <v>0.44000000000000128</v>
      </c>
    </row>
    <row r="421" spans="1:45" hidden="1" x14ac:dyDescent="0.3">
      <c r="A421">
        <v>5242831</v>
      </c>
      <c r="B421" s="15" t="s">
        <v>5757</v>
      </c>
      <c r="C421" s="16" t="s">
        <v>30</v>
      </c>
      <c r="D421" s="6" t="s">
        <v>31</v>
      </c>
      <c r="E421" t="s">
        <v>40</v>
      </c>
      <c r="F421" t="s">
        <v>40</v>
      </c>
      <c r="H421" s="11" t="s">
        <v>27</v>
      </c>
      <c r="I421" s="6" t="s">
        <v>28</v>
      </c>
      <c r="J421" s="6" t="s">
        <v>28</v>
      </c>
      <c r="K421" t="s">
        <v>32</v>
      </c>
      <c r="L421" s="35">
        <v>34.6</v>
      </c>
      <c r="M421" s="6" t="s">
        <v>29</v>
      </c>
      <c r="N421" s="6">
        <v>3105</v>
      </c>
      <c r="P421" s="18"/>
      <c r="Q421" s="17"/>
      <c r="R421" s="19">
        <v>34.6</v>
      </c>
      <c r="S421" s="19">
        <v>34.6</v>
      </c>
      <c r="T421" s="38">
        <v>25</v>
      </c>
      <c r="U421" s="38"/>
      <c r="V421" s="29">
        <v>34.6</v>
      </c>
      <c r="W421" s="45">
        <v>25.52</v>
      </c>
      <c r="X421" s="32">
        <f t="shared" si="66"/>
        <v>865</v>
      </c>
      <c r="Y421" s="32">
        <f t="shared" si="67"/>
        <v>865</v>
      </c>
      <c r="Z421" s="32">
        <f t="shared" si="68"/>
        <v>0</v>
      </c>
      <c r="AA421" s="38">
        <v>25</v>
      </c>
      <c r="AB421" s="37">
        <f>IFERROR(VLOOKUP(A421,'Tash Lookup'!A:E,3,FALSE),"")</f>
        <v>703.26</v>
      </c>
      <c r="AC421" s="6">
        <f t="shared" si="69"/>
        <v>0</v>
      </c>
      <c r="AD421" s="2" t="s">
        <v>6703</v>
      </c>
      <c r="AF421" s="56">
        <v>34.97</v>
      </c>
      <c r="AG421" s="56">
        <f>VLOOKUP(A421,Sheet1!$A$2:$C$1140,3,FALSE)</f>
        <v>34.97</v>
      </c>
      <c r="AH421" s="58">
        <v>34.97</v>
      </c>
      <c r="AI421" s="56" t="str">
        <f t="shared" si="70"/>
        <v>Same</v>
      </c>
      <c r="AJ421" s="81">
        <f t="shared" si="74"/>
        <v>874.25</v>
      </c>
      <c r="AK421" s="81">
        <f t="shared" si="75"/>
        <v>874.25</v>
      </c>
      <c r="AL421" s="58" t="s">
        <v>32</v>
      </c>
      <c r="AM421" s="58" t="s">
        <v>6703</v>
      </c>
      <c r="AN421" s="75">
        <v>35</v>
      </c>
      <c r="AO421" s="88">
        <v>34.97</v>
      </c>
      <c r="AP421" s="6" t="str">
        <f t="shared" si="71"/>
        <v>Same</v>
      </c>
      <c r="AQ421" s="81">
        <f t="shared" si="72"/>
        <v>1223.95</v>
      </c>
      <c r="AR421" s="81">
        <f t="shared" si="73"/>
        <v>1223.95</v>
      </c>
      <c r="AS421" s="81">
        <f t="shared" si="76"/>
        <v>0</v>
      </c>
    </row>
    <row r="422" spans="1:45" hidden="1" x14ac:dyDescent="0.3">
      <c r="A422">
        <v>6396944</v>
      </c>
      <c r="B422" s="15" t="s">
        <v>5758</v>
      </c>
      <c r="C422" s="16" t="s">
        <v>30</v>
      </c>
      <c r="D422" s="6" t="s">
        <v>31</v>
      </c>
      <c r="E422" t="s">
        <v>1092</v>
      </c>
      <c r="F422" t="s">
        <v>1092</v>
      </c>
      <c r="H422" s="11" t="s">
        <v>27</v>
      </c>
      <c r="I422" s="6" t="s">
        <v>28</v>
      </c>
      <c r="J422" s="6" t="s">
        <v>28</v>
      </c>
      <c r="K422" t="s">
        <v>32</v>
      </c>
      <c r="L422" s="35">
        <v>60.19</v>
      </c>
      <c r="M422" s="6" t="s">
        <v>29</v>
      </c>
      <c r="N422" s="6">
        <v>3105</v>
      </c>
      <c r="P422" s="18"/>
      <c r="Q422" s="17"/>
      <c r="R422" s="19">
        <v>60.19</v>
      </c>
      <c r="S422" s="19">
        <v>0</v>
      </c>
      <c r="T422" s="38">
        <v>25</v>
      </c>
      <c r="U422" s="38"/>
      <c r="V422" s="30">
        <v>60.19</v>
      </c>
      <c r="W422" s="35">
        <v>60.19</v>
      </c>
      <c r="X422" s="32">
        <f t="shared" si="66"/>
        <v>1504.75</v>
      </c>
      <c r="Y422" s="32">
        <f t="shared" si="67"/>
        <v>1504.75</v>
      </c>
      <c r="Z422" s="32">
        <f t="shared" si="68"/>
        <v>0</v>
      </c>
      <c r="AA422" s="38">
        <v>25</v>
      </c>
      <c r="AB422" s="37">
        <f>IFERROR(VLOOKUP(A422,'Tash Lookup'!A:E,3,FALSE),"")</f>
        <v>1496.89</v>
      </c>
      <c r="AC422" s="6">
        <f t="shared" si="69"/>
        <v>0</v>
      </c>
      <c r="AD422" s="2" t="s">
        <v>6703</v>
      </c>
      <c r="AF422" s="56">
        <v>60.19</v>
      </c>
      <c r="AG422" s="56">
        <f>VLOOKUP(A422,Sheet1!$A$2:$C$1140,3,FALSE)</f>
        <v>61.4</v>
      </c>
      <c r="AH422" s="58">
        <v>61.4</v>
      </c>
      <c r="AI422" s="56" t="str">
        <f t="shared" si="70"/>
        <v>Increase</v>
      </c>
      <c r="AJ422" s="81">
        <f t="shared" si="74"/>
        <v>1504.75</v>
      </c>
      <c r="AK422" s="81">
        <f t="shared" si="75"/>
        <v>1535</v>
      </c>
      <c r="AL422" s="58" t="s">
        <v>7206</v>
      </c>
      <c r="AM422" s="58" t="s">
        <v>6703</v>
      </c>
      <c r="AN422" s="75">
        <v>5</v>
      </c>
      <c r="AO422" s="88">
        <v>61.4</v>
      </c>
      <c r="AP422" s="6" t="str">
        <f t="shared" si="71"/>
        <v>Increase</v>
      </c>
      <c r="AQ422" s="81">
        <f t="shared" si="72"/>
        <v>300.95</v>
      </c>
      <c r="AR422" s="81">
        <f t="shared" si="73"/>
        <v>307</v>
      </c>
      <c r="AS422" s="82">
        <f t="shared" si="76"/>
        <v>6.0500000000000114</v>
      </c>
    </row>
    <row r="423" spans="1:45" hidden="1" x14ac:dyDescent="0.3">
      <c r="A423">
        <v>5093025</v>
      </c>
      <c r="B423" s="15" t="s">
        <v>5759</v>
      </c>
      <c r="C423" s="16" t="s">
        <v>30</v>
      </c>
      <c r="D423" s="6" t="s">
        <v>31</v>
      </c>
      <c r="E423" t="s">
        <v>1113</v>
      </c>
      <c r="F423" t="s">
        <v>1113</v>
      </c>
      <c r="H423" s="11" t="s">
        <v>27</v>
      </c>
      <c r="I423" s="6" t="s">
        <v>28</v>
      </c>
      <c r="J423" s="6" t="s">
        <v>28</v>
      </c>
      <c r="K423" t="s">
        <v>32</v>
      </c>
      <c r="L423" s="35">
        <v>9.2100000000000009</v>
      </c>
      <c r="M423" s="6" t="s">
        <v>29</v>
      </c>
      <c r="N423" s="6">
        <v>3105</v>
      </c>
      <c r="P423" s="18"/>
      <c r="Q423" s="17"/>
      <c r="R423" s="19">
        <v>9.2100000000000009</v>
      </c>
      <c r="S423" s="19">
        <v>9.2100000000000009</v>
      </c>
      <c r="T423" s="38">
        <v>25</v>
      </c>
      <c r="U423" s="38"/>
      <c r="V423" s="30">
        <v>9.2100000000000009</v>
      </c>
      <c r="W423" s="35">
        <v>9.2100000000000009</v>
      </c>
      <c r="X423" s="32">
        <f t="shared" si="66"/>
        <v>230.25000000000003</v>
      </c>
      <c r="Y423" s="32">
        <f t="shared" si="67"/>
        <v>230.25000000000003</v>
      </c>
      <c r="Z423" s="32">
        <f t="shared" si="68"/>
        <v>0</v>
      </c>
      <c r="AA423" s="38">
        <v>25</v>
      </c>
      <c r="AB423" s="37">
        <f>IFERROR(VLOOKUP(A423,'Tash Lookup'!A:E,3,FALSE),"")</f>
        <v>228.04</v>
      </c>
      <c r="AC423" s="6">
        <f t="shared" si="69"/>
        <v>0</v>
      </c>
      <c r="AD423" s="2" t="s">
        <v>6703</v>
      </c>
      <c r="AF423" s="56">
        <v>10.43</v>
      </c>
      <c r="AG423" s="56">
        <f>VLOOKUP(A423,Sheet1!$A$2:$C$1140,3,FALSE)</f>
        <v>10.43</v>
      </c>
      <c r="AH423" s="58">
        <v>10.43</v>
      </c>
      <c r="AI423" s="56" t="str">
        <f t="shared" si="70"/>
        <v>Same</v>
      </c>
      <c r="AJ423" s="81">
        <f t="shared" si="74"/>
        <v>260.75</v>
      </c>
      <c r="AK423" s="81">
        <f t="shared" si="75"/>
        <v>260.75</v>
      </c>
      <c r="AL423" s="58" t="s">
        <v>7206</v>
      </c>
      <c r="AM423" s="58" t="s">
        <v>6703</v>
      </c>
      <c r="AN423" s="75">
        <v>10</v>
      </c>
      <c r="AO423" s="88">
        <v>10.43</v>
      </c>
      <c r="AP423" s="6" t="str">
        <f t="shared" si="71"/>
        <v>Same</v>
      </c>
      <c r="AQ423" s="81">
        <f t="shared" si="72"/>
        <v>104.3</v>
      </c>
      <c r="AR423" s="81">
        <f t="shared" si="73"/>
        <v>104.3</v>
      </c>
      <c r="AS423" s="81">
        <f t="shared" si="76"/>
        <v>0</v>
      </c>
    </row>
    <row r="424" spans="1:45" hidden="1" x14ac:dyDescent="0.3">
      <c r="A424">
        <v>5077788</v>
      </c>
      <c r="B424" s="15" t="s">
        <v>5760</v>
      </c>
      <c r="C424" s="16" t="s">
        <v>30</v>
      </c>
      <c r="D424" s="6" t="s">
        <v>31</v>
      </c>
      <c r="E424" t="s">
        <v>1118</v>
      </c>
      <c r="F424" t="s">
        <v>1118</v>
      </c>
      <c r="H424" s="11" t="s">
        <v>27</v>
      </c>
      <c r="I424" s="6" t="s">
        <v>28</v>
      </c>
      <c r="J424" s="6" t="s">
        <v>28</v>
      </c>
      <c r="K424" t="s">
        <v>32</v>
      </c>
      <c r="L424" s="35">
        <v>32.69</v>
      </c>
      <c r="M424" s="6" t="s">
        <v>29</v>
      </c>
      <c r="N424" s="6">
        <v>3105</v>
      </c>
      <c r="P424" s="18"/>
      <c r="Q424" s="17"/>
      <c r="R424" s="19">
        <v>32.69</v>
      </c>
      <c r="S424" s="19">
        <v>32.69</v>
      </c>
      <c r="T424" s="38">
        <v>25</v>
      </c>
      <c r="U424" s="38"/>
      <c r="V424" s="30">
        <v>32.69</v>
      </c>
      <c r="W424" s="35">
        <v>32.69</v>
      </c>
      <c r="X424" s="32">
        <f t="shared" si="66"/>
        <v>817.25</v>
      </c>
      <c r="Y424" s="32">
        <f t="shared" si="67"/>
        <v>817.25</v>
      </c>
      <c r="Z424" s="32">
        <f t="shared" si="68"/>
        <v>0</v>
      </c>
      <c r="AA424" s="38">
        <v>25</v>
      </c>
      <c r="AB424" s="37">
        <f>IFERROR(VLOOKUP(A424,'Tash Lookup'!A:E,3,FALSE),"")</f>
        <v>815.26</v>
      </c>
      <c r="AC424" s="6">
        <f t="shared" si="69"/>
        <v>0</v>
      </c>
      <c r="AD424" s="2" t="s">
        <v>6703</v>
      </c>
      <c r="AF424" s="56">
        <v>39.42</v>
      </c>
      <c r="AG424" s="56">
        <f>VLOOKUP(A424,Sheet1!$A$2:$C$1140,3,FALSE)</f>
        <v>39.42</v>
      </c>
      <c r="AH424" s="58">
        <v>39.42</v>
      </c>
      <c r="AI424" s="56" t="str">
        <f t="shared" si="70"/>
        <v>Same</v>
      </c>
      <c r="AJ424" s="81">
        <f t="shared" si="74"/>
        <v>985.5</v>
      </c>
      <c r="AK424" s="81">
        <f t="shared" si="75"/>
        <v>985.5</v>
      </c>
      <c r="AL424" s="58" t="s">
        <v>7206</v>
      </c>
      <c r="AM424" s="58" t="s">
        <v>6708</v>
      </c>
      <c r="AN424" s="75">
        <v>3</v>
      </c>
      <c r="AO424" s="88">
        <v>39.42</v>
      </c>
      <c r="AP424" s="6" t="str">
        <f t="shared" si="71"/>
        <v>Same</v>
      </c>
      <c r="AQ424" s="81">
        <f t="shared" si="72"/>
        <v>118.26</v>
      </c>
      <c r="AR424" s="81">
        <f t="shared" si="73"/>
        <v>118.26</v>
      </c>
      <c r="AS424" s="81">
        <f t="shared" si="76"/>
        <v>0</v>
      </c>
    </row>
    <row r="425" spans="1:45" hidden="1" x14ac:dyDescent="0.3">
      <c r="A425">
        <v>6054202</v>
      </c>
      <c r="B425" s="15" t="s">
        <v>5761</v>
      </c>
      <c r="C425" s="16" t="s">
        <v>30</v>
      </c>
      <c r="D425" s="6" t="s">
        <v>31</v>
      </c>
      <c r="E425" t="s">
        <v>1190</v>
      </c>
      <c r="F425" t="s">
        <v>1190</v>
      </c>
      <c r="H425" s="11" t="s">
        <v>27</v>
      </c>
      <c r="I425" s="6" t="s">
        <v>28</v>
      </c>
      <c r="J425" s="6" t="s">
        <v>28</v>
      </c>
      <c r="K425" t="s">
        <v>32</v>
      </c>
      <c r="L425" s="35">
        <v>5.15</v>
      </c>
      <c r="M425" s="6" t="s">
        <v>29</v>
      </c>
      <c r="N425" s="6">
        <v>3105</v>
      </c>
      <c r="P425" s="18"/>
      <c r="Q425" s="17"/>
      <c r="R425" s="19">
        <v>0</v>
      </c>
      <c r="S425" s="19">
        <v>0</v>
      </c>
      <c r="T425" s="38">
        <v>25</v>
      </c>
      <c r="U425" s="38"/>
      <c r="V425" s="31">
        <v>5.15</v>
      </c>
      <c r="W425" s="35">
        <v>5.15</v>
      </c>
      <c r="X425" s="32">
        <f t="shared" si="66"/>
        <v>128.75</v>
      </c>
      <c r="Y425" s="32">
        <f t="shared" si="67"/>
        <v>128.75</v>
      </c>
      <c r="Z425" s="32">
        <f t="shared" si="68"/>
        <v>0</v>
      </c>
      <c r="AA425" s="38">
        <v>25</v>
      </c>
      <c r="AB425" s="37">
        <f>IFERROR(VLOOKUP(A425,'Tash Lookup'!A:E,3,FALSE),"")</f>
        <v>128.72</v>
      </c>
      <c r="AC425" s="6">
        <f t="shared" si="69"/>
        <v>0</v>
      </c>
      <c r="AD425" s="2" t="s">
        <v>6703</v>
      </c>
      <c r="AF425" s="56">
        <v>5.15</v>
      </c>
      <c r="AG425" s="56">
        <f>VLOOKUP(A425,Sheet1!$A$2:$C$1140,3,FALSE)</f>
        <v>5.25</v>
      </c>
      <c r="AH425" s="58">
        <v>5.25</v>
      </c>
      <c r="AI425" s="56" t="str">
        <f t="shared" si="70"/>
        <v>Increase</v>
      </c>
      <c r="AJ425" s="81">
        <f t="shared" si="74"/>
        <v>128.75</v>
      </c>
      <c r="AK425" s="81">
        <f t="shared" si="75"/>
        <v>131.25</v>
      </c>
      <c r="AL425" s="58" t="s">
        <v>7206</v>
      </c>
      <c r="AM425" s="58" t="s">
        <v>6703</v>
      </c>
      <c r="AN425" s="75">
        <v>41</v>
      </c>
      <c r="AO425" s="88">
        <v>5.25</v>
      </c>
      <c r="AP425" s="6" t="str">
        <f t="shared" si="71"/>
        <v>Increase</v>
      </c>
      <c r="AQ425" s="81">
        <f t="shared" si="72"/>
        <v>211.15</v>
      </c>
      <c r="AR425" s="81">
        <f t="shared" si="73"/>
        <v>215.25</v>
      </c>
      <c r="AS425" s="82">
        <f t="shared" si="76"/>
        <v>4.0999999999999943</v>
      </c>
    </row>
    <row r="426" spans="1:45" hidden="1" x14ac:dyDescent="0.3">
      <c r="A426">
        <v>5180486</v>
      </c>
      <c r="B426" s="15" t="s">
        <v>5762</v>
      </c>
      <c r="C426" s="16" t="s">
        <v>30</v>
      </c>
      <c r="D426" s="6" t="s">
        <v>31</v>
      </c>
      <c r="E426" t="s">
        <v>519</v>
      </c>
      <c r="F426" t="s">
        <v>519</v>
      </c>
      <c r="H426" s="11" t="s">
        <v>27</v>
      </c>
      <c r="I426" s="6" t="s">
        <v>28</v>
      </c>
      <c r="J426" s="6" t="s">
        <v>28</v>
      </c>
      <c r="K426" t="s">
        <v>32</v>
      </c>
      <c r="L426" s="35">
        <v>29.67</v>
      </c>
      <c r="M426" s="6" t="s">
        <v>29</v>
      </c>
      <c r="N426" s="6">
        <v>3105</v>
      </c>
      <c r="P426" s="18"/>
      <c r="Q426" s="17"/>
      <c r="R426" s="19">
        <v>29.67</v>
      </c>
      <c r="S426" s="19">
        <v>29.67</v>
      </c>
      <c r="T426" s="38">
        <v>25</v>
      </c>
      <c r="U426" s="38"/>
      <c r="V426" s="29">
        <v>29.67</v>
      </c>
      <c r="W426" s="35">
        <v>29.67</v>
      </c>
      <c r="X426" s="32">
        <f t="shared" si="66"/>
        <v>741.75</v>
      </c>
      <c r="Y426" s="32">
        <f t="shared" si="67"/>
        <v>741.75</v>
      </c>
      <c r="Z426" s="32">
        <f t="shared" si="68"/>
        <v>0</v>
      </c>
      <c r="AA426" s="38">
        <v>25</v>
      </c>
      <c r="AB426" s="37">
        <f>IFERROR(VLOOKUP(A426,'Tash Lookup'!A:E,3,FALSE),"")</f>
        <v>751.59</v>
      </c>
      <c r="AC426" s="6">
        <f t="shared" si="69"/>
        <v>0</v>
      </c>
      <c r="AD426" s="2" t="s">
        <v>6703</v>
      </c>
      <c r="AF426" s="56">
        <v>32.53</v>
      </c>
      <c r="AG426" s="56">
        <f>VLOOKUP(A426,Sheet1!$A$2:$C$1140,3,FALSE)</f>
        <v>33.5</v>
      </c>
      <c r="AH426" s="58">
        <v>33.5</v>
      </c>
      <c r="AI426" s="56" t="str">
        <f t="shared" si="70"/>
        <v>Increase</v>
      </c>
      <c r="AJ426" s="81">
        <f t="shared" si="74"/>
        <v>813.25</v>
      </c>
      <c r="AK426" s="81">
        <f t="shared" si="75"/>
        <v>837.5</v>
      </c>
      <c r="AL426" s="58" t="s">
        <v>32</v>
      </c>
      <c r="AM426" s="58" t="s">
        <v>6703</v>
      </c>
      <c r="AN426" s="75">
        <v>9</v>
      </c>
      <c r="AO426" s="88">
        <v>33.5</v>
      </c>
      <c r="AP426" s="6" t="str">
        <f t="shared" si="71"/>
        <v>Increase</v>
      </c>
      <c r="AQ426" s="81">
        <f t="shared" si="72"/>
        <v>292.77</v>
      </c>
      <c r="AR426" s="81">
        <f t="shared" si="73"/>
        <v>301.5</v>
      </c>
      <c r="AS426" s="82">
        <f t="shared" si="76"/>
        <v>8.7300000000000182</v>
      </c>
    </row>
    <row r="427" spans="1:45" hidden="1" x14ac:dyDescent="0.3">
      <c r="A427">
        <v>6183908</v>
      </c>
      <c r="B427" s="15" t="s">
        <v>5763</v>
      </c>
      <c r="C427" s="16" t="s">
        <v>30</v>
      </c>
      <c r="D427" s="6" t="s">
        <v>31</v>
      </c>
      <c r="E427" t="s">
        <v>878</v>
      </c>
      <c r="F427" t="s">
        <v>878</v>
      </c>
      <c r="H427" s="11" t="s">
        <v>27</v>
      </c>
      <c r="I427" s="6" t="s">
        <v>28</v>
      </c>
      <c r="J427" s="6" t="s">
        <v>28</v>
      </c>
      <c r="K427" t="s">
        <v>32</v>
      </c>
      <c r="L427" s="35">
        <v>2.95</v>
      </c>
      <c r="M427" s="6" t="s">
        <v>29</v>
      </c>
      <c r="N427" s="6">
        <v>3105</v>
      </c>
      <c r="P427" s="18"/>
      <c r="Q427" s="17"/>
      <c r="R427" s="19">
        <v>2.95</v>
      </c>
      <c r="S427" s="19">
        <v>2.95</v>
      </c>
      <c r="T427" s="38">
        <v>25</v>
      </c>
      <c r="U427" s="38"/>
      <c r="V427" s="30">
        <v>2.95</v>
      </c>
      <c r="W427" s="35">
        <v>2.95</v>
      </c>
      <c r="X427" s="32">
        <f t="shared" si="66"/>
        <v>73.75</v>
      </c>
      <c r="Y427" s="32">
        <f t="shared" si="67"/>
        <v>73.75</v>
      </c>
      <c r="Z427" s="32">
        <f t="shared" si="68"/>
        <v>0</v>
      </c>
      <c r="AA427" s="38">
        <v>25</v>
      </c>
      <c r="AB427" s="37">
        <f>IFERROR(VLOOKUP(A427,'Tash Lookup'!A:E,3,FALSE),"")</f>
        <v>72.790000000000006</v>
      </c>
      <c r="AC427" s="6">
        <f t="shared" si="69"/>
        <v>0</v>
      </c>
      <c r="AD427" s="2" t="s">
        <v>6703</v>
      </c>
      <c r="AF427" s="56">
        <v>2.95</v>
      </c>
      <c r="AG427" s="56">
        <f>VLOOKUP(A427,Sheet1!$A$2:$C$1140,3,FALSE)</f>
        <v>3</v>
      </c>
      <c r="AH427" s="58">
        <v>3</v>
      </c>
      <c r="AI427" s="56" t="str">
        <f t="shared" si="70"/>
        <v>Increase</v>
      </c>
      <c r="AJ427" s="81">
        <f t="shared" si="74"/>
        <v>73.75</v>
      </c>
      <c r="AK427" s="81">
        <f t="shared" si="75"/>
        <v>75</v>
      </c>
      <c r="AL427" s="58" t="s">
        <v>7206</v>
      </c>
      <c r="AM427" s="58" t="s">
        <v>6703</v>
      </c>
      <c r="AN427" s="75">
        <v>32</v>
      </c>
      <c r="AO427" s="88">
        <v>3</v>
      </c>
      <c r="AP427" s="6" t="str">
        <f t="shared" si="71"/>
        <v>Increase</v>
      </c>
      <c r="AQ427" s="81">
        <f t="shared" si="72"/>
        <v>94.4</v>
      </c>
      <c r="AR427" s="81">
        <f t="shared" si="73"/>
        <v>96</v>
      </c>
      <c r="AS427" s="82">
        <f t="shared" si="76"/>
        <v>1.5999999999999943</v>
      </c>
    </row>
    <row r="428" spans="1:45" hidden="1" x14ac:dyDescent="0.3">
      <c r="A428">
        <v>6392305</v>
      </c>
      <c r="B428" s="15" t="s">
        <v>5764</v>
      </c>
      <c r="C428" s="16" t="s">
        <v>30</v>
      </c>
      <c r="D428" s="6" t="s">
        <v>31</v>
      </c>
      <c r="E428" t="s">
        <v>2551</v>
      </c>
      <c r="F428" t="s">
        <v>2551</v>
      </c>
      <c r="H428" s="11" t="s">
        <v>27</v>
      </c>
      <c r="I428" s="6" t="s">
        <v>28</v>
      </c>
      <c r="J428" s="6" t="s">
        <v>28</v>
      </c>
      <c r="K428" t="s">
        <v>32</v>
      </c>
      <c r="L428" s="35">
        <v>7.22</v>
      </c>
      <c r="M428" s="6" t="s">
        <v>29</v>
      </c>
      <c r="N428" s="6">
        <v>3105</v>
      </c>
      <c r="P428" s="18"/>
      <c r="Q428" s="17"/>
      <c r="R428" s="19">
        <v>7.22</v>
      </c>
      <c r="S428" s="19">
        <v>7.22</v>
      </c>
      <c r="T428" s="38">
        <v>25</v>
      </c>
      <c r="U428" s="38"/>
      <c r="V428" s="29">
        <v>7.22</v>
      </c>
      <c r="W428" s="35">
        <v>7.22</v>
      </c>
      <c r="X428" s="32">
        <f t="shared" si="66"/>
        <v>180.5</v>
      </c>
      <c r="Y428" s="32">
        <f t="shared" si="67"/>
        <v>180.5</v>
      </c>
      <c r="Z428" s="32">
        <f t="shared" si="68"/>
        <v>0</v>
      </c>
      <c r="AA428" s="38">
        <v>25</v>
      </c>
      <c r="AB428" s="37">
        <f>IFERROR(VLOOKUP(A428,'Tash Lookup'!A:E,3,FALSE),"")</f>
        <v>178.13</v>
      </c>
      <c r="AC428" s="6">
        <f t="shared" si="69"/>
        <v>0</v>
      </c>
      <c r="AD428" s="2" t="s">
        <v>6703</v>
      </c>
      <c r="AF428" s="56">
        <v>7.22</v>
      </c>
      <c r="AG428" s="56">
        <f>VLOOKUP(A428,Sheet1!$A$2:$C$1140,3,FALSE)</f>
        <v>7.36</v>
      </c>
      <c r="AH428" s="58">
        <v>7.36</v>
      </c>
      <c r="AI428" s="56" t="str">
        <f t="shared" si="70"/>
        <v>Increase</v>
      </c>
      <c r="AJ428" s="81">
        <f t="shared" si="74"/>
        <v>180.5</v>
      </c>
      <c r="AK428" s="81">
        <f t="shared" si="75"/>
        <v>184</v>
      </c>
      <c r="AL428" s="58" t="s">
        <v>7206</v>
      </c>
      <c r="AM428" s="58" t="s">
        <v>6703</v>
      </c>
      <c r="AN428" s="75">
        <v>31</v>
      </c>
      <c r="AO428" s="88">
        <v>7.36</v>
      </c>
      <c r="AP428" s="6" t="str">
        <f t="shared" si="71"/>
        <v>Increase</v>
      </c>
      <c r="AQ428" s="81">
        <f t="shared" si="72"/>
        <v>223.82</v>
      </c>
      <c r="AR428" s="81">
        <f t="shared" si="73"/>
        <v>228.16</v>
      </c>
      <c r="AS428" s="82">
        <f t="shared" si="76"/>
        <v>4.3400000000000034</v>
      </c>
    </row>
    <row r="429" spans="1:45" hidden="1" x14ac:dyDescent="0.3">
      <c r="A429">
        <v>5184468</v>
      </c>
      <c r="B429" s="15" t="s">
        <v>5765</v>
      </c>
      <c r="C429" s="16" t="s">
        <v>30</v>
      </c>
      <c r="D429" s="6" t="s">
        <v>31</v>
      </c>
      <c r="E429" t="s">
        <v>503</v>
      </c>
      <c r="F429" t="s">
        <v>503</v>
      </c>
      <c r="H429" s="11" t="s">
        <v>27</v>
      </c>
      <c r="I429" s="6" t="s">
        <v>28</v>
      </c>
      <c r="J429" s="6" t="s">
        <v>28</v>
      </c>
      <c r="K429" t="s">
        <v>32</v>
      </c>
      <c r="L429" s="35">
        <v>41.11</v>
      </c>
      <c r="M429" s="6" t="s">
        <v>29</v>
      </c>
      <c r="N429" s="6">
        <v>3105</v>
      </c>
      <c r="P429" s="18"/>
      <c r="Q429" s="17"/>
      <c r="R429" s="19">
        <v>41.11</v>
      </c>
      <c r="S429" s="19">
        <v>41.11</v>
      </c>
      <c r="T429" s="38">
        <v>25</v>
      </c>
      <c r="U429" s="38"/>
      <c r="V429" s="29">
        <v>41.11</v>
      </c>
      <c r="W429" s="35">
        <v>41.11</v>
      </c>
      <c r="X429" s="32">
        <f t="shared" si="66"/>
        <v>1027.75</v>
      </c>
      <c r="Y429" s="32">
        <f t="shared" si="67"/>
        <v>1027.75</v>
      </c>
      <c r="Z429" s="32">
        <f t="shared" si="68"/>
        <v>0</v>
      </c>
      <c r="AA429" s="38">
        <v>25</v>
      </c>
      <c r="AB429" s="37">
        <f>IFERROR(VLOOKUP(A429,'Tash Lookup'!A:E,3,FALSE),"")</f>
        <v>941.07</v>
      </c>
      <c r="AC429" s="6">
        <f t="shared" si="69"/>
        <v>0</v>
      </c>
      <c r="AD429" s="2" t="s">
        <v>6703</v>
      </c>
      <c r="AF429" s="56">
        <v>40.090000000000003</v>
      </c>
      <c r="AG429" s="56">
        <f>VLOOKUP(A429,Sheet1!$A$2:$C$1140,3,FALSE)</f>
        <v>41.29</v>
      </c>
      <c r="AH429" s="58">
        <v>41.29</v>
      </c>
      <c r="AI429" s="56" t="str">
        <f t="shared" si="70"/>
        <v>Increase</v>
      </c>
      <c r="AJ429" s="81">
        <f t="shared" si="74"/>
        <v>1002.2500000000001</v>
      </c>
      <c r="AK429" s="81">
        <f t="shared" si="75"/>
        <v>1032.25</v>
      </c>
      <c r="AL429" s="58" t="s">
        <v>32</v>
      </c>
      <c r="AM429" s="58" t="s">
        <v>6703</v>
      </c>
      <c r="AN429" s="75">
        <v>18</v>
      </c>
      <c r="AO429" s="88">
        <v>41.29</v>
      </c>
      <c r="AP429" s="6" t="str">
        <f t="shared" si="71"/>
        <v>Increase</v>
      </c>
      <c r="AQ429" s="81">
        <f t="shared" si="72"/>
        <v>721.62000000000012</v>
      </c>
      <c r="AR429" s="81">
        <f t="shared" si="73"/>
        <v>743.22</v>
      </c>
      <c r="AS429" s="82">
        <f t="shared" si="76"/>
        <v>21.599999999999909</v>
      </c>
    </row>
    <row r="430" spans="1:45" hidden="1" x14ac:dyDescent="0.3">
      <c r="A430">
        <v>6383050</v>
      </c>
      <c r="B430" s="15" t="s">
        <v>5766</v>
      </c>
      <c r="C430" s="16" t="s">
        <v>30</v>
      </c>
      <c r="D430" s="6" t="s">
        <v>31</v>
      </c>
      <c r="E430" t="s">
        <v>2543</v>
      </c>
      <c r="F430" t="s">
        <v>2543</v>
      </c>
      <c r="H430" s="11" t="s">
        <v>27</v>
      </c>
      <c r="I430" s="6" t="s">
        <v>28</v>
      </c>
      <c r="J430" s="6" t="s">
        <v>28</v>
      </c>
      <c r="K430" t="s">
        <v>32</v>
      </c>
      <c r="L430" s="35">
        <v>5.37</v>
      </c>
      <c r="M430" s="6" t="s">
        <v>29</v>
      </c>
      <c r="N430" s="6">
        <v>3105</v>
      </c>
      <c r="P430" s="18"/>
      <c r="Q430" s="17"/>
      <c r="R430" s="19">
        <v>5.37</v>
      </c>
      <c r="S430" s="19">
        <v>5.37</v>
      </c>
      <c r="T430" s="38">
        <v>25</v>
      </c>
      <c r="U430" s="38"/>
      <c r="V430" s="30">
        <v>5.37</v>
      </c>
      <c r="W430" s="35">
        <v>5.37</v>
      </c>
      <c r="X430" s="32">
        <f t="shared" si="66"/>
        <v>134.25</v>
      </c>
      <c r="Y430" s="32">
        <f t="shared" si="67"/>
        <v>134.25</v>
      </c>
      <c r="Z430" s="32">
        <f t="shared" si="68"/>
        <v>0</v>
      </c>
      <c r="AA430" s="38">
        <v>25</v>
      </c>
      <c r="AB430" s="37">
        <f>IFERROR(VLOOKUP(A430,'Tash Lookup'!A:E,3,FALSE),"")</f>
        <v>134.01</v>
      </c>
      <c r="AC430" s="6">
        <f t="shared" si="69"/>
        <v>0</v>
      </c>
      <c r="AD430" s="2" t="s">
        <v>6703</v>
      </c>
      <c r="AF430" s="56">
        <v>5.37</v>
      </c>
      <c r="AG430" s="56">
        <f>VLOOKUP(A430,Sheet1!$A$2:$C$1140,3,FALSE)</f>
        <v>5.48</v>
      </c>
      <c r="AH430" s="58">
        <v>5.48</v>
      </c>
      <c r="AI430" s="56" t="str">
        <f t="shared" si="70"/>
        <v>Increase</v>
      </c>
      <c r="AJ430" s="81">
        <f t="shared" si="74"/>
        <v>134.25</v>
      </c>
      <c r="AK430" s="81">
        <f t="shared" si="75"/>
        <v>137</v>
      </c>
      <c r="AL430" s="58" t="s">
        <v>7206</v>
      </c>
      <c r="AM430" s="58" t="s">
        <v>6703</v>
      </c>
      <c r="AN430" s="75">
        <v>28</v>
      </c>
      <c r="AO430" s="88">
        <v>5.48</v>
      </c>
      <c r="AP430" s="6" t="str">
        <f t="shared" si="71"/>
        <v>Increase</v>
      </c>
      <c r="AQ430" s="81">
        <f t="shared" si="72"/>
        <v>150.36000000000001</v>
      </c>
      <c r="AR430" s="81">
        <f t="shared" si="73"/>
        <v>153.44</v>
      </c>
      <c r="AS430" s="82">
        <f t="shared" si="76"/>
        <v>3.0799999999999841</v>
      </c>
    </row>
    <row r="431" spans="1:45" hidden="1" x14ac:dyDescent="0.3">
      <c r="A431">
        <v>5317077</v>
      </c>
      <c r="B431" s="15" t="s">
        <v>5767</v>
      </c>
      <c r="C431" s="16" t="s">
        <v>30</v>
      </c>
      <c r="D431" s="6" t="s">
        <v>31</v>
      </c>
      <c r="E431" t="s">
        <v>2532</v>
      </c>
      <c r="F431" t="s">
        <v>2532</v>
      </c>
      <c r="H431" s="11" t="s">
        <v>27</v>
      </c>
      <c r="I431" s="6" t="s">
        <v>28</v>
      </c>
      <c r="J431" s="6" t="s">
        <v>28</v>
      </c>
      <c r="K431" t="s">
        <v>32</v>
      </c>
      <c r="L431" s="35">
        <v>27.53</v>
      </c>
      <c r="M431" s="6" t="s">
        <v>29</v>
      </c>
      <c r="N431" s="6">
        <v>3105</v>
      </c>
      <c r="P431" s="18"/>
      <c r="Q431" s="17"/>
      <c r="R431" s="19">
        <v>27.53</v>
      </c>
      <c r="S431" s="19">
        <v>27.53</v>
      </c>
      <c r="T431" s="38">
        <v>24</v>
      </c>
      <c r="U431" s="38"/>
      <c r="V431" s="30">
        <v>27.53</v>
      </c>
      <c r="W431" s="35">
        <v>27.53</v>
      </c>
      <c r="X431" s="32">
        <f t="shared" si="66"/>
        <v>660.72</v>
      </c>
      <c r="Y431" s="32">
        <f t="shared" si="67"/>
        <v>660.72</v>
      </c>
      <c r="Z431" s="32">
        <f t="shared" si="68"/>
        <v>0</v>
      </c>
      <c r="AA431" s="38">
        <v>24</v>
      </c>
      <c r="AB431" s="37">
        <f>IFERROR(VLOOKUP(A431,'Tash Lookup'!A:E,3,FALSE),"")</f>
        <v>660.79</v>
      </c>
      <c r="AC431" s="6">
        <f t="shared" si="69"/>
        <v>0</v>
      </c>
      <c r="AD431" s="2" t="s">
        <v>6703</v>
      </c>
      <c r="AF431" s="56">
        <v>28.68</v>
      </c>
      <c r="AG431" s="56">
        <f>VLOOKUP(A431,Sheet1!$A$2:$C$1140,3,FALSE)</f>
        <v>29.54</v>
      </c>
      <c r="AH431" s="58">
        <v>29.54</v>
      </c>
      <c r="AI431" s="56" t="str">
        <f t="shared" si="70"/>
        <v>Increase</v>
      </c>
      <c r="AJ431" s="81">
        <f t="shared" si="74"/>
        <v>688.31999999999994</v>
      </c>
      <c r="AK431" s="81">
        <f t="shared" si="75"/>
        <v>708.96</v>
      </c>
      <c r="AL431" s="58" t="s">
        <v>32</v>
      </c>
      <c r="AM431" s="58" t="s">
        <v>6703</v>
      </c>
      <c r="AN431" s="75">
        <v>174</v>
      </c>
      <c r="AO431" s="88">
        <v>29.54</v>
      </c>
      <c r="AP431" s="6" t="str">
        <f t="shared" si="71"/>
        <v>Increase</v>
      </c>
      <c r="AQ431" s="81">
        <f t="shared" si="72"/>
        <v>4990.32</v>
      </c>
      <c r="AR431" s="81">
        <f t="shared" si="73"/>
        <v>5139.96</v>
      </c>
      <c r="AS431" s="82">
        <f t="shared" si="76"/>
        <v>149.64000000000033</v>
      </c>
    </row>
    <row r="432" spans="1:45" hidden="1" x14ac:dyDescent="0.3">
      <c r="A432">
        <v>6103935</v>
      </c>
      <c r="B432" s="15" t="s">
        <v>5768</v>
      </c>
      <c r="C432" s="16" t="s">
        <v>30</v>
      </c>
      <c r="D432" s="6" t="s">
        <v>31</v>
      </c>
      <c r="E432" t="s">
        <v>669</v>
      </c>
      <c r="F432" t="s">
        <v>669</v>
      </c>
      <c r="H432" s="11" t="s">
        <v>27</v>
      </c>
      <c r="I432" s="6" t="s">
        <v>28</v>
      </c>
      <c r="J432" s="6" t="s">
        <v>28</v>
      </c>
      <c r="K432" t="s">
        <v>32</v>
      </c>
      <c r="L432" s="35">
        <v>6.41</v>
      </c>
      <c r="M432" s="6" t="s">
        <v>29</v>
      </c>
      <c r="N432" s="6">
        <v>3105</v>
      </c>
      <c r="P432" s="18"/>
      <c r="Q432" s="17"/>
      <c r="R432" s="19">
        <v>6.41</v>
      </c>
      <c r="S432" s="19">
        <v>6.41</v>
      </c>
      <c r="T432" s="38">
        <v>24</v>
      </c>
      <c r="U432" s="38"/>
      <c r="V432" s="30">
        <v>6.41</v>
      </c>
      <c r="W432" s="35">
        <v>6.41</v>
      </c>
      <c r="X432" s="32">
        <f t="shared" si="66"/>
        <v>153.84</v>
      </c>
      <c r="Y432" s="32">
        <f t="shared" si="67"/>
        <v>153.84</v>
      </c>
      <c r="Z432" s="32">
        <f t="shared" si="68"/>
        <v>0</v>
      </c>
      <c r="AA432" s="38">
        <v>24</v>
      </c>
      <c r="AB432" s="37">
        <f>IFERROR(VLOOKUP(A432,'Tash Lookup'!A:E,3,FALSE),"")</f>
        <v>153.74</v>
      </c>
      <c r="AC432" s="6">
        <f t="shared" si="69"/>
        <v>0</v>
      </c>
      <c r="AD432" s="2" t="s">
        <v>6703</v>
      </c>
      <c r="AF432" s="56">
        <v>6.41</v>
      </c>
      <c r="AG432" s="56">
        <f>VLOOKUP(A432,Sheet1!$A$2:$C$1140,3,FALSE)</f>
        <v>6.54</v>
      </c>
      <c r="AH432" s="58">
        <v>6.54</v>
      </c>
      <c r="AI432" s="56" t="str">
        <f t="shared" si="70"/>
        <v>Increase</v>
      </c>
      <c r="AJ432" s="81">
        <f t="shared" si="74"/>
        <v>153.84</v>
      </c>
      <c r="AK432" s="81">
        <f t="shared" si="75"/>
        <v>156.96</v>
      </c>
      <c r="AL432" s="58" t="s">
        <v>7206</v>
      </c>
      <c r="AM432" s="58" t="s">
        <v>6703</v>
      </c>
      <c r="AN432" s="75">
        <v>10</v>
      </c>
      <c r="AO432" s="88">
        <v>6.54</v>
      </c>
      <c r="AP432" s="6" t="str">
        <f t="shared" si="71"/>
        <v>Increase</v>
      </c>
      <c r="AQ432" s="81">
        <f t="shared" si="72"/>
        <v>64.099999999999994</v>
      </c>
      <c r="AR432" s="81">
        <f t="shared" si="73"/>
        <v>65.400000000000006</v>
      </c>
      <c r="AS432" s="82">
        <f t="shared" si="76"/>
        <v>1.3000000000000114</v>
      </c>
    </row>
    <row r="433" spans="1:45" hidden="1" x14ac:dyDescent="0.3">
      <c r="A433">
        <v>6183964</v>
      </c>
      <c r="B433" s="15" t="s">
        <v>5769</v>
      </c>
      <c r="C433" s="16" t="s">
        <v>30</v>
      </c>
      <c r="D433" s="6" t="s">
        <v>31</v>
      </c>
      <c r="E433" t="s">
        <v>689</v>
      </c>
      <c r="F433" t="s">
        <v>689</v>
      </c>
      <c r="H433" s="11" t="s">
        <v>27</v>
      </c>
      <c r="I433" s="6" t="s">
        <v>28</v>
      </c>
      <c r="J433" s="6" t="s">
        <v>28</v>
      </c>
      <c r="K433" t="s">
        <v>32</v>
      </c>
      <c r="L433" s="35">
        <v>4.37</v>
      </c>
      <c r="M433" s="6" t="s">
        <v>29</v>
      </c>
      <c r="N433" s="6">
        <v>3105</v>
      </c>
      <c r="P433" s="18"/>
      <c r="Q433" s="17"/>
      <c r="R433" s="19">
        <v>4.37</v>
      </c>
      <c r="S433" s="19">
        <v>4.37</v>
      </c>
      <c r="T433" s="38">
        <v>24</v>
      </c>
      <c r="U433" s="38"/>
      <c r="V433" s="30">
        <v>4.37</v>
      </c>
      <c r="W433" s="35">
        <v>4.37</v>
      </c>
      <c r="X433" s="32">
        <f t="shared" si="66"/>
        <v>104.88</v>
      </c>
      <c r="Y433" s="32">
        <f t="shared" si="67"/>
        <v>104.88</v>
      </c>
      <c r="Z433" s="32">
        <f t="shared" si="68"/>
        <v>0</v>
      </c>
      <c r="AA433" s="38">
        <v>24</v>
      </c>
      <c r="AB433" s="37">
        <f>IFERROR(VLOOKUP(A433,'Tash Lookup'!A:E,3,FALSE),"")</f>
        <v>104.11</v>
      </c>
      <c r="AC433" s="6">
        <f t="shared" si="69"/>
        <v>0</v>
      </c>
      <c r="AD433" s="2" t="s">
        <v>6703</v>
      </c>
      <c r="AF433" s="56">
        <v>4.37</v>
      </c>
      <c r="AG433" s="56">
        <f>VLOOKUP(A433,Sheet1!$A$2:$C$1140,3,FALSE)</f>
        <v>4.45</v>
      </c>
      <c r="AH433" s="58">
        <v>4.45</v>
      </c>
      <c r="AI433" s="56" t="str">
        <f t="shared" si="70"/>
        <v>Increase</v>
      </c>
      <c r="AJ433" s="81">
        <f t="shared" si="74"/>
        <v>104.88</v>
      </c>
      <c r="AK433" s="81">
        <f t="shared" si="75"/>
        <v>106.80000000000001</v>
      </c>
      <c r="AL433" s="58" t="s">
        <v>7206</v>
      </c>
      <c r="AM433" s="58" t="s">
        <v>6703</v>
      </c>
      <c r="AN433" s="75">
        <v>5</v>
      </c>
      <c r="AO433" s="88">
        <v>4.45</v>
      </c>
      <c r="AP433" s="6" t="str">
        <f t="shared" si="71"/>
        <v>Increase</v>
      </c>
      <c r="AQ433" s="81">
        <f t="shared" si="72"/>
        <v>21.85</v>
      </c>
      <c r="AR433" s="81">
        <f t="shared" si="73"/>
        <v>22.25</v>
      </c>
      <c r="AS433" s="82">
        <f t="shared" si="76"/>
        <v>0.39999999999999858</v>
      </c>
    </row>
    <row r="434" spans="1:45" hidden="1" x14ac:dyDescent="0.3">
      <c r="A434">
        <v>6421456</v>
      </c>
      <c r="B434" s="15" t="s">
        <v>5770</v>
      </c>
      <c r="C434" s="16" t="s">
        <v>30</v>
      </c>
      <c r="D434" s="6" t="s">
        <v>31</v>
      </c>
      <c r="E434" t="s">
        <v>1263</v>
      </c>
      <c r="F434" t="s">
        <v>1263</v>
      </c>
      <c r="H434" s="11" t="s">
        <v>27</v>
      </c>
      <c r="I434" s="6" t="s">
        <v>28</v>
      </c>
      <c r="J434" s="6" t="s">
        <v>28</v>
      </c>
      <c r="K434" t="s">
        <v>32</v>
      </c>
      <c r="L434" s="35">
        <v>4</v>
      </c>
      <c r="M434" s="6" t="s">
        <v>29</v>
      </c>
      <c r="N434" s="6">
        <v>3105</v>
      </c>
      <c r="P434" s="18"/>
      <c r="Q434" s="17"/>
      <c r="R434" s="19">
        <v>0</v>
      </c>
      <c r="S434" s="19">
        <v>0</v>
      </c>
      <c r="T434" s="38">
        <v>24</v>
      </c>
      <c r="U434" s="38"/>
      <c r="V434" s="30">
        <v>0</v>
      </c>
      <c r="W434" s="45">
        <v>7.34</v>
      </c>
      <c r="X434" s="32">
        <f t="shared" si="66"/>
        <v>0</v>
      </c>
      <c r="Y434" s="32">
        <f t="shared" si="67"/>
        <v>96</v>
      </c>
      <c r="Z434" s="32">
        <f t="shared" si="68"/>
        <v>-96</v>
      </c>
      <c r="AA434" s="38">
        <v>24</v>
      </c>
      <c r="AB434" s="37">
        <f>IFERROR(VLOOKUP(A434,'Tash Lookup'!A:E,3,FALSE),"")</f>
        <v>95.39</v>
      </c>
      <c r="AC434" s="6">
        <f t="shared" si="69"/>
        <v>0</v>
      </c>
      <c r="AD434" s="2" t="s">
        <v>6703</v>
      </c>
      <c r="AF434" s="56">
        <v>4</v>
      </c>
      <c r="AG434" s="56">
        <f>VLOOKUP(A434,Sheet1!$A$2:$C$1140,3,FALSE)</f>
        <v>4.08</v>
      </c>
      <c r="AH434" s="58">
        <v>4.08</v>
      </c>
      <c r="AI434" s="56" t="str">
        <f t="shared" si="70"/>
        <v>Increase</v>
      </c>
      <c r="AJ434" s="81">
        <f t="shared" si="74"/>
        <v>96</v>
      </c>
      <c r="AK434" s="81">
        <f t="shared" si="75"/>
        <v>97.92</v>
      </c>
      <c r="AL434" s="58" t="s">
        <v>7206</v>
      </c>
      <c r="AM434" s="58" t="s">
        <v>6703</v>
      </c>
      <c r="AN434" s="75">
        <v>0</v>
      </c>
      <c r="AO434" s="88">
        <v>4.08</v>
      </c>
      <c r="AP434" s="6" t="str">
        <f t="shared" si="71"/>
        <v>Increase</v>
      </c>
      <c r="AQ434" s="81">
        <f t="shared" si="72"/>
        <v>0</v>
      </c>
      <c r="AR434" s="81">
        <f t="shared" si="73"/>
        <v>0</v>
      </c>
      <c r="AS434" s="82">
        <f t="shared" si="76"/>
        <v>0</v>
      </c>
    </row>
    <row r="435" spans="1:45" hidden="1" x14ac:dyDescent="0.3">
      <c r="A435">
        <v>5218665</v>
      </c>
      <c r="B435" s="15" t="s">
        <v>5771</v>
      </c>
      <c r="C435" s="16" t="s">
        <v>30</v>
      </c>
      <c r="D435" s="6" t="s">
        <v>31</v>
      </c>
      <c r="E435" t="s">
        <v>291</v>
      </c>
      <c r="F435" t="s">
        <v>291</v>
      </c>
      <c r="H435" s="11" t="s">
        <v>27</v>
      </c>
      <c r="I435" s="6" t="s">
        <v>28</v>
      </c>
      <c r="J435" s="6" t="s">
        <v>28</v>
      </c>
      <c r="K435" t="s">
        <v>32</v>
      </c>
      <c r="L435" s="35">
        <v>11.35</v>
      </c>
      <c r="M435" s="6" t="s">
        <v>29</v>
      </c>
      <c r="N435" s="6">
        <v>3105</v>
      </c>
      <c r="P435" s="18"/>
      <c r="Q435" s="17"/>
      <c r="R435" s="19">
        <v>11.35</v>
      </c>
      <c r="S435" s="19">
        <v>11.35</v>
      </c>
      <c r="T435" s="38">
        <v>24</v>
      </c>
      <c r="U435" s="38"/>
      <c r="V435" s="29">
        <v>11.35</v>
      </c>
      <c r="W435" s="35">
        <v>24.21</v>
      </c>
      <c r="X435" s="32">
        <f t="shared" si="66"/>
        <v>272.39999999999998</v>
      </c>
      <c r="Y435" s="32">
        <f t="shared" si="67"/>
        <v>272.39999999999998</v>
      </c>
      <c r="Z435" s="32">
        <f t="shared" si="68"/>
        <v>0</v>
      </c>
      <c r="AA435" s="38">
        <v>24</v>
      </c>
      <c r="AB435" s="37">
        <f>IFERROR(VLOOKUP(A435,'Tash Lookup'!A:E,3,FALSE),"")</f>
        <v>221.78</v>
      </c>
      <c r="AC435" s="6">
        <f t="shared" si="69"/>
        <v>0</v>
      </c>
      <c r="AD435" s="2" t="s">
        <v>6703</v>
      </c>
      <c r="AF435" s="56">
        <v>12.7</v>
      </c>
      <c r="AG435" s="56">
        <f>VLOOKUP(A435,Sheet1!$A$2:$C$1140,3,FALSE)</f>
        <v>13.08</v>
      </c>
      <c r="AH435" s="58">
        <v>13.08</v>
      </c>
      <c r="AI435" s="56" t="str">
        <f t="shared" si="70"/>
        <v>Increase</v>
      </c>
      <c r="AJ435" s="81">
        <f t="shared" si="74"/>
        <v>304.79999999999995</v>
      </c>
      <c r="AK435" s="81">
        <f t="shared" si="75"/>
        <v>313.92</v>
      </c>
      <c r="AL435" s="58" t="s">
        <v>32</v>
      </c>
      <c r="AM435" s="58" t="s">
        <v>6703</v>
      </c>
      <c r="AN435" s="75">
        <v>11</v>
      </c>
      <c r="AO435" s="88">
        <v>13.08</v>
      </c>
      <c r="AP435" s="6" t="str">
        <f t="shared" si="71"/>
        <v>Increase</v>
      </c>
      <c r="AQ435" s="81">
        <f t="shared" si="72"/>
        <v>139.69999999999999</v>
      </c>
      <c r="AR435" s="81">
        <f t="shared" si="73"/>
        <v>143.88</v>
      </c>
      <c r="AS435" s="82">
        <f t="shared" si="76"/>
        <v>4.1800000000000068</v>
      </c>
    </row>
    <row r="436" spans="1:45" hidden="1" x14ac:dyDescent="0.3">
      <c r="A436">
        <v>6054177</v>
      </c>
      <c r="B436" s="15" t="s">
        <v>5772</v>
      </c>
      <c r="C436" s="16" t="s">
        <v>30</v>
      </c>
      <c r="D436" s="6" t="s">
        <v>31</v>
      </c>
      <c r="E436" t="s">
        <v>2540</v>
      </c>
      <c r="F436" t="s">
        <v>2540</v>
      </c>
      <c r="H436" s="11" t="s">
        <v>27</v>
      </c>
      <c r="I436" s="6" t="s">
        <v>28</v>
      </c>
      <c r="J436" s="6" t="s">
        <v>28</v>
      </c>
      <c r="K436" t="s">
        <v>32</v>
      </c>
      <c r="L436" s="35">
        <v>24.21</v>
      </c>
      <c r="M436" s="6" t="s">
        <v>29</v>
      </c>
      <c r="N436" s="6">
        <v>3105</v>
      </c>
      <c r="P436" s="18"/>
      <c r="Q436" s="17"/>
      <c r="R436" s="19">
        <v>0</v>
      </c>
      <c r="S436" s="19">
        <v>0</v>
      </c>
      <c r="T436" s="38">
        <v>24</v>
      </c>
      <c r="U436" s="38"/>
      <c r="V436" s="31">
        <v>24.21</v>
      </c>
      <c r="W436" s="35">
        <v>4</v>
      </c>
      <c r="X436" s="32">
        <f t="shared" si="66"/>
        <v>581.04</v>
      </c>
      <c r="Y436" s="32">
        <f t="shared" si="67"/>
        <v>581.04</v>
      </c>
      <c r="Z436" s="32">
        <f t="shared" si="68"/>
        <v>0</v>
      </c>
      <c r="AA436" s="38">
        <v>24</v>
      </c>
      <c r="AB436" s="37">
        <f>IFERROR(VLOOKUP(A436,'Tash Lookup'!A:E,3,FALSE),"")</f>
        <v>582.83000000000004</v>
      </c>
      <c r="AC436" s="6">
        <f t="shared" si="69"/>
        <v>0</v>
      </c>
      <c r="AD436" s="2" t="s">
        <v>6703</v>
      </c>
      <c r="AF436" s="56">
        <v>24.21</v>
      </c>
      <c r="AG436" s="56">
        <f>VLOOKUP(A436,Sheet1!$A$2:$C$1140,3,FALSE)</f>
        <v>24.7</v>
      </c>
      <c r="AH436" s="58">
        <v>24.7</v>
      </c>
      <c r="AI436" s="56" t="str">
        <f t="shared" si="70"/>
        <v>Increase</v>
      </c>
      <c r="AJ436" s="81">
        <f t="shared" si="74"/>
        <v>581.04</v>
      </c>
      <c r="AK436" s="81">
        <f t="shared" si="75"/>
        <v>592.79999999999995</v>
      </c>
      <c r="AL436" s="58" t="s">
        <v>7206</v>
      </c>
      <c r="AM436" s="58" t="s">
        <v>6703</v>
      </c>
      <c r="AN436" s="75">
        <v>10</v>
      </c>
      <c r="AO436" s="88">
        <v>24.7</v>
      </c>
      <c r="AP436" s="6" t="str">
        <f t="shared" si="71"/>
        <v>Increase</v>
      </c>
      <c r="AQ436" s="81">
        <f t="shared" si="72"/>
        <v>242.10000000000002</v>
      </c>
      <c r="AR436" s="81">
        <f t="shared" si="73"/>
        <v>247</v>
      </c>
      <c r="AS436" s="82">
        <f t="shared" si="76"/>
        <v>4.8999999999999773</v>
      </c>
    </row>
    <row r="437" spans="1:45" hidden="1" x14ac:dyDescent="0.3">
      <c r="A437">
        <v>6183838</v>
      </c>
      <c r="B437" s="15" t="s">
        <v>5773</v>
      </c>
      <c r="C437" s="16" t="s">
        <v>30</v>
      </c>
      <c r="D437" s="6" t="s">
        <v>31</v>
      </c>
      <c r="E437" t="s">
        <v>2560</v>
      </c>
      <c r="F437" t="s">
        <v>2560</v>
      </c>
      <c r="H437" s="11" t="s">
        <v>27</v>
      </c>
      <c r="I437" s="6" t="s">
        <v>28</v>
      </c>
      <c r="J437" s="6" t="s">
        <v>28</v>
      </c>
      <c r="K437" t="s">
        <v>32</v>
      </c>
      <c r="L437" s="35">
        <v>4.74</v>
      </c>
      <c r="M437" s="6" t="s">
        <v>29</v>
      </c>
      <c r="N437" s="6">
        <v>3105</v>
      </c>
      <c r="P437" s="18"/>
      <c r="Q437" s="17"/>
      <c r="R437" s="19">
        <v>11.54</v>
      </c>
      <c r="S437" s="19">
        <v>11.54</v>
      </c>
      <c r="T437" s="38">
        <v>23</v>
      </c>
      <c r="U437" s="38"/>
      <c r="V437" s="30">
        <v>11.54</v>
      </c>
      <c r="W437" s="35">
        <v>4.74</v>
      </c>
      <c r="X437" s="32">
        <f t="shared" si="66"/>
        <v>265.41999999999996</v>
      </c>
      <c r="Y437" s="32">
        <f t="shared" si="67"/>
        <v>109.02000000000001</v>
      </c>
      <c r="Z437" s="32">
        <f t="shared" si="68"/>
        <v>156.39999999999995</v>
      </c>
      <c r="AA437" s="38">
        <v>23</v>
      </c>
      <c r="AB437" s="37">
        <f>IFERROR(VLOOKUP(A437,'Tash Lookup'!A:E,3,FALSE),"")</f>
        <v>109.03</v>
      </c>
      <c r="AC437" s="6">
        <f t="shared" si="69"/>
        <v>0</v>
      </c>
      <c r="AD437" s="2" t="s">
        <v>6703</v>
      </c>
      <c r="AF437" s="56">
        <v>4.2699999999999996</v>
      </c>
      <c r="AG437" s="56">
        <f>VLOOKUP(A437,Sheet1!$A$2:$C$1140,3,FALSE)</f>
        <v>4.3499999999999996</v>
      </c>
      <c r="AH437" s="58">
        <v>4.3499999999999996</v>
      </c>
      <c r="AI437" s="56" t="str">
        <f t="shared" si="70"/>
        <v>Increase</v>
      </c>
      <c r="AJ437" s="81">
        <f t="shared" si="74"/>
        <v>98.21</v>
      </c>
      <c r="AK437" s="81">
        <f t="shared" si="75"/>
        <v>100.05</v>
      </c>
      <c r="AL437" s="58" t="s">
        <v>7206</v>
      </c>
      <c r="AM437" s="58" t="s">
        <v>6703</v>
      </c>
      <c r="AN437" s="75">
        <v>47</v>
      </c>
      <c r="AO437" s="88">
        <v>4.3499999999999996</v>
      </c>
      <c r="AP437" s="6" t="str">
        <f t="shared" si="71"/>
        <v>Increase</v>
      </c>
      <c r="AQ437" s="81">
        <f t="shared" si="72"/>
        <v>200.68999999999997</v>
      </c>
      <c r="AR437" s="81">
        <f t="shared" si="73"/>
        <v>204.45</v>
      </c>
      <c r="AS437" s="82">
        <f t="shared" si="76"/>
        <v>3.7600000000000193</v>
      </c>
    </row>
    <row r="438" spans="1:45" hidden="1" x14ac:dyDescent="0.3">
      <c r="A438">
        <v>6189800</v>
      </c>
      <c r="B438" s="15" t="s">
        <v>5774</v>
      </c>
      <c r="C438" s="16" t="s">
        <v>30</v>
      </c>
      <c r="D438" s="6" t="s">
        <v>31</v>
      </c>
      <c r="E438" t="s">
        <v>780</v>
      </c>
      <c r="F438" t="s">
        <v>780</v>
      </c>
      <c r="H438" s="11" t="s">
        <v>27</v>
      </c>
      <c r="I438" s="6" t="s">
        <v>28</v>
      </c>
      <c r="J438" s="6" t="s">
        <v>28</v>
      </c>
      <c r="K438" t="s">
        <v>32</v>
      </c>
      <c r="L438" s="35">
        <v>5.45</v>
      </c>
      <c r="M438" s="6" t="s">
        <v>29</v>
      </c>
      <c r="N438" s="6">
        <v>3105</v>
      </c>
      <c r="P438" s="18"/>
      <c r="Q438" s="17"/>
      <c r="R438" s="19">
        <v>5.45</v>
      </c>
      <c r="S438" s="19">
        <v>5.45</v>
      </c>
      <c r="T438" s="38">
        <v>23</v>
      </c>
      <c r="U438" s="38"/>
      <c r="V438" s="30">
        <v>5.45</v>
      </c>
      <c r="W438" s="35">
        <v>5.45</v>
      </c>
      <c r="X438" s="32">
        <f t="shared" si="66"/>
        <v>125.35000000000001</v>
      </c>
      <c r="Y438" s="32">
        <f t="shared" si="67"/>
        <v>125.35000000000001</v>
      </c>
      <c r="Z438" s="32">
        <f t="shared" si="68"/>
        <v>0</v>
      </c>
      <c r="AA438" s="38">
        <v>23</v>
      </c>
      <c r="AB438" s="37">
        <f>IFERROR(VLOOKUP(A438,'Tash Lookup'!A:E,3,FALSE),"")</f>
        <v>121.9</v>
      </c>
      <c r="AC438" s="6">
        <f t="shared" si="69"/>
        <v>0</v>
      </c>
      <c r="AD438" s="2" t="s">
        <v>6708</v>
      </c>
      <c r="AF438" s="56">
        <v>5.45</v>
      </c>
      <c r="AG438" s="56">
        <f>VLOOKUP(A438,Sheet1!$A$2:$C$1140,3,FALSE)</f>
        <v>3.14</v>
      </c>
      <c r="AH438" s="58">
        <v>3.14</v>
      </c>
      <c r="AI438" s="56" t="str">
        <f t="shared" si="70"/>
        <v>Decrease</v>
      </c>
      <c r="AJ438" s="81">
        <f t="shared" si="74"/>
        <v>125.35000000000001</v>
      </c>
      <c r="AK438" s="81">
        <f t="shared" si="75"/>
        <v>72.22</v>
      </c>
      <c r="AL438" s="58" t="s">
        <v>7206</v>
      </c>
      <c r="AM438" s="58" t="s">
        <v>6708</v>
      </c>
      <c r="AN438" s="75">
        <v>10</v>
      </c>
      <c r="AO438" s="88">
        <v>3.14</v>
      </c>
      <c r="AP438" s="6" t="str">
        <f t="shared" si="71"/>
        <v>Decrease</v>
      </c>
      <c r="AQ438" s="81">
        <f t="shared" si="72"/>
        <v>54.5</v>
      </c>
      <c r="AR438" s="81">
        <f t="shared" si="73"/>
        <v>31.400000000000002</v>
      </c>
      <c r="AS438" s="83">
        <f t="shared" si="76"/>
        <v>-23.099999999999998</v>
      </c>
    </row>
    <row r="439" spans="1:45" hidden="1" x14ac:dyDescent="0.3">
      <c r="A439">
        <v>5090886</v>
      </c>
      <c r="B439" s="15" t="s">
        <v>5775</v>
      </c>
      <c r="C439" s="16" t="s">
        <v>30</v>
      </c>
      <c r="D439" s="6" t="s">
        <v>31</v>
      </c>
      <c r="E439" t="s">
        <v>431</v>
      </c>
      <c r="F439" t="s">
        <v>431</v>
      </c>
      <c r="H439" s="11" t="s">
        <v>27</v>
      </c>
      <c r="I439" s="6" t="s">
        <v>28</v>
      </c>
      <c r="J439" s="6" t="s">
        <v>28</v>
      </c>
      <c r="K439" t="s">
        <v>32</v>
      </c>
      <c r="L439" s="35">
        <v>22.52</v>
      </c>
      <c r="M439" s="6" t="s">
        <v>29</v>
      </c>
      <c r="N439" s="6">
        <v>3105</v>
      </c>
      <c r="P439" s="18"/>
      <c r="Q439" s="17"/>
      <c r="R439" s="19">
        <v>22.52</v>
      </c>
      <c r="S439" s="19">
        <v>22.52</v>
      </c>
      <c r="T439" s="38">
        <v>23</v>
      </c>
      <c r="U439" s="38"/>
      <c r="V439" s="29">
        <v>22.52</v>
      </c>
      <c r="W439" s="35">
        <v>22.52</v>
      </c>
      <c r="X439" s="32">
        <f t="shared" si="66"/>
        <v>517.96</v>
      </c>
      <c r="Y439" s="32">
        <f t="shared" si="67"/>
        <v>517.96</v>
      </c>
      <c r="Z439" s="32">
        <f t="shared" si="68"/>
        <v>0</v>
      </c>
      <c r="AA439" s="38">
        <v>23</v>
      </c>
      <c r="AB439" s="37">
        <f>IFERROR(VLOOKUP(A439,'Tash Lookup'!A:E,3,FALSE),"")</f>
        <v>515.62</v>
      </c>
      <c r="AC439" s="6">
        <f t="shared" si="69"/>
        <v>0</v>
      </c>
      <c r="AD439" s="2" t="s">
        <v>6703</v>
      </c>
      <c r="AF439" s="56">
        <v>26.3</v>
      </c>
      <c r="AG439" s="56">
        <f>VLOOKUP(A439,Sheet1!$A$2:$C$1140,3,FALSE)</f>
        <v>27.09</v>
      </c>
      <c r="AH439" s="58">
        <v>27.09</v>
      </c>
      <c r="AI439" s="56" t="str">
        <f t="shared" si="70"/>
        <v>Increase</v>
      </c>
      <c r="AJ439" s="81">
        <f t="shared" si="74"/>
        <v>604.9</v>
      </c>
      <c r="AK439" s="81">
        <f t="shared" si="75"/>
        <v>623.07000000000005</v>
      </c>
      <c r="AL439" s="58" t="s">
        <v>32</v>
      </c>
      <c r="AM439" s="58" t="s">
        <v>6703</v>
      </c>
      <c r="AN439" s="75">
        <v>6</v>
      </c>
      <c r="AO439" s="88">
        <v>27.09</v>
      </c>
      <c r="AP439" s="6" t="str">
        <f t="shared" si="71"/>
        <v>Increase</v>
      </c>
      <c r="AQ439" s="81">
        <f t="shared" si="72"/>
        <v>157.80000000000001</v>
      </c>
      <c r="AR439" s="81">
        <f t="shared" si="73"/>
        <v>162.54</v>
      </c>
      <c r="AS439" s="82">
        <f t="shared" si="76"/>
        <v>4.7399999999999807</v>
      </c>
    </row>
    <row r="440" spans="1:45" hidden="1" x14ac:dyDescent="0.3">
      <c r="A440">
        <v>6107925</v>
      </c>
      <c r="B440" s="15" t="s">
        <v>5776</v>
      </c>
      <c r="C440" s="16" t="s">
        <v>30</v>
      </c>
      <c r="D440" s="6" t="s">
        <v>31</v>
      </c>
      <c r="E440" t="s">
        <v>914</v>
      </c>
      <c r="F440" t="s">
        <v>914</v>
      </c>
      <c r="H440" s="11" t="s">
        <v>27</v>
      </c>
      <c r="I440" s="6" t="s">
        <v>28</v>
      </c>
      <c r="J440" s="6" t="s">
        <v>28</v>
      </c>
      <c r="K440" t="s">
        <v>32</v>
      </c>
      <c r="L440" s="35">
        <v>8.02</v>
      </c>
      <c r="M440" s="6" t="s">
        <v>29</v>
      </c>
      <c r="N440" s="6">
        <v>3105</v>
      </c>
      <c r="P440" s="18"/>
      <c r="Q440" s="17"/>
      <c r="R440" s="19">
        <v>8.02</v>
      </c>
      <c r="S440" s="19">
        <v>8.02</v>
      </c>
      <c r="T440" s="38">
        <v>23</v>
      </c>
      <c r="U440" s="38"/>
      <c r="V440" s="29">
        <v>8.02</v>
      </c>
      <c r="W440" s="35">
        <v>8.02</v>
      </c>
      <c r="X440" s="32">
        <f t="shared" si="66"/>
        <v>184.45999999999998</v>
      </c>
      <c r="Y440" s="32">
        <f t="shared" si="67"/>
        <v>184.45999999999998</v>
      </c>
      <c r="Z440" s="32">
        <f t="shared" si="68"/>
        <v>0</v>
      </c>
      <c r="AA440" s="38">
        <v>23</v>
      </c>
      <c r="AB440" s="37">
        <f>IFERROR(VLOOKUP(A440,'Tash Lookup'!A:E,3,FALSE),"")</f>
        <v>184.48</v>
      </c>
      <c r="AC440" s="6">
        <f t="shared" si="69"/>
        <v>0</v>
      </c>
      <c r="AD440" s="2" t="s">
        <v>6703</v>
      </c>
      <c r="AF440" s="56">
        <v>8.02</v>
      </c>
      <c r="AG440" s="56">
        <f>VLOOKUP(A440,Sheet1!$A$2:$C$1140,3,FALSE)</f>
        <v>8.18</v>
      </c>
      <c r="AH440" s="58">
        <v>8.18</v>
      </c>
      <c r="AI440" s="56" t="str">
        <f t="shared" si="70"/>
        <v>Increase</v>
      </c>
      <c r="AJ440" s="81">
        <f t="shared" si="74"/>
        <v>184.45999999999998</v>
      </c>
      <c r="AK440" s="81">
        <f t="shared" si="75"/>
        <v>188.14</v>
      </c>
      <c r="AL440" s="58" t="s">
        <v>7206</v>
      </c>
      <c r="AM440" s="58" t="s">
        <v>6703</v>
      </c>
      <c r="AN440" s="75">
        <v>2</v>
      </c>
      <c r="AO440" s="88">
        <v>8.18</v>
      </c>
      <c r="AP440" s="6" t="str">
        <f t="shared" si="71"/>
        <v>Increase</v>
      </c>
      <c r="AQ440" s="81">
        <f t="shared" si="72"/>
        <v>16.04</v>
      </c>
      <c r="AR440" s="81">
        <f t="shared" si="73"/>
        <v>16.36</v>
      </c>
      <c r="AS440" s="82">
        <f t="shared" si="76"/>
        <v>0.32000000000000028</v>
      </c>
    </row>
    <row r="441" spans="1:45" hidden="1" x14ac:dyDescent="0.3">
      <c r="A441">
        <v>6386670</v>
      </c>
      <c r="B441" s="15" t="s">
        <v>5777</v>
      </c>
      <c r="C441" s="16" t="s">
        <v>30</v>
      </c>
      <c r="D441" s="6" t="s">
        <v>31</v>
      </c>
      <c r="E441" t="s">
        <v>640</v>
      </c>
      <c r="F441" t="s">
        <v>640</v>
      </c>
      <c r="H441" s="11" t="s">
        <v>27</v>
      </c>
      <c r="I441" s="6" t="s">
        <v>28</v>
      </c>
      <c r="J441" s="6" t="s">
        <v>28</v>
      </c>
      <c r="K441" t="s">
        <v>32</v>
      </c>
      <c r="L441" s="35">
        <v>22.61</v>
      </c>
      <c r="M441" s="6" t="s">
        <v>29</v>
      </c>
      <c r="N441" s="6">
        <v>3105</v>
      </c>
      <c r="P441" s="18"/>
      <c r="Q441" s="17"/>
      <c r="R441" s="19">
        <v>22.61</v>
      </c>
      <c r="S441" s="19">
        <v>22.61</v>
      </c>
      <c r="T441" s="38">
        <v>23</v>
      </c>
      <c r="U441" s="38"/>
      <c r="V441" s="30">
        <v>22.61</v>
      </c>
      <c r="W441" s="35">
        <v>22.61</v>
      </c>
      <c r="X441" s="32">
        <f t="shared" si="66"/>
        <v>520.03</v>
      </c>
      <c r="Y441" s="32">
        <f t="shared" si="67"/>
        <v>520.03</v>
      </c>
      <c r="Z441" s="32">
        <f t="shared" si="68"/>
        <v>0</v>
      </c>
      <c r="AA441" s="38">
        <v>23</v>
      </c>
      <c r="AB441" s="37">
        <f>IFERROR(VLOOKUP(A441,'Tash Lookup'!A:E,3,FALSE),"")</f>
        <v>516.11</v>
      </c>
      <c r="AC441" s="6">
        <f t="shared" si="69"/>
        <v>0</v>
      </c>
      <c r="AD441" s="2" t="s">
        <v>6708</v>
      </c>
      <c r="AF441" s="56">
        <v>22.61</v>
      </c>
      <c r="AG441" s="56">
        <f>VLOOKUP(A441,Sheet1!$A$2:$C$1140,3,FALSE)</f>
        <v>22.61</v>
      </c>
      <c r="AH441" s="58">
        <v>22.61</v>
      </c>
      <c r="AI441" s="56" t="str">
        <f t="shared" si="70"/>
        <v>Same</v>
      </c>
      <c r="AJ441" s="81">
        <f t="shared" si="74"/>
        <v>520.03</v>
      </c>
      <c r="AK441" s="81">
        <f t="shared" si="75"/>
        <v>520.03</v>
      </c>
      <c r="AL441" s="58" t="s">
        <v>7206</v>
      </c>
      <c r="AM441" s="58" t="s">
        <v>6708</v>
      </c>
      <c r="AN441" s="75">
        <v>11</v>
      </c>
      <c r="AO441" s="88">
        <v>22.61</v>
      </c>
      <c r="AP441" s="6" t="str">
        <f t="shared" si="71"/>
        <v>Same</v>
      </c>
      <c r="AQ441" s="81">
        <f t="shared" si="72"/>
        <v>248.70999999999998</v>
      </c>
      <c r="AR441" s="81">
        <f t="shared" si="73"/>
        <v>248.70999999999998</v>
      </c>
      <c r="AS441" s="81">
        <f t="shared" si="76"/>
        <v>0</v>
      </c>
    </row>
    <row r="442" spans="1:45" hidden="1" x14ac:dyDescent="0.3">
      <c r="A442">
        <v>6401600</v>
      </c>
      <c r="B442" s="15" t="s">
        <v>5778</v>
      </c>
      <c r="C442" s="16" t="s">
        <v>30</v>
      </c>
      <c r="D442" s="6" t="s">
        <v>31</v>
      </c>
      <c r="E442" t="s">
        <v>1259</v>
      </c>
      <c r="F442" t="s">
        <v>1259</v>
      </c>
      <c r="H442" s="11" t="s">
        <v>27</v>
      </c>
      <c r="I442" s="6" t="s">
        <v>28</v>
      </c>
      <c r="J442" s="6" t="s">
        <v>28</v>
      </c>
      <c r="K442" t="s">
        <v>32</v>
      </c>
      <c r="L442" s="35">
        <v>9.06</v>
      </c>
      <c r="M442" s="6" t="s">
        <v>29</v>
      </c>
      <c r="N442" s="6">
        <v>3105</v>
      </c>
      <c r="P442" s="18"/>
      <c r="Q442" s="17"/>
      <c r="R442" s="19">
        <v>9.06</v>
      </c>
      <c r="S442" s="19">
        <v>9.06</v>
      </c>
      <c r="T442" s="38">
        <v>23</v>
      </c>
      <c r="U442" s="38"/>
      <c r="V442" s="30">
        <v>9.06</v>
      </c>
      <c r="W442" s="35">
        <v>9.06</v>
      </c>
      <c r="X442" s="32">
        <f t="shared" si="66"/>
        <v>208.38000000000002</v>
      </c>
      <c r="Y442" s="32">
        <f t="shared" si="67"/>
        <v>208.38000000000002</v>
      </c>
      <c r="Z442" s="32">
        <f t="shared" si="68"/>
        <v>0</v>
      </c>
      <c r="AA442" s="38">
        <v>23</v>
      </c>
      <c r="AB442" s="37">
        <f>IFERROR(VLOOKUP(A442,'Tash Lookup'!A:E,3,FALSE),"")</f>
        <v>201.74</v>
      </c>
      <c r="AC442" s="6">
        <f t="shared" si="69"/>
        <v>0</v>
      </c>
      <c r="AD442" s="2" t="s">
        <v>6703</v>
      </c>
      <c r="AF442" s="56">
        <v>9.52</v>
      </c>
      <c r="AG442" s="56">
        <f>VLOOKUP(A442,Sheet1!$A$2:$C$1140,3,FALSE)</f>
        <v>9.7100000000000009</v>
      </c>
      <c r="AH442" s="58">
        <v>9.7100000000000009</v>
      </c>
      <c r="AI442" s="56" t="str">
        <f t="shared" si="70"/>
        <v>Increase</v>
      </c>
      <c r="AJ442" s="81">
        <f t="shared" si="74"/>
        <v>218.95999999999998</v>
      </c>
      <c r="AK442" s="81">
        <f t="shared" si="75"/>
        <v>223.33</v>
      </c>
      <c r="AL442" s="58" t="s">
        <v>7206</v>
      </c>
      <c r="AM442" s="58" t="s">
        <v>6703</v>
      </c>
      <c r="AN442" s="75">
        <v>24</v>
      </c>
      <c r="AO442" s="88">
        <v>9.7100000000000009</v>
      </c>
      <c r="AP442" s="6" t="str">
        <f t="shared" si="71"/>
        <v>Increase</v>
      </c>
      <c r="AQ442" s="81">
        <f t="shared" si="72"/>
        <v>228.48</v>
      </c>
      <c r="AR442" s="81">
        <f t="shared" si="73"/>
        <v>233.04000000000002</v>
      </c>
      <c r="AS442" s="82">
        <f t="shared" si="76"/>
        <v>4.5600000000000307</v>
      </c>
    </row>
    <row r="443" spans="1:45" hidden="1" x14ac:dyDescent="0.3">
      <c r="A443">
        <v>5092525</v>
      </c>
      <c r="B443" s="15" t="s">
        <v>5779</v>
      </c>
      <c r="C443" s="16" t="s">
        <v>30</v>
      </c>
      <c r="D443" s="6" t="s">
        <v>31</v>
      </c>
      <c r="E443" t="s">
        <v>416</v>
      </c>
      <c r="F443" t="s">
        <v>416</v>
      </c>
      <c r="H443" s="11" t="s">
        <v>27</v>
      </c>
      <c r="I443" s="6" t="s">
        <v>28</v>
      </c>
      <c r="J443" s="6" t="s">
        <v>28</v>
      </c>
      <c r="K443" t="s">
        <v>32</v>
      </c>
      <c r="L443" s="35">
        <v>8.68</v>
      </c>
      <c r="M443" s="6" t="s">
        <v>29</v>
      </c>
      <c r="N443" s="6">
        <v>3105</v>
      </c>
      <c r="P443" s="18"/>
      <c r="Q443" s="17"/>
      <c r="R443" s="19">
        <v>7.81</v>
      </c>
      <c r="S443" s="19">
        <v>0</v>
      </c>
      <c r="T443" s="38">
        <v>23</v>
      </c>
      <c r="U443" s="38"/>
      <c r="V443" s="29">
        <v>8.68</v>
      </c>
      <c r="W443" s="35">
        <v>8.68</v>
      </c>
      <c r="X443" s="32">
        <f t="shared" si="66"/>
        <v>199.64</v>
      </c>
      <c r="Y443" s="32">
        <f t="shared" si="67"/>
        <v>199.64</v>
      </c>
      <c r="Z443" s="32">
        <f t="shared" si="68"/>
        <v>0</v>
      </c>
      <c r="AA443" s="38">
        <v>23</v>
      </c>
      <c r="AB443" s="37">
        <f>IFERROR(VLOOKUP(A443,'Tash Lookup'!A:E,3,FALSE),"")</f>
        <v>203.45</v>
      </c>
      <c r="AC443" s="6">
        <f t="shared" si="69"/>
        <v>0</v>
      </c>
      <c r="AD443" s="2" t="s">
        <v>6703</v>
      </c>
      <c r="AF443" s="56">
        <v>9.34</v>
      </c>
      <c r="AG443" s="56">
        <f>VLOOKUP(A443,Sheet1!$A$2:$C$1140,3,FALSE)</f>
        <v>9.6199999999999992</v>
      </c>
      <c r="AH443" s="58">
        <v>9.6199999999999992</v>
      </c>
      <c r="AI443" s="56" t="str">
        <f t="shared" si="70"/>
        <v>Increase</v>
      </c>
      <c r="AJ443" s="81">
        <f t="shared" si="74"/>
        <v>214.82</v>
      </c>
      <c r="AK443" s="81">
        <f t="shared" si="75"/>
        <v>221.26</v>
      </c>
      <c r="AL443" s="58" t="s">
        <v>32</v>
      </c>
      <c r="AM443" s="58" t="s">
        <v>6703</v>
      </c>
      <c r="AN443" s="75">
        <v>24</v>
      </c>
      <c r="AO443" s="88">
        <v>9.6199999999999992</v>
      </c>
      <c r="AP443" s="6" t="str">
        <f t="shared" si="71"/>
        <v>Increase</v>
      </c>
      <c r="AQ443" s="81">
        <f t="shared" si="72"/>
        <v>224.16</v>
      </c>
      <c r="AR443" s="81">
        <f t="shared" si="73"/>
        <v>230.88</v>
      </c>
      <c r="AS443" s="82">
        <f t="shared" si="76"/>
        <v>6.7199999999999989</v>
      </c>
    </row>
    <row r="444" spans="1:45" hidden="1" x14ac:dyDescent="0.3">
      <c r="A444">
        <v>5092620</v>
      </c>
      <c r="B444" s="15" t="s">
        <v>5780</v>
      </c>
      <c r="C444" s="16" t="s">
        <v>30</v>
      </c>
      <c r="D444" s="6" t="s">
        <v>31</v>
      </c>
      <c r="E444" t="s">
        <v>321</v>
      </c>
      <c r="F444" t="s">
        <v>321</v>
      </c>
      <c r="H444" s="11" t="s">
        <v>27</v>
      </c>
      <c r="I444" s="6" t="s">
        <v>28</v>
      </c>
      <c r="J444" s="6" t="s">
        <v>28</v>
      </c>
      <c r="K444" t="s">
        <v>32</v>
      </c>
      <c r="L444" s="35">
        <v>18.41</v>
      </c>
      <c r="M444" s="6" t="s">
        <v>29</v>
      </c>
      <c r="N444" s="6">
        <v>3105</v>
      </c>
      <c r="P444" s="18"/>
      <c r="Q444" s="17"/>
      <c r="R444" s="19">
        <v>18.41</v>
      </c>
      <c r="S444" s="19">
        <v>18.41</v>
      </c>
      <c r="T444" s="38">
        <v>22</v>
      </c>
      <c r="U444" s="38"/>
      <c r="V444" s="29">
        <v>18.41</v>
      </c>
      <c r="W444" s="35">
        <v>18.41</v>
      </c>
      <c r="X444" s="32">
        <f t="shared" si="66"/>
        <v>405.02</v>
      </c>
      <c r="Y444" s="32">
        <f t="shared" si="67"/>
        <v>405.02</v>
      </c>
      <c r="Z444" s="32">
        <f t="shared" si="68"/>
        <v>0</v>
      </c>
      <c r="AA444" s="38">
        <v>22</v>
      </c>
      <c r="AB444" s="37">
        <f>IFERROR(VLOOKUP(A444,'Tash Lookup'!A:E,3,FALSE),"")</f>
        <v>404.99</v>
      </c>
      <c r="AC444" s="6">
        <f t="shared" si="69"/>
        <v>0</v>
      </c>
      <c r="AD444" s="2" t="s">
        <v>6703</v>
      </c>
      <c r="AF444" s="56">
        <v>19.75</v>
      </c>
      <c r="AG444" s="56">
        <f>VLOOKUP(A444,Sheet1!$A$2:$C$1140,3,FALSE)</f>
        <v>20.34</v>
      </c>
      <c r="AH444" s="58">
        <v>20.34</v>
      </c>
      <c r="AI444" s="56" t="str">
        <f t="shared" si="70"/>
        <v>Increase</v>
      </c>
      <c r="AJ444" s="81">
        <f t="shared" si="74"/>
        <v>434.5</v>
      </c>
      <c r="AK444" s="81">
        <f t="shared" si="75"/>
        <v>447.48</v>
      </c>
      <c r="AL444" s="58" t="s">
        <v>32</v>
      </c>
      <c r="AM444" s="58" t="s">
        <v>6703</v>
      </c>
      <c r="AN444" s="75">
        <v>0</v>
      </c>
      <c r="AO444" s="88">
        <v>20.34</v>
      </c>
      <c r="AP444" s="6" t="str">
        <f t="shared" si="71"/>
        <v>Increase</v>
      </c>
      <c r="AQ444" s="81">
        <f t="shared" si="72"/>
        <v>0</v>
      </c>
      <c r="AR444" s="81">
        <f t="shared" si="73"/>
        <v>0</v>
      </c>
      <c r="AS444" s="82">
        <f t="shared" si="76"/>
        <v>0</v>
      </c>
    </row>
    <row r="445" spans="1:45" hidden="1" x14ac:dyDescent="0.3">
      <c r="A445">
        <v>5330420</v>
      </c>
      <c r="B445" s="15" t="s">
        <v>5781</v>
      </c>
      <c r="C445" s="16" t="s">
        <v>30</v>
      </c>
      <c r="D445" s="6" t="s">
        <v>31</v>
      </c>
      <c r="E445" t="s">
        <v>427</v>
      </c>
      <c r="F445" t="s">
        <v>5217</v>
      </c>
      <c r="H445" s="11" t="s">
        <v>27</v>
      </c>
      <c r="I445" s="6" t="s">
        <v>28</v>
      </c>
      <c r="J445" s="6" t="s">
        <v>28</v>
      </c>
      <c r="K445" t="s">
        <v>32</v>
      </c>
      <c r="L445" s="35">
        <v>17.38</v>
      </c>
      <c r="M445" s="6" t="s">
        <v>29</v>
      </c>
      <c r="N445" s="6">
        <v>3105</v>
      </c>
      <c r="P445" s="18"/>
      <c r="Q445" s="17"/>
      <c r="R445" s="19">
        <v>17.38</v>
      </c>
      <c r="S445" s="19">
        <v>17.38</v>
      </c>
      <c r="T445" s="38">
        <v>22</v>
      </c>
      <c r="U445" s="38"/>
      <c r="V445" s="29">
        <v>17.38</v>
      </c>
      <c r="W445" s="35">
        <v>17.38</v>
      </c>
      <c r="X445" s="32">
        <f t="shared" si="66"/>
        <v>382.35999999999996</v>
      </c>
      <c r="Y445" s="32">
        <f t="shared" si="67"/>
        <v>382.35999999999996</v>
      </c>
      <c r="Z445" s="32">
        <f t="shared" si="68"/>
        <v>0</v>
      </c>
      <c r="AA445" s="38">
        <v>22</v>
      </c>
      <c r="AB445" s="37">
        <f>IFERROR(VLOOKUP(A445,'Tash Lookup'!A:E,3,FALSE),"")</f>
        <v>382.36</v>
      </c>
      <c r="AC445" s="6">
        <f t="shared" si="69"/>
        <v>0</v>
      </c>
      <c r="AD445" s="2" t="s">
        <v>6703</v>
      </c>
      <c r="AF445" s="56">
        <v>19.86</v>
      </c>
      <c r="AG445" s="56">
        <f>VLOOKUP(A445,Sheet1!$A$2:$C$1140,3,FALSE)</f>
        <v>20.45</v>
      </c>
      <c r="AH445" s="58">
        <v>20.45</v>
      </c>
      <c r="AI445" s="56" t="str">
        <f t="shared" si="70"/>
        <v>Increase</v>
      </c>
      <c r="AJ445" s="81">
        <f t="shared" si="74"/>
        <v>436.91999999999996</v>
      </c>
      <c r="AK445" s="81">
        <f t="shared" si="75"/>
        <v>449.9</v>
      </c>
      <c r="AL445" s="58" t="s">
        <v>32</v>
      </c>
      <c r="AM445" s="58" t="s">
        <v>6703</v>
      </c>
      <c r="AN445" s="75">
        <v>21</v>
      </c>
      <c r="AO445" s="88">
        <v>20.45</v>
      </c>
      <c r="AP445" s="6" t="str">
        <f t="shared" si="71"/>
        <v>Increase</v>
      </c>
      <c r="AQ445" s="81">
        <f t="shared" si="72"/>
        <v>417.06</v>
      </c>
      <c r="AR445" s="81">
        <f t="shared" si="73"/>
        <v>429.45</v>
      </c>
      <c r="AS445" s="82">
        <f t="shared" si="76"/>
        <v>12.389999999999986</v>
      </c>
    </row>
    <row r="446" spans="1:45" hidden="1" x14ac:dyDescent="0.3">
      <c r="A446">
        <v>5183425</v>
      </c>
      <c r="B446" s="15" t="s">
        <v>5782</v>
      </c>
      <c r="C446" s="16" t="s">
        <v>30</v>
      </c>
      <c r="D446" s="6" t="s">
        <v>31</v>
      </c>
      <c r="E446" t="s">
        <v>615</v>
      </c>
      <c r="F446" t="s">
        <v>615</v>
      </c>
      <c r="H446" s="11" t="s">
        <v>27</v>
      </c>
      <c r="I446" s="6" t="s">
        <v>28</v>
      </c>
      <c r="J446" s="6" t="s">
        <v>28</v>
      </c>
      <c r="K446" t="s">
        <v>32</v>
      </c>
      <c r="L446" s="35">
        <v>35.4</v>
      </c>
      <c r="M446" s="6" t="s">
        <v>29</v>
      </c>
      <c r="N446" s="6">
        <v>3105</v>
      </c>
      <c r="P446" s="18"/>
      <c r="Q446" s="17"/>
      <c r="R446" s="19">
        <v>33.630000000000003</v>
      </c>
      <c r="S446" s="19">
        <v>0</v>
      </c>
      <c r="T446" s="38">
        <v>22</v>
      </c>
      <c r="U446" s="38"/>
      <c r="V446" s="29">
        <v>35.4</v>
      </c>
      <c r="W446" s="35">
        <v>35.4</v>
      </c>
      <c r="X446" s="32">
        <f t="shared" si="66"/>
        <v>778.8</v>
      </c>
      <c r="Y446" s="32">
        <f t="shared" si="67"/>
        <v>778.8</v>
      </c>
      <c r="Z446" s="32">
        <f t="shared" si="68"/>
        <v>0</v>
      </c>
      <c r="AA446" s="38">
        <v>22</v>
      </c>
      <c r="AB446" s="37">
        <f>IFERROR(VLOOKUP(A446,'Tash Lookup'!A:E,3,FALSE),"")</f>
        <v>778.43</v>
      </c>
      <c r="AC446" s="6">
        <f t="shared" si="69"/>
        <v>0</v>
      </c>
      <c r="AD446" s="2" t="s">
        <v>6703</v>
      </c>
      <c r="AF446" s="56">
        <v>35.64</v>
      </c>
      <c r="AG446" s="56">
        <f>VLOOKUP(A446,Sheet1!$A$2:$C$1140,3,FALSE)</f>
        <v>36.700000000000003</v>
      </c>
      <c r="AH446" s="58">
        <v>36.700000000000003</v>
      </c>
      <c r="AI446" s="56" t="str">
        <f t="shared" si="70"/>
        <v>Increase</v>
      </c>
      <c r="AJ446" s="81">
        <f t="shared" si="74"/>
        <v>784.08</v>
      </c>
      <c r="AK446" s="81">
        <f t="shared" si="75"/>
        <v>807.40000000000009</v>
      </c>
      <c r="AL446" s="58" t="s">
        <v>32</v>
      </c>
      <c r="AM446" s="58" t="s">
        <v>6703</v>
      </c>
      <c r="AN446" s="75">
        <v>6</v>
      </c>
      <c r="AO446" s="88">
        <v>36.700000000000003</v>
      </c>
      <c r="AP446" s="6" t="str">
        <f t="shared" si="71"/>
        <v>Increase</v>
      </c>
      <c r="AQ446" s="81">
        <f t="shared" si="72"/>
        <v>213.84</v>
      </c>
      <c r="AR446" s="81">
        <f t="shared" si="73"/>
        <v>220.20000000000002</v>
      </c>
      <c r="AS446" s="82">
        <f t="shared" si="76"/>
        <v>6.3600000000000136</v>
      </c>
    </row>
    <row r="447" spans="1:45" hidden="1" x14ac:dyDescent="0.3">
      <c r="A447">
        <v>6188849</v>
      </c>
      <c r="B447" s="15" t="s">
        <v>5783</v>
      </c>
      <c r="C447" s="16" t="s">
        <v>30</v>
      </c>
      <c r="D447" s="6" t="s">
        <v>31</v>
      </c>
      <c r="E447" t="s">
        <v>792</v>
      </c>
      <c r="F447" t="s">
        <v>792</v>
      </c>
      <c r="H447" s="11" t="s">
        <v>27</v>
      </c>
      <c r="I447" s="6" t="s">
        <v>28</v>
      </c>
      <c r="J447" s="6" t="s">
        <v>28</v>
      </c>
      <c r="K447" t="s">
        <v>32</v>
      </c>
      <c r="L447" s="35">
        <v>1.89</v>
      </c>
      <c r="M447" s="6" t="s">
        <v>29</v>
      </c>
      <c r="N447" s="6">
        <v>3105</v>
      </c>
      <c r="P447" s="18"/>
      <c r="Q447" s="17"/>
      <c r="R447" s="19">
        <v>1.89</v>
      </c>
      <c r="S447" s="19">
        <v>1.89</v>
      </c>
      <c r="T447" s="38">
        <v>22</v>
      </c>
      <c r="U447" s="38"/>
      <c r="V447" s="30">
        <v>1.89</v>
      </c>
      <c r="W447" s="35">
        <v>1.89</v>
      </c>
      <c r="X447" s="32">
        <f t="shared" si="66"/>
        <v>41.58</v>
      </c>
      <c r="Y447" s="32">
        <f t="shared" si="67"/>
        <v>41.58</v>
      </c>
      <c r="Z447" s="32">
        <f t="shared" si="68"/>
        <v>0</v>
      </c>
      <c r="AA447" s="38">
        <v>22</v>
      </c>
      <c r="AB447" s="37">
        <f>IFERROR(VLOOKUP(A447,'Tash Lookup'!A:E,3,FALSE),"")</f>
        <v>40.909999999999997</v>
      </c>
      <c r="AC447" s="6">
        <f t="shared" si="69"/>
        <v>0</v>
      </c>
      <c r="AD447" s="2" t="s">
        <v>6703</v>
      </c>
      <c r="AF447" s="56">
        <v>1.89</v>
      </c>
      <c r="AG447" s="56">
        <f>VLOOKUP(A447,Sheet1!$A$2:$C$1140,3,FALSE)</f>
        <v>1.93</v>
      </c>
      <c r="AH447" s="58">
        <v>1.93</v>
      </c>
      <c r="AI447" s="56" t="str">
        <f t="shared" si="70"/>
        <v>Increase</v>
      </c>
      <c r="AJ447" s="81">
        <f t="shared" si="74"/>
        <v>41.58</v>
      </c>
      <c r="AK447" s="81">
        <f t="shared" si="75"/>
        <v>42.46</v>
      </c>
      <c r="AL447" s="58" t="s">
        <v>7206</v>
      </c>
      <c r="AM447" s="58" t="s">
        <v>6703</v>
      </c>
      <c r="AN447" s="75">
        <v>12</v>
      </c>
      <c r="AO447" s="88">
        <v>1.93</v>
      </c>
      <c r="AP447" s="6" t="str">
        <f t="shared" si="71"/>
        <v>Increase</v>
      </c>
      <c r="AQ447" s="81">
        <f t="shared" si="72"/>
        <v>22.68</v>
      </c>
      <c r="AR447" s="81">
        <f t="shared" si="73"/>
        <v>23.16</v>
      </c>
      <c r="AS447" s="82">
        <f t="shared" si="76"/>
        <v>0.48000000000000043</v>
      </c>
    </row>
    <row r="448" spans="1:45" hidden="1" x14ac:dyDescent="0.3">
      <c r="A448">
        <v>6107909</v>
      </c>
      <c r="B448" s="15" t="s">
        <v>5784</v>
      </c>
      <c r="C448" s="16" t="s">
        <v>30</v>
      </c>
      <c r="D448" s="6" t="s">
        <v>31</v>
      </c>
      <c r="E448" t="s">
        <v>1071</v>
      </c>
      <c r="F448" t="s">
        <v>1071</v>
      </c>
      <c r="H448" s="11" t="s">
        <v>27</v>
      </c>
      <c r="I448" s="6" t="s">
        <v>28</v>
      </c>
      <c r="J448" s="6" t="s">
        <v>28</v>
      </c>
      <c r="K448" t="s">
        <v>32</v>
      </c>
      <c r="L448" s="35">
        <v>5.2</v>
      </c>
      <c r="M448" s="6" t="s">
        <v>29</v>
      </c>
      <c r="N448" s="6">
        <v>3105</v>
      </c>
      <c r="P448" s="18"/>
      <c r="Q448" s="17"/>
      <c r="R448" s="19">
        <v>0</v>
      </c>
      <c r="S448" s="19">
        <v>0</v>
      </c>
      <c r="T448" s="38">
        <v>22</v>
      </c>
      <c r="U448" s="38"/>
      <c r="V448" s="31">
        <v>5.2</v>
      </c>
      <c r="W448" s="35">
        <v>5.2</v>
      </c>
      <c r="X448" s="32">
        <f t="shared" si="66"/>
        <v>114.4</v>
      </c>
      <c r="Y448" s="32">
        <f t="shared" si="67"/>
        <v>114.4</v>
      </c>
      <c r="Z448" s="32">
        <f t="shared" si="68"/>
        <v>0</v>
      </c>
      <c r="AA448" s="38">
        <v>22</v>
      </c>
      <c r="AB448" s="37">
        <f>IFERROR(VLOOKUP(A448,'Tash Lookup'!A:E,3,FALSE),"")</f>
        <v>114.4</v>
      </c>
      <c r="AC448" s="6">
        <f t="shared" si="69"/>
        <v>0</v>
      </c>
      <c r="AD448" s="2" t="s">
        <v>6703</v>
      </c>
      <c r="AF448" s="56">
        <v>5.2</v>
      </c>
      <c r="AG448" s="56">
        <f>VLOOKUP(A448,Sheet1!$A$2:$C$1140,3,FALSE)</f>
        <v>5.31</v>
      </c>
      <c r="AH448" s="58">
        <v>5.31</v>
      </c>
      <c r="AI448" s="56" t="str">
        <f t="shared" si="70"/>
        <v>Increase</v>
      </c>
      <c r="AJ448" s="81">
        <f t="shared" si="74"/>
        <v>114.4</v>
      </c>
      <c r="AK448" s="81">
        <f t="shared" si="75"/>
        <v>116.82</v>
      </c>
      <c r="AL448" s="58" t="s">
        <v>7206</v>
      </c>
      <c r="AM448" s="58" t="s">
        <v>6703</v>
      </c>
      <c r="AN448" s="75">
        <v>34</v>
      </c>
      <c r="AO448" s="88">
        <v>5.31</v>
      </c>
      <c r="AP448" s="6" t="str">
        <f t="shared" si="71"/>
        <v>Increase</v>
      </c>
      <c r="AQ448" s="81">
        <f t="shared" si="72"/>
        <v>176.8</v>
      </c>
      <c r="AR448" s="81">
        <f t="shared" si="73"/>
        <v>180.54</v>
      </c>
      <c r="AS448" s="82">
        <f t="shared" si="76"/>
        <v>3.7399999999999807</v>
      </c>
    </row>
    <row r="449" spans="1:45" hidden="1" x14ac:dyDescent="0.3">
      <c r="A449">
        <v>6188882</v>
      </c>
      <c r="B449" s="15" t="s">
        <v>5785</v>
      </c>
      <c r="C449" s="16" t="s">
        <v>30</v>
      </c>
      <c r="D449" s="6" t="s">
        <v>31</v>
      </c>
      <c r="E449" t="s">
        <v>692</v>
      </c>
      <c r="F449" t="s">
        <v>692</v>
      </c>
      <c r="H449" s="11" t="s">
        <v>27</v>
      </c>
      <c r="I449" s="6" t="s">
        <v>28</v>
      </c>
      <c r="J449" s="6" t="s">
        <v>28</v>
      </c>
      <c r="K449" t="s">
        <v>32</v>
      </c>
      <c r="L449" s="35">
        <v>18.25</v>
      </c>
      <c r="M449" s="6" t="s">
        <v>29</v>
      </c>
      <c r="N449" s="6">
        <v>3105</v>
      </c>
      <c r="P449" s="18"/>
      <c r="Q449" s="17"/>
      <c r="R449" s="19">
        <v>18.25</v>
      </c>
      <c r="S449" s="19">
        <v>18.25</v>
      </c>
      <c r="T449" s="38">
        <v>22</v>
      </c>
      <c r="U449" s="38"/>
      <c r="V449" s="30">
        <v>18.25</v>
      </c>
      <c r="W449" s="35">
        <v>18.25</v>
      </c>
      <c r="X449" s="32">
        <f t="shared" si="66"/>
        <v>401.5</v>
      </c>
      <c r="Y449" s="32">
        <f t="shared" si="67"/>
        <v>401.5</v>
      </c>
      <c r="Z449" s="32">
        <f t="shared" si="68"/>
        <v>0</v>
      </c>
      <c r="AA449" s="38">
        <v>22</v>
      </c>
      <c r="AB449" s="37">
        <f>IFERROR(VLOOKUP(A449,'Tash Lookup'!A:E,3,FALSE),"")</f>
        <v>400.72</v>
      </c>
      <c r="AC449" s="6">
        <f t="shared" si="69"/>
        <v>0</v>
      </c>
      <c r="AD449" s="2" t="s">
        <v>6703</v>
      </c>
      <c r="AF449" s="56">
        <v>18.25</v>
      </c>
      <c r="AG449" s="56">
        <f>VLOOKUP(A449,Sheet1!$A$2:$C$1140,3,FALSE)</f>
        <v>18.62</v>
      </c>
      <c r="AH449" s="58">
        <v>18.62</v>
      </c>
      <c r="AI449" s="56" t="str">
        <f t="shared" si="70"/>
        <v>Increase</v>
      </c>
      <c r="AJ449" s="81">
        <f t="shared" si="74"/>
        <v>401.5</v>
      </c>
      <c r="AK449" s="81">
        <f t="shared" si="75"/>
        <v>409.64000000000004</v>
      </c>
      <c r="AL449" s="58" t="s">
        <v>7206</v>
      </c>
      <c r="AM449" s="58" t="s">
        <v>6703</v>
      </c>
      <c r="AN449" s="75">
        <v>3</v>
      </c>
      <c r="AO449" s="88">
        <v>18.62</v>
      </c>
      <c r="AP449" s="6" t="str">
        <f t="shared" si="71"/>
        <v>Increase</v>
      </c>
      <c r="AQ449" s="81">
        <f t="shared" si="72"/>
        <v>54.75</v>
      </c>
      <c r="AR449" s="81">
        <f t="shared" si="73"/>
        <v>55.86</v>
      </c>
      <c r="AS449" s="82">
        <f t="shared" si="76"/>
        <v>1.1099999999999994</v>
      </c>
    </row>
    <row r="450" spans="1:45" hidden="1" x14ac:dyDescent="0.3">
      <c r="A450">
        <v>5219310</v>
      </c>
      <c r="B450" s="15" t="s">
        <v>5786</v>
      </c>
      <c r="C450" s="16" t="s">
        <v>30</v>
      </c>
      <c r="D450" s="6" t="s">
        <v>31</v>
      </c>
      <c r="E450" t="s">
        <v>273</v>
      </c>
      <c r="F450" t="s">
        <v>273</v>
      </c>
      <c r="H450" s="11" t="s">
        <v>27</v>
      </c>
      <c r="I450" s="6" t="s">
        <v>28</v>
      </c>
      <c r="J450" s="6" t="s">
        <v>28</v>
      </c>
      <c r="K450" t="s">
        <v>32</v>
      </c>
      <c r="L450" s="29">
        <v>21.5</v>
      </c>
      <c r="M450" s="6" t="s">
        <v>29</v>
      </c>
      <c r="N450" s="6">
        <v>3105</v>
      </c>
      <c r="P450" s="18"/>
      <c r="Q450" s="17"/>
      <c r="R450" s="19">
        <v>23.64</v>
      </c>
      <c r="S450" s="19">
        <v>23.64</v>
      </c>
      <c r="T450" s="38">
        <v>22</v>
      </c>
      <c r="U450" s="38"/>
      <c r="V450" s="29">
        <v>21.5</v>
      </c>
      <c r="W450" s="44">
        <v>15.3</v>
      </c>
      <c r="X450" s="32">
        <f t="shared" si="66"/>
        <v>473</v>
      </c>
      <c r="Y450" s="32">
        <f t="shared" si="67"/>
        <v>473</v>
      </c>
      <c r="Z450" s="32">
        <f t="shared" si="68"/>
        <v>0</v>
      </c>
      <c r="AA450" s="38">
        <v>22</v>
      </c>
      <c r="AB450" s="37">
        <f>IFERROR(VLOOKUP(A450,'Tash Lookup'!A:E,3,FALSE),"")</f>
        <v>416.39</v>
      </c>
      <c r="AC450" s="6">
        <f t="shared" si="69"/>
        <v>0</v>
      </c>
      <c r="AD450" s="2" t="s">
        <v>6703</v>
      </c>
      <c r="AF450" s="56">
        <v>21.3</v>
      </c>
      <c r="AG450" s="56">
        <f>VLOOKUP(A450,Sheet1!$A$2:$C$1140,3,FALSE)</f>
        <v>21.93</v>
      </c>
      <c r="AH450" s="58">
        <v>21.93</v>
      </c>
      <c r="AI450" s="56" t="str">
        <f t="shared" si="70"/>
        <v>Increase</v>
      </c>
      <c r="AJ450" s="81">
        <f t="shared" si="74"/>
        <v>468.6</v>
      </c>
      <c r="AK450" s="81">
        <f t="shared" si="75"/>
        <v>482.46</v>
      </c>
      <c r="AL450" s="58" t="s">
        <v>32</v>
      </c>
      <c r="AM450" s="58" t="s">
        <v>6703</v>
      </c>
      <c r="AN450" s="75">
        <v>21</v>
      </c>
      <c r="AO450" s="88">
        <v>21.93</v>
      </c>
      <c r="AP450" s="6" t="str">
        <f t="shared" si="71"/>
        <v>Increase</v>
      </c>
      <c r="AQ450" s="81">
        <f t="shared" si="72"/>
        <v>447.3</v>
      </c>
      <c r="AR450" s="81">
        <f t="shared" si="73"/>
        <v>460.53</v>
      </c>
      <c r="AS450" s="82">
        <f t="shared" si="76"/>
        <v>13.229999999999961</v>
      </c>
    </row>
    <row r="451" spans="1:45" hidden="1" x14ac:dyDescent="0.3">
      <c r="A451">
        <v>6188841</v>
      </c>
      <c r="B451" s="15" t="s">
        <v>5787</v>
      </c>
      <c r="C451" s="16" t="s">
        <v>30</v>
      </c>
      <c r="D451" s="6" t="s">
        <v>31</v>
      </c>
      <c r="E451" t="s">
        <v>790</v>
      </c>
      <c r="F451" t="s">
        <v>790</v>
      </c>
      <c r="H451" s="11" t="s">
        <v>27</v>
      </c>
      <c r="I451" s="6" t="s">
        <v>28</v>
      </c>
      <c r="J451" s="6" t="s">
        <v>28</v>
      </c>
      <c r="K451" t="s">
        <v>32</v>
      </c>
      <c r="L451" s="35">
        <v>0.72</v>
      </c>
      <c r="M451" s="6" t="s">
        <v>29</v>
      </c>
      <c r="N451" s="6">
        <v>3105</v>
      </c>
      <c r="P451" s="18"/>
      <c r="Q451" s="17"/>
      <c r="R451" s="19">
        <v>0.74</v>
      </c>
      <c r="S451" s="19">
        <v>0</v>
      </c>
      <c r="T451" s="38">
        <v>21</v>
      </c>
      <c r="U451" s="38"/>
      <c r="V451" s="30">
        <v>0.74</v>
      </c>
      <c r="W451" s="35">
        <v>0.72</v>
      </c>
      <c r="X451" s="32">
        <f t="shared" si="66"/>
        <v>15.54</v>
      </c>
      <c r="Y451" s="32">
        <f t="shared" si="67"/>
        <v>15.12</v>
      </c>
      <c r="Z451" s="32">
        <f t="shared" si="68"/>
        <v>0.41999999999999993</v>
      </c>
      <c r="AA451" s="38">
        <v>21</v>
      </c>
      <c r="AB451" s="37">
        <f>IFERROR(VLOOKUP(A451,'Tash Lookup'!A:E,3,FALSE),"")</f>
        <v>15.01</v>
      </c>
      <c r="AC451" s="6">
        <f t="shared" si="69"/>
        <v>0</v>
      </c>
      <c r="AD451" s="2" t="s">
        <v>6703</v>
      </c>
      <c r="AF451" s="56">
        <v>0.74</v>
      </c>
      <c r="AG451" s="56">
        <f>VLOOKUP(A451,Sheet1!$A$2:$C$1140,3,FALSE)</f>
        <v>0.75</v>
      </c>
      <c r="AH451" s="58">
        <v>0.75</v>
      </c>
      <c r="AI451" s="56" t="str">
        <f t="shared" si="70"/>
        <v>Increase</v>
      </c>
      <c r="AJ451" s="81">
        <f t="shared" si="74"/>
        <v>15.54</v>
      </c>
      <c r="AK451" s="81">
        <f t="shared" si="75"/>
        <v>15.75</v>
      </c>
      <c r="AL451" s="58" t="s">
        <v>7206</v>
      </c>
      <c r="AM451" s="58" t="s">
        <v>6703</v>
      </c>
      <c r="AN451" s="75">
        <v>0</v>
      </c>
      <c r="AO451" s="88">
        <v>0.75</v>
      </c>
      <c r="AP451" s="6" t="str">
        <f t="shared" si="71"/>
        <v>Increase</v>
      </c>
      <c r="AQ451" s="81">
        <f t="shared" si="72"/>
        <v>0</v>
      </c>
      <c r="AR451" s="81">
        <f t="shared" si="73"/>
        <v>0</v>
      </c>
      <c r="AS451" s="81">
        <f t="shared" si="76"/>
        <v>0</v>
      </c>
    </row>
    <row r="452" spans="1:45" hidden="1" x14ac:dyDescent="0.3">
      <c r="A452">
        <v>5180495</v>
      </c>
      <c r="B452" s="15" t="s">
        <v>5788</v>
      </c>
      <c r="C452" s="16" t="s">
        <v>30</v>
      </c>
      <c r="D452" s="6" t="s">
        <v>31</v>
      </c>
      <c r="E452" t="s">
        <v>328</v>
      </c>
      <c r="F452" t="s">
        <v>328</v>
      </c>
      <c r="H452" s="11" t="s">
        <v>27</v>
      </c>
      <c r="I452" s="6" t="s">
        <v>28</v>
      </c>
      <c r="J452" s="6" t="s">
        <v>28</v>
      </c>
      <c r="K452" t="s">
        <v>32</v>
      </c>
      <c r="L452" s="35">
        <v>35.4</v>
      </c>
      <c r="M452" s="6" t="s">
        <v>29</v>
      </c>
      <c r="N452" s="6">
        <v>3105</v>
      </c>
      <c r="P452" s="18"/>
      <c r="Q452" s="17"/>
      <c r="R452" s="19">
        <v>35.4</v>
      </c>
      <c r="S452" s="19">
        <v>35.4</v>
      </c>
      <c r="T452" s="38">
        <v>21</v>
      </c>
      <c r="U452" s="38"/>
      <c r="V452" s="29">
        <v>35.4</v>
      </c>
      <c r="W452" s="35">
        <v>35.4</v>
      </c>
      <c r="X452" s="32">
        <f t="shared" si="66"/>
        <v>743.4</v>
      </c>
      <c r="Y452" s="32">
        <f t="shared" si="67"/>
        <v>743.4</v>
      </c>
      <c r="Z452" s="32">
        <f t="shared" si="68"/>
        <v>0</v>
      </c>
      <c r="AA452" s="38">
        <v>21</v>
      </c>
      <c r="AB452" s="37">
        <f>IFERROR(VLOOKUP(A452,'Tash Lookup'!A:E,3,FALSE),"")</f>
        <v>743.47</v>
      </c>
      <c r="AC452" s="6">
        <f t="shared" si="69"/>
        <v>0</v>
      </c>
      <c r="AD452" s="2" t="s">
        <v>6704</v>
      </c>
      <c r="AF452" s="56">
        <v>37.22</v>
      </c>
      <c r="AG452" s="56" t="e">
        <f>VLOOKUP(A452,Sheet1!$A$2:$C$1140,3,FALSE)</f>
        <v>#N/A</v>
      </c>
      <c r="AH452" s="58" t="e">
        <v>#N/A</v>
      </c>
      <c r="AI452" s="56" t="str">
        <f t="shared" si="70"/>
        <v>Delete</v>
      </c>
      <c r="AJ452" s="81">
        <f t="shared" si="74"/>
        <v>781.62</v>
      </c>
      <c r="AK452" s="81">
        <f t="shared" si="75"/>
        <v>0</v>
      </c>
      <c r="AL452" s="58" t="s">
        <v>32</v>
      </c>
      <c r="AM452" s="58" t="s">
        <v>6708</v>
      </c>
      <c r="AN452" s="75">
        <v>0</v>
      </c>
      <c r="AO452" s="88">
        <v>37.22</v>
      </c>
      <c r="AP452" s="6" t="str">
        <f t="shared" si="71"/>
        <v>Same</v>
      </c>
      <c r="AQ452" s="81">
        <f t="shared" si="72"/>
        <v>0</v>
      </c>
      <c r="AR452" s="81">
        <f t="shared" si="73"/>
        <v>0</v>
      </c>
      <c r="AS452" s="81">
        <f t="shared" si="76"/>
        <v>0</v>
      </c>
    </row>
    <row r="453" spans="1:45" hidden="1" x14ac:dyDescent="0.3">
      <c r="A453">
        <v>6183898</v>
      </c>
      <c r="B453" s="15" t="s">
        <v>5789</v>
      </c>
      <c r="C453" s="16" t="s">
        <v>30</v>
      </c>
      <c r="D453" s="6" t="s">
        <v>31</v>
      </c>
      <c r="E453" t="s">
        <v>817</v>
      </c>
      <c r="F453" t="s">
        <v>817</v>
      </c>
      <c r="H453" s="11" t="s">
        <v>27</v>
      </c>
      <c r="I453" s="6" t="s">
        <v>28</v>
      </c>
      <c r="J453" s="6" t="s">
        <v>28</v>
      </c>
      <c r="K453" t="s">
        <v>32</v>
      </c>
      <c r="L453" s="35">
        <v>5.68</v>
      </c>
      <c r="M453" s="6" t="s">
        <v>29</v>
      </c>
      <c r="N453" s="6">
        <v>3105</v>
      </c>
      <c r="P453" s="18"/>
      <c r="Q453" s="17"/>
      <c r="R453" s="19">
        <v>5.68</v>
      </c>
      <c r="S453" s="19">
        <v>5.68</v>
      </c>
      <c r="T453" s="38">
        <v>21</v>
      </c>
      <c r="U453" s="38"/>
      <c r="V453" s="30">
        <v>5.68</v>
      </c>
      <c r="W453" s="35">
        <v>5.68</v>
      </c>
      <c r="X453" s="32">
        <f t="shared" si="66"/>
        <v>119.28</v>
      </c>
      <c r="Y453" s="32">
        <f t="shared" si="67"/>
        <v>119.28</v>
      </c>
      <c r="Z453" s="32">
        <f t="shared" si="68"/>
        <v>0</v>
      </c>
      <c r="AA453" s="38">
        <v>21</v>
      </c>
      <c r="AB453" s="37">
        <f>IFERROR(VLOOKUP(A453,'Tash Lookup'!A:E,3,FALSE),"")</f>
        <v>117.27</v>
      </c>
      <c r="AC453" s="6">
        <f t="shared" si="69"/>
        <v>0</v>
      </c>
      <c r="AD453" s="2" t="s">
        <v>6703</v>
      </c>
      <c r="AF453" s="56">
        <v>5.68</v>
      </c>
      <c r="AG453" s="56">
        <f>VLOOKUP(A453,Sheet1!$A$2:$C$1140,3,FALSE)</f>
        <v>5.79</v>
      </c>
      <c r="AH453" s="58">
        <v>5.79</v>
      </c>
      <c r="AI453" s="56" t="str">
        <f t="shared" si="70"/>
        <v>Increase</v>
      </c>
      <c r="AJ453" s="81">
        <f t="shared" si="74"/>
        <v>119.28</v>
      </c>
      <c r="AK453" s="81">
        <f t="shared" si="75"/>
        <v>121.59</v>
      </c>
      <c r="AL453" s="58" t="s">
        <v>7206</v>
      </c>
      <c r="AM453" s="58" t="s">
        <v>6703</v>
      </c>
      <c r="AN453" s="75">
        <v>21</v>
      </c>
      <c r="AO453" s="88">
        <v>5.79</v>
      </c>
      <c r="AP453" s="6" t="str">
        <f t="shared" si="71"/>
        <v>Increase</v>
      </c>
      <c r="AQ453" s="81">
        <f t="shared" si="72"/>
        <v>119.28</v>
      </c>
      <c r="AR453" s="81">
        <f t="shared" si="73"/>
        <v>121.59</v>
      </c>
      <c r="AS453" s="82">
        <f t="shared" si="76"/>
        <v>2.3100000000000023</v>
      </c>
    </row>
    <row r="454" spans="1:45" hidden="1" x14ac:dyDescent="0.3">
      <c r="A454">
        <v>6188905</v>
      </c>
      <c r="B454" s="15" t="s">
        <v>5790</v>
      </c>
      <c r="C454" s="16" t="s">
        <v>30</v>
      </c>
      <c r="D454" s="6" t="s">
        <v>31</v>
      </c>
      <c r="E454" t="s">
        <v>858</v>
      </c>
      <c r="F454" t="s">
        <v>858</v>
      </c>
      <c r="H454" s="11" t="s">
        <v>27</v>
      </c>
      <c r="I454" s="6" t="s">
        <v>28</v>
      </c>
      <c r="J454" s="6" t="s">
        <v>28</v>
      </c>
      <c r="K454" t="s">
        <v>32</v>
      </c>
      <c r="L454" s="48">
        <v>2.11</v>
      </c>
      <c r="M454" s="6" t="s">
        <v>29</v>
      </c>
      <c r="N454" s="6">
        <v>3105</v>
      </c>
      <c r="P454" s="18"/>
      <c r="Q454" s="17"/>
      <c r="R454" s="19">
        <v>2.11</v>
      </c>
      <c r="S454" s="19">
        <v>2.11</v>
      </c>
      <c r="T454" s="38">
        <v>21</v>
      </c>
      <c r="U454" s="38"/>
      <c r="V454" s="30">
        <v>2.11</v>
      </c>
      <c r="W454" s="35">
        <v>2.11</v>
      </c>
      <c r="X454" s="32">
        <f t="shared" ref="X454:X517" si="77">SUM(V454*T454)</f>
        <v>44.309999999999995</v>
      </c>
      <c r="Y454" s="32">
        <f t="shared" ref="Y454:Y517" si="78">SUM(L454*T454)</f>
        <v>44.309999999999995</v>
      </c>
      <c r="Z454" s="32">
        <f t="shared" ref="Z454:Z517" si="79">SUM(X454-Y454)</f>
        <v>0</v>
      </c>
      <c r="AA454" s="38">
        <v>21</v>
      </c>
      <c r="AB454" s="37">
        <f>IFERROR(VLOOKUP(A454,'Tash Lookup'!A:E,3,FALSE),"")</f>
        <v>44.4</v>
      </c>
      <c r="AC454" s="6">
        <f t="shared" ref="AC454:AC517" si="80">IFERROR(AA454-T454,"")</f>
        <v>0</v>
      </c>
      <c r="AD454" s="2" t="s">
        <v>6703</v>
      </c>
      <c r="AF454" s="56">
        <v>2.11</v>
      </c>
      <c r="AG454" s="56">
        <f>VLOOKUP(A454,Sheet1!$A$2:$C$1140,3,FALSE)</f>
        <v>2.15</v>
      </c>
      <c r="AH454" s="58">
        <v>2.15</v>
      </c>
      <c r="AI454" s="56" t="str">
        <f t="shared" ref="AI454:AI517" si="81">IF(ISNA(AH454),"Delete",IF(AH454=AF454,"Same",IF(AH454&gt;AF454,"Increase","Decrease")))</f>
        <v>Increase</v>
      </c>
      <c r="AJ454" s="81">
        <f t="shared" si="74"/>
        <v>44.309999999999995</v>
      </c>
      <c r="AK454" s="81">
        <f t="shared" si="75"/>
        <v>45.15</v>
      </c>
      <c r="AL454" s="58" t="s">
        <v>7206</v>
      </c>
      <c r="AM454" s="58" t="s">
        <v>6703</v>
      </c>
      <c r="AN454" s="75">
        <v>7</v>
      </c>
      <c r="AO454" s="88">
        <v>2.15</v>
      </c>
      <c r="AP454" s="6" t="str">
        <f t="shared" ref="AP454:AP517" si="82">IF(AM454="Delete","Delete",IF(AO454=AF454,"Same",IF(AO454&gt;AF454,"Increase","Decrease")))</f>
        <v>Increase</v>
      </c>
      <c r="AQ454" s="81">
        <f t="shared" ref="AQ454:AQ517" si="83">AN454*AF454</f>
        <v>14.77</v>
      </c>
      <c r="AR454" s="81">
        <f t="shared" ref="AR454:AR517" si="84">AN454*AO454</f>
        <v>15.049999999999999</v>
      </c>
      <c r="AS454" s="82">
        <f t="shared" si="76"/>
        <v>0.27999999999999936</v>
      </c>
    </row>
    <row r="455" spans="1:45" hidden="1" x14ac:dyDescent="0.3">
      <c r="A455">
        <v>5082971</v>
      </c>
      <c r="B455" s="15" t="s">
        <v>5791</v>
      </c>
      <c r="C455" s="16" t="s">
        <v>30</v>
      </c>
      <c r="D455" s="6" t="s">
        <v>31</v>
      </c>
      <c r="E455" t="s">
        <v>235</v>
      </c>
      <c r="F455" t="s">
        <v>235</v>
      </c>
      <c r="H455" s="11" t="s">
        <v>27</v>
      </c>
      <c r="I455" s="6" t="s">
        <v>28</v>
      </c>
      <c r="J455" s="6" t="s">
        <v>28</v>
      </c>
      <c r="K455" t="s">
        <v>32</v>
      </c>
      <c r="L455" s="35">
        <v>29.74</v>
      </c>
      <c r="M455" s="6" t="s">
        <v>29</v>
      </c>
      <c r="N455" s="6">
        <v>3105</v>
      </c>
      <c r="P455" s="18"/>
      <c r="Q455" s="17"/>
      <c r="R455" s="19">
        <v>29.74</v>
      </c>
      <c r="S455" s="19">
        <v>29.74</v>
      </c>
      <c r="T455" s="38">
        <v>21</v>
      </c>
      <c r="U455" s="38"/>
      <c r="V455" s="29">
        <v>29.74</v>
      </c>
      <c r="W455" s="35">
        <v>29.74</v>
      </c>
      <c r="X455" s="32">
        <f t="shared" si="77"/>
        <v>624.54</v>
      </c>
      <c r="Y455" s="32">
        <f t="shared" si="78"/>
        <v>624.54</v>
      </c>
      <c r="Z455" s="32">
        <f t="shared" si="79"/>
        <v>0</v>
      </c>
      <c r="AA455" s="38">
        <v>21</v>
      </c>
      <c r="AB455" s="37">
        <f>IFERROR(VLOOKUP(A455,'Tash Lookup'!A:E,3,FALSE),"")</f>
        <v>624.57000000000005</v>
      </c>
      <c r="AC455" s="6">
        <f t="shared" si="80"/>
        <v>0</v>
      </c>
      <c r="AD455" s="2" t="s">
        <v>6703</v>
      </c>
      <c r="AF455" s="56">
        <v>34.72</v>
      </c>
      <c r="AG455" s="56">
        <f>VLOOKUP(A455,Sheet1!$A$2:$C$1140,3,FALSE)</f>
        <v>34.72</v>
      </c>
      <c r="AH455" s="58">
        <v>34.72</v>
      </c>
      <c r="AI455" s="56" t="str">
        <f t="shared" si="81"/>
        <v>Same</v>
      </c>
      <c r="AJ455" s="81">
        <f t="shared" ref="AJ455:AJ518" si="85">IFERROR(AA455*AF455,0)</f>
        <v>729.12</v>
      </c>
      <c r="AK455" s="81">
        <f t="shared" ref="AK455:AK518" si="86">IFERROR(AA455*AH455,0)</f>
        <v>729.12</v>
      </c>
      <c r="AL455" s="58" t="s">
        <v>32</v>
      </c>
      <c r="AM455" s="58" t="s">
        <v>6703</v>
      </c>
      <c r="AN455" s="75">
        <v>6</v>
      </c>
      <c r="AO455" s="88">
        <v>34.72</v>
      </c>
      <c r="AP455" s="6" t="str">
        <f t="shared" si="82"/>
        <v>Same</v>
      </c>
      <c r="AQ455" s="81">
        <f t="shared" si="83"/>
        <v>208.32</v>
      </c>
      <c r="AR455" s="81">
        <f t="shared" si="84"/>
        <v>208.32</v>
      </c>
      <c r="AS455" s="81">
        <f t="shared" ref="AS455:AS518" si="87">AR455-AQ455</f>
        <v>0</v>
      </c>
    </row>
    <row r="456" spans="1:45" hidden="1" x14ac:dyDescent="0.3">
      <c r="A456">
        <v>6107274</v>
      </c>
      <c r="B456" s="15" t="s">
        <v>5792</v>
      </c>
      <c r="C456" s="16" t="s">
        <v>30</v>
      </c>
      <c r="D456" s="6" t="s">
        <v>31</v>
      </c>
      <c r="E456" t="s">
        <v>970</v>
      </c>
      <c r="F456" t="s">
        <v>970</v>
      </c>
      <c r="H456" s="11" t="s">
        <v>27</v>
      </c>
      <c r="I456" s="6" t="s">
        <v>28</v>
      </c>
      <c r="J456" s="6" t="s">
        <v>28</v>
      </c>
      <c r="K456" t="s">
        <v>32</v>
      </c>
      <c r="L456" s="35">
        <v>9.91</v>
      </c>
      <c r="M456" s="6" t="s">
        <v>29</v>
      </c>
      <c r="N456" s="6">
        <v>3105</v>
      </c>
      <c r="P456" s="18"/>
      <c r="Q456" s="17"/>
      <c r="R456" s="19">
        <v>0</v>
      </c>
      <c r="S456" s="19">
        <v>0</v>
      </c>
      <c r="T456" s="38">
        <v>21</v>
      </c>
      <c r="U456" s="38"/>
      <c r="V456" s="29">
        <v>9.91</v>
      </c>
      <c r="W456" s="35">
        <v>9.91</v>
      </c>
      <c r="X456" s="32">
        <f t="shared" si="77"/>
        <v>208.11</v>
      </c>
      <c r="Y456" s="32">
        <f t="shared" si="78"/>
        <v>208.11</v>
      </c>
      <c r="Z456" s="32">
        <f t="shared" si="79"/>
        <v>0</v>
      </c>
      <c r="AA456" s="38">
        <v>21</v>
      </c>
      <c r="AB456" s="37">
        <f>IFERROR(VLOOKUP(A456,'Tash Lookup'!A:E,3,FALSE),"")</f>
        <v>208.12</v>
      </c>
      <c r="AC456" s="6">
        <f t="shared" si="80"/>
        <v>0</v>
      </c>
      <c r="AD456" s="2" t="s">
        <v>6703</v>
      </c>
      <c r="AF456" s="56">
        <v>9.91</v>
      </c>
      <c r="AG456" s="56">
        <f>VLOOKUP(A456,Sheet1!$A$2:$C$1140,3,FALSE)</f>
        <v>9.91</v>
      </c>
      <c r="AH456" s="58">
        <v>9.91</v>
      </c>
      <c r="AI456" s="56" t="str">
        <f t="shared" si="81"/>
        <v>Same</v>
      </c>
      <c r="AJ456" s="81">
        <f t="shared" si="85"/>
        <v>208.11</v>
      </c>
      <c r="AK456" s="81">
        <f t="shared" si="86"/>
        <v>208.11</v>
      </c>
      <c r="AL456" s="58" t="s">
        <v>7206</v>
      </c>
      <c r="AM456" s="58" t="s">
        <v>6703</v>
      </c>
      <c r="AN456" s="75">
        <v>10</v>
      </c>
      <c r="AO456" s="88">
        <v>9.91</v>
      </c>
      <c r="AP456" s="6" t="str">
        <f t="shared" si="82"/>
        <v>Same</v>
      </c>
      <c r="AQ456" s="81">
        <f t="shared" si="83"/>
        <v>99.1</v>
      </c>
      <c r="AR456" s="81">
        <f t="shared" si="84"/>
        <v>99.1</v>
      </c>
      <c r="AS456" s="81">
        <f t="shared" si="87"/>
        <v>0</v>
      </c>
    </row>
    <row r="457" spans="1:45" hidden="1" x14ac:dyDescent="0.3">
      <c r="A457">
        <v>6317436</v>
      </c>
      <c r="B457" s="15" t="s">
        <v>5793</v>
      </c>
      <c r="C457" s="16" t="s">
        <v>30</v>
      </c>
      <c r="D457" s="6" t="s">
        <v>31</v>
      </c>
      <c r="E457" t="s">
        <v>2966</v>
      </c>
      <c r="F457" t="s">
        <v>2966</v>
      </c>
      <c r="H457" s="11" t="s">
        <v>27</v>
      </c>
      <c r="I457" s="6" t="s">
        <v>28</v>
      </c>
      <c r="J457" s="6" t="s">
        <v>28</v>
      </c>
      <c r="K457" t="s">
        <v>32</v>
      </c>
      <c r="L457" s="35">
        <v>5.32</v>
      </c>
      <c r="M457" s="6" t="s">
        <v>29</v>
      </c>
      <c r="N457" s="6">
        <v>3105</v>
      </c>
      <c r="P457" s="18"/>
      <c r="Q457" s="17"/>
      <c r="R457" s="19">
        <v>12.28</v>
      </c>
      <c r="S457" s="19">
        <v>12.28</v>
      </c>
      <c r="T457" s="38">
        <v>21</v>
      </c>
      <c r="U457" s="38"/>
      <c r="V457" s="30">
        <v>12.28</v>
      </c>
      <c r="W457" s="35">
        <v>5.32</v>
      </c>
      <c r="X457" s="32">
        <f t="shared" si="77"/>
        <v>257.88</v>
      </c>
      <c r="Y457" s="32">
        <f t="shared" si="78"/>
        <v>111.72</v>
      </c>
      <c r="Z457" s="32">
        <f t="shared" si="79"/>
        <v>146.16</v>
      </c>
      <c r="AA457" s="38">
        <v>21</v>
      </c>
      <c r="AB457" s="37">
        <f>IFERROR(VLOOKUP(A457,'Tash Lookup'!A:E,3,FALSE),"")</f>
        <v>111.69</v>
      </c>
      <c r="AC457" s="6">
        <f t="shared" si="80"/>
        <v>0</v>
      </c>
      <c r="AD457" s="2" t="s">
        <v>6703</v>
      </c>
      <c r="AF457" s="56">
        <v>4.79</v>
      </c>
      <c r="AG457" s="56">
        <f>VLOOKUP(A457,Sheet1!$A$2:$C$1140,3,FALSE)</f>
        <v>4.88</v>
      </c>
      <c r="AH457" s="58">
        <v>4.88</v>
      </c>
      <c r="AI457" s="56" t="str">
        <f t="shared" si="81"/>
        <v>Increase</v>
      </c>
      <c r="AJ457" s="81">
        <f t="shared" si="85"/>
        <v>100.59</v>
      </c>
      <c r="AK457" s="81">
        <f t="shared" si="86"/>
        <v>102.48</v>
      </c>
      <c r="AL457" s="58" t="s">
        <v>7206</v>
      </c>
      <c r="AM457" s="58" t="s">
        <v>6703</v>
      </c>
      <c r="AN457" s="75">
        <v>24</v>
      </c>
      <c r="AO457" s="88">
        <v>4.88</v>
      </c>
      <c r="AP457" s="6" t="str">
        <f t="shared" si="82"/>
        <v>Increase</v>
      </c>
      <c r="AQ457" s="81">
        <f t="shared" si="83"/>
        <v>114.96000000000001</v>
      </c>
      <c r="AR457" s="81">
        <f t="shared" si="84"/>
        <v>117.12</v>
      </c>
      <c r="AS457" s="82">
        <f t="shared" si="87"/>
        <v>2.1599999999999966</v>
      </c>
    </row>
    <row r="458" spans="1:45" hidden="1" x14ac:dyDescent="0.3">
      <c r="A458">
        <v>5745138</v>
      </c>
      <c r="B458" s="15" t="s">
        <v>5794</v>
      </c>
      <c r="C458" s="16" t="s">
        <v>30</v>
      </c>
      <c r="D458" s="6" t="s">
        <v>31</v>
      </c>
      <c r="E458" t="s">
        <v>221</v>
      </c>
      <c r="F458" t="s">
        <v>221</v>
      </c>
      <c r="H458" s="11" t="s">
        <v>27</v>
      </c>
      <c r="I458" s="6" t="s">
        <v>28</v>
      </c>
      <c r="J458" s="6" t="s">
        <v>28</v>
      </c>
      <c r="K458" t="s">
        <v>32</v>
      </c>
      <c r="L458" s="35">
        <v>20.440000000000001</v>
      </c>
      <c r="M458" s="6" t="s">
        <v>29</v>
      </c>
      <c r="N458" s="6">
        <v>3105</v>
      </c>
      <c r="P458" s="18"/>
      <c r="Q458" s="17"/>
      <c r="R458" s="19">
        <v>20.440000000000001</v>
      </c>
      <c r="S458" s="19">
        <v>20.440000000000001</v>
      </c>
      <c r="T458" s="38">
        <v>21</v>
      </c>
      <c r="U458" s="38"/>
      <c r="V458" s="29">
        <v>20.440000000000001</v>
      </c>
      <c r="W458" s="35">
        <v>20.440000000000001</v>
      </c>
      <c r="X458" s="32">
        <f t="shared" si="77"/>
        <v>429.24</v>
      </c>
      <c r="Y458" s="32">
        <f t="shared" si="78"/>
        <v>429.24</v>
      </c>
      <c r="Z458" s="32">
        <f t="shared" si="79"/>
        <v>0</v>
      </c>
      <c r="AA458" s="38">
        <v>21</v>
      </c>
      <c r="AB458" s="37">
        <f>IFERROR(VLOOKUP(A458,'Tash Lookup'!A:E,3,FALSE),"")</f>
        <v>414.98</v>
      </c>
      <c r="AC458" s="6">
        <f t="shared" si="80"/>
        <v>0</v>
      </c>
      <c r="AD458" s="2" t="s">
        <v>6703</v>
      </c>
      <c r="AF458" s="56">
        <v>22.26</v>
      </c>
      <c r="AG458" s="56">
        <f>VLOOKUP(A458,Sheet1!$A$2:$C$1140,3,FALSE)</f>
        <v>22.26</v>
      </c>
      <c r="AH458" s="58">
        <v>22.26</v>
      </c>
      <c r="AI458" s="56" t="str">
        <f t="shared" si="81"/>
        <v>Same</v>
      </c>
      <c r="AJ458" s="81">
        <f t="shared" si="85"/>
        <v>467.46000000000004</v>
      </c>
      <c r="AK458" s="81">
        <f t="shared" si="86"/>
        <v>467.46000000000004</v>
      </c>
      <c r="AL458" s="58" t="s">
        <v>32</v>
      </c>
      <c r="AM458" s="58" t="s">
        <v>6703</v>
      </c>
      <c r="AN458" s="75">
        <v>15</v>
      </c>
      <c r="AO458" s="88">
        <v>22.26</v>
      </c>
      <c r="AP458" s="6" t="str">
        <f t="shared" si="82"/>
        <v>Same</v>
      </c>
      <c r="AQ458" s="81">
        <f t="shared" si="83"/>
        <v>333.90000000000003</v>
      </c>
      <c r="AR458" s="81">
        <f t="shared" si="84"/>
        <v>333.90000000000003</v>
      </c>
      <c r="AS458" s="81">
        <f t="shared" si="87"/>
        <v>0</v>
      </c>
    </row>
    <row r="459" spans="1:45" hidden="1" x14ac:dyDescent="0.3">
      <c r="A459">
        <v>6316973</v>
      </c>
      <c r="B459" s="15" t="s">
        <v>5795</v>
      </c>
      <c r="C459" s="16" t="s">
        <v>30</v>
      </c>
      <c r="D459" s="6" t="s">
        <v>31</v>
      </c>
      <c r="E459" t="s">
        <v>720</v>
      </c>
      <c r="F459" t="s">
        <v>720</v>
      </c>
      <c r="H459" s="11" t="s">
        <v>27</v>
      </c>
      <c r="I459" s="6" t="s">
        <v>28</v>
      </c>
      <c r="J459" s="6" t="s">
        <v>28</v>
      </c>
      <c r="K459" t="s">
        <v>32</v>
      </c>
      <c r="L459" s="35">
        <v>2.5299999999999998</v>
      </c>
      <c r="M459" s="6" t="s">
        <v>29</v>
      </c>
      <c r="N459" s="6">
        <v>3105</v>
      </c>
      <c r="P459" s="18"/>
      <c r="Q459" s="17"/>
      <c r="R459" s="19">
        <v>2.5299999999999998</v>
      </c>
      <c r="S459" s="19">
        <v>2.5299999999999998</v>
      </c>
      <c r="T459" s="38">
        <v>20</v>
      </c>
      <c r="U459" s="38"/>
      <c r="V459" s="30">
        <v>2.5299999999999998</v>
      </c>
      <c r="W459" s="35">
        <v>2.5299999999999998</v>
      </c>
      <c r="X459" s="32">
        <f t="shared" si="77"/>
        <v>50.599999999999994</v>
      </c>
      <c r="Y459" s="32">
        <f t="shared" si="78"/>
        <v>50.599999999999994</v>
      </c>
      <c r="Z459" s="32">
        <f t="shared" si="79"/>
        <v>0</v>
      </c>
      <c r="AA459" s="38">
        <v>20</v>
      </c>
      <c r="AB459" s="37">
        <f>IFERROR(VLOOKUP(A459,'Tash Lookup'!A:E,3,FALSE),"")</f>
        <v>49.44</v>
      </c>
      <c r="AC459" s="6">
        <f t="shared" si="80"/>
        <v>0</v>
      </c>
      <c r="AD459" s="2" t="s">
        <v>6703</v>
      </c>
      <c r="AF459" s="56">
        <v>2.5299999999999998</v>
      </c>
      <c r="AG459" s="56">
        <f>VLOOKUP(A459,Sheet1!$A$2:$C$1140,3,FALSE)</f>
        <v>2.58</v>
      </c>
      <c r="AH459" s="58">
        <v>2.58</v>
      </c>
      <c r="AI459" s="56" t="str">
        <f t="shared" si="81"/>
        <v>Increase</v>
      </c>
      <c r="AJ459" s="81">
        <f t="shared" si="85"/>
        <v>50.599999999999994</v>
      </c>
      <c r="AK459" s="81">
        <f t="shared" si="86"/>
        <v>51.6</v>
      </c>
      <c r="AL459" s="58" t="s">
        <v>7206</v>
      </c>
      <c r="AM459" s="58" t="s">
        <v>6703</v>
      </c>
      <c r="AN459" s="75">
        <v>25</v>
      </c>
      <c r="AO459" s="88">
        <v>2.58</v>
      </c>
      <c r="AP459" s="6" t="str">
        <f t="shared" si="82"/>
        <v>Increase</v>
      </c>
      <c r="AQ459" s="81">
        <f t="shared" si="83"/>
        <v>63.249999999999993</v>
      </c>
      <c r="AR459" s="81">
        <f t="shared" si="84"/>
        <v>64.5</v>
      </c>
      <c r="AS459" s="82">
        <f t="shared" si="87"/>
        <v>1.2500000000000071</v>
      </c>
    </row>
    <row r="460" spans="1:45" hidden="1" x14ac:dyDescent="0.3">
      <c r="A460">
        <v>5624602</v>
      </c>
      <c r="B460" s="15" t="s">
        <v>5796</v>
      </c>
      <c r="C460" s="16" t="s">
        <v>30</v>
      </c>
      <c r="D460" s="6" t="s">
        <v>31</v>
      </c>
      <c r="E460" t="s">
        <v>225</v>
      </c>
      <c r="F460" t="s">
        <v>225</v>
      </c>
      <c r="H460" s="11" t="s">
        <v>27</v>
      </c>
      <c r="I460" s="6" t="s">
        <v>28</v>
      </c>
      <c r="J460" s="6" t="s">
        <v>28</v>
      </c>
      <c r="K460" t="s">
        <v>32</v>
      </c>
      <c r="L460" s="35">
        <v>24.33</v>
      </c>
      <c r="M460" s="6" t="s">
        <v>29</v>
      </c>
      <c r="N460" s="6">
        <v>3105</v>
      </c>
      <c r="P460" s="18"/>
      <c r="Q460" s="17"/>
      <c r="R460" s="19">
        <v>24.33</v>
      </c>
      <c r="S460" s="19">
        <v>24.33</v>
      </c>
      <c r="T460" s="38">
        <v>20</v>
      </c>
      <c r="U460" s="38"/>
      <c r="V460" s="29">
        <v>24.33</v>
      </c>
      <c r="W460" s="35">
        <v>24.33</v>
      </c>
      <c r="X460" s="32">
        <f t="shared" si="77"/>
        <v>486.59999999999997</v>
      </c>
      <c r="Y460" s="32">
        <f t="shared" si="78"/>
        <v>486.59999999999997</v>
      </c>
      <c r="Z460" s="32">
        <f t="shared" si="79"/>
        <v>0</v>
      </c>
      <c r="AA460" s="38">
        <v>20</v>
      </c>
      <c r="AB460" s="37">
        <f>IFERROR(VLOOKUP(A460,'Tash Lookup'!A:E,3,FALSE),"")</f>
        <v>486.6</v>
      </c>
      <c r="AC460" s="6">
        <f t="shared" si="80"/>
        <v>0</v>
      </c>
      <c r="AD460" s="2" t="s">
        <v>6703</v>
      </c>
      <c r="AF460" s="56">
        <v>24.77</v>
      </c>
      <c r="AG460" s="56">
        <f>VLOOKUP(A460,Sheet1!$A$2:$C$1140,3,FALSE)</f>
        <v>24.77</v>
      </c>
      <c r="AH460" s="58">
        <v>24.77</v>
      </c>
      <c r="AI460" s="56" t="str">
        <f t="shared" si="81"/>
        <v>Same</v>
      </c>
      <c r="AJ460" s="81">
        <f t="shared" si="85"/>
        <v>495.4</v>
      </c>
      <c r="AK460" s="81">
        <f t="shared" si="86"/>
        <v>495.4</v>
      </c>
      <c r="AL460" s="58" t="s">
        <v>32</v>
      </c>
      <c r="AM460" s="58" t="s">
        <v>6703</v>
      </c>
      <c r="AN460" s="75">
        <v>11</v>
      </c>
      <c r="AO460" s="88">
        <v>24.77</v>
      </c>
      <c r="AP460" s="6" t="str">
        <f t="shared" si="82"/>
        <v>Same</v>
      </c>
      <c r="AQ460" s="81">
        <f t="shared" si="83"/>
        <v>272.46999999999997</v>
      </c>
      <c r="AR460" s="81">
        <f t="shared" si="84"/>
        <v>272.46999999999997</v>
      </c>
      <c r="AS460" s="81">
        <f t="shared" si="87"/>
        <v>0</v>
      </c>
    </row>
    <row r="461" spans="1:45" hidden="1" x14ac:dyDescent="0.3">
      <c r="A461">
        <v>6107978</v>
      </c>
      <c r="B461" s="15" t="s">
        <v>5797</v>
      </c>
      <c r="C461" s="16" t="s">
        <v>30</v>
      </c>
      <c r="D461" s="6" t="s">
        <v>31</v>
      </c>
      <c r="E461" t="s">
        <v>1127</v>
      </c>
      <c r="F461" t="s">
        <v>1127</v>
      </c>
      <c r="H461" s="11" t="s">
        <v>27</v>
      </c>
      <c r="I461" s="6" t="s">
        <v>28</v>
      </c>
      <c r="J461" s="6" t="s">
        <v>28</v>
      </c>
      <c r="K461" t="s">
        <v>32</v>
      </c>
      <c r="L461" s="35">
        <v>9.4600000000000009</v>
      </c>
      <c r="M461" s="6" t="s">
        <v>29</v>
      </c>
      <c r="N461" s="6">
        <v>3105</v>
      </c>
      <c r="P461" s="18"/>
      <c r="Q461" s="17"/>
      <c r="R461" s="19">
        <v>0</v>
      </c>
      <c r="S461" s="19">
        <v>0</v>
      </c>
      <c r="T461" s="38">
        <v>20</v>
      </c>
      <c r="U461" s="38"/>
      <c r="V461" s="31">
        <v>9.4600000000000009</v>
      </c>
      <c r="W461" s="35">
        <v>9.4600000000000009</v>
      </c>
      <c r="X461" s="32">
        <f t="shared" si="77"/>
        <v>189.20000000000002</v>
      </c>
      <c r="Y461" s="32">
        <f t="shared" si="78"/>
        <v>189.20000000000002</v>
      </c>
      <c r="Z461" s="32">
        <f t="shared" si="79"/>
        <v>0</v>
      </c>
      <c r="AA461" s="38">
        <v>20</v>
      </c>
      <c r="AB461" s="37">
        <f>IFERROR(VLOOKUP(A461,'Tash Lookup'!A:E,3,FALSE),"")</f>
        <v>189.78</v>
      </c>
      <c r="AC461" s="6">
        <f t="shared" si="80"/>
        <v>0</v>
      </c>
      <c r="AD461" s="2" t="s">
        <v>6703</v>
      </c>
      <c r="AF461" s="56">
        <v>9.4600000000000009</v>
      </c>
      <c r="AG461" s="56">
        <f>VLOOKUP(A461,Sheet1!$A$2:$C$1140,3,FALSE)</f>
        <v>9.65</v>
      </c>
      <c r="AH461" s="58">
        <v>9.65</v>
      </c>
      <c r="AI461" s="56" t="str">
        <f t="shared" si="81"/>
        <v>Increase</v>
      </c>
      <c r="AJ461" s="81">
        <f t="shared" si="85"/>
        <v>189.20000000000002</v>
      </c>
      <c r="AK461" s="81">
        <f t="shared" si="86"/>
        <v>193</v>
      </c>
      <c r="AL461" s="58" t="s">
        <v>7206</v>
      </c>
      <c r="AM461" s="58" t="s">
        <v>6703</v>
      </c>
      <c r="AN461" s="75">
        <v>47</v>
      </c>
      <c r="AO461" s="88">
        <v>9.65</v>
      </c>
      <c r="AP461" s="6" t="str">
        <f t="shared" si="82"/>
        <v>Increase</v>
      </c>
      <c r="AQ461" s="81">
        <f t="shared" si="83"/>
        <v>444.62000000000006</v>
      </c>
      <c r="AR461" s="81">
        <f t="shared" si="84"/>
        <v>453.55</v>
      </c>
      <c r="AS461" s="82">
        <f t="shared" si="87"/>
        <v>8.92999999999995</v>
      </c>
    </row>
    <row r="462" spans="1:45" hidden="1" x14ac:dyDescent="0.3">
      <c r="A462">
        <v>6054161</v>
      </c>
      <c r="B462" s="15" t="s">
        <v>5798</v>
      </c>
      <c r="C462" s="16" t="s">
        <v>30</v>
      </c>
      <c r="D462" s="6" t="s">
        <v>31</v>
      </c>
      <c r="E462" t="s">
        <v>1198</v>
      </c>
      <c r="F462" t="s">
        <v>1198</v>
      </c>
      <c r="H462" s="11" t="s">
        <v>27</v>
      </c>
      <c r="I462" s="6" t="s">
        <v>28</v>
      </c>
      <c r="J462" s="6" t="s">
        <v>28</v>
      </c>
      <c r="K462" t="s">
        <v>32</v>
      </c>
      <c r="L462" s="35">
        <v>10.96</v>
      </c>
      <c r="M462" s="6" t="s">
        <v>29</v>
      </c>
      <c r="N462" s="6">
        <v>3105</v>
      </c>
      <c r="P462" s="18"/>
      <c r="Q462" s="17"/>
      <c r="R462" s="19">
        <v>0</v>
      </c>
      <c r="S462" s="19">
        <v>0</v>
      </c>
      <c r="T462" s="38">
        <v>20</v>
      </c>
      <c r="U462" s="38"/>
      <c r="V462" s="31">
        <v>10.96</v>
      </c>
      <c r="W462" s="35">
        <v>10.96</v>
      </c>
      <c r="X462" s="32">
        <f t="shared" si="77"/>
        <v>219.20000000000002</v>
      </c>
      <c r="Y462" s="32">
        <f t="shared" si="78"/>
        <v>219.20000000000002</v>
      </c>
      <c r="Z462" s="32">
        <f t="shared" si="79"/>
        <v>0</v>
      </c>
      <c r="AA462" s="38">
        <v>20</v>
      </c>
      <c r="AB462" s="37">
        <f>IFERROR(VLOOKUP(A462,'Tash Lookup'!A:E,3,FALSE),"")</f>
        <v>219.2</v>
      </c>
      <c r="AC462" s="6">
        <f t="shared" si="80"/>
        <v>0</v>
      </c>
      <c r="AD462" s="2" t="s">
        <v>6703</v>
      </c>
      <c r="AF462" s="56">
        <v>10.96</v>
      </c>
      <c r="AG462" s="56">
        <f>VLOOKUP(A462,Sheet1!$A$2:$C$1140,3,FALSE)</f>
        <v>11.18</v>
      </c>
      <c r="AH462" s="58">
        <v>11.18</v>
      </c>
      <c r="AI462" s="56" t="str">
        <f t="shared" si="81"/>
        <v>Increase</v>
      </c>
      <c r="AJ462" s="81">
        <f t="shared" si="85"/>
        <v>219.20000000000002</v>
      </c>
      <c r="AK462" s="81">
        <f t="shared" si="86"/>
        <v>223.6</v>
      </c>
      <c r="AL462" s="58" t="s">
        <v>7206</v>
      </c>
      <c r="AM462" s="58" t="s">
        <v>6703</v>
      </c>
      <c r="AN462" s="75">
        <v>12</v>
      </c>
      <c r="AO462" s="88">
        <v>11.18</v>
      </c>
      <c r="AP462" s="6" t="str">
        <f t="shared" si="82"/>
        <v>Increase</v>
      </c>
      <c r="AQ462" s="81">
        <f t="shared" si="83"/>
        <v>131.52000000000001</v>
      </c>
      <c r="AR462" s="81">
        <f t="shared" si="84"/>
        <v>134.16</v>
      </c>
      <c r="AS462" s="82">
        <f t="shared" si="87"/>
        <v>2.6399999999999864</v>
      </c>
    </row>
    <row r="463" spans="1:45" hidden="1" x14ac:dyDescent="0.3">
      <c r="A463">
        <v>5218612</v>
      </c>
      <c r="B463" s="15" t="s">
        <v>5799</v>
      </c>
      <c r="C463" s="16" t="s">
        <v>30</v>
      </c>
      <c r="D463" s="6" t="s">
        <v>31</v>
      </c>
      <c r="E463" t="s">
        <v>250</v>
      </c>
      <c r="F463" t="s">
        <v>250</v>
      </c>
      <c r="H463" s="11" t="s">
        <v>27</v>
      </c>
      <c r="I463" s="6" t="s">
        <v>28</v>
      </c>
      <c r="J463" s="6" t="s">
        <v>28</v>
      </c>
      <c r="K463" t="s">
        <v>32</v>
      </c>
      <c r="L463" s="35">
        <v>23.3</v>
      </c>
      <c r="M463" s="6" t="s">
        <v>29</v>
      </c>
      <c r="N463" s="6">
        <v>3105</v>
      </c>
      <c r="P463" s="18"/>
      <c r="Q463" s="17"/>
      <c r="R463" s="19">
        <v>28.47</v>
      </c>
      <c r="S463" s="19">
        <v>28.47</v>
      </c>
      <c r="T463" s="38">
        <v>20</v>
      </c>
      <c r="U463" s="38"/>
      <c r="V463" s="29">
        <v>23.3</v>
      </c>
      <c r="W463" s="45">
        <v>16.690000000000001</v>
      </c>
      <c r="X463" s="32">
        <f t="shared" si="77"/>
        <v>466</v>
      </c>
      <c r="Y463" s="32">
        <f t="shared" si="78"/>
        <v>466</v>
      </c>
      <c r="Z463" s="32">
        <f t="shared" si="79"/>
        <v>0</v>
      </c>
      <c r="AA463" s="38">
        <v>20</v>
      </c>
      <c r="AB463" s="37">
        <f>IFERROR(VLOOKUP(A463,'Tash Lookup'!A:E,3,FALSE),"")</f>
        <v>393.7</v>
      </c>
      <c r="AC463" s="6">
        <f t="shared" si="80"/>
        <v>0</v>
      </c>
      <c r="AD463" s="2" t="s">
        <v>6703</v>
      </c>
      <c r="AF463" s="56">
        <v>23.7</v>
      </c>
      <c r="AG463" s="56">
        <f>VLOOKUP(A463,Sheet1!$A$2:$C$1140,3,FALSE)</f>
        <v>24.41</v>
      </c>
      <c r="AH463" s="58">
        <v>24.41</v>
      </c>
      <c r="AI463" s="56" t="str">
        <f t="shared" si="81"/>
        <v>Increase</v>
      </c>
      <c r="AJ463" s="81">
        <f t="shared" si="85"/>
        <v>474</v>
      </c>
      <c r="AK463" s="81">
        <f t="shared" si="86"/>
        <v>488.2</v>
      </c>
      <c r="AL463" s="58" t="s">
        <v>32</v>
      </c>
      <c r="AM463" s="58" t="s">
        <v>6703</v>
      </c>
      <c r="AN463" s="75">
        <v>28</v>
      </c>
      <c r="AO463" s="88">
        <v>24.41</v>
      </c>
      <c r="AP463" s="6" t="str">
        <f t="shared" si="82"/>
        <v>Increase</v>
      </c>
      <c r="AQ463" s="81">
        <f t="shared" si="83"/>
        <v>663.6</v>
      </c>
      <c r="AR463" s="81">
        <f t="shared" si="84"/>
        <v>683.48</v>
      </c>
      <c r="AS463" s="82">
        <f t="shared" si="87"/>
        <v>19.879999999999995</v>
      </c>
    </row>
    <row r="464" spans="1:45" hidden="1" x14ac:dyDescent="0.3">
      <c r="A464">
        <v>5081993</v>
      </c>
      <c r="B464" s="15" t="s">
        <v>5800</v>
      </c>
      <c r="C464" s="16" t="s">
        <v>30</v>
      </c>
      <c r="D464" s="6" t="s">
        <v>31</v>
      </c>
      <c r="E464" t="s">
        <v>570</v>
      </c>
      <c r="F464" t="s">
        <v>570</v>
      </c>
      <c r="H464" s="11" t="s">
        <v>27</v>
      </c>
      <c r="I464" s="6" t="s">
        <v>28</v>
      </c>
      <c r="J464" s="6" t="s">
        <v>28</v>
      </c>
      <c r="K464" t="s">
        <v>32</v>
      </c>
      <c r="L464" s="35">
        <v>62.03</v>
      </c>
      <c r="M464" s="6" t="s">
        <v>29</v>
      </c>
      <c r="N464" s="6">
        <v>3105</v>
      </c>
      <c r="P464" s="18"/>
      <c r="Q464" s="17"/>
      <c r="R464" s="19">
        <v>62.03</v>
      </c>
      <c r="S464" s="19">
        <v>62.03</v>
      </c>
      <c r="T464" s="38">
        <v>20</v>
      </c>
      <c r="U464" s="38"/>
      <c r="V464" s="29">
        <v>62.03</v>
      </c>
      <c r="W464" s="35">
        <v>62.03</v>
      </c>
      <c r="X464" s="32">
        <f t="shared" si="77"/>
        <v>1240.5999999999999</v>
      </c>
      <c r="Y464" s="32">
        <f t="shared" si="78"/>
        <v>1240.5999999999999</v>
      </c>
      <c r="Z464" s="32">
        <f t="shared" si="79"/>
        <v>0</v>
      </c>
      <c r="AA464" s="38">
        <v>20</v>
      </c>
      <c r="AB464" s="37">
        <f>IFERROR(VLOOKUP(A464,'Tash Lookup'!A:E,3,FALSE),"")</f>
        <v>1229.1300000000001</v>
      </c>
      <c r="AC464" s="6">
        <f t="shared" si="80"/>
        <v>0</v>
      </c>
      <c r="AD464" s="2" t="s">
        <v>6703</v>
      </c>
      <c r="AF464" s="56">
        <v>58.78</v>
      </c>
      <c r="AG464" s="56">
        <f>VLOOKUP(A464,Sheet1!$A$2:$C$1140,3,FALSE)</f>
        <v>58.78</v>
      </c>
      <c r="AH464" s="58">
        <v>58.78</v>
      </c>
      <c r="AI464" s="56" t="str">
        <f t="shared" si="81"/>
        <v>Same</v>
      </c>
      <c r="AJ464" s="81">
        <f t="shared" si="85"/>
        <v>1175.5999999999999</v>
      </c>
      <c r="AK464" s="81">
        <f t="shared" si="86"/>
        <v>1175.5999999999999</v>
      </c>
      <c r="AL464" s="58" t="s">
        <v>32</v>
      </c>
      <c r="AM464" s="58" t="s">
        <v>6703</v>
      </c>
      <c r="AN464" s="75">
        <v>2</v>
      </c>
      <c r="AO464" s="88">
        <v>58.78</v>
      </c>
      <c r="AP464" s="6" t="str">
        <f t="shared" si="82"/>
        <v>Same</v>
      </c>
      <c r="AQ464" s="81">
        <f t="shared" si="83"/>
        <v>117.56</v>
      </c>
      <c r="AR464" s="81">
        <f t="shared" si="84"/>
        <v>117.56</v>
      </c>
      <c r="AS464" s="81">
        <f t="shared" si="87"/>
        <v>0</v>
      </c>
    </row>
    <row r="465" spans="1:45" hidden="1" x14ac:dyDescent="0.3">
      <c r="A465">
        <v>6183942</v>
      </c>
      <c r="B465" s="15" t="s">
        <v>5801</v>
      </c>
      <c r="C465" s="16" t="s">
        <v>30</v>
      </c>
      <c r="D465" s="6" t="s">
        <v>31</v>
      </c>
      <c r="E465" t="s">
        <v>799</v>
      </c>
      <c r="F465" t="s">
        <v>799</v>
      </c>
      <c r="H465" s="11" t="s">
        <v>27</v>
      </c>
      <c r="I465" s="6" t="s">
        <v>28</v>
      </c>
      <c r="J465" s="6" t="s">
        <v>28</v>
      </c>
      <c r="K465" t="s">
        <v>32</v>
      </c>
      <c r="L465" s="35">
        <v>6.78</v>
      </c>
      <c r="M465" s="6" t="s">
        <v>29</v>
      </c>
      <c r="N465" s="6">
        <v>3105</v>
      </c>
      <c r="P465" s="18"/>
      <c r="Q465" s="17"/>
      <c r="R465" s="19">
        <v>6.78</v>
      </c>
      <c r="S465" s="19">
        <v>6.78</v>
      </c>
      <c r="T465" s="38">
        <v>20</v>
      </c>
      <c r="U465" s="38"/>
      <c r="V465" s="30">
        <v>6.78</v>
      </c>
      <c r="W465" s="35">
        <v>6.78</v>
      </c>
      <c r="X465" s="32">
        <f t="shared" si="77"/>
        <v>135.6</v>
      </c>
      <c r="Y465" s="32">
        <f t="shared" si="78"/>
        <v>135.6</v>
      </c>
      <c r="Z465" s="32">
        <f t="shared" si="79"/>
        <v>0</v>
      </c>
      <c r="AA465" s="38">
        <v>20</v>
      </c>
      <c r="AB465" s="37">
        <f>IFERROR(VLOOKUP(A465,'Tash Lookup'!A:E,3,FALSE),"")</f>
        <v>133.19999999999999</v>
      </c>
      <c r="AC465" s="6">
        <f t="shared" si="80"/>
        <v>0</v>
      </c>
      <c r="AD465" s="2" t="s">
        <v>6703</v>
      </c>
      <c r="AF465" s="56">
        <v>6.78</v>
      </c>
      <c r="AG465" s="56">
        <f>VLOOKUP(A465,Sheet1!$A$2:$C$1140,3,FALSE)</f>
        <v>6.91</v>
      </c>
      <c r="AH465" s="58">
        <v>6.91</v>
      </c>
      <c r="AI465" s="56" t="str">
        <f t="shared" si="81"/>
        <v>Increase</v>
      </c>
      <c r="AJ465" s="81">
        <f t="shared" si="85"/>
        <v>135.6</v>
      </c>
      <c r="AK465" s="81">
        <f t="shared" si="86"/>
        <v>138.19999999999999</v>
      </c>
      <c r="AL465" s="58" t="s">
        <v>7206</v>
      </c>
      <c r="AM465" s="58" t="s">
        <v>6703</v>
      </c>
      <c r="AN465" s="75">
        <v>8</v>
      </c>
      <c r="AO465" s="88">
        <v>6.91</v>
      </c>
      <c r="AP465" s="6" t="str">
        <f t="shared" si="82"/>
        <v>Increase</v>
      </c>
      <c r="AQ465" s="81">
        <f t="shared" si="83"/>
        <v>54.24</v>
      </c>
      <c r="AR465" s="81">
        <f t="shared" si="84"/>
        <v>55.28</v>
      </c>
      <c r="AS465" s="82">
        <f t="shared" si="87"/>
        <v>1.0399999999999991</v>
      </c>
    </row>
    <row r="466" spans="1:45" hidden="1" x14ac:dyDescent="0.3">
      <c r="A466">
        <v>5219318</v>
      </c>
      <c r="B466" s="15" t="s">
        <v>5802</v>
      </c>
      <c r="C466" s="16" t="s">
        <v>30</v>
      </c>
      <c r="D466" s="6" t="s">
        <v>31</v>
      </c>
      <c r="E466" t="s">
        <v>258</v>
      </c>
      <c r="F466" t="s">
        <v>258</v>
      </c>
      <c r="H466" s="11" t="s">
        <v>27</v>
      </c>
      <c r="I466" s="6" t="s">
        <v>28</v>
      </c>
      <c r="J466" s="6" t="s">
        <v>28</v>
      </c>
      <c r="K466" t="s">
        <v>32</v>
      </c>
      <c r="L466" s="29">
        <v>8.0399999999999991</v>
      </c>
      <c r="M466" s="6" t="s">
        <v>29</v>
      </c>
      <c r="N466" s="6">
        <v>3105</v>
      </c>
      <c r="P466" s="18"/>
      <c r="Q466" s="17"/>
      <c r="R466" s="19">
        <v>8.0399999999999991</v>
      </c>
      <c r="S466" s="19">
        <v>8.0399999999999991</v>
      </c>
      <c r="T466" s="38">
        <v>20</v>
      </c>
      <c r="U466" s="38"/>
      <c r="V466" s="29">
        <v>8.0399999999999991</v>
      </c>
      <c r="W466" s="44">
        <v>5.3</v>
      </c>
      <c r="X466" s="32">
        <f t="shared" si="77"/>
        <v>160.79999999999998</v>
      </c>
      <c r="Y466" s="32">
        <f t="shared" si="78"/>
        <v>160.79999999999998</v>
      </c>
      <c r="Z466" s="32">
        <f t="shared" si="79"/>
        <v>0</v>
      </c>
      <c r="AA466" s="38">
        <v>20</v>
      </c>
      <c r="AB466" s="37">
        <f>IFERROR(VLOOKUP(A466,'Tash Lookup'!A:E,3,FALSE),"")</f>
        <v>133.74</v>
      </c>
      <c r="AC466" s="6">
        <f t="shared" si="80"/>
        <v>0</v>
      </c>
      <c r="AD466" s="2" t="s">
        <v>6703</v>
      </c>
      <c r="AF466" s="56">
        <v>9.2100000000000009</v>
      </c>
      <c r="AG466" s="56">
        <f>VLOOKUP(A466,Sheet1!$A$2:$C$1140,3,FALSE)</f>
        <v>9.49</v>
      </c>
      <c r="AH466" s="58">
        <v>9.49</v>
      </c>
      <c r="AI466" s="56" t="str">
        <f t="shared" si="81"/>
        <v>Increase</v>
      </c>
      <c r="AJ466" s="81">
        <f t="shared" si="85"/>
        <v>184.20000000000002</v>
      </c>
      <c r="AK466" s="81">
        <f t="shared" si="86"/>
        <v>189.8</v>
      </c>
      <c r="AL466" s="58" t="s">
        <v>32</v>
      </c>
      <c r="AM466" s="58" t="s">
        <v>6703</v>
      </c>
      <c r="AN466" s="75">
        <v>25</v>
      </c>
      <c r="AO466" s="88">
        <v>9.49</v>
      </c>
      <c r="AP466" s="6" t="str">
        <f t="shared" si="82"/>
        <v>Increase</v>
      </c>
      <c r="AQ466" s="81">
        <f t="shared" si="83"/>
        <v>230.25000000000003</v>
      </c>
      <c r="AR466" s="81">
        <f t="shared" si="84"/>
        <v>237.25</v>
      </c>
      <c r="AS466" s="82">
        <f t="shared" si="87"/>
        <v>6.9999999999999716</v>
      </c>
    </row>
    <row r="467" spans="1:45" hidden="1" x14ac:dyDescent="0.3">
      <c r="A467">
        <v>5090759</v>
      </c>
      <c r="B467" s="15" t="s">
        <v>5803</v>
      </c>
      <c r="C467" s="16" t="s">
        <v>30</v>
      </c>
      <c r="D467" s="6" t="s">
        <v>31</v>
      </c>
      <c r="E467" t="s">
        <v>586</v>
      </c>
      <c r="F467" t="s">
        <v>586</v>
      </c>
      <c r="H467" s="11" t="s">
        <v>27</v>
      </c>
      <c r="I467" s="6" t="s">
        <v>28</v>
      </c>
      <c r="J467" s="6" t="s">
        <v>28</v>
      </c>
      <c r="K467" t="s">
        <v>32</v>
      </c>
      <c r="L467" s="35">
        <v>22.65</v>
      </c>
      <c r="M467" s="6" t="s">
        <v>29</v>
      </c>
      <c r="N467" s="6">
        <v>3105</v>
      </c>
      <c r="P467" s="18"/>
      <c r="Q467" s="17"/>
      <c r="R467" s="19">
        <v>22.65</v>
      </c>
      <c r="S467" s="19">
        <v>22.65</v>
      </c>
      <c r="T467" s="38">
        <v>20</v>
      </c>
      <c r="U467" s="38"/>
      <c r="V467" s="29">
        <v>22.65</v>
      </c>
      <c r="W467" s="35">
        <v>22.65</v>
      </c>
      <c r="X467" s="32">
        <f t="shared" si="77"/>
        <v>453</v>
      </c>
      <c r="Y467" s="32">
        <f t="shared" si="78"/>
        <v>453</v>
      </c>
      <c r="Z467" s="32">
        <f t="shared" si="79"/>
        <v>0</v>
      </c>
      <c r="AA467" s="38">
        <v>20</v>
      </c>
      <c r="AB467" s="37">
        <f>IFERROR(VLOOKUP(A467,'Tash Lookup'!A:E,3,FALSE),"")</f>
        <v>453.00000000000006</v>
      </c>
      <c r="AC467" s="6">
        <f t="shared" si="80"/>
        <v>0</v>
      </c>
      <c r="AD467" s="2" t="s">
        <v>6703</v>
      </c>
      <c r="AF467" s="56">
        <v>24.27</v>
      </c>
      <c r="AG467" s="56">
        <f>VLOOKUP(A467,Sheet1!$A$2:$C$1140,3,FALSE)</f>
        <v>25</v>
      </c>
      <c r="AH467" s="58">
        <v>25</v>
      </c>
      <c r="AI467" s="56" t="str">
        <f t="shared" si="81"/>
        <v>Increase</v>
      </c>
      <c r="AJ467" s="81">
        <f t="shared" si="85"/>
        <v>485.4</v>
      </c>
      <c r="AK467" s="81">
        <f t="shared" si="86"/>
        <v>500</v>
      </c>
      <c r="AL467" s="58" t="s">
        <v>32</v>
      </c>
      <c r="AM467" s="58" t="s">
        <v>6703</v>
      </c>
      <c r="AN467" s="75">
        <v>9</v>
      </c>
      <c r="AO467" s="88">
        <v>25</v>
      </c>
      <c r="AP467" s="6" t="str">
        <f t="shared" si="82"/>
        <v>Increase</v>
      </c>
      <c r="AQ467" s="81">
        <f t="shared" si="83"/>
        <v>218.43</v>
      </c>
      <c r="AR467" s="81">
        <f t="shared" si="84"/>
        <v>225</v>
      </c>
      <c r="AS467" s="82">
        <f t="shared" si="87"/>
        <v>6.5699999999999932</v>
      </c>
    </row>
    <row r="468" spans="1:45" hidden="1" x14ac:dyDescent="0.3">
      <c r="A468">
        <v>6188869</v>
      </c>
      <c r="B468" s="15" t="s">
        <v>5804</v>
      </c>
      <c r="C468" s="16" t="s">
        <v>30</v>
      </c>
      <c r="D468" s="6" t="s">
        <v>31</v>
      </c>
      <c r="E468" t="s">
        <v>837</v>
      </c>
      <c r="F468" t="s">
        <v>837</v>
      </c>
      <c r="H468" s="11" t="s">
        <v>27</v>
      </c>
      <c r="I468" s="6" t="s">
        <v>28</v>
      </c>
      <c r="J468" s="6" t="s">
        <v>28</v>
      </c>
      <c r="K468" t="s">
        <v>32</v>
      </c>
      <c r="L468" s="35">
        <v>3.86</v>
      </c>
      <c r="M468" s="6" t="s">
        <v>29</v>
      </c>
      <c r="N468" s="6">
        <v>3105</v>
      </c>
      <c r="P468" s="18"/>
      <c r="Q468" s="17"/>
      <c r="R468" s="19">
        <v>3.86</v>
      </c>
      <c r="S468" s="19">
        <v>3.86</v>
      </c>
      <c r="T468" s="38">
        <v>19</v>
      </c>
      <c r="U468" s="38"/>
      <c r="V468" s="30">
        <v>3.86</v>
      </c>
      <c r="W468" s="35">
        <v>26.89</v>
      </c>
      <c r="X468" s="32">
        <f t="shared" si="77"/>
        <v>73.34</v>
      </c>
      <c r="Y468" s="32">
        <f t="shared" si="78"/>
        <v>73.34</v>
      </c>
      <c r="Z468" s="32">
        <f t="shared" si="79"/>
        <v>0</v>
      </c>
      <c r="AA468" s="38">
        <v>19</v>
      </c>
      <c r="AB468" s="37">
        <f>IFERROR(VLOOKUP(A468,'Tash Lookup'!A:E,3,FALSE),"")</f>
        <v>72.23</v>
      </c>
      <c r="AC468" s="6">
        <f t="shared" si="80"/>
        <v>0</v>
      </c>
      <c r="AD468" s="2" t="s">
        <v>6703</v>
      </c>
      <c r="AF468" s="56">
        <v>3.86</v>
      </c>
      <c r="AG468" s="56">
        <f>VLOOKUP(A468,Sheet1!$A$2:$C$1140,3,FALSE)</f>
        <v>3.93</v>
      </c>
      <c r="AH468" s="58">
        <v>3.93</v>
      </c>
      <c r="AI468" s="56" t="str">
        <f t="shared" si="81"/>
        <v>Increase</v>
      </c>
      <c r="AJ468" s="81">
        <f t="shared" si="85"/>
        <v>73.34</v>
      </c>
      <c r="AK468" s="81">
        <f t="shared" si="86"/>
        <v>74.67</v>
      </c>
      <c r="AL468" s="58" t="s">
        <v>7206</v>
      </c>
      <c r="AM468" s="58" t="s">
        <v>6703</v>
      </c>
      <c r="AN468" s="75">
        <v>11</v>
      </c>
      <c r="AO468" s="88">
        <v>3.93</v>
      </c>
      <c r="AP468" s="6" t="str">
        <f t="shared" si="82"/>
        <v>Increase</v>
      </c>
      <c r="AQ468" s="81">
        <f t="shared" si="83"/>
        <v>42.46</v>
      </c>
      <c r="AR468" s="81">
        <f t="shared" si="84"/>
        <v>43.230000000000004</v>
      </c>
      <c r="AS468" s="82">
        <f t="shared" si="87"/>
        <v>0.77000000000000313</v>
      </c>
    </row>
    <row r="469" spans="1:45" hidden="1" x14ac:dyDescent="0.3">
      <c r="A469">
        <v>6383956</v>
      </c>
      <c r="B469" s="15" t="s">
        <v>5805</v>
      </c>
      <c r="C469" s="16" t="s">
        <v>30</v>
      </c>
      <c r="D469" s="6" t="s">
        <v>31</v>
      </c>
      <c r="E469" t="s">
        <v>904</v>
      </c>
      <c r="F469" t="s">
        <v>904</v>
      </c>
      <c r="H469" s="11" t="s">
        <v>27</v>
      </c>
      <c r="I469" s="6" t="s">
        <v>28</v>
      </c>
      <c r="J469" s="6" t="s">
        <v>28</v>
      </c>
      <c r="K469" t="s">
        <v>32</v>
      </c>
      <c r="L469" s="35">
        <v>2.12</v>
      </c>
      <c r="M469" s="6" t="s">
        <v>29</v>
      </c>
      <c r="N469" s="6">
        <v>3105</v>
      </c>
      <c r="P469" s="18"/>
      <c r="Q469" s="17"/>
      <c r="R469" s="19">
        <v>2.12</v>
      </c>
      <c r="S469" s="19">
        <v>2.12</v>
      </c>
      <c r="T469" s="38">
        <v>19</v>
      </c>
      <c r="U469" s="38"/>
      <c r="V469" s="30">
        <v>2.12</v>
      </c>
      <c r="W469" s="35">
        <v>3.86</v>
      </c>
      <c r="X469" s="32">
        <f t="shared" si="77"/>
        <v>40.28</v>
      </c>
      <c r="Y469" s="32">
        <f t="shared" si="78"/>
        <v>40.28</v>
      </c>
      <c r="Z469" s="32">
        <f t="shared" si="79"/>
        <v>0</v>
      </c>
      <c r="AA469" s="38">
        <v>19</v>
      </c>
      <c r="AB469" s="37">
        <f>IFERROR(VLOOKUP(A469,'Tash Lookup'!A:E,3,FALSE),"")</f>
        <v>40.29</v>
      </c>
      <c r="AC469" s="6">
        <f t="shared" si="80"/>
        <v>0</v>
      </c>
      <c r="AD469" s="2" t="s">
        <v>6703</v>
      </c>
      <c r="AF469" s="56">
        <v>2.12</v>
      </c>
      <c r="AG469" s="56">
        <f>VLOOKUP(A469,Sheet1!$A$2:$C$1140,3,FALSE)</f>
        <v>2.16</v>
      </c>
      <c r="AH469" s="58">
        <v>2.16</v>
      </c>
      <c r="AI469" s="56" t="str">
        <f t="shared" si="81"/>
        <v>Increase</v>
      </c>
      <c r="AJ469" s="81">
        <f t="shared" si="85"/>
        <v>40.28</v>
      </c>
      <c r="AK469" s="81">
        <f t="shared" si="86"/>
        <v>41.040000000000006</v>
      </c>
      <c r="AL469" s="58" t="s">
        <v>7206</v>
      </c>
      <c r="AM469" s="58" t="s">
        <v>6703</v>
      </c>
      <c r="AN469" s="75">
        <v>7</v>
      </c>
      <c r="AO469" s="88">
        <v>2.16</v>
      </c>
      <c r="AP469" s="6" t="str">
        <f t="shared" si="82"/>
        <v>Increase</v>
      </c>
      <c r="AQ469" s="81">
        <f t="shared" si="83"/>
        <v>14.84</v>
      </c>
      <c r="AR469" s="81">
        <f t="shared" si="84"/>
        <v>15.120000000000001</v>
      </c>
      <c r="AS469" s="82">
        <f t="shared" si="87"/>
        <v>0.28000000000000114</v>
      </c>
    </row>
    <row r="470" spans="1:45" hidden="1" x14ac:dyDescent="0.3">
      <c r="A470">
        <v>5081964</v>
      </c>
      <c r="B470" s="15" t="s">
        <v>5806</v>
      </c>
      <c r="C470" s="16" t="s">
        <v>30</v>
      </c>
      <c r="D470" s="6" t="s">
        <v>31</v>
      </c>
      <c r="E470" t="s">
        <v>563</v>
      </c>
      <c r="F470" t="s">
        <v>563</v>
      </c>
      <c r="H470" s="11" t="s">
        <v>27</v>
      </c>
      <c r="I470" s="6" t="s">
        <v>28</v>
      </c>
      <c r="J470" s="6" t="s">
        <v>28</v>
      </c>
      <c r="K470" t="s">
        <v>32</v>
      </c>
      <c r="L470" s="35">
        <v>28.76</v>
      </c>
      <c r="M470" s="6" t="s">
        <v>29</v>
      </c>
      <c r="N470" s="6">
        <v>3105</v>
      </c>
      <c r="P470" s="18"/>
      <c r="Q470" s="17"/>
      <c r="R470" s="19">
        <v>28.76</v>
      </c>
      <c r="S470" s="19">
        <v>28.76</v>
      </c>
      <c r="T470" s="38">
        <v>19</v>
      </c>
      <c r="U470" s="38"/>
      <c r="V470" s="29">
        <v>28.76</v>
      </c>
      <c r="W470" s="35">
        <v>2.12</v>
      </c>
      <c r="X470" s="32">
        <f t="shared" si="77"/>
        <v>546.44000000000005</v>
      </c>
      <c r="Y470" s="32">
        <f t="shared" si="78"/>
        <v>546.44000000000005</v>
      </c>
      <c r="Z470" s="32">
        <f t="shared" si="79"/>
        <v>0</v>
      </c>
      <c r="AA470" s="38">
        <v>19</v>
      </c>
      <c r="AB470" s="37">
        <f>IFERROR(VLOOKUP(A470,'Tash Lookup'!A:E,3,FALSE),"")</f>
        <v>546.42999999999995</v>
      </c>
      <c r="AC470" s="6">
        <f t="shared" si="80"/>
        <v>0</v>
      </c>
      <c r="AD470" s="2" t="s">
        <v>6703</v>
      </c>
      <c r="AF470" s="56">
        <v>29.86</v>
      </c>
      <c r="AG470" s="56">
        <f>VLOOKUP(A470,Sheet1!$A$2:$C$1140,3,FALSE)</f>
        <v>30.75</v>
      </c>
      <c r="AH470" s="58">
        <v>30.75</v>
      </c>
      <c r="AI470" s="56" t="str">
        <f t="shared" si="81"/>
        <v>Increase</v>
      </c>
      <c r="AJ470" s="81">
        <f t="shared" si="85"/>
        <v>567.34</v>
      </c>
      <c r="AK470" s="81">
        <f t="shared" si="86"/>
        <v>584.25</v>
      </c>
      <c r="AL470" s="58" t="s">
        <v>32</v>
      </c>
      <c r="AM470" s="58" t="s">
        <v>6703</v>
      </c>
      <c r="AN470" s="75">
        <v>22</v>
      </c>
      <c r="AO470" s="88">
        <v>30.75</v>
      </c>
      <c r="AP470" s="6" t="str">
        <f t="shared" si="82"/>
        <v>Increase</v>
      </c>
      <c r="AQ470" s="81">
        <f t="shared" si="83"/>
        <v>656.92</v>
      </c>
      <c r="AR470" s="81">
        <f t="shared" si="84"/>
        <v>676.5</v>
      </c>
      <c r="AS470" s="82">
        <f t="shared" si="87"/>
        <v>19.580000000000041</v>
      </c>
    </row>
    <row r="471" spans="1:45" hidden="1" x14ac:dyDescent="0.3">
      <c r="A471">
        <v>5180484</v>
      </c>
      <c r="B471" s="15" t="s">
        <v>5807</v>
      </c>
      <c r="C471" s="16" t="s">
        <v>30</v>
      </c>
      <c r="D471" s="6" t="s">
        <v>31</v>
      </c>
      <c r="E471" t="s">
        <v>624</v>
      </c>
      <c r="F471" t="s">
        <v>624</v>
      </c>
      <c r="H471" s="11" t="s">
        <v>27</v>
      </c>
      <c r="I471" s="6" t="s">
        <v>28</v>
      </c>
      <c r="J471" s="6" t="s">
        <v>28</v>
      </c>
      <c r="K471" t="s">
        <v>32</v>
      </c>
      <c r="L471" s="35">
        <v>34.200000000000003</v>
      </c>
      <c r="M471" s="6" t="s">
        <v>29</v>
      </c>
      <c r="N471" s="6">
        <v>3105</v>
      </c>
      <c r="P471" s="18"/>
      <c r="Q471" s="17"/>
      <c r="R471" s="19">
        <v>34.200000000000003</v>
      </c>
      <c r="S471" s="19">
        <v>34.200000000000003</v>
      </c>
      <c r="T471" s="38">
        <v>19</v>
      </c>
      <c r="U471" s="38"/>
      <c r="V471" s="29">
        <v>34.200000000000003</v>
      </c>
      <c r="W471" s="35">
        <v>28.76</v>
      </c>
      <c r="X471" s="32">
        <f t="shared" si="77"/>
        <v>649.80000000000007</v>
      </c>
      <c r="Y471" s="32">
        <f t="shared" si="78"/>
        <v>649.80000000000007</v>
      </c>
      <c r="Z471" s="32">
        <f t="shared" si="79"/>
        <v>0</v>
      </c>
      <c r="AA471" s="38">
        <v>19</v>
      </c>
      <c r="AB471" s="37">
        <f>IFERROR(VLOOKUP(A471,'Tash Lookup'!A:E,3,FALSE),"")</f>
        <v>649.84</v>
      </c>
      <c r="AC471" s="6">
        <f t="shared" si="80"/>
        <v>0</v>
      </c>
      <c r="AD471" s="2" t="s">
        <v>6703</v>
      </c>
      <c r="AF471" s="56">
        <v>36.53</v>
      </c>
      <c r="AG471" s="56">
        <f>VLOOKUP(A471,Sheet1!$A$2:$C$1140,3,FALSE)</f>
        <v>37.630000000000003</v>
      </c>
      <c r="AH471" s="58">
        <v>37.630000000000003</v>
      </c>
      <c r="AI471" s="56" t="str">
        <f t="shared" si="81"/>
        <v>Increase</v>
      </c>
      <c r="AJ471" s="81">
        <f t="shared" si="85"/>
        <v>694.07</v>
      </c>
      <c r="AK471" s="81">
        <f t="shared" si="86"/>
        <v>714.97</v>
      </c>
      <c r="AL471" s="58" t="s">
        <v>32</v>
      </c>
      <c r="AM471" s="58" t="s">
        <v>6703</v>
      </c>
      <c r="AN471" s="75">
        <v>6</v>
      </c>
      <c r="AO471" s="88">
        <v>37.630000000000003</v>
      </c>
      <c r="AP471" s="6" t="str">
        <f t="shared" si="82"/>
        <v>Increase</v>
      </c>
      <c r="AQ471" s="81">
        <f t="shared" si="83"/>
        <v>219.18</v>
      </c>
      <c r="AR471" s="81">
        <f t="shared" si="84"/>
        <v>225.78000000000003</v>
      </c>
      <c r="AS471" s="82">
        <f t="shared" si="87"/>
        <v>6.6000000000000227</v>
      </c>
    </row>
    <row r="472" spans="1:45" hidden="1" x14ac:dyDescent="0.3">
      <c r="A472">
        <v>6107918</v>
      </c>
      <c r="B472" s="15" t="s">
        <v>5808</v>
      </c>
      <c r="C472" s="16" t="s">
        <v>30</v>
      </c>
      <c r="D472" s="6" t="s">
        <v>31</v>
      </c>
      <c r="E472" t="s">
        <v>915</v>
      </c>
      <c r="F472" t="s">
        <v>915</v>
      </c>
      <c r="H472" s="11" t="s">
        <v>27</v>
      </c>
      <c r="I472" s="6" t="s">
        <v>28</v>
      </c>
      <c r="J472" s="6" t="s">
        <v>28</v>
      </c>
      <c r="K472" t="s">
        <v>32</v>
      </c>
      <c r="L472" s="35">
        <v>2.0099999999999998</v>
      </c>
      <c r="M472" s="6" t="s">
        <v>29</v>
      </c>
      <c r="N472" s="6">
        <v>3105</v>
      </c>
      <c r="P472" s="18"/>
      <c r="Q472" s="17"/>
      <c r="R472" s="19">
        <v>2.0099999999999998</v>
      </c>
      <c r="S472" s="19">
        <v>2.0099999999999998</v>
      </c>
      <c r="T472" s="38">
        <v>19</v>
      </c>
      <c r="U472" s="38"/>
      <c r="V472" s="29">
        <v>2.0099999999999998</v>
      </c>
      <c r="W472" s="35">
        <v>34.200000000000003</v>
      </c>
      <c r="X472" s="32">
        <f t="shared" si="77"/>
        <v>38.19</v>
      </c>
      <c r="Y472" s="32">
        <f t="shared" si="78"/>
        <v>38.19</v>
      </c>
      <c r="Z472" s="32">
        <f t="shared" si="79"/>
        <v>0</v>
      </c>
      <c r="AA472" s="38">
        <v>19</v>
      </c>
      <c r="AB472" s="37">
        <f>IFERROR(VLOOKUP(A472,'Tash Lookup'!A:E,3,FALSE),"")</f>
        <v>38.18</v>
      </c>
      <c r="AC472" s="6">
        <f t="shared" si="80"/>
        <v>0</v>
      </c>
      <c r="AD472" s="2" t="s">
        <v>6703</v>
      </c>
      <c r="AF472" s="56">
        <v>2.0099999999999998</v>
      </c>
      <c r="AG472" s="56">
        <f>VLOOKUP(A472,Sheet1!$A$2:$C$1140,3,FALSE)</f>
        <v>2.0499999999999998</v>
      </c>
      <c r="AH472" s="58">
        <v>2.0499999999999998</v>
      </c>
      <c r="AI472" s="56" t="str">
        <f t="shared" si="81"/>
        <v>Increase</v>
      </c>
      <c r="AJ472" s="81">
        <f t="shared" si="85"/>
        <v>38.19</v>
      </c>
      <c r="AK472" s="81">
        <f t="shared" si="86"/>
        <v>38.949999999999996</v>
      </c>
      <c r="AL472" s="58" t="s">
        <v>7206</v>
      </c>
      <c r="AM472" s="58" t="s">
        <v>6703</v>
      </c>
      <c r="AN472" s="75">
        <v>10</v>
      </c>
      <c r="AO472" s="88">
        <v>2.0499999999999998</v>
      </c>
      <c r="AP472" s="6" t="str">
        <f t="shared" si="82"/>
        <v>Increase</v>
      </c>
      <c r="AQ472" s="81">
        <f t="shared" si="83"/>
        <v>20.099999999999998</v>
      </c>
      <c r="AR472" s="81">
        <f t="shared" si="84"/>
        <v>20.5</v>
      </c>
      <c r="AS472" s="82">
        <f t="shared" si="87"/>
        <v>0.40000000000000213</v>
      </c>
    </row>
    <row r="473" spans="1:45" hidden="1" x14ac:dyDescent="0.3">
      <c r="A473">
        <v>6107885</v>
      </c>
      <c r="B473" s="15" t="s">
        <v>5809</v>
      </c>
      <c r="C473" s="16" t="s">
        <v>30</v>
      </c>
      <c r="D473" s="6" t="s">
        <v>31</v>
      </c>
      <c r="E473" t="s">
        <v>1074</v>
      </c>
      <c r="F473" t="s">
        <v>1074</v>
      </c>
      <c r="H473" s="11" t="s">
        <v>27</v>
      </c>
      <c r="I473" s="6" t="s">
        <v>28</v>
      </c>
      <c r="J473" s="6" t="s">
        <v>28</v>
      </c>
      <c r="K473" t="s">
        <v>32</v>
      </c>
      <c r="L473" s="35">
        <v>7.06</v>
      </c>
      <c r="M473" s="6" t="s">
        <v>29</v>
      </c>
      <c r="N473" s="6">
        <v>3105</v>
      </c>
      <c r="P473" s="18"/>
      <c r="Q473" s="17"/>
      <c r="R473" s="19">
        <v>0</v>
      </c>
      <c r="S473" s="19">
        <v>0</v>
      </c>
      <c r="T473" s="38">
        <v>19</v>
      </c>
      <c r="U473" s="38"/>
      <c r="V473" s="31">
        <v>7.06</v>
      </c>
      <c r="W473" s="35">
        <v>2.0099999999999998</v>
      </c>
      <c r="X473" s="32">
        <f t="shared" si="77"/>
        <v>134.13999999999999</v>
      </c>
      <c r="Y473" s="32">
        <f t="shared" si="78"/>
        <v>134.13999999999999</v>
      </c>
      <c r="Z473" s="32">
        <f t="shared" si="79"/>
        <v>0</v>
      </c>
      <c r="AA473" s="38">
        <v>19</v>
      </c>
      <c r="AB473" s="37">
        <f>IFERROR(VLOOKUP(A473,'Tash Lookup'!A:E,3,FALSE),"")</f>
        <v>134.16999999999999</v>
      </c>
      <c r="AC473" s="6">
        <f t="shared" si="80"/>
        <v>0</v>
      </c>
      <c r="AD473" s="2" t="s">
        <v>6703</v>
      </c>
      <c r="AF473" s="56">
        <v>7.06</v>
      </c>
      <c r="AG473" s="56">
        <f>VLOOKUP(A473,Sheet1!$A$2:$C$1140,3,FALSE)</f>
        <v>7.2</v>
      </c>
      <c r="AH473" s="58">
        <v>7.2</v>
      </c>
      <c r="AI473" s="56" t="str">
        <f t="shared" si="81"/>
        <v>Increase</v>
      </c>
      <c r="AJ473" s="81">
        <f t="shared" si="85"/>
        <v>134.13999999999999</v>
      </c>
      <c r="AK473" s="81">
        <f t="shared" si="86"/>
        <v>136.80000000000001</v>
      </c>
      <c r="AL473" s="58" t="s">
        <v>7206</v>
      </c>
      <c r="AM473" s="58" t="s">
        <v>6703</v>
      </c>
      <c r="AN473" s="75">
        <v>6</v>
      </c>
      <c r="AO473" s="88">
        <v>7.2</v>
      </c>
      <c r="AP473" s="6" t="str">
        <f t="shared" si="82"/>
        <v>Increase</v>
      </c>
      <c r="AQ473" s="81">
        <f t="shared" si="83"/>
        <v>42.36</v>
      </c>
      <c r="AR473" s="81">
        <f t="shared" si="84"/>
        <v>43.2</v>
      </c>
      <c r="AS473" s="82">
        <f t="shared" si="87"/>
        <v>0.84000000000000341</v>
      </c>
    </row>
    <row r="474" spans="1:45" hidden="1" x14ac:dyDescent="0.3">
      <c r="A474">
        <v>6188829</v>
      </c>
      <c r="B474" s="15" t="s">
        <v>5810</v>
      </c>
      <c r="C474" s="16" t="s">
        <v>30</v>
      </c>
      <c r="D474" s="6" t="s">
        <v>31</v>
      </c>
      <c r="E474" t="s">
        <v>1159</v>
      </c>
      <c r="F474" t="s">
        <v>1159</v>
      </c>
      <c r="H474" s="11" t="s">
        <v>27</v>
      </c>
      <c r="I474" s="6" t="s">
        <v>28</v>
      </c>
      <c r="J474" s="6" t="s">
        <v>28</v>
      </c>
      <c r="K474" t="s">
        <v>32</v>
      </c>
      <c r="L474" s="35">
        <v>17.420000000000002</v>
      </c>
      <c r="M474" s="6" t="s">
        <v>29</v>
      </c>
      <c r="N474" s="6">
        <v>3105</v>
      </c>
      <c r="P474" s="18"/>
      <c r="Q474" s="17"/>
      <c r="R474" s="19">
        <v>17.420000000000002</v>
      </c>
      <c r="S474" s="19">
        <v>17.420000000000002</v>
      </c>
      <c r="T474" s="38">
        <v>19</v>
      </c>
      <c r="U474" s="38"/>
      <c r="V474" s="30">
        <v>17.420000000000002</v>
      </c>
      <c r="W474" s="35">
        <v>7.06</v>
      </c>
      <c r="X474" s="32">
        <f t="shared" si="77"/>
        <v>330.98</v>
      </c>
      <c r="Y474" s="32">
        <f t="shared" si="78"/>
        <v>330.98</v>
      </c>
      <c r="Z474" s="32">
        <f t="shared" si="79"/>
        <v>0</v>
      </c>
      <c r="AA474" s="38">
        <v>19</v>
      </c>
      <c r="AB474" s="37">
        <f>IFERROR(VLOOKUP(A474,'Tash Lookup'!A:E,3,FALSE),"")</f>
        <v>330.97</v>
      </c>
      <c r="AC474" s="6">
        <f t="shared" si="80"/>
        <v>0</v>
      </c>
      <c r="AD474" s="2" t="s">
        <v>6703</v>
      </c>
      <c r="AF474" s="56">
        <v>17.420000000000002</v>
      </c>
      <c r="AG474" s="56">
        <f>VLOOKUP(A474,Sheet1!$A$2:$C$1140,3,FALSE)</f>
        <v>17.77</v>
      </c>
      <c r="AH474" s="58">
        <v>17.77</v>
      </c>
      <c r="AI474" s="56" t="str">
        <f t="shared" si="81"/>
        <v>Increase</v>
      </c>
      <c r="AJ474" s="81">
        <f t="shared" si="85"/>
        <v>330.98</v>
      </c>
      <c r="AK474" s="81">
        <f t="shared" si="86"/>
        <v>337.63</v>
      </c>
      <c r="AL474" s="58" t="s">
        <v>7206</v>
      </c>
      <c r="AM474" s="58" t="s">
        <v>6703</v>
      </c>
      <c r="AN474" s="75">
        <v>24</v>
      </c>
      <c r="AO474" s="88">
        <v>17.77</v>
      </c>
      <c r="AP474" s="6" t="str">
        <f t="shared" si="82"/>
        <v>Increase</v>
      </c>
      <c r="AQ474" s="81">
        <f t="shared" si="83"/>
        <v>418.08000000000004</v>
      </c>
      <c r="AR474" s="81">
        <f t="shared" si="84"/>
        <v>426.48</v>
      </c>
      <c r="AS474" s="82">
        <f t="shared" si="87"/>
        <v>8.3999999999999773</v>
      </c>
    </row>
    <row r="475" spans="1:45" hidden="1" x14ac:dyDescent="0.3">
      <c r="A475">
        <v>6183950</v>
      </c>
      <c r="B475" s="15" t="s">
        <v>5811</v>
      </c>
      <c r="C475" s="16" t="s">
        <v>30</v>
      </c>
      <c r="D475" s="6" t="s">
        <v>31</v>
      </c>
      <c r="E475" t="s">
        <v>681</v>
      </c>
      <c r="F475" t="s">
        <v>681</v>
      </c>
      <c r="H475" s="11" t="s">
        <v>27</v>
      </c>
      <c r="I475" s="6" t="s">
        <v>28</v>
      </c>
      <c r="J475" s="6" t="s">
        <v>28</v>
      </c>
      <c r="K475" t="s">
        <v>32</v>
      </c>
      <c r="L475" s="35">
        <v>9.23</v>
      </c>
      <c r="M475" s="6" t="s">
        <v>29</v>
      </c>
      <c r="N475" s="6">
        <v>3105</v>
      </c>
      <c r="P475" s="18"/>
      <c r="Q475" s="17"/>
      <c r="R475" s="19">
        <v>9.23</v>
      </c>
      <c r="S475" s="19">
        <v>9.23</v>
      </c>
      <c r="T475" s="38">
        <v>19</v>
      </c>
      <c r="U475" s="38"/>
      <c r="V475" s="30">
        <v>9.23</v>
      </c>
      <c r="W475" s="35">
        <v>17.420000000000002</v>
      </c>
      <c r="X475" s="32">
        <f t="shared" si="77"/>
        <v>175.37</v>
      </c>
      <c r="Y475" s="32">
        <f t="shared" si="78"/>
        <v>175.37</v>
      </c>
      <c r="Z475" s="32">
        <f t="shared" si="79"/>
        <v>0</v>
      </c>
      <c r="AA475" s="38">
        <v>19</v>
      </c>
      <c r="AB475" s="37">
        <f>IFERROR(VLOOKUP(A475,'Tash Lookup'!A:E,3,FALSE),"")</f>
        <v>174.58</v>
      </c>
      <c r="AC475" s="6">
        <f t="shared" si="80"/>
        <v>0</v>
      </c>
      <c r="AD475" s="2" t="s">
        <v>6703</v>
      </c>
      <c r="AF475" s="56">
        <v>9.23</v>
      </c>
      <c r="AG475" s="56">
        <f>VLOOKUP(A475,Sheet1!$A$2:$C$1140,3,FALSE)</f>
        <v>9.42</v>
      </c>
      <c r="AH475" s="58">
        <v>9.42</v>
      </c>
      <c r="AI475" s="56" t="str">
        <f t="shared" si="81"/>
        <v>Increase</v>
      </c>
      <c r="AJ475" s="81">
        <f t="shared" si="85"/>
        <v>175.37</v>
      </c>
      <c r="AK475" s="81">
        <f t="shared" si="86"/>
        <v>178.98</v>
      </c>
      <c r="AL475" s="58" t="s">
        <v>7206</v>
      </c>
      <c r="AM475" s="58" t="s">
        <v>6703</v>
      </c>
      <c r="AN475" s="75">
        <v>19</v>
      </c>
      <c r="AO475" s="88">
        <v>9.42</v>
      </c>
      <c r="AP475" s="6" t="str">
        <f t="shared" si="82"/>
        <v>Increase</v>
      </c>
      <c r="AQ475" s="81">
        <f t="shared" si="83"/>
        <v>175.37</v>
      </c>
      <c r="AR475" s="81">
        <f t="shared" si="84"/>
        <v>178.98</v>
      </c>
      <c r="AS475" s="82">
        <f t="shared" si="87"/>
        <v>3.6099999999999852</v>
      </c>
    </row>
    <row r="476" spans="1:45" hidden="1" x14ac:dyDescent="0.3">
      <c r="A476">
        <v>5090818</v>
      </c>
      <c r="B476" s="15" t="s">
        <v>5812</v>
      </c>
      <c r="C476" s="16" t="s">
        <v>30</v>
      </c>
      <c r="D476" s="6" t="s">
        <v>31</v>
      </c>
      <c r="E476" t="s">
        <v>550</v>
      </c>
      <c r="F476" t="s">
        <v>550</v>
      </c>
      <c r="H476" s="11" t="s">
        <v>27</v>
      </c>
      <c r="I476" s="6" t="s">
        <v>28</v>
      </c>
      <c r="J476" s="6" t="s">
        <v>28</v>
      </c>
      <c r="K476" t="s">
        <v>32</v>
      </c>
      <c r="L476" s="35">
        <v>26.89</v>
      </c>
      <c r="M476" s="6" t="s">
        <v>29</v>
      </c>
      <c r="N476" s="6">
        <v>3105</v>
      </c>
      <c r="P476" s="18"/>
      <c r="Q476" s="17"/>
      <c r="R476" s="19">
        <v>28.61</v>
      </c>
      <c r="S476" s="19">
        <v>0</v>
      </c>
      <c r="T476" s="38">
        <v>19</v>
      </c>
      <c r="U476" s="38"/>
      <c r="V476" s="29">
        <v>28.61</v>
      </c>
      <c r="W476" s="35">
        <v>9.23</v>
      </c>
      <c r="X476" s="32">
        <f t="shared" si="77"/>
        <v>543.59</v>
      </c>
      <c r="Y476" s="32">
        <f t="shared" si="78"/>
        <v>510.91</v>
      </c>
      <c r="Z476" s="32">
        <f t="shared" si="79"/>
        <v>32.680000000000007</v>
      </c>
      <c r="AA476" s="38">
        <v>19</v>
      </c>
      <c r="AB476" s="37">
        <f>IFERROR(VLOOKUP(A476,'Tash Lookup'!A:E,3,FALSE),"")</f>
        <v>554.74</v>
      </c>
      <c r="AC476" s="6">
        <f t="shared" si="80"/>
        <v>0</v>
      </c>
      <c r="AD476" s="2" t="s">
        <v>6703</v>
      </c>
      <c r="AF476" s="56">
        <v>37.42</v>
      </c>
      <c r="AG476" s="56">
        <f>VLOOKUP(A476,Sheet1!$A$2:$C$1140,3,FALSE)</f>
        <v>38.54</v>
      </c>
      <c r="AH476" s="58">
        <v>38.54</v>
      </c>
      <c r="AI476" s="56" t="str">
        <f t="shared" si="81"/>
        <v>Increase</v>
      </c>
      <c r="AJ476" s="81">
        <f t="shared" si="85"/>
        <v>710.98</v>
      </c>
      <c r="AK476" s="81">
        <f t="shared" si="86"/>
        <v>732.26</v>
      </c>
      <c r="AL476" s="58" t="s">
        <v>32</v>
      </c>
      <c r="AM476" s="58" t="s">
        <v>6703</v>
      </c>
      <c r="AN476" s="75">
        <v>3</v>
      </c>
      <c r="AO476" s="88">
        <v>38.54</v>
      </c>
      <c r="AP476" s="6" t="str">
        <f t="shared" si="82"/>
        <v>Increase</v>
      </c>
      <c r="AQ476" s="81">
        <f t="shared" si="83"/>
        <v>112.26</v>
      </c>
      <c r="AR476" s="81">
        <f t="shared" si="84"/>
        <v>115.62</v>
      </c>
      <c r="AS476" s="82">
        <f t="shared" si="87"/>
        <v>3.3599999999999994</v>
      </c>
    </row>
    <row r="477" spans="1:45" hidden="1" x14ac:dyDescent="0.3">
      <c r="A477">
        <v>6183910</v>
      </c>
      <c r="B477" s="15" t="s">
        <v>5813</v>
      </c>
      <c r="C477" s="16" t="s">
        <v>30</v>
      </c>
      <c r="D477" s="6" t="s">
        <v>31</v>
      </c>
      <c r="E477" t="s">
        <v>833</v>
      </c>
      <c r="F477" t="s">
        <v>833</v>
      </c>
      <c r="H477" s="11" t="s">
        <v>27</v>
      </c>
      <c r="I477" s="6" t="s">
        <v>28</v>
      </c>
      <c r="J477" s="6" t="s">
        <v>28</v>
      </c>
      <c r="K477" t="s">
        <v>32</v>
      </c>
      <c r="L477" s="35">
        <v>5.08</v>
      </c>
      <c r="M477" s="6" t="s">
        <v>29</v>
      </c>
      <c r="N477" s="6">
        <v>3105</v>
      </c>
      <c r="P477" s="18"/>
      <c r="Q477" s="17"/>
      <c r="R477" s="19">
        <v>5.08</v>
      </c>
      <c r="S477" s="19">
        <v>5.08</v>
      </c>
      <c r="T477" s="38">
        <v>18</v>
      </c>
      <c r="U477" s="38"/>
      <c r="V477" s="30">
        <v>5.08</v>
      </c>
      <c r="W477" s="35">
        <v>5.08</v>
      </c>
      <c r="X477" s="32">
        <f t="shared" si="77"/>
        <v>91.44</v>
      </c>
      <c r="Y477" s="32">
        <f t="shared" si="78"/>
        <v>91.44</v>
      </c>
      <c r="Z477" s="32">
        <f t="shared" si="79"/>
        <v>0</v>
      </c>
      <c r="AA477" s="38">
        <v>18</v>
      </c>
      <c r="AB477" s="37">
        <f>IFERROR(VLOOKUP(A477,'Tash Lookup'!A:E,3,FALSE),"")</f>
        <v>91.02</v>
      </c>
      <c r="AC477" s="6">
        <f t="shared" si="80"/>
        <v>0</v>
      </c>
      <c r="AD477" s="2" t="s">
        <v>6703</v>
      </c>
      <c r="AF477" s="56">
        <v>5.08</v>
      </c>
      <c r="AG477" s="56">
        <f>VLOOKUP(A477,Sheet1!$A$2:$C$1140,3,FALSE)</f>
        <v>5.19</v>
      </c>
      <c r="AH477" s="58">
        <v>5.19</v>
      </c>
      <c r="AI477" s="56" t="str">
        <f t="shared" si="81"/>
        <v>Increase</v>
      </c>
      <c r="AJ477" s="81">
        <f t="shared" si="85"/>
        <v>91.44</v>
      </c>
      <c r="AK477" s="81">
        <f t="shared" si="86"/>
        <v>93.42</v>
      </c>
      <c r="AL477" s="58" t="s">
        <v>7206</v>
      </c>
      <c r="AM477" s="58" t="s">
        <v>6703</v>
      </c>
      <c r="AN477" s="75">
        <v>8</v>
      </c>
      <c r="AO477" s="88">
        <v>5.19</v>
      </c>
      <c r="AP477" s="6" t="str">
        <f t="shared" si="82"/>
        <v>Increase</v>
      </c>
      <c r="AQ477" s="81">
        <f t="shared" si="83"/>
        <v>40.64</v>
      </c>
      <c r="AR477" s="81">
        <f t="shared" si="84"/>
        <v>41.52</v>
      </c>
      <c r="AS477" s="82">
        <f t="shared" si="87"/>
        <v>0.88000000000000256</v>
      </c>
    </row>
    <row r="478" spans="1:45" hidden="1" x14ac:dyDescent="0.3">
      <c r="A478">
        <v>6107900</v>
      </c>
      <c r="B478" s="15" t="s">
        <v>5814</v>
      </c>
      <c r="C478" s="16" t="s">
        <v>30</v>
      </c>
      <c r="D478" s="6" t="s">
        <v>31</v>
      </c>
      <c r="E478" t="s">
        <v>1068</v>
      </c>
      <c r="F478" t="s">
        <v>1068</v>
      </c>
      <c r="H478" s="11" t="s">
        <v>27</v>
      </c>
      <c r="I478" s="6" t="s">
        <v>28</v>
      </c>
      <c r="J478" s="6" t="s">
        <v>28</v>
      </c>
      <c r="K478" t="s">
        <v>32</v>
      </c>
      <c r="L478" s="35">
        <v>4.6399999999999997</v>
      </c>
      <c r="M478" s="6" t="s">
        <v>29</v>
      </c>
      <c r="N478" s="6">
        <v>3105</v>
      </c>
      <c r="P478" s="18"/>
      <c r="Q478" s="17"/>
      <c r="R478" s="19">
        <v>0</v>
      </c>
      <c r="S478" s="19">
        <v>0</v>
      </c>
      <c r="T478" s="38">
        <v>18</v>
      </c>
      <c r="U478" s="38"/>
      <c r="V478" s="31">
        <v>4.6399999999999997</v>
      </c>
      <c r="W478" s="35">
        <v>4.6399999999999997</v>
      </c>
      <c r="X478" s="32">
        <f t="shared" si="77"/>
        <v>83.52</v>
      </c>
      <c r="Y478" s="32">
        <f t="shared" si="78"/>
        <v>83.52</v>
      </c>
      <c r="Z478" s="32">
        <f t="shared" si="79"/>
        <v>0</v>
      </c>
      <c r="AA478" s="38">
        <v>18</v>
      </c>
      <c r="AB478" s="37">
        <f>IFERROR(VLOOKUP(A478,'Tash Lookup'!A:E,3,FALSE),"")</f>
        <v>83.12</v>
      </c>
      <c r="AC478" s="6">
        <f t="shared" si="80"/>
        <v>0</v>
      </c>
      <c r="AD478" s="2" t="s">
        <v>6703</v>
      </c>
      <c r="AF478" s="56">
        <v>4.6399999999999997</v>
      </c>
      <c r="AG478" s="56">
        <f>VLOOKUP(A478,Sheet1!$A$2:$C$1140,3,FALSE)</f>
        <v>4.7300000000000004</v>
      </c>
      <c r="AH478" s="58">
        <v>4.7300000000000004</v>
      </c>
      <c r="AI478" s="56" t="str">
        <f t="shared" si="81"/>
        <v>Increase</v>
      </c>
      <c r="AJ478" s="81">
        <f t="shared" si="85"/>
        <v>83.52</v>
      </c>
      <c r="AK478" s="81">
        <f t="shared" si="86"/>
        <v>85.140000000000015</v>
      </c>
      <c r="AL478" s="58" t="s">
        <v>7206</v>
      </c>
      <c r="AM478" s="58" t="s">
        <v>6703</v>
      </c>
      <c r="AN478" s="75">
        <v>19</v>
      </c>
      <c r="AO478" s="88">
        <v>4.7300000000000004</v>
      </c>
      <c r="AP478" s="6" t="str">
        <f t="shared" si="82"/>
        <v>Increase</v>
      </c>
      <c r="AQ478" s="81">
        <f t="shared" si="83"/>
        <v>88.16</v>
      </c>
      <c r="AR478" s="81">
        <f t="shared" si="84"/>
        <v>89.87</v>
      </c>
      <c r="AS478" s="82">
        <f t="shared" si="87"/>
        <v>1.710000000000008</v>
      </c>
    </row>
    <row r="479" spans="1:45" hidden="1" x14ac:dyDescent="0.3">
      <c r="A479">
        <v>5077776</v>
      </c>
      <c r="B479" s="15" t="s">
        <v>5815</v>
      </c>
      <c r="C479" s="16" t="s">
        <v>30</v>
      </c>
      <c r="D479" s="6" t="s">
        <v>31</v>
      </c>
      <c r="E479" t="s">
        <v>1117</v>
      </c>
      <c r="F479" t="s">
        <v>1117</v>
      </c>
      <c r="H479" s="11" t="s">
        <v>27</v>
      </c>
      <c r="I479" s="6" t="s">
        <v>28</v>
      </c>
      <c r="J479" s="6" t="s">
        <v>28</v>
      </c>
      <c r="K479" t="s">
        <v>32</v>
      </c>
      <c r="L479" s="35">
        <v>15.61</v>
      </c>
      <c r="M479" s="6" t="s">
        <v>29</v>
      </c>
      <c r="N479" s="6">
        <v>3105</v>
      </c>
      <c r="P479" s="18"/>
      <c r="Q479" s="17"/>
      <c r="R479" s="19">
        <v>15.61</v>
      </c>
      <c r="S479" s="19">
        <v>15.61</v>
      </c>
      <c r="T479" s="38">
        <v>18</v>
      </c>
      <c r="U479" s="38"/>
      <c r="V479" s="30">
        <v>15.61</v>
      </c>
      <c r="W479" s="35">
        <v>15.61</v>
      </c>
      <c r="X479" s="32">
        <f t="shared" si="77"/>
        <v>280.98</v>
      </c>
      <c r="Y479" s="32">
        <f t="shared" si="78"/>
        <v>280.98</v>
      </c>
      <c r="Z479" s="32">
        <f t="shared" si="79"/>
        <v>0</v>
      </c>
      <c r="AA479" s="38">
        <v>18</v>
      </c>
      <c r="AB479" s="37">
        <f>IFERROR(VLOOKUP(A479,'Tash Lookup'!A:E,3,FALSE),"")</f>
        <v>275.27</v>
      </c>
      <c r="AC479" s="6">
        <f t="shared" si="80"/>
        <v>0</v>
      </c>
      <c r="AD479" s="2" t="s">
        <v>6703</v>
      </c>
      <c r="AF479" s="56">
        <v>22.25</v>
      </c>
      <c r="AG479" s="56">
        <f>VLOOKUP(A479,Sheet1!$A$2:$C$1140,3,FALSE)</f>
        <v>22.25</v>
      </c>
      <c r="AH479" s="58">
        <v>22.25</v>
      </c>
      <c r="AI479" s="56" t="str">
        <f t="shared" si="81"/>
        <v>Same</v>
      </c>
      <c r="AJ479" s="81">
        <f t="shared" si="85"/>
        <v>400.5</v>
      </c>
      <c r="AK479" s="81">
        <f t="shared" si="86"/>
        <v>400.5</v>
      </c>
      <c r="AL479" s="58" t="s">
        <v>7206</v>
      </c>
      <c r="AM479" s="58" t="s">
        <v>6708</v>
      </c>
      <c r="AN479" s="75">
        <v>7</v>
      </c>
      <c r="AO479" s="88">
        <v>22.25</v>
      </c>
      <c r="AP479" s="6" t="str">
        <f t="shared" si="82"/>
        <v>Same</v>
      </c>
      <c r="AQ479" s="81">
        <f t="shared" si="83"/>
        <v>155.75</v>
      </c>
      <c r="AR479" s="81">
        <f t="shared" si="84"/>
        <v>155.75</v>
      </c>
      <c r="AS479" s="81">
        <f t="shared" si="87"/>
        <v>0</v>
      </c>
    </row>
    <row r="480" spans="1:45" hidden="1" x14ac:dyDescent="0.3">
      <c r="A480">
        <v>6399759</v>
      </c>
      <c r="B480" s="15" t="s">
        <v>5816</v>
      </c>
      <c r="C480" s="16" t="s">
        <v>30</v>
      </c>
      <c r="D480" s="6" t="s">
        <v>31</v>
      </c>
      <c r="E480" t="s">
        <v>1192</v>
      </c>
      <c r="F480" t="s">
        <v>1192</v>
      </c>
      <c r="H480" s="11" t="s">
        <v>27</v>
      </c>
      <c r="I480" s="6" t="s">
        <v>28</v>
      </c>
      <c r="J480" s="6" t="s">
        <v>28</v>
      </c>
      <c r="K480" t="s">
        <v>32</v>
      </c>
      <c r="L480" s="35">
        <v>3.55</v>
      </c>
      <c r="M480" s="6" t="s">
        <v>29</v>
      </c>
      <c r="N480" s="6">
        <v>3105</v>
      </c>
      <c r="P480" s="18"/>
      <c r="Q480" s="17"/>
      <c r="R480" s="19">
        <v>0</v>
      </c>
      <c r="S480" s="19">
        <v>0</v>
      </c>
      <c r="T480" s="38">
        <v>18</v>
      </c>
      <c r="U480" s="38"/>
      <c r="V480" s="31">
        <v>3.55</v>
      </c>
      <c r="W480" s="35">
        <v>3.55</v>
      </c>
      <c r="X480" s="32">
        <f t="shared" si="77"/>
        <v>63.9</v>
      </c>
      <c r="Y480" s="32">
        <f t="shared" si="78"/>
        <v>63.9</v>
      </c>
      <c r="Z480" s="32">
        <f t="shared" si="79"/>
        <v>0</v>
      </c>
      <c r="AA480" s="38">
        <v>18</v>
      </c>
      <c r="AB480" s="37">
        <f>IFERROR(VLOOKUP(A480,'Tash Lookup'!A:E,3,FALSE),"")</f>
        <v>63.28</v>
      </c>
      <c r="AC480" s="6">
        <f t="shared" si="80"/>
        <v>0</v>
      </c>
      <c r="AD480" s="2" t="s">
        <v>6703</v>
      </c>
      <c r="AF480" s="56">
        <v>3.55</v>
      </c>
      <c r="AG480" s="56">
        <f>VLOOKUP(A480,Sheet1!$A$2:$C$1140,3,FALSE)</f>
        <v>3.62</v>
      </c>
      <c r="AH480" s="58">
        <v>3.62</v>
      </c>
      <c r="AI480" s="56" t="str">
        <f t="shared" si="81"/>
        <v>Increase</v>
      </c>
      <c r="AJ480" s="81">
        <f t="shared" si="85"/>
        <v>63.9</v>
      </c>
      <c r="AK480" s="81">
        <f t="shared" si="86"/>
        <v>65.16</v>
      </c>
      <c r="AL480" s="58" t="s">
        <v>7206</v>
      </c>
      <c r="AM480" s="58" t="s">
        <v>6703</v>
      </c>
      <c r="AN480" s="75">
        <v>9</v>
      </c>
      <c r="AO480" s="88">
        <v>3.62</v>
      </c>
      <c r="AP480" s="6" t="str">
        <f t="shared" si="82"/>
        <v>Increase</v>
      </c>
      <c r="AQ480" s="81">
        <f t="shared" si="83"/>
        <v>31.95</v>
      </c>
      <c r="AR480" s="81">
        <f t="shared" si="84"/>
        <v>32.58</v>
      </c>
      <c r="AS480" s="82">
        <f t="shared" si="87"/>
        <v>0.62999999999999901</v>
      </c>
    </row>
    <row r="481" spans="1:45" hidden="1" x14ac:dyDescent="0.3">
      <c r="A481">
        <v>5222319</v>
      </c>
      <c r="B481" s="15" t="s">
        <v>5817</v>
      </c>
      <c r="C481" s="16" t="s">
        <v>30</v>
      </c>
      <c r="D481" s="6" t="s">
        <v>31</v>
      </c>
      <c r="E481" t="s">
        <v>650</v>
      </c>
      <c r="F481" t="s">
        <v>650</v>
      </c>
      <c r="H481" s="11" t="s">
        <v>27</v>
      </c>
      <c r="I481" s="6" t="s">
        <v>28</v>
      </c>
      <c r="J481" s="6" t="s">
        <v>28</v>
      </c>
      <c r="K481" t="s">
        <v>32</v>
      </c>
      <c r="L481" s="35">
        <v>35.9</v>
      </c>
      <c r="M481" s="6" t="s">
        <v>29</v>
      </c>
      <c r="N481" s="6">
        <v>3105</v>
      </c>
      <c r="P481" s="18"/>
      <c r="Q481" s="17"/>
      <c r="R481" s="19">
        <v>35.9</v>
      </c>
      <c r="S481" s="19">
        <v>35.9</v>
      </c>
      <c r="T481" s="38">
        <v>18</v>
      </c>
      <c r="U481" s="38"/>
      <c r="V481" s="30">
        <v>35.9</v>
      </c>
      <c r="W481" s="35">
        <v>35.9</v>
      </c>
      <c r="X481" s="32">
        <f t="shared" si="77"/>
        <v>646.19999999999993</v>
      </c>
      <c r="Y481" s="32">
        <f t="shared" si="78"/>
        <v>646.19999999999993</v>
      </c>
      <c r="Z481" s="32">
        <f t="shared" si="79"/>
        <v>0</v>
      </c>
      <c r="AA481" s="38">
        <v>18</v>
      </c>
      <c r="AB481" s="37">
        <f>IFERROR(VLOOKUP(A481,'Tash Lookup'!A:E,3,FALSE),"")</f>
        <v>646.17999999999995</v>
      </c>
      <c r="AC481" s="6">
        <f t="shared" si="80"/>
        <v>0</v>
      </c>
      <c r="AD481" s="2" t="s">
        <v>6703</v>
      </c>
      <c r="AF481" s="56">
        <v>37.33</v>
      </c>
      <c r="AG481" s="56">
        <f>VLOOKUP(A481,Sheet1!$A$2:$C$1140,3,FALSE)</f>
        <v>37.33</v>
      </c>
      <c r="AH481" s="58">
        <v>37.33</v>
      </c>
      <c r="AI481" s="56" t="str">
        <f t="shared" si="81"/>
        <v>Same</v>
      </c>
      <c r="AJ481" s="81">
        <f t="shared" si="85"/>
        <v>671.93999999999994</v>
      </c>
      <c r="AK481" s="81">
        <f t="shared" si="86"/>
        <v>671.93999999999994</v>
      </c>
      <c r="AL481" s="58" t="s">
        <v>7206</v>
      </c>
      <c r="AM481" s="58" t="s">
        <v>6703</v>
      </c>
      <c r="AN481" s="75">
        <v>11</v>
      </c>
      <c r="AO481" s="88">
        <v>37.33</v>
      </c>
      <c r="AP481" s="6" t="str">
        <f t="shared" si="82"/>
        <v>Same</v>
      </c>
      <c r="AQ481" s="81">
        <f t="shared" si="83"/>
        <v>410.63</v>
      </c>
      <c r="AR481" s="81">
        <f t="shared" si="84"/>
        <v>410.63</v>
      </c>
      <c r="AS481" s="81">
        <f t="shared" si="87"/>
        <v>0</v>
      </c>
    </row>
    <row r="482" spans="1:45" hidden="1" x14ac:dyDescent="0.3">
      <c r="A482">
        <v>5090885</v>
      </c>
      <c r="B482" s="15" t="s">
        <v>5818</v>
      </c>
      <c r="C482" s="16" t="s">
        <v>30</v>
      </c>
      <c r="D482" s="6" t="s">
        <v>31</v>
      </c>
      <c r="E482" t="s">
        <v>432</v>
      </c>
      <c r="F482" t="s">
        <v>432</v>
      </c>
      <c r="H482" s="11" t="s">
        <v>27</v>
      </c>
      <c r="I482" s="6" t="s">
        <v>28</v>
      </c>
      <c r="J482" s="6" t="s">
        <v>28</v>
      </c>
      <c r="K482" t="s">
        <v>32</v>
      </c>
      <c r="L482" s="35">
        <v>83.49</v>
      </c>
      <c r="M482" s="6" t="s">
        <v>29</v>
      </c>
      <c r="N482" s="6">
        <v>3105</v>
      </c>
      <c r="P482" s="18"/>
      <c r="Q482" s="17"/>
      <c r="R482" s="19">
        <v>83.48</v>
      </c>
      <c r="S482" s="19">
        <v>83.48</v>
      </c>
      <c r="T482" s="38">
        <v>18</v>
      </c>
      <c r="U482" s="38"/>
      <c r="V482" s="29">
        <v>83.48</v>
      </c>
      <c r="W482" s="45">
        <v>4.03</v>
      </c>
      <c r="X482" s="32">
        <f t="shared" si="77"/>
        <v>1502.64</v>
      </c>
      <c r="Y482" s="32">
        <f t="shared" si="78"/>
        <v>1502.82</v>
      </c>
      <c r="Z482" s="32">
        <f t="shared" si="79"/>
        <v>-0.17999999999983629</v>
      </c>
      <c r="AA482" s="38">
        <v>18</v>
      </c>
      <c r="AB482" s="37">
        <f>IFERROR(VLOOKUP(A482,'Tash Lookup'!A:E,3,FALSE),"")</f>
        <v>1502.73</v>
      </c>
      <c r="AC482" s="6">
        <f t="shared" si="80"/>
        <v>0</v>
      </c>
      <c r="AD482" s="2" t="s">
        <v>6703</v>
      </c>
      <c r="AF482" s="56">
        <v>89.37</v>
      </c>
      <c r="AG482" s="56">
        <f>VLOOKUP(A482,Sheet1!$A$2:$C$1140,3,FALSE)</f>
        <v>92.05</v>
      </c>
      <c r="AH482" s="58">
        <v>92.05</v>
      </c>
      <c r="AI482" s="56" t="str">
        <f t="shared" si="81"/>
        <v>Increase</v>
      </c>
      <c r="AJ482" s="81">
        <f t="shared" si="85"/>
        <v>1608.66</v>
      </c>
      <c r="AK482" s="81">
        <f t="shared" si="86"/>
        <v>1656.8999999999999</v>
      </c>
      <c r="AL482" s="58" t="s">
        <v>32</v>
      </c>
      <c r="AM482" s="58" t="s">
        <v>6703</v>
      </c>
      <c r="AN482" s="75">
        <v>6</v>
      </c>
      <c r="AO482" s="88">
        <v>92.05</v>
      </c>
      <c r="AP482" s="6" t="str">
        <f t="shared" si="82"/>
        <v>Increase</v>
      </c>
      <c r="AQ482" s="81">
        <f t="shared" si="83"/>
        <v>536.22</v>
      </c>
      <c r="AR482" s="81">
        <f t="shared" si="84"/>
        <v>552.29999999999995</v>
      </c>
      <c r="AS482" s="82">
        <f t="shared" si="87"/>
        <v>16.079999999999927</v>
      </c>
    </row>
    <row r="483" spans="1:45" hidden="1" x14ac:dyDescent="0.3">
      <c r="A483">
        <v>5218617</v>
      </c>
      <c r="B483" s="15" t="s">
        <v>5819</v>
      </c>
      <c r="C483" s="16" t="s">
        <v>30</v>
      </c>
      <c r="D483" s="6" t="s">
        <v>31</v>
      </c>
      <c r="E483" t="s">
        <v>255</v>
      </c>
      <c r="F483" t="s">
        <v>255</v>
      </c>
      <c r="H483" s="11" t="s">
        <v>27</v>
      </c>
      <c r="I483" s="6" t="s">
        <v>28</v>
      </c>
      <c r="J483" s="6" t="s">
        <v>28</v>
      </c>
      <c r="K483" t="s">
        <v>32</v>
      </c>
      <c r="L483" s="35">
        <v>7.8</v>
      </c>
      <c r="M483" s="6" t="s">
        <v>29</v>
      </c>
      <c r="N483" s="6">
        <v>3105</v>
      </c>
      <c r="P483" s="18"/>
      <c r="Q483" s="17"/>
      <c r="R483" s="19">
        <v>7.8</v>
      </c>
      <c r="S483" s="19">
        <v>7.8</v>
      </c>
      <c r="T483" s="38">
        <v>18</v>
      </c>
      <c r="U483" s="38"/>
      <c r="V483" s="29">
        <v>7.8</v>
      </c>
      <c r="W483" s="35">
        <v>6.4</v>
      </c>
      <c r="X483" s="32">
        <f t="shared" si="77"/>
        <v>140.4</v>
      </c>
      <c r="Y483" s="32">
        <f t="shared" si="78"/>
        <v>140.4</v>
      </c>
      <c r="Z483" s="32">
        <f t="shared" si="79"/>
        <v>0</v>
      </c>
      <c r="AA483" s="38">
        <v>18</v>
      </c>
      <c r="AB483" s="37">
        <f>IFERROR(VLOOKUP(A483,'Tash Lookup'!A:E,3,FALSE),"")</f>
        <v>109.41</v>
      </c>
      <c r="AC483" s="6">
        <f t="shared" si="80"/>
        <v>0</v>
      </c>
      <c r="AD483" s="2" t="s">
        <v>6703</v>
      </c>
      <c r="AF483" s="56">
        <v>8.33</v>
      </c>
      <c r="AG483" s="56">
        <f>VLOOKUP(A483,Sheet1!$A$2:$C$1140,3,FALSE)</f>
        <v>8.59</v>
      </c>
      <c r="AH483" s="58">
        <v>8.59</v>
      </c>
      <c r="AI483" s="56" t="str">
        <f t="shared" si="81"/>
        <v>Increase</v>
      </c>
      <c r="AJ483" s="81">
        <f t="shared" si="85"/>
        <v>149.94</v>
      </c>
      <c r="AK483" s="81">
        <f t="shared" si="86"/>
        <v>154.62</v>
      </c>
      <c r="AL483" s="58" t="s">
        <v>32</v>
      </c>
      <c r="AM483" s="58" t="s">
        <v>6703</v>
      </c>
      <c r="AN483" s="75">
        <v>1</v>
      </c>
      <c r="AO483" s="88">
        <v>8.59</v>
      </c>
      <c r="AP483" s="6" t="str">
        <f t="shared" si="82"/>
        <v>Increase</v>
      </c>
      <c r="AQ483" s="81">
        <f t="shared" si="83"/>
        <v>8.33</v>
      </c>
      <c r="AR483" s="81">
        <f t="shared" si="84"/>
        <v>8.59</v>
      </c>
      <c r="AS483" s="82">
        <f t="shared" si="87"/>
        <v>0.25999999999999979</v>
      </c>
    </row>
    <row r="484" spans="1:45" hidden="1" x14ac:dyDescent="0.3">
      <c r="A484">
        <v>6103930</v>
      </c>
      <c r="B484" s="15" t="s">
        <v>5820</v>
      </c>
      <c r="C484" s="16" t="s">
        <v>30</v>
      </c>
      <c r="D484" s="6" t="s">
        <v>31</v>
      </c>
      <c r="E484" t="s">
        <v>666</v>
      </c>
      <c r="F484" t="s">
        <v>666</v>
      </c>
      <c r="H484" s="11" t="s">
        <v>27</v>
      </c>
      <c r="I484" s="6" t="s">
        <v>28</v>
      </c>
      <c r="J484" s="6" t="s">
        <v>28</v>
      </c>
      <c r="K484" t="s">
        <v>32</v>
      </c>
      <c r="L484" s="35">
        <v>6.4</v>
      </c>
      <c r="M484" s="6" t="s">
        <v>29</v>
      </c>
      <c r="N484" s="6">
        <v>3105</v>
      </c>
      <c r="P484" s="18"/>
      <c r="Q484" s="17"/>
      <c r="R484" s="19">
        <v>6.4</v>
      </c>
      <c r="S484" s="19">
        <v>6.4</v>
      </c>
      <c r="T484" s="38">
        <v>18</v>
      </c>
      <c r="U484" s="38"/>
      <c r="V484" s="30">
        <v>6.4</v>
      </c>
      <c r="W484" s="35">
        <v>27.09</v>
      </c>
      <c r="X484" s="32">
        <f t="shared" si="77"/>
        <v>115.2</v>
      </c>
      <c r="Y484" s="32">
        <f t="shared" si="78"/>
        <v>115.2</v>
      </c>
      <c r="Z484" s="32">
        <f t="shared" si="79"/>
        <v>0</v>
      </c>
      <c r="AA484" s="38">
        <v>18</v>
      </c>
      <c r="AB484" s="37">
        <f>IFERROR(VLOOKUP(A484,'Tash Lookup'!A:E,3,FALSE),"")</f>
        <v>114.65</v>
      </c>
      <c r="AC484" s="6">
        <f t="shared" si="80"/>
        <v>0</v>
      </c>
      <c r="AD484" s="2" t="s">
        <v>6703</v>
      </c>
      <c r="AF484" s="56">
        <v>6.4</v>
      </c>
      <c r="AG484" s="56">
        <f>VLOOKUP(A484,Sheet1!$A$2:$C$1140,3,FALSE)</f>
        <v>6.53</v>
      </c>
      <c r="AH484" s="58">
        <v>6.53</v>
      </c>
      <c r="AI484" s="56" t="str">
        <f t="shared" si="81"/>
        <v>Increase</v>
      </c>
      <c r="AJ484" s="81">
        <f t="shared" si="85"/>
        <v>115.2</v>
      </c>
      <c r="AK484" s="81">
        <f t="shared" si="86"/>
        <v>117.54</v>
      </c>
      <c r="AL484" s="58" t="s">
        <v>7206</v>
      </c>
      <c r="AM484" s="58" t="s">
        <v>6703</v>
      </c>
      <c r="AN484" s="75">
        <v>11</v>
      </c>
      <c r="AO484" s="88">
        <v>6.53</v>
      </c>
      <c r="AP484" s="6" t="str">
        <f t="shared" si="82"/>
        <v>Increase</v>
      </c>
      <c r="AQ484" s="81">
        <f t="shared" si="83"/>
        <v>70.400000000000006</v>
      </c>
      <c r="AR484" s="81">
        <f t="shared" si="84"/>
        <v>71.83</v>
      </c>
      <c r="AS484" s="82">
        <f t="shared" si="87"/>
        <v>1.4299999999999926</v>
      </c>
    </row>
    <row r="485" spans="1:45" hidden="1" x14ac:dyDescent="0.3">
      <c r="A485">
        <v>5241252</v>
      </c>
      <c r="B485" s="15" t="s">
        <v>5821</v>
      </c>
      <c r="C485" s="16" t="s">
        <v>30</v>
      </c>
      <c r="D485" s="6" t="s">
        <v>31</v>
      </c>
      <c r="E485" t="s">
        <v>508</v>
      </c>
      <c r="F485" t="s">
        <v>508</v>
      </c>
      <c r="H485" s="11" t="s">
        <v>27</v>
      </c>
      <c r="I485" s="6" t="s">
        <v>28</v>
      </c>
      <c r="J485" s="6" t="s">
        <v>28</v>
      </c>
      <c r="K485" t="s">
        <v>32</v>
      </c>
      <c r="L485" s="35">
        <v>27.09</v>
      </c>
      <c r="M485" s="6" t="s">
        <v>29</v>
      </c>
      <c r="N485" s="6">
        <v>3105</v>
      </c>
      <c r="P485" s="18"/>
      <c r="Q485" s="17"/>
      <c r="R485" s="19">
        <v>27.09</v>
      </c>
      <c r="S485" s="19">
        <v>27.09</v>
      </c>
      <c r="T485" s="38">
        <v>18</v>
      </c>
      <c r="U485" s="38"/>
      <c r="V485" s="29">
        <v>27.09</v>
      </c>
      <c r="W485" s="35">
        <v>83.49</v>
      </c>
      <c r="X485" s="32">
        <f t="shared" si="77"/>
        <v>487.62</v>
      </c>
      <c r="Y485" s="32">
        <f t="shared" si="78"/>
        <v>487.62</v>
      </c>
      <c r="Z485" s="32">
        <f t="shared" si="79"/>
        <v>0</v>
      </c>
      <c r="AA485" s="38">
        <v>18</v>
      </c>
      <c r="AB485" s="37">
        <f>IFERROR(VLOOKUP(A485,'Tash Lookup'!A:E,3,FALSE),"")</f>
        <v>508.51</v>
      </c>
      <c r="AC485" s="6">
        <f t="shared" si="80"/>
        <v>0</v>
      </c>
      <c r="AD485" s="2" t="s">
        <v>6703</v>
      </c>
      <c r="AF485" s="56">
        <v>27.11</v>
      </c>
      <c r="AG485" s="56">
        <f>VLOOKUP(A485,Sheet1!$A$2:$C$1140,3,FALSE)</f>
        <v>27.92</v>
      </c>
      <c r="AH485" s="58">
        <v>27.92</v>
      </c>
      <c r="AI485" s="56" t="str">
        <f t="shared" si="81"/>
        <v>Increase</v>
      </c>
      <c r="AJ485" s="81">
        <f t="shared" si="85"/>
        <v>487.98</v>
      </c>
      <c r="AK485" s="81">
        <f t="shared" si="86"/>
        <v>502.56000000000006</v>
      </c>
      <c r="AL485" s="58" t="s">
        <v>32</v>
      </c>
      <c r="AM485" s="58" t="s">
        <v>6703</v>
      </c>
      <c r="AN485" s="75">
        <v>10</v>
      </c>
      <c r="AO485" s="88">
        <v>27.92</v>
      </c>
      <c r="AP485" s="6" t="str">
        <f t="shared" si="82"/>
        <v>Increase</v>
      </c>
      <c r="AQ485" s="81">
        <f t="shared" si="83"/>
        <v>271.10000000000002</v>
      </c>
      <c r="AR485" s="81">
        <f t="shared" si="84"/>
        <v>279.20000000000005</v>
      </c>
      <c r="AS485" s="82">
        <f t="shared" si="87"/>
        <v>8.1000000000000227</v>
      </c>
    </row>
    <row r="486" spans="1:45" hidden="1" x14ac:dyDescent="0.3">
      <c r="A486">
        <v>5082319</v>
      </c>
      <c r="B486" s="15" t="s">
        <v>5822</v>
      </c>
      <c r="C486" s="16" t="s">
        <v>30</v>
      </c>
      <c r="D486" s="6" t="s">
        <v>31</v>
      </c>
      <c r="E486" t="s">
        <v>50</v>
      </c>
      <c r="F486" t="s">
        <v>50</v>
      </c>
      <c r="H486" s="11" t="s">
        <v>27</v>
      </c>
      <c r="I486" s="6" t="s">
        <v>28</v>
      </c>
      <c r="J486" s="6" t="s">
        <v>28</v>
      </c>
      <c r="K486" t="s">
        <v>32</v>
      </c>
      <c r="L486" s="35">
        <v>19.07</v>
      </c>
      <c r="M486" s="6" t="s">
        <v>29</v>
      </c>
      <c r="N486" s="6">
        <v>3105</v>
      </c>
      <c r="P486" s="18"/>
      <c r="Q486" s="17"/>
      <c r="R486" s="19">
        <v>19.07</v>
      </c>
      <c r="S486" s="19">
        <v>19.07</v>
      </c>
      <c r="T486" s="38">
        <v>18</v>
      </c>
      <c r="U486" s="38"/>
      <c r="V486" s="29">
        <v>15.665499999999998</v>
      </c>
      <c r="W486" s="35">
        <v>11.65</v>
      </c>
      <c r="X486" s="32">
        <f t="shared" si="77"/>
        <v>281.97899999999998</v>
      </c>
      <c r="Y486" s="32">
        <f t="shared" si="78"/>
        <v>343.26</v>
      </c>
      <c r="Z486" s="32">
        <f t="shared" si="79"/>
        <v>-61.281000000000006</v>
      </c>
      <c r="AA486" s="38">
        <v>18</v>
      </c>
      <c r="AB486" s="37">
        <f>IFERROR(VLOOKUP(A486,'Tash Lookup'!A:E,3,FALSE),"")</f>
        <v>340.68</v>
      </c>
      <c r="AC486" s="6">
        <f t="shared" si="80"/>
        <v>0</v>
      </c>
      <c r="AD486" s="2" t="s">
        <v>6703</v>
      </c>
      <c r="AF486" s="56">
        <v>16.010000000000002</v>
      </c>
      <c r="AG486" s="56">
        <f>VLOOKUP(A486,Sheet1!$A$2:$C$1140,3,FALSE)</f>
        <v>16.010000000000002</v>
      </c>
      <c r="AH486" s="58">
        <v>16.010000000000002</v>
      </c>
      <c r="AI486" s="56" t="str">
        <f t="shared" si="81"/>
        <v>Same</v>
      </c>
      <c r="AJ486" s="81">
        <f t="shared" si="85"/>
        <v>288.18</v>
      </c>
      <c r="AK486" s="81">
        <f t="shared" si="86"/>
        <v>288.18</v>
      </c>
      <c r="AL486" s="58" t="s">
        <v>32</v>
      </c>
      <c r="AM486" s="58" t="s">
        <v>6703</v>
      </c>
      <c r="AN486" s="75">
        <v>107</v>
      </c>
      <c r="AO486" s="88">
        <v>16.010000000000002</v>
      </c>
      <c r="AP486" s="6" t="str">
        <f t="shared" si="82"/>
        <v>Same</v>
      </c>
      <c r="AQ486" s="81">
        <f t="shared" si="83"/>
        <v>1713.0700000000002</v>
      </c>
      <c r="AR486" s="81">
        <f t="shared" si="84"/>
        <v>1713.0700000000002</v>
      </c>
      <c r="AS486" s="81">
        <f t="shared" si="87"/>
        <v>0</v>
      </c>
    </row>
    <row r="487" spans="1:45" hidden="1" x14ac:dyDescent="0.3">
      <c r="A487">
        <v>5090807</v>
      </c>
      <c r="B487" s="15" t="s">
        <v>5823</v>
      </c>
      <c r="C487" s="16" t="s">
        <v>30</v>
      </c>
      <c r="D487" s="6" t="s">
        <v>31</v>
      </c>
      <c r="E487" t="s">
        <v>52</v>
      </c>
      <c r="F487" t="s">
        <v>52</v>
      </c>
      <c r="H487" s="11" t="s">
        <v>27</v>
      </c>
      <c r="I487" s="6" t="s">
        <v>28</v>
      </c>
      <c r="J487" s="6" t="s">
        <v>28</v>
      </c>
      <c r="K487" t="s">
        <v>32</v>
      </c>
      <c r="L487" s="35">
        <v>11.65</v>
      </c>
      <c r="M487" s="6" t="s">
        <v>29</v>
      </c>
      <c r="N487" s="6">
        <v>3105</v>
      </c>
      <c r="P487" s="18"/>
      <c r="Q487" s="17"/>
      <c r="R487" s="19">
        <v>11.65</v>
      </c>
      <c r="S487" s="19">
        <v>11.65</v>
      </c>
      <c r="T487" s="38">
        <v>18</v>
      </c>
      <c r="U487" s="38"/>
      <c r="V487" s="29">
        <v>9.613999999999999</v>
      </c>
      <c r="W487" s="35">
        <v>19.07</v>
      </c>
      <c r="X487" s="32">
        <f t="shared" si="77"/>
        <v>173.05199999999999</v>
      </c>
      <c r="Y487" s="32">
        <f t="shared" si="78"/>
        <v>209.70000000000002</v>
      </c>
      <c r="Z487" s="32">
        <f t="shared" si="79"/>
        <v>-36.648000000000025</v>
      </c>
      <c r="AA487" s="38">
        <v>18</v>
      </c>
      <c r="AB487" s="37">
        <f>IFERROR(VLOOKUP(A487,'Tash Lookup'!A:E,3,FALSE),"")</f>
        <v>200.52</v>
      </c>
      <c r="AC487" s="6">
        <f t="shared" si="80"/>
        <v>0</v>
      </c>
      <c r="AD487" s="2" t="s">
        <v>6703</v>
      </c>
      <c r="AF487" s="56">
        <v>10.62</v>
      </c>
      <c r="AG487" s="56">
        <f>VLOOKUP(A487,Sheet1!$A$2:$C$1140,3,FALSE)</f>
        <v>10.62</v>
      </c>
      <c r="AH487" s="58">
        <v>10.62</v>
      </c>
      <c r="AI487" s="56" t="str">
        <f t="shared" si="81"/>
        <v>Same</v>
      </c>
      <c r="AJ487" s="81">
        <f t="shared" si="85"/>
        <v>191.16</v>
      </c>
      <c r="AK487" s="81">
        <f t="shared" si="86"/>
        <v>191.16</v>
      </c>
      <c r="AL487" s="58" t="s">
        <v>32</v>
      </c>
      <c r="AM487" s="58" t="s">
        <v>6703</v>
      </c>
      <c r="AN487" s="75">
        <v>15</v>
      </c>
      <c r="AO487" s="88">
        <v>10.62</v>
      </c>
      <c r="AP487" s="6" t="str">
        <f t="shared" si="82"/>
        <v>Same</v>
      </c>
      <c r="AQ487" s="81">
        <f t="shared" si="83"/>
        <v>159.29999999999998</v>
      </c>
      <c r="AR487" s="81">
        <f t="shared" si="84"/>
        <v>159.29999999999998</v>
      </c>
      <c r="AS487" s="81">
        <f t="shared" si="87"/>
        <v>0</v>
      </c>
    </row>
    <row r="488" spans="1:45" hidden="1" x14ac:dyDescent="0.3">
      <c r="A488">
        <v>5218691</v>
      </c>
      <c r="B488" s="15" t="s">
        <v>5824</v>
      </c>
      <c r="C488" s="16" t="s">
        <v>30</v>
      </c>
      <c r="D488" s="6" t="s">
        <v>31</v>
      </c>
      <c r="E488" t="s">
        <v>297</v>
      </c>
      <c r="F488" t="s">
        <v>297</v>
      </c>
      <c r="H488" s="11" t="s">
        <v>27</v>
      </c>
      <c r="I488" s="6" t="s">
        <v>28</v>
      </c>
      <c r="J488" s="6" t="s">
        <v>28</v>
      </c>
      <c r="K488" t="s">
        <v>32</v>
      </c>
      <c r="L488" s="35">
        <v>33.130000000000003</v>
      </c>
      <c r="M488" s="6" t="s">
        <v>29</v>
      </c>
      <c r="N488" s="6">
        <v>3105</v>
      </c>
      <c r="P488" s="18"/>
      <c r="Q488" s="17"/>
      <c r="R488" s="19">
        <v>33.130000000000003</v>
      </c>
      <c r="S488" s="19">
        <v>33.130000000000003</v>
      </c>
      <c r="T488" s="38">
        <v>17</v>
      </c>
      <c r="U488" s="38"/>
      <c r="V488" s="29">
        <v>33.130000000000003</v>
      </c>
      <c r="W488" s="45">
        <v>23.31</v>
      </c>
      <c r="X488" s="32">
        <f t="shared" si="77"/>
        <v>563.21</v>
      </c>
      <c r="Y488" s="32">
        <f t="shared" si="78"/>
        <v>563.21</v>
      </c>
      <c r="Z488" s="32">
        <f t="shared" si="79"/>
        <v>0</v>
      </c>
      <c r="AA488" s="38">
        <v>17</v>
      </c>
      <c r="AB488" s="37">
        <f>IFERROR(VLOOKUP(A488,'Tash Lookup'!A:E,3,FALSE),"")</f>
        <v>424.34</v>
      </c>
      <c r="AC488" s="6">
        <f t="shared" si="80"/>
        <v>0</v>
      </c>
      <c r="AD488" s="2" t="s">
        <v>6703</v>
      </c>
      <c r="AF488" s="56">
        <v>33.85</v>
      </c>
      <c r="AG488" s="56">
        <f>VLOOKUP(A488,Sheet1!$A$2:$C$1140,3,FALSE)</f>
        <v>34.86</v>
      </c>
      <c r="AH488" s="58">
        <v>34.86</v>
      </c>
      <c r="AI488" s="56" t="str">
        <f t="shared" si="81"/>
        <v>Increase</v>
      </c>
      <c r="AJ488" s="81">
        <f t="shared" si="85"/>
        <v>575.45000000000005</v>
      </c>
      <c r="AK488" s="81">
        <f t="shared" si="86"/>
        <v>592.62</v>
      </c>
      <c r="AL488" s="58" t="s">
        <v>32</v>
      </c>
      <c r="AM488" s="58" t="s">
        <v>6703</v>
      </c>
      <c r="AN488" s="75">
        <v>7</v>
      </c>
      <c r="AO488" s="88">
        <v>34.86</v>
      </c>
      <c r="AP488" s="6" t="str">
        <f t="shared" si="82"/>
        <v>Increase</v>
      </c>
      <c r="AQ488" s="81">
        <f t="shared" si="83"/>
        <v>236.95000000000002</v>
      </c>
      <c r="AR488" s="81">
        <f t="shared" si="84"/>
        <v>244.01999999999998</v>
      </c>
      <c r="AS488" s="82">
        <f t="shared" si="87"/>
        <v>7.0699999999999648</v>
      </c>
    </row>
    <row r="489" spans="1:45" hidden="1" x14ac:dyDescent="0.3">
      <c r="A489">
        <v>6317438</v>
      </c>
      <c r="B489" s="15" t="s">
        <v>5825</v>
      </c>
      <c r="C489" s="16" t="s">
        <v>30</v>
      </c>
      <c r="D489" s="6" t="s">
        <v>31</v>
      </c>
      <c r="E489" t="s">
        <v>2960</v>
      </c>
      <c r="F489" t="s">
        <v>2960</v>
      </c>
      <c r="H489" s="11" t="s">
        <v>27</v>
      </c>
      <c r="I489" s="6" t="s">
        <v>28</v>
      </c>
      <c r="J489" s="6" t="s">
        <v>28</v>
      </c>
      <c r="K489" t="s">
        <v>32</v>
      </c>
      <c r="L489" s="35">
        <v>4.6100000000000003</v>
      </c>
      <c r="M489" s="6" t="s">
        <v>29</v>
      </c>
      <c r="N489" s="6">
        <v>3105</v>
      </c>
      <c r="P489" s="18"/>
      <c r="Q489" s="17"/>
      <c r="R489" s="19">
        <v>4.6100000000000003</v>
      </c>
      <c r="S489" s="19">
        <v>4.6100000000000003</v>
      </c>
      <c r="T489" s="38">
        <v>17</v>
      </c>
      <c r="U489" s="38"/>
      <c r="V489" s="30">
        <v>4.6100000000000003</v>
      </c>
      <c r="W489" s="35">
        <v>4.6100000000000003</v>
      </c>
      <c r="X489" s="32">
        <f t="shared" si="77"/>
        <v>78.37</v>
      </c>
      <c r="Y489" s="32">
        <f t="shared" si="78"/>
        <v>78.37</v>
      </c>
      <c r="Z489" s="32">
        <f t="shared" si="79"/>
        <v>0</v>
      </c>
      <c r="AA489" s="38">
        <v>17</v>
      </c>
      <c r="AB489" s="37">
        <f>IFERROR(VLOOKUP(A489,'Tash Lookup'!A:E,3,FALSE),"")</f>
        <v>77.41</v>
      </c>
      <c r="AC489" s="6">
        <f t="shared" si="80"/>
        <v>0</v>
      </c>
      <c r="AD489" s="2" t="s">
        <v>6703</v>
      </c>
      <c r="AF489" s="56">
        <v>4.1500000000000004</v>
      </c>
      <c r="AG489" s="56">
        <f>VLOOKUP(A489,Sheet1!$A$2:$C$1140,3,FALSE)</f>
        <v>4.2300000000000004</v>
      </c>
      <c r="AH489" s="58">
        <v>4.2300000000000004</v>
      </c>
      <c r="AI489" s="56" t="str">
        <f t="shared" si="81"/>
        <v>Increase</v>
      </c>
      <c r="AJ489" s="81">
        <f t="shared" si="85"/>
        <v>70.550000000000011</v>
      </c>
      <c r="AK489" s="81">
        <f t="shared" si="86"/>
        <v>71.910000000000011</v>
      </c>
      <c r="AL489" s="58" t="s">
        <v>7206</v>
      </c>
      <c r="AM489" s="58" t="s">
        <v>6703</v>
      </c>
      <c r="AN489" s="75">
        <v>7</v>
      </c>
      <c r="AO489" s="88">
        <v>4.2300000000000004</v>
      </c>
      <c r="AP489" s="6" t="str">
        <f t="shared" si="82"/>
        <v>Increase</v>
      </c>
      <c r="AQ489" s="81">
        <f t="shared" si="83"/>
        <v>29.050000000000004</v>
      </c>
      <c r="AR489" s="81">
        <f t="shared" si="84"/>
        <v>29.610000000000003</v>
      </c>
      <c r="AS489" s="82">
        <f t="shared" si="87"/>
        <v>0.55999999999999872</v>
      </c>
    </row>
    <row r="490" spans="1:45" hidden="1" x14ac:dyDescent="0.3">
      <c r="A490">
        <v>6386665</v>
      </c>
      <c r="B490" s="15" t="s">
        <v>5826</v>
      </c>
      <c r="C490" s="16" t="s">
        <v>30</v>
      </c>
      <c r="D490" s="6" t="s">
        <v>31</v>
      </c>
      <c r="E490" t="s">
        <v>632</v>
      </c>
      <c r="F490" t="s">
        <v>632</v>
      </c>
      <c r="H490" s="11" t="s">
        <v>27</v>
      </c>
      <c r="I490" s="6" t="s">
        <v>28</v>
      </c>
      <c r="J490" s="6" t="s">
        <v>28</v>
      </c>
      <c r="K490" t="s">
        <v>32</v>
      </c>
      <c r="L490" s="35">
        <v>43.05</v>
      </c>
      <c r="M490" s="6" t="s">
        <v>29</v>
      </c>
      <c r="N490" s="6">
        <v>3105</v>
      </c>
      <c r="P490" s="18"/>
      <c r="Q490" s="17"/>
      <c r="R490" s="19">
        <v>0</v>
      </c>
      <c r="S490" s="19">
        <v>0</v>
      </c>
      <c r="T490" s="38">
        <v>17</v>
      </c>
      <c r="U490" s="38"/>
      <c r="V490" s="31">
        <v>43.05</v>
      </c>
      <c r="W490" s="35">
        <v>43.05</v>
      </c>
      <c r="X490" s="32">
        <f t="shared" si="77"/>
        <v>731.84999999999991</v>
      </c>
      <c r="Y490" s="32">
        <f t="shared" si="78"/>
        <v>731.84999999999991</v>
      </c>
      <c r="Z490" s="32">
        <f t="shared" si="79"/>
        <v>0</v>
      </c>
      <c r="AA490" s="38">
        <v>17</v>
      </c>
      <c r="AB490" s="37">
        <f>IFERROR(VLOOKUP(A490,'Tash Lookup'!A:E,3,FALSE),"")</f>
        <v>726.4</v>
      </c>
      <c r="AC490" s="6">
        <f t="shared" si="80"/>
        <v>0</v>
      </c>
      <c r="AD490" s="2" t="s">
        <v>6703</v>
      </c>
      <c r="AF490" s="56">
        <v>43.05</v>
      </c>
      <c r="AG490" s="56">
        <f>VLOOKUP(A490,Sheet1!$A$2:$C$1140,3,FALSE)</f>
        <v>43.05</v>
      </c>
      <c r="AH490" s="58">
        <v>43.05</v>
      </c>
      <c r="AI490" s="56" t="str">
        <f t="shared" si="81"/>
        <v>Same</v>
      </c>
      <c r="AJ490" s="81">
        <f t="shared" si="85"/>
        <v>731.84999999999991</v>
      </c>
      <c r="AK490" s="81">
        <f t="shared" si="86"/>
        <v>731.84999999999991</v>
      </c>
      <c r="AL490" s="58" t="s">
        <v>7206</v>
      </c>
      <c r="AM490" s="58" t="s">
        <v>6703</v>
      </c>
      <c r="AN490" s="75">
        <v>18</v>
      </c>
      <c r="AO490" s="88">
        <v>43.05</v>
      </c>
      <c r="AP490" s="6" t="str">
        <f t="shared" si="82"/>
        <v>Same</v>
      </c>
      <c r="AQ490" s="81">
        <f t="shared" si="83"/>
        <v>774.9</v>
      </c>
      <c r="AR490" s="81">
        <f t="shared" si="84"/>
        <v>774.9</v>
      </c>
      <c r="AS490" s="81">
        <f t="shared" si="87"/>
        <v>0</v>
      </c>
    </row>
    <row r="491" spans="1:45" hidden="1" x14ac:dyDescent="0.3">
      <c r="A491">
        <v>6188976</v>
      </c>
      <c r="B491" s="15" t="s">
        <v>5827</v>
      </c>
      <c r="C491" s="16" t="s">
        <v>30</v>
      </c>
      <c r="D491" s="6" t="s">
        <v>31</v>
      </c>
      <c r="E491" t="s">
        <v>1160</v>
      </c>
      <c r="F491" t="s">
        <v>1160</v>
      </c>
      <c r="H491" s="11" t="s">
        <v>27</v>
      </c>
      <c r="I491" s="6" t="s">
        <v>28</v>
      </c>
      <c r="J491" s="6" t="s">
        <v>28</v>
      </c>
      <c r="K491" t="s">
        <v>32</v>
      </c>
      <c r="L491" s="35">
        <v>10.95</v>
      </c>
      <c r="M491" s="6" t="s">
        <v>29</v>
      </c>
      <c r="N491" s="6">
        <v>3105</v>
      </c>
      <c r="P491" s="18"/>
      <c r="Q491" s="17"/>
      <c r="R491" s="19">
        <v>10.95</v>
      </c>
      <c r="S491" s="19">
        <v>10.95</v>
      </c>
      <c r="T491" s="38">
        <v>17</v>
      </c>
      <c r="U491" s="38"/>
      <c r="V491" s="30">
        <v>10.95</v>
      </c>
      <c r="W491" s="35">
        <v>10.95</v>
      </c>
      <c r="X491" s="32">
        <f t="shared" si="77"/>
        <v>186.14999999999998</v>
      </c>
      <c r="Y491" s="32">
        <f t="shared" si="78"/>
        <v>186.14999999999998</v>
      </c>
      <c r="Z491" s="32">
        <f t="shared" si="79"/>
        <v>0</v>
      </c>
      <c r="AA491" s="38">
        <v>17</v>
      </c>
      <c r="AB491" s="37">
        <f>IFERROR(VLOOKUP(A491,'Tash Lookup'!A:E,3,FALSE),"")</f>
        <v>186.13</v>
      </c>
      <c r="AC491" s="6">
        <f t="shared" si="80"/>
        <v>0</v>
      </c>
      <c r="AD491" s="2" t="s">
        <v>6703</v>
      </c>
      <c r="AF491" s="56">
        <v>10.95</v>
      </c>
      <c r="AG491" s="56">
        <f>VLOOKUP(A491,Sheet1!$A$2:$C$1140,3,FALSE)</f>
        <v>11.17</v>
      </c>
      <c r="AH491" s="58">
        <v>11.17</v>
      </c>
      <c r="AI491" s="56" t="str">
        <f t="shared" si="81"/>
        <v>Increase</v>
      </c>
      <c r="AJ491" s="81">
        <f t="shared" si="85"/>
        <v>186.14999999999998</v>
      </c>
      <c r="AK491" s="81">
        <f t="shared" si="86"/>
        <v>189.89</v>
      </c>
      <c r="AL491" s="58" t="s">
        <v>7206</v>
      </c>
      <c r="AM491" s="58" t="s">
        <v>6703</v>
      </c>
      <c r="AN491" s="75">
        <v>11</v>
      </c>
      <c r="AO491" s="88">
        <v>11.17</v>
      </c>
      <c r="AP491" s="6" t="str">
        <f t="shared" si="82"/>
        <v>Increase</v>
      </c>
      <c r="AQ491" s="81">
        <f t="shared" si="83"/>
        <v>120.44999999999999</v>
      </c>
      <c r="AR491" s="81">
        <f t="shared" si="84"/>
        <v>122.87</v>
      </c>
      <c r="AS491" s="82">
        <f t="shared" si="87"/>
        <v>2.4200000000000159</v>
      </c>
    </row>
    <row r="492" spans="1:45" hidden="1" x14ac:dyDescent="0.3">
      <c r="A492">
        <v>6183955</v>
      </c>
      <c r="B492" s="15" t="s">
        <v>5828</v>
      </c>
      <c r="C492" s="16" t="s">
        <v>30</v>
      </c>
      <c r="D492" s="6" t="s">
        <v>31</v>
      </c>
      <c r="E492" t="s">
        <v>685</v>
      </c>
      <c r="F492" t="s">
        <v>685</v>
      </c>
      <c r="H492" s="11" t="s">
        <v>27</v>
      </c>
      <c r="I492" s="6" t="s">
        <v>28</v>
      </c>
      <c r="J492" s="6" t="s">
        <v>28</v>
      </c>
      <c r="K492" t="s">
        <v>32</v>
      </c>
      <c r="L492" s="35">
        <v>9.01</v>
      </c>
      <c r="M492" s="6" t="s">
        <v>29</v>
      </c>
      <c r="N492" s="6">
        <v>3105</v>
      </c>
      <c r="P492" s="18"/>
      <c r="Q492" s="17"/>
      <c r="R492" s="19">
        <v>9.01</v>
      </c>
      <c r="S492" s="19">
        <v>9.01</v>
      </c>
      <c r="T492" s="38">
        <v>17</v>
      </c>
      <c r="U492" s="38"/>
      <c r="V492" s="30">
        <v>9.01</v>
      </c>
      <c r="W492" s="35">
        <v>9.01</v>
      </c>
      <c r="X492" s="32">
        <f t="shared" si="77"/>
        <v>153.16999999999999</v>
      </c>
      <c r="Y492" s="32">
        <f t="shared" si="78"/>
        <v>153.16999999999999</v>
      </c>
      <c r="Z492" s="32">
        <f t="shared" si="79"/>
        <v>0</v>
      </c>
      <c r="AA492" s="38">
        <v>17</v>
      </c>
      <c r="AB492" s="37">
        <f>IFERROR(VLOOKUP(A492,'Tash Lookup'!A:E,3,FALSE),"")</f>
        <v>151.22</v>
      </c>
      <c r="AC492" s="6">
        <f t="shared" si="80"/>
        <v>0</v>
      </c>
      <c r="AD492" s="2" t="s">
        <v>6703</v>
      </c>
      <c r="AF492" s="56">
        <v>9.01</v>
      </c>
      <c r="AG492" s="56">
        <f>VLOOKUP(A492,Sheet1!$A$2:$C$1140,3,FALSE)</f>
        <v>9.19</v>
      </c>
      <c r="AH492" s="58">
        <v>9.19</v>
      </c>
      <c r="AI492" s="56" t="str">
        <f t="shared" si="81"/>
        <v>Increase</v>
      </c>
      <c r="AJ492" s="81">
        <f t="shared" si="85"/>
        <v>153.16999999999999</v>
      </c>
      <c r="AK492" s="81">
        <f t="shared" si="86"/>
        <v>156.22999999999999</v>
      </c>
      <c r="AL492" s="58" t="s">
        <v>7206</v>
      </c>
      <c r="AM492" s="58" t="s">
        <v>6703</v>
      </c>
      <c r="AN492" s="75">
        <v>4</v>
      </c>
      <c r="AO492" s="88">
        <v>9.19</v>
      </c>
      <c r="AP492" s="6" t="str">
        <f t="shared" si="82"/>
        <v>Increase</v>
      </c>
      <c r="AQ492" s="81">
        <f t="shared" si="83"/>
        <v>36.04</v>
      </c>
      <c r="AR492" s="81">
        <f t="shared" si="84"/>
        <v>36.76</v>
      </c>
      <c r="AS492" s="82">
        <f t="shared" si="87"/>
        <v>0.71999999999999886</v>
      </c>
    </row>
    <row r="493" spans="1:45" hidden="1" x14ac:dyDescent="0.3">
      <c r="A493">
        <v>5183362</v>
      </c>
      <c r="B493" s="15" t="s">
        <v>5829</v>
      </c>
      <c r="C493" s="16" t="s">
        <v>30</v>
      </c>
      <c r="D493" s="6" t="s">
        <v>31</v>
      </c>
      <c r="E493" t="s">
        <v>501</v>
      </c>
      <c r="F493" t="s">
        <v>501</v>
      </c>
      <c r="H493" s="11" t="s">
        <v>27</v>
      </c>
      <c r="I493" s="6" t="s">
        <v>28</v>
      </c>
      <c r="J493" s="6" t="s">
        <v>28</v>
      </c>
      <c r="K493" t="s">
        <v>32</v>
      </c>
      <c r="L493" s="35">
        <v>41.11</v>
      </c>
      <c r="M493" s="6" t="s">
        <v>29</v>
      </c>
      <c r="N493" s="6">
        <v>3105</v>
      </c>
      <c r="P493" s="18"/>
      <c r="Q493" s="17"/>
      <c r="R493" s="19">
        <v>41.11</v>
      </c>
      <c r="S493" s="19">
        <v>41.11</v>
      </c>
      <c r="T493" s="38">
        <v>17</v>
      </c>
      <c r="U493" s="38"/>
      <c r="V493" s="29">
        <v>41.11</v>
      </c>
      <c r="W493" s="35">
        <v>41.11</v>
      </c>
      <c r="X493" s="32">
        <f t="shared" si="77"/>
        <v>698.87</v>
      </c>
      <c r="Y493" s="32">
        <f t="shared" si="78"/>
        <v>698.87</v>
      </c>
      <c r="Z493" s="32">
        <f t="shared" si="79"/>
        <v>0</v>
      </c>
      <c r="AA493" s="38">
        <v>17</v>
      </c>
      <c r="AB493" s="37">
        <f>IFERROR(VLOOKUP(A493,'Tash Lookup'!A:E,3,FALSE),"")</f>
        <v>711.41</v>
      </c>
      <c r="AC493" s="6">
        <f t="shared" si="80"/>
        <v>0</v>
      </c>
      <c r="AD493" s="2" t="s">
        <v>6703</v>
      </c>
      <c r="AF493" s="56">
        <v>40.090000000000003</v>
      </c>
      <c r="AG493" s="56">
        <f>VLOOKUP(A493,Sheet1!$A$2:$C$1140,3,FALSE)</f>
        <v>41.29</v>
      </c>
      <c r="AH493" s="58">
        <v>41.29</v>
      </c>
      <c r="AI493" s="56" t="str">
        <f t="shared" si="81"/>
        <v>Increase</v>
      </c>
      <c r="AJ493" s="81">
        <f t="shared" si="85"/>
        <v>681.53000000000009</v>
      </c>
      <c r="AK493" s="81">
        <f t="shared" si="86"/>
        <v>701.93</v>
      </c>
      <c r="AL493" s="58" t="s">
        <v>32</v>
      </c>
      <c r="AM493" s="58" t="s">
        <v>6703</v>
      </c>
      <c r="AN493" s="75">
        <v>24</v>
      </c>
      <c r="AO493" s="88">
        <v>41.29</v>
      </c>
      <c r="AP493" s="6" t="str">
        <f t="shared" si="82"/>
        <v>Increase</v>
      </c>
      <c r="AQ493" s="81">
        <f t="shared" si="83"/>
        <v>962.16000000000008</v>
      </c>
      <c r="AR493" s="81">
        <f t="shared" si="84"/>
        <v>990.96</v>
      </c>
      <c r="AS493" s="82">
        <f t="shared" si="87"/>
        <v>28.799999999999955</v>
      </c>
    </row>
    <row r="494" spans="1:45" hidden="1" x14ac:dyDescent="0.3">
      <c r="A494">
        <v>5180487</v>
      </c>
      <c r="B494" s="15" t="s">
        <v>5830</v>
      </c>
      <c r="C494" s="16" t="s">
        <v>30</v>
      </c>
      <c r="D494" s="6" t="s">
        <v>31</v>
      </c>
      <c r="E494" t="s">
        <v>523</v>
      </c>
      <c r="F494" t="s">
        <v>523</v>
      </c>
      <c r="H494" s="11" t="s">
        <v>27</v>
      </c>
      <c r="I494" s="6" t="s">
        <v>28</v>
      </c>
      <c r="J494" s="6" t="s">
        <v>28</v>
      </c>
      <c r="K494" t="s">
        <v>32</v>
      </c>
      <c r="L494" s="35">
        <v>29.67</v>
      </c>
      <c r="M494" s="6" t="s">
        <v>29</v>
      </c>
      <c r="N494" s="6">
        <v>3105</v>
      </c>
      <c r="P494" s="18"/>
      <c r="Q494" s="17"/>
      <c r="R494" s="19">
        <v>29.67</v>
      </c>
      <c r="S494" s="19">
        <v>29.67</v>
      </c>
      <c r="T494" s="38">
        <v>17</v>
      </c>
      <c r="U494" s="38"/>
      <c r="V494" s="29">
        <v>29.67</v>
      </c>
      <c r="W494" s="35">
        <v>29.67</v>
      </c>
      <c r="X494" s="32">
        <f t="shared" si="77"/>
        <v>504.39000000000004</v>
      </c>
      <c r="Y494" s="32">
        <f t="shared" si="78"/>
        <v>504.39000000000004</v>
      </c>
      <c r="Z494" s="32">
        <f t="shared" si="79"/>
        <v>0</v>
      </c>
      <c r="AA494" s="38">
        <v>17</v>
      </c>
      <c r="AB494" s="37">
        <f>IFERROR(VLOOKUP(A494,'Tash Lookup'!A:E,3,FALSE),"")</f>
        <v>507.18</v>
      </c>
      <c r="AC494" s="6">
        <f t="shared" si="80"/>
        <v>0</v>
      </c>
      <c r="AD494" s="2" t="s">
        <v>6703</v>
      </c>
      <c r="AF494" s="56">
        <v>32.53</v>
      </c>
      <c r="AG494" s="56">
        <f>VLOOKUP(A494,Sheet1!$A$2:$C$1140,3,FALSE)</f>
        <v>33.5</v>
      </c>
      <c r="AH494" s="58">
        <v>33.5</v>
      </c>
      <c r="AI494" s="56" t="str">
        <f t="shared" si="81"/>
        <v>Increase</v>
      </c>
      <c r="AJ494" s="81">
        <f t="shared" si="85"/>
        <v>553.01</v>
      </c>
      <c r="AK494" s="81">
        <f t="shared" si="86"/>
        <v>569.5</v>
      </c>
      <c r="AL494" s="58" t="s">
        <v>32</v>
      </c>
      <c r="AM494" s="58" t="s">
        <v>6703</v>
      </c>
      <c r="AN494" s="75">
        <v>4</v>
      </c>
      <c r="AO494" s="88">
        <v>33.5</v>
      </c>
      <c r="AP494" s="6" t="str">
        <f t="shared" si="82"/>
        <v>Increase</v>
      </c>
      <c r="AQ494" s="81">
        <f t="shared" si="83"/>
        <v>130.12</v>
      </c>
      <c r="AR494" s="81">
        <f t="shared" si="84"/>
        <v>134</v>
      </c>
      <c r="AS494" s="82">
        <f t="shared" si="87"/>
        <v>3.8799999999999955</v>
      </c>
    </row>
    <row r="495" spans="1:45" hidden="1" x14ac:dyDescent="0.3">
      <c r="A495">
        <v>5090743</v>
      </c>
      <c r="B495" s="15" t="s">
        <v>5831</v>
      </c>
      <c r="C495" s="16" t="s">
        <v>30</v>
      </c>
      <c r="D495" s="6" t="s">
        <v>31</v>
      </c>
      <c r="E495" t="s">
        <v>497</v>
      </c>
      <c r="F495" t="s">
        <v>497</v>
      </c>
      <c r="H495" s="11" t="s">
        <v>27</v>
      </c>
      <c r="I495" s="6" t="s">
        <v>28</v>
      </c>
      <c r="J495" s="6" t="s">
        <v>28</v>
      </c>
      <c r="K495" t="s">
        <v>32</v>
      </c>
      <c r="L495" s="35">
        <v>18.690000000000001</v>
      </c>
      <c r="M495" s="6" t="s">
        <v>29</v>
      </c>
      <c r="N495" s="6">
        <v>3105</v>
      </c>
      <c r="P495" s="18"/>
      <c r="Q495" s="17"/>
      <c r="R495" s="19">
        <v>18.690000000000001</v>
      </c>
      <c r="S495" s="19">
        <v>18.690000000000001</v>
      </c>
      <c r="T495" s="38">
        <v>17</v>
      </c>
      <c r="U495" s="38"/>
      <c r="V495" s="29">
        <v>18.690000000000001</v>
      </c>
      <c r="W495" s="35">
        <v>18.690000000000001</v>
      </c>
      <c r="X495" s="32">
        <f t="shared" si="77"/>
        <v>317.73</v>
      </c>
      <c r="Y495" s="32">
        <f t="shared" si="78"/>
        <v>317.73</v>
      </c>
      <c r="Z495" s="32">
        <f t="shared" si="79"/>
        <v>0</v>
      </c>
      <c r="AA495" s="38">
        <v>17</v>
      </c>
      <c r="AB495" s="37">
        <f>IFERROR(VLOOKUP(A495,'Tash Lookup'!A:E,3,FALSE),"")</f>
        <v>321.67</v>
      </c>
      <c r="AC495" s="6">
        <f t="shared" si="80"/>
        <v>0</v>
      </c>
      <c r="AD495" s="2" t="s">
        <v>6703</v>
      </c>
      <c r="AF495" s="56">
        <v>20.059999999999999</v>
      </c>
      <c r="AG495" s="56">
        <f>VLOOKUP(A495,Sheet1!$A$2:$C$1140,3,FALSE)</f>
        <v>20.66</v>
      </c>
      <c r="AH495" s="58">
        <v>20.66</v>
      </c>
      <c r="AI495" s="56" t="str">
        <f t="shared" si="81"/>
        <v>Increase</v>
      </c>
      <c r="AJ495" s="81">
        <f t="shared" si="85"/>
        <v>341.02</v>
      </c>
      <c r="AK495" s="81">
        <f t="shared" si="86"/>
        <v>351.22</v>
      </c>
      <c r="AL495" s="58" t="s">
        <v>32</v>
      </c>
      <c r="AM495" s="58" t="s">
        <v>6703</v>
      </c>
      <c r="AN495" s="75">
        <v>37</v>
      </c>
      <c r="AO495" s="88">
        <v>20.66</v>
      </c>
      <c r="AP495" s="6" t="str">
        <f t="shared" si="82"/>
        <v>Increase</v>
      </c>
      <c r="AQ495" s="81">
        <f t="shared" si="83"/>
        <v>742.21999999999991</v>
      </c>
      <c r="AR495" s="81">
        <f t="shared" si="84"/>
        <v>764.42</v>
      </c>
      <c r="AS495" s="82">
        <f t="shared" si="87"/>
        <v>22.200000000000045</v>
      </c>
    </row>
    <row r="496" spans="1:45" hidden="1" x14ac:dyDescent="0.3">
      <c r="A496">
        <v>5090781</v>
      </c>
      <c r="B496" s="15" t="s">
        <v>5832</v>
      </c>
      <c r="C496" s="16" t="s">
        <v>30</v>
      </c>
      <c r="D496" s="6" t="s">
        <v>31</v>
      </c>
      <c r="E496" t="s">
        <v>559</v>
      </c>
      <c r="F496" t="s">
        <v>559</v>
      </c>
      <c r="H496" s="11" t="s">
        <v>27</v>
      </c>
      <c r="I496" s="6" t="s">
        <v>28</v>
      </c>
      <c r="J496" s="6" t="s">
        <v>28</v>
      </c>
      <c r="K496" t="s">
        <v>32</v>
      </c>
      <c r="L496" s="35">
        <v>15.61</v>
      </c>
      <c r="M496" s="6" t="s">
        <v>29</v>
      </c>
      <c r="N496" s="6">
        <v>3105</v>
      </c>
      <c r="P496" s="18"/>
      <c r="Q496" s="17"/>
      <c r="R496" s="19">
        <v>15.61</v>
      </c>
      <c r="S496" s="19">
        <v>15.61</v>
      </c>
      <c r="T496" s="38">
        <v>17</v>
      </c>
      <c r="U496" s="38"/>
      <c r="V496" s="29">
        <v>15.61</v>
      </c>
      <c r="W496" s="35">
        <v>15.61</v>
      </c>
      <c r="X496" s="32">
        <f t="shared" si="77"/>
        <v>265.37</v>
      </c>
      <c r="Y496" s="32">
        <f t="shared" si="78"/>
        <v>265.37</v>
      </c>
      <c r="Z496" s="32">
        <f t="shared" si="79"/>
        <v>0</v>
      </c>
      <c r="AA496" s="38">
        <v>17</v>
      </c>
      <c r="AB496" s="37">
        <f>IFERROR(VLOOKUP(A496,'Tash Lookup'!A:E,3,FALSE),"")</f>
        <v>264.52999999999997</v>
      </c>
      <c r="AC496" s="6">
        <f t="shared" si="80"/>
        <v>0</v>
      </c>
      <c r="AD496" s="2" t="s">
        <v>6703</v>
      </c>
      <c r="AF496" s="56">
        <v>15.62</v>
      </c>
      <c r="AG496" s="56">
        <f>VLOOKUP(A496,Sheet1!$A$2:$C$1140,3,FALSE)</f>
        <v>16.09</v>
      </c>
      <c r="AH496" s="58">
        <v>16.09</v>
      </c>
      <c r="AI496" s="56" t="str">
        <f t="shared" si="81"/>
        <v>Increase</v>
      </c>
      <c r="AJ496" s="81">
        <f t="shared" si="85"/>
        <v>265.53999999999996</v>
      </c>
      <c r="AK496" s="81">
        <f t="shared" si="86"/>
        <v>273.52999999999997</v>
      </c>
      <c r="AL496" s="58" t="s">
        <v>32</v>
      </c>
      <c r="AM496" s="58" t="s">
        <v>6703</v>
      </c>
      <c r="AN496" s="75">
        <v>24</v>
      </c>
      <c r="AO496" s="88">
        <v>16.09</v>
      </c>
      <c r="AP496" s="6" t="str">
        <f t="shared" si="82"/>
        <v>Increase</v>
      </c>
      <c r="AQ496" s="81">
        <f t="shared" si="83"/>
        <v>374.88</v>
      </c>
      <c r="AR496" s="81">
        <f t="shared" si="84"/>
        <v>386.15999999999997</v>
      </c>
      <c r="AS496" s="82">
        <f t="shared" si="87"/>
        <v>11.279999999999973</v>
      </c>
    </row>
    <row r="497" spans="1:45" hidden="1" x14ac:dyDescent="0.3">
      <c r="A497">
        <v>5090798</v>
      </c>
      <c r="B497" s="15" t="s">
        <v>5833</v>
      </c>
      <c r="C497" s="16" t="s">
        <v>30</v>
      </c>
      <c r="D497" s="6" t="s">
        <v>31</v>
      </c>
      <c r="E497" t="s">
        <v>567</v>
      </c>
      <c r="F497" t="s">
        <v>567</v>
      </c>
      <c r="H497" s="11" t="s">
        <v>27</v>
      </c>
      <c r="I497" s="6" t="s">
        <v>28</v>
      </c>
      <c r="J497" s="6" t="s">
        <v>28</v>
      </c>
      <c r="K497" t="s">
        <v>32</v>
      </c>
      <c r="L497" s="35">
        <v>63.75</v>
      </c>
      <c r="M497" s="6" t="s">
        <v>29</v>
      </c>
      <c r="N497" s="6">
        <v>3105</v>
      </c>
      <c r="P497" s="18"/>
      <c r="Q497" s="17"/>
      <c r="R497" s="19">
        <v>63.75</v>
      </c>
      <c r="S497" s="19">
        <v>63.75</v>
      </c>
      <c r="T497" s="38">
        <v>17</v>
      </c>
      <c r="U497" s="38"/>
      <c r="V497" s="29">
        <v>60.543499999999995</v>
      </c>
      <c r="W497" s="35">
        <v>63.75</v>
      </c>
      <c r="X497" s="32">
        <f t="shared" si="77"/>
        <v>1029.2394999999999</v>
      </c>
      <c r="Y497" s="32">
        <f t="shared" si="78"/>
        <v>1083.75</v>
      </c>
      <c r="Z497" s="32">
        <f t="shared" si="79"/>
        <v>-54.510500000000093</v>
      </c>
      <c r="AA497" s="38">
        <v>17</v>
      </c>
      <c r="AB497" s="37">
        <f>IFERROR(VLOOKUP(A497,'Tash Lookup'!A:E,3,FALSE),"")</f>
        <v>1083.6099999999999</v>
      </c>
      <c r="AC497" s="6">
        <f t="shared" si="80"/>
        <v>0</v>
      </c>
      <c r="AD497" s="2" t="s">
        <v>6703</v>
      </c>
      <c r="AF497" s="56">
        <v>54.13</v>
      </c>
      <c r="AG497" s="56">
        <f>VLOOKUP(A497,Sheet1!$A$2:$C$1140,3,FALSE)</f>
        <v>54.13</v>
      </c>
      <c r="AH497" s="58">
        <v>54.13</v>
      </c>
      <c r="AI497" s="56" t="str">
        <f t="shared" si="81"/>
        <v>Same</v>
      </c>
      <c r="AJ497" s="81">
        <f t="shared" si="85"/>
        <v>920.21</v>
      </c>
      <c r="AK497" s="81">
        <f t="shared" si="86"/>
        <v>920.21</v>
      </c>
      <c r="AL497" s="58" t="s">
        <v>32</v>
      </c>
      <c r="AM497" s="58" t="s">
        <v>6703</v>
      </c>
      <c r="AN497" s="75">
        <v>1</v>
      </c>
      <c r="AO497" s="88">
        <v>54.13</v>
      </c>
      <c r="AP497" s="6" t="str">
        <f t="shared" si="82"/>
        <v>Same</v>
      </c>
      <c r="AQ497" s="81">
        <f t="shared" si="83"/>
        <v>54.13</v>
      </c>
      <c r="AR497" s="81">
        <f t="shared" si="84"/>
        <v>54.13</v>
      </c>
      <c r="AS497" s="81">
        <f t="shared" si="87"/>
        <v>0</v>
      </c>
    </row>
    <row r="498" spans="1:45" hidden="1" x14ac:dyDescent="0.3">
      <c r="A498">
        <v>6383963</v>
      </c>
      <c r="B498" s="15" t="s">
        <v>5834</v>
      </c>
      <c r="C498" s="16" t="s">
        <v>30</v>
      </c>
      <c r="D498" s="6" t="s">
        <v>31</v>
      </c>
      <c r="E498" t="s">
        <v>759</v>
      </c>
      <c r="F498" t="s">
        <v>759</v>
      </c>
      <c r="H498" s="11" t="s">
        <v>27</v>
      </c>
      <c r="I498" s="6" t="s">
        <v>28</v>
      </c>
      <c r="J498" s="6" t="s">
        <v>28</v>
      </c>
      <c r="K498" t="s">
        <v>32</v>
      </c>
      <c r="L498" s="35">
        <v>13.81</v>
      </c>
      <c r="M498" s="6" t="s">
        <v>29</v>
      </c>
      <c r="N498" s="6">
        <v>3105</v>
      </c>
      <c r="P498" s="18"/>
      <c r="Q498" s="17"/>
      <c r="R498" s="19">
        <v>13.81</v>
      </c>
      <c r="S498" s="19">
        <v>13.81</v>
      </c>
      <c r="T498" s="38">
        <v>16</v>
      </c>
      <c r="U498" s="38"/>
      <c r="V498" s="30">
        <v>13.81</v>
      </c>
      <c r="W498" s="35">
        <v>13.81</v>
      </c>
      <c r="X498" s="32">
        <f t="shared" si="77"/>
        <v>220.96</v>
      </c>
      <c r="Y498" s="32">
        <f t="shared" si="78"/>
        <v>220.96</v>
      </c>
      <c r="Z498" s="32">
        <f t="shared" si="79"/>
        <v>0</v>
      </c>
      <c r="AA498" s="38">
        <v>16</v>
      </c>
      <c r="AB498" s="37">
        <f>IFERROR(VLOOKUP(A498,'Tash Lookup'!A:E,3,FALSE),"")</f>
        <v>218.59</v>
      </c>
      <c r="AC498" s="6">
        <f t="shared" si="80"/>
        <v>0</v>
      </c>
      <c r="AD498" s="2" t="s">
        <v>6703</v>
      </c>
      <c r="AF498" s="56">
        <v>13.81</v>
      </c>
      <c r="AG498" s="56">
        <f>VLOOKUP(A498,Sheet1!$A$2:$C$1140,3,FALSE)</f>
        <v>14.08</v>
      </c>
      <c r="AH498" s="58">
        <v>14.08</v>
      </c>
      <c r="AI498" s="56" t="str">
        <f t="shared" si="81"/>
        <v>Increase</v>
      </c>
      <c r="AJ498" s="81">
        <f t="shared" si="85"/>
        <v>220.96</v>
      </c>
      <c r="AK498" s="81">
        <f t="shared" si="86"/>
        <v>225.28</v>
      </c>
      <c r="AL498" s="58" t="s">
        <v>7206</v>
      </c>
      <c r="AM498" s="58" t="s">
        <v>6703</v>
      </c>
      <c r="AN498" s="75">
        <v>8</v>
      </c>
      <c r="AO498" s="88">
        <v>14.08</v>
      </c>
      <c r="AP498" s="6" t="str">
        <f t="shared" si="82"/>
        <v>Increase</v>
      </c>
      <c r="AQ498" s="81">
        <f t="shared" si="83"/>
        <v>110.48</v>
      </c>
      <c r="AR498" s="81">
        <f t="shared" si="84"/>
        <v>112.64</v>
      </c>
      <c r="AS498" s="82">
        <f t="shared" si="87"/>
        <v>2.1599999999999966</v>
      </c>
    </row>
    <row r="499" spans="1:45" hidden="1" x14ac:dyDescent="0.3">
      <c r="A499">
        <v>5244438</v>
      </c>
      <c r="B499" s="15" t="s">
        <v>5835</v>
      </c>
      <c r="C499" s="16" t="s">
        <v>30</v>
      </c>
      <c r="D499" s="6" t="s">
        <v>31</v>
      </c>
      <c r="E499" t="s">
        <v>383</v>
      </c>
      <c r="F499" t="s">
        <v>383</v>
      </c>
      <c r="H499" s="11" t="s">
        <v>27</v>
      </c>
      <c r="I499" s="6" t="s">
        <v>28</v>
      </c>
      <c r="J499" s="6" t="s">
        <v>28</v>
      </c>
      <c r="K499" t="s">
        <v>32</v>
      </c>
      <c r="L499" s="35">
        <v>16.52</v>
      </c>
      <c r="M499" s="6" t="s">
        <v>29</v>
      </c>
      <c r="N499" s="6">
        <v>3105</v>
      </c>
      <c r="P499" s="18"/>
      <c r="Q499" s="17"/>
      <c r="R499" s="19">
        <v>16.52</v>
      </c>
      <c r="S499" s="19">
        <v>16.52</v>
      </c>
      <c r="T499" s="38">
        <v>16</v>
      </c>
      <c r="U499" s="38"/>
      <c r="V499" s="30">
        <v>16.52</v>
      </c>
      <c r="W499" s="35">
        <v>16.52</v>
      </c>
      <c r="X499" s="32">
        <f t="shared" si="77"/>
        <v>264.32</v>
      </c>
      <c r="Y499" s="32">
        <f t="shared" si="78"/>
        <v>264.32</v>
      </c>
      <c r="Z499" s="32">
        <f t="shared" si="79"/>
        <v>0</v>
      </c>
      <c r="AA499" s="38">
        <v>16</v>
      </c>
      <c r="AB499" s="37">
        <f>IFERROR(VLOOKUP(A499,'Tash Lookup'!A:E,3,FALSE),"")</f>
        <v>264.27</v>
      </c>
      <c r="AC499" s="6">
        <f t="shared" si="80"/>
        <v>0</v>
      </c>
      <c r="AD499" s="2" t="s">
        <v>6703</v>
      </c>
      <c r="AF499" s="56">
        <v>17.22</v>
      </c>
      <c r="AG499" s="56">
        <f>VLOOKUP(A499,Sheet1!$A$2:$C$1140,3,FALSE)</f>
        <v>17.739999999999998</v>
      </c>
      <c r="AH499" s="58">
        <v>17.739999999999998</v>
      </c>
      <c r="AI499" s="56" t="str">
        <f t="shared" si="81"/>
        <v>Increase</v>
      </c>
      <c r="AJ499" s="81">
        <f t="shared" si="85"/>
        <v>275.52</v>
      </c>
      <c r="AK499" s="81">
        <f t="shared" si="86"/>
        <v>283.83999999999997</v>
      </c>
      <c r="AL499" s="58" t="s">
        <v>32</v>
      </c>
      <c r="AM499" s="58" t="s">
        <v>6703</v>
      </c>
      <c r="AN499" s="75">
        <v>14</v>
      </c>
      <c r="AO499" s="88">
        <v>17.739999999999998</v>
      </c>
      <c r="AP499" s="6" t="str">
        <f t="shared" si="82"/>
        <v>Increase</v>
      </c>
      <c r="AQ499" s="81">
        <f t="shared" si="83"/>
        <v>241.07999999999998</v>
      </c>
      <c r="AR499" s="81">
        <f t="shared" si="84"/>
        <v>248.35999999999999</v>
      </c>
      <c r="AS499" s="82">
        <f t="shared" si="87"/>
        <v>7.2800000000000011</v>
      </c>
    </row>
    <row r="500" spans="1:45" hidden="1" x14ac:dyDescent="0.3">
      <c r="A500">
        <v>5092709</v>
      </c>
      <c r="B500" s="15" t="s">
        <v>5836</v>
      </c>
      <c r="C500" s="16" t="s">
        <v>30</v>
      </c>
      <c r="D500" s="6" t="s">
        <v>31</v>
      </c>
      <c r="E500" t="s">
        <v>401</v>
      </c>
      <c r="F500" t="s">
        <v>401</v>
      </c>
      <c r="H500" s="11" t="s">
        <v>27</v>
      </c>
      <c r="I500" s="6" t="s">
        <v>28</v>
      </c>
      <c r="J500" s="6" t="s">
        <v>28</v>
      </c>
      <c r="K500" t="s">
        <v>32</v>
      </c>
      <c r="L500" s="35">
        <v>32.200000000000003</v>
      </c>
      <c r="M500" s="6" t="s">
        <v>29</v>
      </c>
      <c r="N500" s="6">
        <v>3105</v>
      </c>
      <c r="P500" s="18"/>
      <c r="Q500" s="17"/>
      <c r="R500" s="19">
        <v>0</v>
      </c>
      <c r="S500" s="19">
        <v>0</v>
      </c>
      <c r="T500" s="38">
        <v>16</v>
      </c>
      <c r="U500" s="38"/>
      <c r="V500" s="29">
        <v>32.200000000000003</v>
      </c>
      <c r="W500" s="35">
        <v>32.200000000000003</v>
      </c>
      <c r="X500" s="32">
        <f t="shared" si="77"/>
        <v>515.20000000000005</v>
      </c>
      <c r="Y500" s="32">
        <f t="shared" si="78"/>
        <v>515.20000000000005</v>
      </c>
      <c r="Z500" s="32">
        <f t="shared" si="79"/>
        <v>0</v>
      </c>
      <c r="AA500" s="38">
        <v>16</v>
      </c>
      <c r="AB500" s="37">
        <f>IFERROR(VLOOKUP(A500,'Tash Lookup'!A:E,3,FALSE),"")</f>
        <v>573.6</v>
      </c>
      <c r="AC500" s="6">
        <f t="shared" si="80"/>
        <v>0</v>
      </c>
      <c r="AD500" s="2" t="s">
        <v>6703</v>
      </c>
      <c r="AF500" s="56">
        <v>32.909999999999997</v>
      </c>
      <c r="AG500" s="56">
        <f>VLOOKUP(A500,Sheet1!$A$2:$C$1140,3,FALSE)</f>
        <v>33.9</v>
      </c>
      <c r="AH500" s="58">
        <v>33.9</v>
      </c>
      <c r="AI500" s="56" t="str">
        <f t="shared" si="81"/>
        <v>Increase</v>
      </c>
      <c r="AJ500" s="81">
        <f t="shared" si="85"/>
        <v>526.55999999999995</v>
      </c>
      <c r="AK500" s="81">
        <f t="shared" si="86"/>
        <v>542.4</v>
      </c>
      <c r="AL500" s="58" t="s">
        <v>32</v>
      </c>
      <c r="AM500" s="58" t="s">
        <v>6703</v>
      </c>
      <c r="AN500" s="75">
        <v>324</v>
      </c>
      <c r="AO500" s="88">
        <v>33.9</v>
      </c>
      <c r="AP500" s="6" t="str">
        <f t="shared" si="82"/>
        <v>Increase</v>
      </c>
      <c r="AQ500" s="81">
        <f t="shared" si="83"/>
        <v>10662.839999999998</v>
      </c>
      <c r="AR500" s="81">
        <f t="shared" si="84"/>
        <v>10983.6</v>
      </c>
      <c r="AS500" s="82">
        <f t="shared" si="87"/>
        <v>320.76000000000204</v>
      </c>
    </row>
    <row r="501" spans="1:45" hidden="1" x14ac:dyDescent="0.3">
      <c r="A501">
        <v>6189829</v>
      </c>
      <c r="B501" s="15" t="s">
        <v>5837</v>
      </c>
      <c r="C501" s="16" t="s">
        <v>30</v>
      </c>
      <c r="D501" s="6" t="s">
        <v>31</v>
      </c>
      <c r="E501" t="s">
        <v>907</v>
      </c>
      <c r="F501" t="s">
        <v>907</v>
      </c>
      <c r="H501" s="11" t="s">
        <v>27</v>
      </c>
      <c r="I501" s="6" t="s">
        <v>28</v>
      </c>
      <c r="J501" s="6" t="s">
        <v>28</v>
      </c>
      <c r="K501" t="s">
        <v>32</v>
      </c>
      <c r="L501" s="35">
        <v>4.58</v>
      </c>
      <c r="M501" s="6" t="s">
        <v>29</v>
      </c>
      <c r="N501" s="6">
        <v>3105</v>
      </c>
      <c r="P501" s="18"/>
      <c r="Q501" s="17"/>
      <c r="R501" s="19">
        <v>4.58</v>
      </c>
      <c r="S501" s="19">
        <v>4.58</v>
      </c>
      <c r="T501" s="38">
        <v>16</v>
      </c>
      <c r="U501" s="38"/>
      <c r="V501" s="30">
        <v>4.58</v>
      </c>
      <c r="W501" s="35">
        <v>4.58</v>
      </c>
      <c r="X501" s="32">
        <f t="shared" si="77"/>
        <v>73.28</v>
      </c>
      <c r="Y501" s="32">
        <f t="shared" si="78"/>
        <v>73.28</v>
      </c>
      <c r="Z501" s="32">
        <f t="shared" si="79"/>
        <v>0</v>
      </c>
      <c r="AA501" s="38">
        <v>16</v>
      </c>
      <c r="AB501" s="37">
        <f>IFERROR(VLOOKUP(A501,'Tash Lookup'!A:E,3,FALSE),"")</f>
        <v>73.260000000000005</v>
      </c>
      <c r="AC501" s="6">
        <f t="shared" si="80"/>
        <v>0</v>
      </c>
      <c r="AD501" s="2" t="s">
        <v>6703</v>
      </c>
      <c r="AF501" s="56">
        <v>4.58</v>
      </c>
      <c r="AG501" s="56">
        <f>VLOOKUP(A501,Sheet1!$A$2:$C$1140,3,FALSE)</f>
        <v>4.58</v>
      </c>
      <c r="AH501" s="58">
        <v>4.58</v>
      </c>
      <c r="AI501" s="56" t="str">
        <f t="shared" si="81"/>
        <v>Same</v>
      </c>
      <c r="AJ501" s="81">
        <f t="shared" si="85"/>
        <v>73.28</v>
      </c>
      <c r="AK501" s="81">
        <f t="shared" si="86"/>
        <v>73.28</v>
      </c>
      <c r="AL501" s="58" t="s">
        <v>7206</v>
      </c>
      <c r="AM501" s="58" t="s">
        <v>6708</v>
      </c>
      <c r="AN501" s="75">
        <v>0</v>
      </c>
      <c r="AO501" s="88">
        <v>4.58</v>
      </c>
      <c r="AP501" s="6" t="str">
        <f t="shared" si="82"/>
        <v>Same</v>
      </c>
      <c r="AQ501" s="81">
        <f t="shared" si="83"/>
        <v>0</v>
      </c>
      <c r="AR501" s="81">
        <f t="shared" si="84"/>
        <v>0</v>
      </c>
      <c r="AS501" s="81">
        <f t="shared" si="87"/>
        <v>0</v>
      </c>
    </row>
    <row r="502" spans="1:45" hidden="1" x14ac:dyDescent="0.3">
      <c r="A502">
        <v>5081986</v>
      </c>
      <c r="B502" s="15" t="s">
        <v>5838</v>
      </c>
      <c r="C502" s="16" t="s">
        <v>30</v>
      </c>
      <c r="D502" s="6" t="s">
        <v>31</v>
      </c>
      <c r="E502" t="s">
        <v>548</v>
      </c>
      <c r="F502" t="s">
        <v>548</v>
      </c>
      <c r="H502" s="11" t="s">
        <v>27</v>
      </c>
      <c r="I502" s="6" t="s">
        <v>28</v>
      </c>
      <c r="J502" s="6" t="s">
        <v>28</v>
      </c>
      <c r="K502" t="s">
        <v>32</v>
      </c>
      <c r="L502" s="35">
        <v>33.630000000000003</v>
      </c>
      <c r="M502" s="6" t="s">
        <v>29</v>
      </c>
      <c r="N502" s="6">
        <v>3105</v>
      </c>
      <c r="P502" s="18"/>
      <c r="Q502" s="17"/>
      <c r="R502" s="19">
        <v>33.630000000000003</v>
      </c>
      <c r="S502" s="19">
        <v>33.630000000000003</v>
      </c>
      <c r="T502" s="38">
        <v>16</v>
      </c>
      <c r="U502" s="38"/>
      <c r="V502" s="29">
        <v>33.630000000000003</v>
      </c>
      <c r="W502" s="35">
        <v>33.630000000000003</v>
      </c>
      <c r="X502" s="32">
        <f t="shared" si="77"/>
        <v>538.08000000000004</v>
      </c>
      <c r="Y502" s="32">
        <f t="shared" si="78"/>
        <v>538.08000000000004</v>
      </c>
      <c r="Z502" s="32">
        <f t="shared" si="79"/>
        <v>0</v>
      </c>
      <c r="AA502" s="38">
        <v>16</v>
      </c>
      <c r="AB502" s="37">
        <f>IFERROR(VLOOKUP(A502,'Tash Lookup'!A:E,3,FALSE),"")</f>
        <v>546.11</v>
      </c>
      <c r="AC502" s="6">
        <f t="shared" si="80"/>
        <v>0</v>
      </c>
      <c r="AD502" s="2" t="s">
        <v>6703</v>
      </c>
      <c r="AF502" s="56">
        <v>34.200000000000003</v>
      </c>
      <c r="AG502" s="56">
        <f>VLOOKUP(A502,Sheet1!$A$2:$C$1140,3,FALSE)</f>
        <v>35.22</v>
      </c>
      <c r="AH502" s="58">
        <v>35.22</v>
      </c>
      <c r="AI502" s="56" t="str">
        <f t="shared" si="81"/>
        <v>Increase</v>
      </c>
      <c r="AJ502" s="81">
        <f t="shared" si="85"/>
        <v>547.20000000000005</v>
      </c>
      <c r="AK502" s="81">
        <f t="shared" si="86"/>
        <v>563.52</v>
      </c>
      <c r="AL502" s="58" t="s">
        <v>32</v>
      </c>
      <c r="AM502" s="58" t="s">
        <v>6703</v>
      </c>
      <c r="AN502" s="75">
        <v>37</v>
      </c>
      <c r="AO502" s="88">
        <v>35.22</v>
      </c>
      <c r="AP502" s="6" t="str">
        <f t="shared" si="82"/>
        <v>Increase</v>
      </c>
      <c r="AQ502" s="81">
        <f t="shared" si="83"/>
        <v>1265.4000000000001</v>
      </c>
      <c r="AR502" s="81">
        <f t="shared" si="84"/>
        <v>1303.1399999999999</v>
      </c>
      <c r="AS502" s="82">
        <f t="shared" si="87"/>
        <v>37.739999999999782</v>
      </c>
    </row>
    <row r="503" spans="1:45" hidden="1" x14ac:dyDescent="0.3">
      <c r="A503">
        <v>5183383</v>
      </c>
      <c r="B503" s="15" t="s">
        <v>5839</v>
      </c>
      <c r="C503" s="16" t="s">
        <v>30</v>
      </c>
      <c r="D503" s="6" t="s">
        <v>31</v>
      </c>
      <c r="E503" t="s">
        <v>145</v>
      </c>
      <c r="F503" t="s">
        <v>145</v>
      </c>
      <c r="H503" s="11" t="s">
        <v>27</v>
      </c>
      <c r="I503" s="6" t="s">
        <v>28</v>
      </c>
      <c r="J503" s="6" t="s">
        <v>28</v>
      </c>
      <c r="K503" t="s">
        <v>32</v>
      </c>
      <c r="L503" s="35">
        <v>16.39</v>
      </c>
      <c r="M503" s="6" t="s">
        <v>29</v>
      </c>
      <c r="N503" s="6">
        <v>3105</v>
      </c>
      <c r="P503" s="18"/>
      <c r="Q503" s="17"/>
      <c r="R503" s="19">
        <v>16.39</v>
      </c>
      <c r="S503" s="19">
        <v>16.39</v>
      </c>
      <c r="T503" s="38">
        <v>16</v>
      </c>
      <c r="U503" s="38"/>
      <c r="V503" s="29">
        <v>16.39</v>
      </c>
      <c r="W503" s="35">
        <v>16.39</v>
      </c>
      <c r="X503" s="32">
        <f t="shared" si="77"/>
        <v>262.24</v>
      </c>
      <c r="Y503" s="32">
        <f t="shared" si="78"/>
        <v>262.24</v>
      </c>
      <c r="Z503" s="32">
        <f t="shared" si="79"/>
        <v>0</v>
      </c>
      <c r="AA503" s="38">
        <v>16</v>
      </c>
      <c r="AB503" s="37">
        <f>IFERROR(VLOOKUP(A503,'Tash Lookup'!A:E,3,FALSE),"")</f>
        <v>252.48</v>
      </c>
      <c r="AC503" s="6">
        <f t="shared" si="80"/>
        <v>0</v>
      </c>
      <c r="AD503" s="2" t="s">
        <v>6703</v>
      </c>
      <c r="AF503" s="56">
        <v>17.48</v>
      </c>
      <c r="AG503" s="56">
        <f>VLOOKUP(A503,Sheet1!$A$2:$C$1140,3,FALSE)</f>
        <v>17.48</v>
      </c>
      <c r="AH503" s="58">
        <v>17.48</v>
      </c>
      <c r="AI503" s="56" t="str">
        <f t="shared" si="81"/>
        <v>Same</v>
      </c>
      <c r="AJ503" s="81">
        <f t="shared" si="85"/>
        <v>279.68</v>
      </c>
      <c r="AK503" s="81">
        <f t="shared" si="86"/>
        <v>279.68</v>
      </c>
      <c r="AL503" s="58" t="s">
        <v>32</v>
      </c>
      <c r="AM503" s="58" t="s">
        <v>6703</v>
      </c>
      <c r="AN503" s="75">
        <v>12</v>
      </c>
      <c r="AO503" s="88">
        <v>17.48</v>
      </c>
      <c r="AP503" s="6" t="str">
        <f t="shared" si="82"/>
        <v>Same</v>
      </c>
      <c r="AQ503" s="81">
        <f t="shared" si="83"/>
        <v>209.76</v>
      </c>
      <c r="AR503" s="81">
        <f t="shared" si="84"/>
        <v>209.76</v>
      </c>
      <c r="AS503" s="81">
        <f t="shared" si="87"/>
        <v>0</v>
      </c>
    </row>
    <row r="504" spans="1:45" hidden="1" x14ac:dyDescent="0.3">
      <c r="A504">
        <v>6183932</v>
      </c>
      <c r="B504" s="15" t="s">
        <v>5840</v>
      </c>
      <c r="C504" s="16" t="s">
        <v>30</v>
      </c>
      <c r="D504" s="6" t="s">
        <v>31</v>
      </c>
      <c r="E504" t="s">
        <v>694</v>
      </c>
      <c r="F504" t="s">
        <v>694</v>
      </c>
      <c r="H504" s="11" t="s">
        <v>27</v>
      </c>
      <c r="I504" s="6" t="s">
        <v>28</v>
      </c>
      <c r="J504" s="6" t="s">
        <v>28</v>
      </c>
      <c r="K504" t="s">
        <v>32</v>
      </c>
      <c r="L504" s="35">
        <v>7.42</v>
      </c>
      <c r="M504" s="6" t="s">
        <v>29</v>
      </c>
      <c r="N504" s="6">
        <v>3105</v>
      </c>
      <c r="P504" s="18"/>
      <c r="Q504" s="17"/>
      <c r="R504" s="19">
        <v>7.42</v>
      </c>
      <c r="S504" s="19">
        <v>7.42</v>
      </c>
      <c r="T504" s="38">
        <v>16</v>
      </c>
      <c r="U504" s="38"/>
      <c r="V504" s="30">
        <v>7.42</v>
      </c>
      <c r="W504" s="35">
        <v>7.42</v>
      </c>
      <c r="X504" s="32">
        <f t="shared" si="77"/>
        <v>118.72</v>
      </c>
      <c r="Y504" s="32">
        <f t="shared" si="78"/>
        <v>118.72</v>
      </c>
      <c r="Z504" s="32">
        <f t="shared" si="79"/>
        <v>0</v>
      </c>
      <c r="AA504" s="38">
        <v>16</v>
      </c>
      <c r="AB504" s="37">
        <f>IFERROR(VLOOKUP(A504,'Tash Lookup'!A:E,3,FALSE),"")</f>
        <v>117.76</v>
      </c>
      <c r="AC504" s="6">
        <f t="shared" si="80"/>
        <v>0</v>
      </c>
      <c r="AD504" s="2" t="s">
        <v>6708</v>
      </c>
      <c r="AF504" s="56">
        <v>7.42</v>
      </c>
      <c r="AG504" s="56">
        <f>VLOOKUP(A504,Sheet1!$A$2:$C$1140,3,FALSE)</f>
        <v>7.57</v>
      </c>
      <c r="AH504" s="58">
        <v>7.57</v>
      </c>
      <c r="AI504" s="56" t="str">
        <f t="shared" si="81"/>
        <v>Increase</v>
      </c>
      <c r="AJ504" s="81">
        <f t="shared" si="85"/>
        <v>118.72</v>
      </c>
      <c r="AK504" s="81">
        <f t="shared" si="86"/>
        <v>121.12</v>
      </c>
      <c r="AL504" s="58" t="s">
        <v>7206</v>
      </c>
      <c r="AM504" s="58" t="s">
        <v>6703</v>
      </c>
      <c r="AN504" s="75">
        <v>9</v>
      </c>
      <c r="AO504" s="88">
        <v>7.57</v>
      </c>
      <c r="AP504" s="6" t="str">
        <f t="shared" si="82"/>
        <v>Increase</v>
      </c>
      <c r="AQ504" s="81">
        <f t="shared" si="83"/>
        <v>66.78</v>
      </c>
      <c r="AR504" s="81">
        <f t="shared" si="84"/>
        <v>68.13</v>
      </c>
      <c r="AS504" s="82">
        <f t="shared" si="87"/>
        <v>1.3499999999999943</v>
      </c>
    </row>
    <row r="505" spans="1:45" hidden="1" x14ac:dyDescent="0.3">
      <c r="A505">
        <v>5091646</v>
      </c>
      <c r="B505" s="15" t="s">
        <v>5841</v>
      </c>
      <c r="C505" s="16" t="s">
        <v>30</v>
      </c>
      <c r="D505" s="6" t="s">
        <v>31</v>
      </c>
      <c r="E505" t="s">
        <v>179</v>
      </c>
      <c r="F505" t="s">
        <v>179</v>
      </c>
      <c r="H505" s="11" t="s">
        <v>27</v>
      </c>
      <c r="I505" s="6" t="s">
        <v>28</v>
      </c>
      <c r="J505" s="6" t="s">
        <v>28</v>
      </c>
      <c r="K505" t="s">
        <v>32</v>
      </c>
      <c r="L505" s="35">
        <v>13.32</v>
      </c>
      <c r="M505" s="6" t="s">
        <v>29</v>
      </c>
      <c r="N505" s="6">
        <v>3105</v>
      </c>
      <c r="P505" s="18"/>
      <c r="Q505" s="17"/>
      <c r="R505" s="19">
        <v>13.32</v>
      </c>
      <c r="S505" s="19">
        <v>13.32</v>
      </c>
      <c r="T505" s="38">
        <v>16</v>
      </c>
      <c r="U505" s="38"/>
      <c r="V505" s="29">
        <v>9.6804999999999986</v>
      </c>
      <c r="W505" s="35">
        <v>15.36</v>
      </c>
      <c r="X505" s="32">
        <f t="shared" si="77"/>
        <v>154.88799999999998</v>
      </c>
      <c r="Y505" s="32">
        <f t="shared" si="78"/>
        <v>213.12</v>
      </c>
      <c r="Z505" s="32">
        <f t="shared" si="79"/>
        <v>-58.232000000000028</v>
      </c>
      <c r="AA505" s="38">
        <v>16</v>
      </c>
      <c r="AB505" s="37">
        <f>IFERROR(VLOOKUP(A505,'Tash Lookup'!A:E,3,FALSE),"")</f>
        <v>197.47</v>
      </c>
      <c r="AC505" s="6">
        <f t="shared" si="80"/>
        <v>0</v>
      </c>
      <c r="AD505" s="2" t="s">
        <v>6703</v>
      </c>
      <c r="AF505" s="56">
        <v>9.39</v>
      </c>
      <c r="AG505" s="56">
        <f>VLOOKUP(A505,Sheet1!$A$2:$C$1140,3,FALSE)</f>
        <v>9.39</v>
      </c>
      <c r="AH505" s="58">
        <v>9.39</v>
      </c>
      <c r="AI505" s="56" t="str">
        <f t="shared" si="81"/>
        <v>Same</v>
      </c>
      <c r="AJ505" s="81">
        <f t="shared" si="85"/>
        <v>150.24</v>
      </c>
      <c r="AK505" s="81">
        <f t="shared" si="86"/>
        <v>150.24</v>
      </c>
      <c r="AL505" s="58" t="s">
        <v>32</v>
      </c>
      <c r="AM505" s="58" t="s">
        <v>6703</v>
      </c>
      <c r="AN505" s="75">
        <v>9</v>
      </c>
      <c r="AO505" s="88">
        <v>9.39</v>
      </c>
      <c r="AP505" s="6" t="str">
        <f t="shared" si="82"/>
        <v>Same</v>
      </c>
      <c r="AQ505" s="81">
        <f t="shared" si="83"/>
        <v>84.51</v>
      </c>
      <c r="AR505" s="81">
        <f t="shared" si="84"/>
        <v>84.51</v>
      </c>
      <c r="AS505" s="81">
        <f t="shared" si="87"/>
        <v>0</v>
      </c>
    </row>
    <row r="506" spans="1:45" hidden="1" x14ac:dyDescent="0.3">
      <c r="A506">
        <v>5092220</v>
      </c>
      <c r="B506" s="15" t="s">
        <v>5842</v>
      </c>
      <c r="C506" s="16" t="s">
        <v>30</v>
      </c>
      <c r="D506" s="6" t="s">
        <v>31</v>
      </c>
      <c r="E506" t="s">
        <v>553</v>
      </c>
      <c r="F506" t="s">
        <v>553</v>
      </c>
      <c r="H506" s="11" t="s">
        <v>27</v>
      </c>
      <c r="I506" s="6" t="s">
        <v>28</v>
      </c>
      <c r="J506" s="6" t="s">
        <v>28</v>
      </c>
      <c r="K506" t="s">
        <v>32</v>
      </c>
      <c r="L506" s="35">
        <v>15.36</v>
      </c>
      <c r="M506" s="6" t="s">
        <v>29</v>
      </c>
      <c r="N506" s="6">
        <v>3105</v>
      </c>
      <c r="P506" s="18"/>
      <c r="Q506" s="17"/>
      <c r="R506" s="19">
        <v>15.36</v>
      </c>
      <c r="S506" s="19">
        <v>15.36</v>
      </c>
      <c r="T506" s="38">
        <v>16</v>
      </c>
      <c r="U506" s="38"/>
      <c r="V506" s="29">
        <v>15.36</v>
      </c>
      <c r="W506" s="35">
        <v>6.27</v>
      </c>
      <c r="X506" s="32">
        <f t="shared" si="77"/>
        <v>245.76</v>
      </c>
      <c r="Y506" s="32">
        <f t="shared" si="78"/>
        <v>245.76</v>
      </c>
      <c r="Z506" s="32">
        <f t="shared" si="79"/>
        <v>0</v>
      </c>
      <c r="AA506" s="38">
        <v>16</v>
      </c>
      <c r="AB506" s="37">
        <f>IFERROR(VLOOKUP(A506,'Tash Lookup'!A:E,3,FALSE),"")</f>
        <v>246.7</v>
      </c>
      <c r="AC506" s="6">
        <f t="shared" si="80"/>
        <v>0</v>
      </c>
      <c r="AD506" s="2" t="s">
        <v>6703</v>
      </c>
      <c r="AF506" s="56">
        <v>16.95</v>
      </c>
      <c r="AG506" s="56">
        <f>VLOOKUP(A506,Sheet1!$A$2:$C$1140,3,FALSE)</f>
        <v>17.46</v>
      </c>
      <c r="AH506" s="58">
        <v>17.46</v>
      </c>
      <c r="AI506" s="56" t="str">
        <f t="shared" si="81"/>
        <v>Increase</v>
      </c>
      <c r="AJ506" s="81">
        <f t="shared" si="85"/>
        <v>271.2</v>
      </c>
      <c r="AK506" s="81">
        <f t="shared" si="86"/>
        <v>279.36</v>
      </c>
      <c r="AL506" s="58" t="s">
        <v>32</v>
      </c>
      <c r="AM506" s="58" t="s">
        <v>6703</v>
      </c>
      <c r="AN506" s="75">
        <v>11</v>
      </c>
      <c r="AO506" s="88">
        <v>17.46</v>
      </c>
      <c r="AP506" s="6" t="str">
        <f t="shared" si="82"/>
        <v>Increase</v>
      </c>
      <c r="AQ506" s="81">
        <f t="shared" si="83"/>
        <v>186.45</v>
      </c>
      <c r="AR506" s="81">
        <f t="shared" si="84"/>
        <v>192.06</v>
      </c>
      <c r="AS506" s="82">
        <f t="shared" si="87"/>
        <v>5.6100000000000136</v>
      </c>
    </row>
    <row r="507" spans="1:45" hidden="1" x14ac:dyDescent="0.3">
      <c r="A507">
        <v>5085002</v>
      </c>
      <c r="B507" s="15" t="s">
        <v>5843</v>
      </c>
      <c r="C507" s="16" t="s">
        <v>30</v>
      </c>
      <c r="D507" s="6" t="s">
        <v>31</v>
      </c>
      <c r="E507" t="s">
        <v>1111</v>
      </c>
      <c r="F507" t="s">
        <v>1111</v>
      </c>
      <c r="H507" s="11" t="s">
        <v>27</v>
      </c>
      <c r="I507" s="6" t="s">
        <v>28</v>
      </c>
      <c r="J507" s="6" t="s">
        <v>28</v>
      </c>
      <c r="K507" t="s">
        <v>32</v>
      </c>
      <c r="L507" s="35">
        <v>6.27</v>
      </c>
      <c r="M507" s="6" t="s">
        <v>29</v>
      </c>
      <c r="N507" s="6">
        <v>3105</v>
      </c>
      <c r="P507" s="18"/>
      <c r="Q507" s="17"/>
      <c r="R507" s="19">
        <v>6.27</v>
      </c>
      <c r="S507" s="19">
        <v>6.27</v>
      </c>
      <c r="T507" s="38">
        <v>16</v>
      </c>
      <c r="U507" s="38"/>
      <c r="V507" s="30">
        <v>6.27</v>
      </c>
      <c r="W507" s="35">
        <v>20.440000000000001</v>
      </c>
      <c r="X507" s="32">
        <f t="shared" si="77"/>
        <v>100.32</v>
      </c>
      <c r="Y507" s="32">
        <f t="shared" si="78"/>
        <v>100.32</v>
      </c>
      <c r="Z507" s="32">
        <f t="shared" si="79"/>
        <v>0</v>
      </c>
      <c r="AA507" s="38">
        <v>16</v>
      </c>
      <c r="AB507" s="37">
        <f>IFERROR(VLOOKUP(A507,'Tash Lookup'!A:E,3,FALSE),"")</f>
        <v>96.4</v>
      </c>
      <c r="AC507" s="6">
        <f t="shared" si="80"/>
        <v>0</v>
      </c>
      <c r="AD507" s="2" t="s">
        <v>6703</v>
      </c>
      <c r="AF507" s="56">
        <v>7.53</v>
      </c>
      <c r="AG507" s="56">
        <f>VLOOKUP(A507,Sheet1!$A$2:$C$1140,3,FALSE)</f>
        <v>7.53</v>
      </c>
      <c r="AH507" s="58">
        <v>7.53</v>
      </c>
      <c r="AI507" s="56" t="str">
        <f t="shared" si="81"/>
        <v>Same</v>
      </c>
      <c r="AJ507" s="81">
        <f t="shared" si="85"/>
        <v>120.48</v>
      </c>
      <c r="AK507" s="81">
        <f t="shared" si="86"/>
        <v>120.48</v>
      </c>
      <c r="AL507" s="58" t="s">
        <v>7206</v>
      </c>
      <c r="AM507" s="58" t="s">
        <v>6703</v>
      </c>
      <c r="AN507" s="75">
        <v>12</v>
      </c>
      <c r="AO507" s="88">
        <v>7.53</v>
      </c>
      <c r="AP507" s="6" t="str">
        <f t="shared" si="82"/>
        <v>Same</v>
      </c>
      <c r="AQ507" s="81">
        <f t="shared" si="83"/>
        <v>90.36</v>
      </c>
      <c r="AR507" s="81">
        <f t="shared" si="84"/>
        <v>90.36</v>
      </c>
      <c r="AS507" s="81">
        <f t="shared" si="87"/>
        <v>0</v>
      </c>
    </row>
    <row r="508" spans="1:45" hidden="1" x14ac:dyDescent="0.3">
      <c r="A508">
        <v>5745112</v>
      </c>
      <c r="B508" s="15" t="s">
        <v>5844</v>
      </c>
      <c r="C508" s="16" t="s">
        <v>30</v>
      </c>
      <c r="D508" s="6" t="s">
        <v>31</v>
      </c>
      <c r="E508" t="s">
        <v>230</v>
      </c>
      <c r="F508" t="s">
        <v>230</v>
      </c>
      <c r="H508" s="11" t="s">
        <v>27</v>
      </c>
      <c r="I508" s="6" t="s">
        <v>28</v>
      </c>
      <c r="J508" s="6" t="s">
        <v>28</v>
      </c>
      <c r="K508" t="s">
        <v>32</v>
      </c>
      <c r="L508" s="35">
        <v>20.440000000000001</v>
      </c>
      <c r="M508" s="6" t="s">
        <v>29</v>
      </c>
      <c r="N508" s="6">
        <v>3105</v>
      </c>
      <c r="P508" s="18"/>
      <c r="Q508" s="17"/>
      <c r="R508" s="19">
        <v>20.440000000000001</v>
      </c>
      <c r="S508" s="19">
        <v>20.440000000000001</v>
      </c>
      <c r="T508" s="38">
        <v>16</v>
      </c>
      <c r="U508" s="38"/>
      <c r="V508" s="29">
        <v>20.440000000000001</v>
      </c>
      <c r="W508" s="35">
        <v>16.29</v>
      </c>
      <c r="X508" s="32">
        <f t="shared" si="77"/>
        <v>327.04000000000002</v>
      </c>
      <c r="Y508" s="32">
        <f t="shared" si="78"/>
        <v>327.04000000000002</v>
      </c>
      <c r="Z508" s="32">
        <f t="shared" si="79"/>
        <v>0</v>
      </c>
      <c r="AA508" s="38">
        <v>16</v>
      </c>
      <c r="AB508" s="37">
        <f>IFERROR(VLOOKUP(A508,'Tash Lookup'!A:E,3,FALSE),"")</f>
        <v>312.76</v>
      </c>
      <c r="AC508" s="6">
        <f t="shared" si="80"/>
        <v>0</v>
      </c>
      <c r="AD508" s="2" t="s">
        <v>6703</v>
      </c>
      <c r="AF508" s="56">
        <v>22.26</v>
      </c>
      <c r="AG508" s="56">
        <f>VLOOKUP(A508,Sheet1!$A$2:$C$1140,3,FALSE)</f>
        <v>22.26</v>
      </c>
      <c r="AH508" s="58">
        <v>22.26</v>
      </c>
      <c r="AI508" s="56" t="str">
        <f t="shared" si="81"/>
        <v>Same</v>
      </c>
      <c r="AJ508" s="81">
        <f t="shared" si="85"/>
        <v>356.16</v>
      </c>
      <c r="AK508" s="81">
        <f t="shared" si="86"/>
        <v>356.16</v>
      </c>
      <c r="AL508" s="58" t="s">
        <v>32</v>
      </c>
      <c r="AM508" s="58" t="s">
        <v>6703</v>
      </c>
      <c r="AN508" s="75">
        <v>23</v>
      </c>
      <c r="AO508" s="88">
        <v>22.26</v>
      </c>
      <c r="AP508" s="6" t="str">
        <f t="shared" si="82"/>
        <v>Same</v>
      </c>
      <c r="AQ508" s="81">
        <f t="shared" si="83"/>
        <v>511.98</v>
      </c>
      <c r="AR508" s="81">
        <f t="shared" si="84"/>
        <v>511.98</v>
      </c>
      <c r="AS508" s="81">
        <f t="shared" si="87"/>
        <v>0</v>
      </c>
    </row>
    <row r="509" spans="1:45" hidden="1" x14ac:dyDescent="0.3">
      <c r="A509">
        <v>5110678</v>
      </c>
      <c r="B509" s="15" t="s">
        <v>5845</v>
      </c>
      <c r="C509" s="16" t="s">
        <v>30</v>
      </c>
      <c r="D509" s="6" t="s">
        <v>31</v>
      </c>
      <c r="E509" t="s">
        <v>599</v>
      </c>
      <c r="F509" t="s">
        <v>599</v>
      </c>
      <c r="H509" s="11" t="s">
        <v>27</v>
      </c>
      <c r="I509" s="6" t="s">
        <v>28</v>
      </c>
      <c r="J509" s="6" t="s">
        <v>28</v>
      </c>
      <c r="K509" t="s">
        <v>32</v>
      </c>
      <c r="L509" s="35">
        <v>16.29</v>
      </c>
      <c r="M509" s="6" t="s">
        <v>29</v>
      </c>
      <c r="N509" s="6">
        <v>3105</v>
      </c>
      <c r="P509" s="18"/>
      <c r="Q509" s="17"/>
      <c r="R509" s="19">
        <v>16.29</v>
      </c>
      <c r="S509" s="19">
        <v>16.29</v>
      </c>
      <c r="T509" s="38">
        <v>16</v>
      </c>
      <c r="U509" s="38"/>
      <c r="V509" s="29">
        <v>16.29</v>
      </c>
      <c r="W509" s="35">
        <v>13.32</v>
      </c>
      <c r="X509" s="32">
        <f t="shared" si="77"/>
        <v>260.64</v>
      </c>
      <c r="Y509" s="32">
        <f t="shared" si="78"/>
        <v>260.64</v>
      </c>
      <c r="Z509" s="32">
        <f t="shared" si="79"/>
        <v>0</v>
      </c>
      <c r="AA509" s="38">
        <v>16</v>
      </c>
      <c r="AB509" s="37">
        <f>IFERROR(VLOOKUP(A509,'Tash Lookup'!A:E,3,FALSE),"")</f>
        <v>259.68</v>
      </c>
      <c r="AC509" s="6">
        <f t="shared" si="80"/>
        <v>0</v>
      </c>
      <c r="AD509" s="2" t="s">
        <v>6703</v>
      </c>
      <c r="AF509" s="56">
        <v>15.61</v>
      </c>
      <c r="AG509" s="56">
        <f>VLOOKUP(A509,Sheet1!$A$2:$C$1140,3,FALSE)</f>
        <v>16.079999999999998</v>
      </c>
      <c r="AH509" s="58">
        <v>16.079999999999998</v>
      </c>
      <c r="AI509" s="56" t="str">
        <f t="shared" si="81"/>
        <v>Increase</v>
      </c>
      <c r="AJ509" s="81">
        <f t="shared" si="85"/>
        <v>249.76</v>
      </c>
      <c r="AK509" s="81">
        <f t="shared" si="86"/>
        <v>257.27999999999997</v>
      </c>
      <c r="AL509" s="58" t="s">
        <v>32</v>
      </c>
      <c r="AM509" s="58" t="s">
        <v>6703</v>
      </c>
      <c r="AN509" s="75">
        <v>9</v>
      </c>
      <c r="AO509" s="88">
        <v>16.079999999999998</v>
      </c>
      <c r="AP509" s="6" t="str">
        <f t="shared" si="82"/>
        <v>Increase</v>
      </c>
      <c r="AQ509" s="81">
        <f t="shared" si="83"/>
        <v>140.49</v>
      </c>
      <c r="AR509" s="81">
        <f t="shared" si="84"/>
        <v>144.71999999999997</v>
      </c>
      <c r="AS509" s="82">
        <f t="shared" si="87"/>
        <v>4.2299999999999613</v>
      </c>
    </row>
    <row r="510" spans="1:45" hidden="1" x14ac:dyDescent="0.3">
      <c r="A510">
        <v>5218640</v>
      </c>
      <c r="B510" s="15" t="s">
        <v>5846</v>
      </c>
      <c r="C510" s="16" t="s">
        <v>30</v>
      </c>
      <c r="D510" s="6" t="s">
        <v>31</v>
      </c>
      <c r="E510" t="s">
        <v>261</v>
      </c>
      <c r="F510" t="s">
        <v>261</v>
      </c>
      <c r="H510" s="11" t="s">
        <v>27</v>
      </c>
      <c r="I510" s="6" t="s">
        <v>28</v>
      </c>
      <c r="J510" s="6" t="s">
        <v>28</v>
      </c>
      <c r="K510" t="s">
        <v>32</v>
      </c>
      <c r="L510" s="35">
        <v>11.35</v>
      </c>
      <c r="M510" s="6" t="s">
        <v>29</v>
      </c>
      <c r="N510" s="6">
        <v>3105</v>
      </c>
      <c r="P510" s="18"/>
      <c r="Q510" s="17"/>
      <c r="R510" s="19">
        <v>11.35</v>
      </c>
      <c r="S510" s="19">
        <v>11.35</v>
      </c>
      <c r="T510" s="38">
        <v>15</v>
      </c>
      <c r="U510" s="38"/>
      <c r="V510" s="29">
        <v>11.35</v>
      </c>
      <c r="W510" s="45">
        <v>7.34</v>
      </c>
      <c r="X510" s="32">
        <f t="shared" si="77"/>
        <v>170.25</v>
      </c>
      <c r="Y510" s="32">
        <f t="shared" si="78"/>
        <v>170.25</v>
      </c>
      <c r="Z510" s="32">
        <f t="shared" si="79"/>
        <v>0</v>
      </c>
      <c r="AA510" s="38">
        <v>15</v>
      </c>
      <c r="AB510" s="37">
        <f>IFERROR(VLOOKUP(A510,'Tash Lookup'!A:E,3,FALSE),"")</f>
        <v>120.88</v>
      </c>
      <c r="AC510" s="6">
        <f t="shared" si="80"/>
        <v>0</v>
      </c>
      <c r="AD510" s="2" t="s">
        <v>6703</v>
      </c>
      <c r="AF510" s="56">
        <v>12.7</v>
      </c>
      <c r="AG510" s="56">
        <f>VLOOKUP(A510,Sheet1!$A$2:$C$1140,3,FALSE)</f>
        <v>13.08</v>
      </c>
      <c r="AH510" s="58">
        <v>13.08</v>
      </c>
      <c r="AI510" s="56" t="str">
        <f t="shared" si="81"/>
        <v>Increase</v>
      </c>
      <c r="AJ510" s="81">
        <f t="shared" si="85"/>
        <v>190.5</v>
      </c>
      <c r="AK510" s="81">
        <f t="shared" si="86"/>
        <v>196.2</v>
      </c>
      <c r="AL510" s="58" t="s">
        <v>32</v>
      </c>
      <c r="AM510" s="58" t="s">
        <v>6703</v>
      </c>
      <c r="AN510" s="75">
        <v>10</v>
      </c>
      <c r="AO510" s="88">
        <v>13.08</v>
      </c>
      <c r="AP510" s="6" t="str">
        <f t="shared" si="82"/>
        <v>Increase</v>
      </c>
      <c r="AQ510" s="81">
        <f t="shared" si="83"/>
        <v>127</v>
      </c>
      <c r="AR510" s="81">
        <f t="shared" si="84"/>
        <v>130.80000000000001</v>
      </c>
      <c r="AS510" s="82">
        <f t="shared" si="87"/>
        <v>3.8000000000000114</v>
      </c>
    </row>
    <row r="511" spans="1:45" hidden="1" x14ac:dyDescent="0.3">
      <c r="A511">
        <v>6183901</v>
      </c>
      <c r="B511" s="15" t="s">
        <v>5847</v>
      </c>
      <c r="C511" s="16" t="s">
        <v>30</v>
      </c>
      <c r="D511" s="6" t="s">
        <v>31</v>
      </c>
      <c r="E511" t="s">
        <v>901</v>
      </c>
      <c r="F511" t="s">
        <v>901</v>
      </c>
      <c r="H511" s="11" t="s">
        <v>27</v>
      </c>
      <c r="I511" s="6" t="s">
        <v>28</v>
      </c>
      <c r="J511" s="6" t="s">
        <v>28</v>
      </c>
      <c r="K511" t="s">
        <v>32</v>
      </c>
      <c r="L511" s="35">
        <v>13.16</v>
      </c>
      <c r="M511" s="6" t="s">
        <v>29</v>
      </c>
      <c r="N511" s="6">
        <v>3105</v>
      </c>
      <c r="P511" s="18"/>
      <c r="Q511" s="17"/>
      <c r="R511" s="19">
        <v>13.16</v>
      </c>
      <c r="S511" s="19">
        <v>13.16</v>
      </c>
      <c r="T511" s="38">
        <v>15</v>
      </c>
      <c r="U511" s="38"/>
      <c r="V511" s="30">
        <v>13.16</v>
      </c>
      <c r="W511" s="35">
        <v>13.16</v>
      </c>
      <c r="X511" s="32">
        <f t="shared" si="77"/>
        <v>197.4</v>
      </c>
      <c r="Y511" s="32">
        <f t="shared" si="78"/>
        <v>197.4</v>
      </c>
      <c r="Z511" s="32">
        <f t="shared" si="79"/>
        <v>0</v>
      </c>
      <c r="AA511" s="38">
        <v>15</v>
      </c>
      <c r="AB511" s="37">
        <f>IFERROR(VLOOKUP(A511,'Tash Lookup'!A:E,3,FALSE),"")</f>
        <v>196.27</v>
      </c>
      <c r="AC511" s="6">
        <f t="shared" si="80"/>
        <v>0</v>
      </c>
      <c r="AD511" s="2" t="s">
        <v>6703</v>
      </c>
      <c r="AF511" s="56">
        <v>13.16</v>
      </c>
      <c r="AG511" s="56">
        <f>VLOOKUP(A511,Sheet1!$A$2:$C$1140,3,FALSE)</f>
        <v>13.43</v>
      </c>
      <c r="AH511" s="58">
        <v>13.43</v>
      </c>
      <c r="AI511" s="56" t="str">
        <f t="shared" si="81"/>
        <v>Increase</v>
      </c>
      <c r="AJ511" s="81">
        <f t="shared" si="85"/>
        <v>197.4</v>
      </c>
      <c r="AK511" s="81">
        <f t="shared" si="86"/>
        <v>201.45</v>
      </c>
      <c r="AL511" s="58" t="s">
        <v>7206</v>
      </c>
      <c r="AM511" s="58" t="s">
        <v>6703</v>
      </c>
      <c r="AN511" s="75">
        <v>9</v>
      </c>
      <c r="AO511" s="88">
        <v>13.43</v>
      </c>
      <c r="AP511" s="6" t="str">
        <f t="shared" si="82"/>
        <v>Increase</v>
      </c>
      <c r="AQ511" s="81">
        <f t="shared" si="83"/>
        <v>118.44</v>
      </c>
      <c r="AR511" s="81">
        <f t="shared" si="84"/>
        <v>120.87</v>
      </c>
      <c r="AS511" s="82">
        <f t="shared" si="87"/>
        <v>2.4300000000000068</v>
      </c>
    </row>
    <row r="512" spans="1:45" hidden="1" x14ac:dyDescent="0.3">
      <c r="A512">
        <v>5184006</v>
      </c>
      <c r="B512" s="15" t="s">
        <v>5848</v>
      </c>
      <c r="C512" s="16" t="s">
        <v>30</v>
      </c>
      <c r="D512" s="6" t="s">
        <v>31</v>
      </c>
      <c r="E512" t="s">
        <v>478</v>
      </c>
      <c r="F512" t="s">
        <v>478</v>
      </c>
      <c r="H512" s="11" t="s">
        <v>27</v>
      </c>
      <c r="I512" s="6" t="s">
        <v>28</v>
      </c>
      <c r="J512" s="6" t="s">
        <v>28</v>
      </c>
      <c r="K512" t="s">
        <v>32</v>
      </c>
      <c r="L512" s="35">
        <v>33.130000000000003</v>
      </c>
      <c r="M512" s="6" t="s">
        <v>29</v>
      </c>
      <c r="N512" s="6">
        <v>3105</v>
      </c>
      <c r="P512" s="18"/>
      <c r="Q512" s="17"/>
      <c r="R512" s="19">
        <v>33.130000000000003</v>
      </c>
      <c r="S512" s="19">
        <v>33.130000000000003</v>
      </c>
      <c r="T512" s="38">
        <v>15</v>
      </c>
      <c r="U512" s="38"/>
      <c r="V512" s="29">
        <v>33.130000000000003</v>
      </c>
      <c r="W512" s="35">
        <v>33.130000000000003</v>
      </c>
      <c r="X512" s="32">
        <f t="shared" si="77"/>
        <v>496.95000000000005</v>
      </c>
      <c r="Y512" s="32">
        <f t="shared" si="78"/>
        <v>496.95000000000005</v>
      </c>
      <c r="Z512" s="32">
        <f t="shared" si="79"/>
        <v>0</v>
      </c>
      <c r="AA512" s="38">
        <v>15</v>
      </c>
      <c r="AB512" s="37">
        <f>IFERROR(VLOOKUP(A512,'Tash Lookup'!A:E,3,FALSE),"")</f>
        <v>492.9</v>
      </c>
      <c r="AC512" s="6">
        <f t="shared" si="80"/>
        <v>0</v>
      </c>
      <c r="AD512" s="2" t="s">
        <v>6703</v>
      </c>
      <c r="AF512" s="56">
        <v>36.71</v>
      </c>
      <c r="AG512" s="56">
        <f>VLOOKUP(A512,Sheet1!$A$2:$C$1140,3,FALSE)</f>
        <v>37.81</v>
      </c>
      <c r="AH512" s="58">
        <v>37.81</v>
      </c>
      <c r="AI512" s="56" t="str">
        <f t="shared" si="81"/>
        <v>Increase</v>
      </c>
      <c r="AJ512" s="81">
        <f t="shared" si="85"/>
        <v>550.65</v>
      </c>
      <c r="AK512" s="81">
        <f t="shared" si="86"/>
        <v>567.15000000000009</v>
      </c>
      <c r="AL512" s="58" t="s">
        <v>32</v>
      </c>
      <c r="AM512" s="58" t="s">
        <v>6703</v>
      </c>
      <c r="AN512" s="75">
        <v>57</v>
      </c>
      <c r="AO512" s="88">
        <v>37.81</v>
      </c>
      <c r="AP512" s="6" t="str">
        <f t="shared" si="82"/>
        <v>Increase</v>
      </c>
      <c r="AQ512" s="81">
        <f t="shared" si="83"/>
        <v>2092.4700000000003</v>
      </c>
      <c r="AR512" s="81">
        <f t="shared" si="84"/>
        <v>2155.17</v>
      </c>
      <c r="AS512" s="82">
        <f t="shared" si="87"/>
        <v>62.699999999999818</v>
      </c>
    </row>
    <row r="513" spans="1:45" hidden="1" x14ac:dyDescent="0.3">
      <c r="A513">
        <v>5220069</v>
      </c>
      <c r="B513" s="15" t="s">
        <v>5849</v>
      </c>
      <c r="C513" s="16" t="s">
        <v>30</v>
      </c>
      <c r="D513" s="6" t="s">
        <v>31</v>
      </c>
      <c r="E513" t="s">
        <v>120</v>
      </c>
      <c r="F513" t="s">
        <v>120</v>
      </c>
      <c r="H513" s="11" t="s">
        <v>27</v>
      </c>
      <c r="I513" s="6" t="s">
        <v>28</v>
      </c>
      <c r="J513" s="6" t="s">
        <v>28</v>
      </c>
      <c r="K513" t="s">
        <v>32</v>
      </c>
      <c r="L513" s="35">
        <v>9.81</v>
      </c>
      <c r="M513" s="6" t="s">
        <v>29</v>
      </c>
      <c r="N513" s="6">
        <v>3105</v>
      </c>
      <c r="P513" s="18"/>
      <c r="Q513" s="17"/>
      <c r="R513" s="19">
        <v>9.81</v>
      </c>
      <c r="S513" s="19">
        <v>9.81</v>
      </c>
      <c r="T513" s="38">
        <v>15</v>
      </c>
      <c r="U513" s="38"/>
      <c r="V513" s="29">
        <v>9.81</v>
      </c>
      <c r="W513" s="35">
        <v>9.81</v>
      </c>
      <c r="X513" s="32">
        <f t="shared" si="77"/>
        <v>147.15</v>
      </c>
      <c r="Y513" s="32">
        <f t="shared" si="78"/>
        <v>147.15</v>
      </c>
      <c r="Z513" s="32">
        <f t="shared" si="79"/>
        <v>0</v>
      </c>
      <c r="AA513" s="38">
        <v>15</v>
      </c>
      <c r="AB513" s="37">
        <f>IFERROR(VLOOKUP(A513,'Tash Lookup'!A:E,3,FALSE),"")</f>
        <v>147.15</v>
      </c>
      <c r="AC513" s="6">
        <f t="shared" si="80"/>
        <v>0</v>
      </c>
      <c r="AD513" s="2" t="s">
        <v>6703</v>
      </c>
      <c r="AF513" s="56">
        <v>10.8</v>
      </c>
      <c r="AG513" s="56">
        <f>VLOOKUP(A513,Sheet1!$A$2:$C$1140,3,FALSE)</f>
        <v>10.8</v>
      </c>
      <c r="AH513" s="58">
        <v>10.8</v>
      </c>
      <c r="AI513" s="56" t="str">
        <f t="shared" si="81"/>
        <v>Same</v>
      </c>
      <c r="AJ513" s="81">
        <f t="shared" si="85"/>
        <v>162</v>
      </c>
      <c r="AK513" s="81">
        <f t="shared" si="86"/>
        <v>162</v>
      </c>
      <c r="AL513" s="58" t="s">
        <v>32</v>
      </c>
      <c r="AM513" s="58" t="s">
        <v>6703</v>
      </c>
      <c r="AN513" s="75">
        <v>28</v>
      </c>
      <c r="AO513" s="88">
        <v>10.8</v>
      </c>
      <c r="AP513" s="6" t="str">
        <f t="shared" si="82"/>
        <v>Same</v>
      </c>
      <c r="AQ513" s="81">
        <f t="shared" si="83"/>
        <v>302.40000000000003</v>
      </c>
      <c r="AR513" s="81">
        <f t="shared" si="84"/>
        <v>302.40000000000003</v>
      </c>
      <c r="AS513" s="81">
        <f t="shared" si="87"/>
        <v>0</v>
      </c>
    </row>
    <row r="514" spans="1:45" hidden="1" x14ac:dyDescent="0.3">
      <c r="A514">
        <v>6392291</v>
      </c>
      <c r="B514" s="15" t="s">
        <v>5850</v>
      </c>
      <c r="C514" s="16" t="s">
        <v>30</v>
      </c>
      <c r="D514" s="6" t="s">
        <v>31</v>
      </c>
      <c r="E514" t="s">
        <v>2542</v>
      </c>
      <c r="F514" t="s">
        <v>2542</v>
      </c>
      <c r="H514" s="11" t="s">
        <v>27</v>
      </c>
      <c r="I514" s="6" t="s">
        <v>28</v>
      </c>
      <c r="J514" s="6" t="s">
        <v>28</v>
      </c>
      <c r="K514" t="s">
        <v>32</v>
      </c>
      <c r="L514" s="35">
        <v>9.42</v>
      </c>
      <c r="M514" s="6" t="s">
        <v>29</v>
      </c>
      <c r="N514" s="6">
        <v>3105</v>
      </c>
      <c r="P514" s="18"/>
      <c r="Q514" s="17"/>
      <c r="R514" s="19">
        <v>9.42</v>
      </c>
      <c r="S514" s="19">
        <v>9.42</v>
      </c>
      <c r="T514" s="38">
        <v>15</v>
      </c>
      <c r="U514" s="38"/>
      <c r="V514" s="30">
        <v>9.42</v>
      </c>
      <c r="W514" s="35">
        <v>9.42</v>
      </c>
      <c r="X514" s="32">
        <f t="shared" si="77"/>
        <v>141.30000000000001</v>
      </c>
      <c r="Y514" s="32">
        <f t="shared" si="78"/>
        <v>141.30000000000001</v>
      </c>
      <c r="Z514" s="32">
        <f t="shared" si="79"/>
        <v>0</v>
      </c>
      <c r="AA514" s="38">
        <v>15</v>
      </c>
      <c r="AB514" s="37">
        <f>IFERROR(VLOOKUP(A514,'Tash Lookup'!A:E,3,FALSE),"")</f>
        <v>141.32</v>
      </c>
      <c r="AC514" s="6">
        <f t="shared" si="80"/>
        <v>0</v>
      </c>
      <c r="AD514" s="2" t="s">
        <v>6703</v>
      </c>
      <c r="AF514" s="56">
        <v>9.42</v>
      </c>
      <c r="AG514" s="56">
        <f>VLOOKUP(A514,Sheet1!$A$2:$C$1140,3,FALSE)</f>
        <v>9.61</v>
      </c>
      <c r="AH514" s="58">
        <v>9.61</v>
      </c>
      <c r="AI514" s="56" t="str">
        <f t="shared" si="81"/>
        <v>Increase</v>
      </c>
      <c r="AJ514" s="81">
        <f t="shared" si="85"/>
        <v>141.30000000000001</v>
      </c>
      <c r="AK514" s="81">
        <f t="shared" si="86"/>
        <v>144.14999999999998</v>
      </c>
      <c r="AL514" s="58" t="s">
        <v>7206</v>
      </c>
      <c r="AM514" s="58" t="s">
        <v>6703</v>
      </c>
      <c r="AN514" s="75">
        <v>5</v>
      </c>
      <c r="AO514" s="88">
        <v>9.61</v>
      </c>
      <c r="AP514" s="6" t="str">
        <f t="shared" si="82"/>
        <v>Increase</v>
      </c>
      <c r="AQ514" s="81">
        <f t="shared" si="83"/>
        <v>47.1</v>
      </c>
      <c r="AR514" s="81">
        <f t="shared" si="84"/>
        <v>48.05</v>
      </c>
      <c r="AS514" s="82">
        <f t="shared" si="87"/>
        <v>0.94999999999999574</v>
      </c>
    </row>
    <row r="515" spans="1:45" hidden="1" x14ac:dyDescent="0.3">
      <c r="A515">
        <v>6306043</v>
      </c>
      <c r="B515" s="15" t="s">
        <v>5851</v>
      </c>
      <c r="C515" s="16" t="s">
        <v>30</v>
      </c>
      <c r="D515" s="6" t="s">
        <v>31</v>
      </c>
      <c r="E515" t="s">
        <v>1128</v>
      </c>
      <c r="F515" t="s">
        <v>1128</v>
      </c>
      <c r="H515" s="11" t="s">
        <v>27</v>
      </c>
      <c r="I515" s="6" t="s">
        <v>28</v>
      </c>
      <c r="J515" s="6" t="s">
        <v>28</v>
      </c>
      <c r="K515" t="s">
        <v>32</v>
      </c>
      <c r="L515" s="35">
        <v>4.07</v>
      </c>
      <c r="M515" s="6" t="s">
        <v>29</v>
      </c>
      <c r="N515" s="6">
        <v>3105</v>
      </c>
      <c r="P515" s="18"/>
      <c r="Q515" s="17"/>
      <c r="R515" s="19">
        <v>0</v>
      </c>
      <c r="S515" s="19">
        <v>0</v>
      </c>
      <c r="T515" s="38">
        <v>15</v>
      </c>
      <c r="U515" s="38"/>
      <c r="V515" s="31">
        <v>4.07</v>
      </c>
      <c r="W515" s="35">
        <v>4.07</v>
      </c>
      <c r="X515" s="32">
        <f t="shared" si="77"/>
        <v>61.050000000000004</v>
      </c>
      <c r="Y515" s="32">
        <f t="shared" si="78"/>
        <v>61.050000000000004</v>
      </c>
      <c r="Z515" s="32">
        <f t="shared" si="79"/>
        <v>0</v>
      </c>
      <c r="AA515" s="38">
        <v>15</v>
      </c>
      <c r="AB515" s="37">
        <f>IFERROR(VLOOKUP(A515,'Tash Lookup'!A:E,3,FALSE),"")</f>
        <v>61.03</v>
      </c>
      <c r="AC515" s="6">
        <f t="shared" si="80"/>
        <v>0</v>
      </c>
      <c r="AD515" s="2" t="s">
        <v>6703</v>
      </c>
      <c r="AF515" s="56">
        <v>3.87</v>
      </c>
      <c r="AG515" s="56">
        <f>VLOOKUP(A515,Sheet1!$A$2:$C$1140,3,FALSE)</f>
        <v>3.95</v>
      </c>
      <c r="AH515" s="58">
        <v>3.95</v>
      </c>
      <c r="AI515" s="56" t="str">
        <f t="shared" si="81"/>
        <v>Increase</v>
      </c>
      <c r="AJ515" s="81">
        <f t="shared" si="85"/>
        <v>58.050000000000004</v>
      </c>
      <c r="AK515" s="81">
        <f t="shared" si="86"/>
        <v>59.25</v>
      </c>
      <c r="AL515" s="58" t="s">
        <v>7206</v>
      </c>
      <c r="AM515" s="58" t="s">
        <v>6703</v>
      </c>
      <c r="AN515" s="75">
        <v>10</v>
      </c>
      <c r="AO515" s="88">
        <v>3.95</v>
      </c>
      <c r="AP515" s="6" t="str">
        <f t="shared" si="82"/>
        <v>Increase</v>
      </c>
      <c r="AQ515" s="81">
        <f t="shared" si="83"/>
        <v>38.700000000000003</v>
      </c>
      <c r="AR515" s="81">
        <f t="shared" si="84"/>
        <v>39.5</v>
      </c>
      <c r="AS515" s="82">
        <f t="shared" si="87"/>
        <v>0.79999999999999716</v>
      </c>
    </row>
    <row r="516" spans="1:45" hidden="1" x14ac:dyDescent="0.3">
      <c r="A516">
        <v>6142696</v>
      </c>
      <c r="B516" s="15" t="s">
        <v>5852</v>
      </c>
      <c r="C516" s="16" t="s">
        <v>30</v>
      </c>
      <c r="D516" s="6" t="s">
        <v>31</v>
      </c>
      <c r="E516" t="s">
        <v>1138</v>
      </c>
      <c r="F516" t="s">
        <v>1138</v>
      </c>
      <c r="H516" s="11" t="s">
        <v>27</v>
      </c>
      <c r="I516" s="6" t="s">
        <v>28</v>
      </c>
      <c r="J516" s="6" t="s">
        <v>28</v>
      </c>
      <c r="K516" t="s">
        <v>32</v>
      </c>
      <c r="L516" s="35">
        <v>19.53</v>
      </c>
      <c r="M516" s="6" t="s">
        <v>29</v>
      </c>
      <c r="N516" s="6">
        <v>3105</v>
      </c>
      <c r="P516" s="18"/>
      <c r="Q516" s="17"/>
      <c r="R516" s="19">
        <v>0</v>
      </c>
      <c r="S516" s="19">
        <v>0</v>
      </c>
      <c r="T516" s="38">
        <v>15</v>
      </c>
      <c r="U516" s="38"/>
      <c r="V516" s="31">
        <v>19.53</v>
      </c>
      <c r="W516" s="35">
        <v>19.53</v>
      </c>
      <c r="X516" s="32">
        <f t="shared" si="77"/>
        <v>292.95000000000005</v>
      </c>
      <c r="Y516" s="32">
        <f t="shared" si="78"/>
        <v>292.95000000000005</v>
      </c>
      <c r="Z516" s="32">
        <f t="shared" si="79"/>
        <v>0</v>
      </c>
      <c r="AA516" s="38">
        <v>15</v>
      </c>
      <c r="AB516" s="37">
        <f>IFERROR(VLOOKUP(A516,'Tash Lookup'!A:E,3,FALSE),"")</f>
        <v>295.45</v>
      </c>
      <c r="AC516" s="6">
        <f t="shared" si="80"/>
        <v>0</v>
      </c>
      <c r="AD516" s="2" t="s">
        <v>6703</v>
      </c>
      <c r="AF516" s="56">
        <v>18.55</v>
      </c>
      <c r="AG516" s="56">
        <f>VLOOKUP(A516,Sheet1!$A$2:$C$1140,3,FALSE)</f>
        <v>18.55</v>
      </c>
      <c r="AH516" s="58">
        <v>18.55</v>
      </c>
      <c r="AI516" s="56" t="str">
        <f t="shared" si="81"/>
        <v>Same</v>
      </c>
      <c r="AJ516" s="81">
        <f t="shared" si="85"/>
        <v>278.25</v>
      </c>
      <c r="AK516" s="81">
        <f t="shared" si="86"/>
        <v>278.25</v>
      </c>
      <c r="AL516" s="58" t="s">
        <v>7206</v>
      </c>
      <c r="AM516" s="58" t="s">
        <v>6708</v>
      </c>
      <c r="AN516" s="75">
        <v>5</v>
      </c>
      <c r="AO516" s="88">
        <v>18.55</v>
      </c>
      <c r="AP516" s="6" t="str">
        <f t="shared" si="82"/>
        <v>Same</v>
      </c>
      <c r="AQ516" s="81">
        <f t="shared" si="83"/>
        <v>92.75</v>
      </c>
      <c r="AR516" s="81">
        <f t="shared" si="84"/>
        <v>92.75</v>
      </c>
      <c r="AS516" s="81">
        <f t="shared" si="87"/>
        <v>0</v>
      </c>
    </row>
    <row r="517" spans="1:45" hidden="1" x14ac:dyDescent="0.3">
      <c r="A517">
        <v>6142665</v>
      </c>
      <c r="B517" s="15" t="s">
        <v>5853</v>
      </c>
      <c r="C517" s="16" t="s">
        <v>30</v>
      </c>
      <c r="D517" s="6" t="s">
        <v>31</v>
      </c>
      <c r="E517" t="s">
        <v>1143</v>
      </c>
      <c r="F517" t="s">
        <v>1143</v>
      </c>
      <c r="H517" s="11" t="s">
        <v>27</v>
      </c>
      <c r="I517" s="6" t="s">
        <v>28</v>
      </c>
      <c r="J517" s="6" t="s">
        <v>28</v>
      </c>
      <c r="K517" t="s">
        <v>32</v>
      </c>
      <c r="L517" s="35">
        <v>9.74</v>
      </c>
      <c r="M517" s="6" t="s">
        <v>29</v>
      </c>
      <c r="N517" s="6">
        <v>3105</v>
      </c>
      <c r="P517" s="18"/>
      <c r="Q517" s="17"/>
      <c r="R517" s="19">
        <v>0</v>
      </c>
      <c r="S517" s="19">
        <v>0</v>
      </c>
      <c r="T517" s="38">
        <v>15</v>
      </c>
      <c r="U517" s="38"/>
      <c r="V517" s="31">
        <v>9.74</v>
      </c>
      <c r="W517" s="35">
        <v>9.74</v>
      </c>
      <c r="X517" s="32">
        <f t="shared" si="77"/>
        <v>146.1</v>
      </c>
      <c r="Y517" s="32">
        <f t="shared" si="78"/>
        <v>146.1</v>
      </c>
      <c r="Z517" s="32">
        <f t="shared" si="79"/>
        <v>0</v>
      </c>
      <c r="AA517" s="38">
        <v>15</v>
      </c>
      <c r="AB517" s="37">
        <f>IFERROR(VLOOKUP(A517,'Tash Lookup'!A:E,3,FALSE),"")</f>
        <v>145.08000000000001</v>
      </c>
      <c r="AC517" s="6">
        <f t="shared" si="80"/>
        <v>0</v>
      </c>
      <c r="AD517" s="2" t="s">
        <v>6703</v>
      </c>
      <c r="AF517" s="56">
        <v>9.26</v>
      </c>
      <c r="AG517" s="56">
        <f>VLOOKUP(A517,Sheet1!$A$2:$C$1140,3,FALSE)</f>
        <v>9.44</v>
      </c>
      <c r="AH517" s="58">
        <v>9.44</v>
      </c>
      <c r="AI517" s="56" t="str">
        <f t="shared" si="81"/>
        <v>Increase</v>
      </c>
      <c r="AJ517" s="81">
        <f t="shared" si="85"/>
        <v>138.9</v>
      </c>
      <c r="AK517" s="81">
        <f t="shared" si="86"/>
        <v>141.6</v>
      </c>
      <c r="AL517" s="58" t="s">
        <v>7206</v>
      </c>
      <c r="AM517" s="58" t="s">
        <v>6703</v>
      </c>
      <c r="AN517" s="75">
        <v>8</v>
      </c>
      <c r="AO517" s="88">
        <v>9.44</v>
      </c>
      <c r="AP517" s="6" t="str">
        <f t="shared" si="82"/>
        <v>Increase</v>
      </c>
      <c r="AQ517" s="81">
        <f t="shared" si="83"/>
        <v>74.08</v>
      </c>
      <c r="AR517" s="81">
        <f t="shared" si="84"/>
        <v>75.52</v>
      </c>
      <c r="AS517" s="82">
        <f t="shared" si="87"/>
        <v>1.4399999999999977</v>
      </c>
    </row>
    <row r="518" spans="1:45" hidden="1" x14ac:dyDescent="0.3">
      <c r="A518">
        <v>6183921</v>
      </c>
      <c r="B518" s="15" t="s">
        <v>5854</v>
      </c>
      <c r="C518" s="16" t="s">
        <v>30</v>
      </c>
      <c r="D518" s="6" t="s">
        <v>31</v>
      </c>
      <c r="E518" t="s">
        <v>834</v>
      </c>
      <c r="F518" t="s">
        <v>834</v>
      </c>
      <c r="H518" s="11" t="s">
        <v>27</v>
      </c>
      <c r="I518" s="6" t="s">
        <v>28</v>
      </c>
      <c r="J518" s="6" t="s">
        <v>28</v>
      </c>
      <c r="K518" t="s">
        <v>32</v>
      </c>
      <c r="L518" s="35">
        <v>4.3600000000000003</v>
      </c>
      <c r="M518" s="6" t="s">
        <v>29</v>
      </c>
      <c r="N518" s="6">
        <v>3105</v>
      </c>
      <c r="P518" s="18"/>
      <c r="Q518" s="17"/>
      <c r="R518" s="19">
        <v>4.3600000000000003</v>
      </c>
      <c r="S518" s="19">
        <v>4.3600000000000003</v>
      </c>
      <c r="T518" s="38">
        <v>15</v>
      </c>
      <c r="U518" s="38"/>
      <c r="V518" s="30">
        <v>4.3600000000000003</v>
      </c>
      <c r="W518" s="35">
        <v>4.3600000000000003</v>
      </c>
      <c r="X518" s="32">
        <f t="shared" ref="X518:X581" si="88">SUM(V518*T518)</f>
        <v>65.400000000000006</v>
      </c>
      <c r="Y518" s="32">
        <f t="shared" ref="Y518:Y581" si="89">SUM(L518*T518)</f>
        <v>65.400000000000006</v>
      </c>
      <c r="Z518" s="32">
        <f t="shared" ref="Z518:Z581" si="90">SUM(X518-Y518)</f>
        <v>0</v>
      </c>
      <c r="AA518" s="38">
        <v>15</v>
      </c>
      <c r="AB518" s="37">
        <f>IFERROR(VLOOKUP(A518,'Tash Lookup'!A:E,3,FALSE),"")</f>
        <v>64.650000000000006</v>
      </c>
      <c r="AC518" s="6">
        <f t="shared" ref="AC518:AC581" si="91">IFERROR(AA518-T518,"")</f>
        <v>0</v>
      </c>
      <c r="AD518" s="2" t="s">
        <v>6703</v>
      </c>
      <c r="AF518" s="56">
        <v>4.3600000000000003</v>
      </c>
      <c r="AG518" s="56">
        <f>VLOOKUP(A518,Sheet1!$A$2:$C$1140,3,FALSE)</f>
        <v>4.45</v>
      </c>
      <c r="AH518" s="58">
        <v>4.45</v>
      </c>
      <c r="AI518" s="56" t="str">
        <f t="shared" ref="AI518:AI581" si="92">IF(ISNA(AH518),"Delete",IF(AH518=AF518,"Same",IF(AH518&gt;AF518,"Increase","Decrease")))</f>
        <v>Increase</v>
      </c>
      <c r="AJ518" s="81">
        <f t="shared" si="85"/>
        <v>65.400000000000006</v>
      </c>
      <c r="AK518" s="81">
        <f t="shared" si="86"/>
        <v>66.75</v>
      </c>
      <c r="AL518" s="58" t="s">
        <v>7206</v>
      </c>
      <c r="AM518" s="58" t="s">
        <v>6703</v>
      </c>
      <c r="AN518" s="75">
        <v>5</v>
      </c>
      <c r="AO518" s="88">
        <v>4.45</v>
      </c>
      <c r="AP518" s="6" t="str">
        <f t="shared" ref="AP518:AP581" si="93">IF(AM518="Delete","Delete",IF(AO518=AF518,"Same",IF(AO518&gt;AF518,"Increase","Decrease")))</f>
        <v>Increase</v>
      </c>
      <c r="AQ518" s="81">
        <f t="shared" ref="AQ518:AQ581" si="94">AN518*AF518</f>
        <v>21.8</v>
      </c>
      <c r="AR518" s="81">
        <f t="shared" ref="AR518:AR581" si="95">AN518*AO518</f>
        <v>22.25</v>
      </c>
      <c r="AS518" s="82">
        <f t="shared" si="87"/>
        <v>0.44999999999999929</v>
      </c>
    </row>
    <row r="519" spans="1:45" hidden="1" x14ac:dyDescent="0.3">
      <c r="A519">
        <v>5180706</v>
      </c>
      <c r="B519" s="15" t="s">
        <v>5855</v>
      </c>
      <c r="C519" s="16" t="s">
        <v>30</v>
      </c>
      <c r="D519" s="6" t="s">
        <v>31</v>
      </c>
      <c r="E519" t="s">
        <v>616</v>
      </c>
      <c r="F519" t="s">
        <v>616</v>
      </c>
      <c r="H519" s="11" t="s">
        <v>27</v>
      </c>
      <c r="I519" s="6" t="s">
        <v>28</v>
      </c>
      <c r="J519" s="6" t="s">
        <v>28</v>
      </c>
      <c r="K519" t="s">
        <v>32</v>
      </c>
      <c r="L519" s="35">
        <v>61.05</v>
      </c>
      <c r="M519" s="6" t="s">
        <v>29</v>
      </c>
      <c r="N519" s="6">
        <v>3105</v>
      </c>
      <c r="P519" s="18"/>
      <c r="Q519" s="17"/>
      <c r="R519" s="19">
        <v>58</v>
      </c>
      <c r="S519" s="19">
        <v>0</v>
      </c>
      <c r="T519" s="38">
        <v>15</v>
      </c>
      <c r="U519" s="38"/>
      <c r="V519" s="29">
        <v>61.05</v>
      </c>
      <c r="W519" s="35">
        <v>61.05</v>
      </c>
      <c r="X519" s="32">
        <f t="shared" si="88"/>
        <v>915.75</v>
      </c>
      <c r="Y519" s="32">
        <f t="shared" si="89"/>
        <v>915.75</v>
      </c>
      <c r="Z519" s="32">
        <f t="shared" si="90"/>
        <v>0</v>
      </c>
      <c r="AA519" s="38">
        <v>15</v>
      </c>
      <c r="AB519" s="37">
        <f>IFERROR(VLOOKUP(A519,'Tash Lookup'!A:E,3,FALSE),"")</f>
        <v>903.12</v>
      </c>
      <c r="AC519" s="6">
        <f t="shared" si="91"/>
        <v>0</v>
      </c>
      <c r="AD519" s="2" t="s">
        <v>6703</v>
      </c>
      <c r="AF519" s="56">
        <v>68.44</v>
      </c>
      <c r="AG519" s="56">
        <f>VLOOKUP(A519,Sheet1!$A$2:$C$1140,3,FALSE)</f>
        <v>70.489999999999995</v>
      </c>
      <c r="AH519" s="58">
        <v>70.489999999999995</v>
      </c>
      <c r="AI519" s="56" t="str">
        <f t="shared" si="92"/>
        <v>Increase</v>
      </c>
      <c r="AJ519" s="81">
        <f t="shared" ref="AJ519:AJ582" si="96">IFERROR(AA519*AF519,0)</f>
        <v>1026.5999999999999</v>
      </c>
      <c r="AK519" s="81">
        <f t="shared" ref="AK519:AK582" si="97">IFERROR(AA519*AH519,0)</f>
        <v>1057.3499999999999</v>
      </c>
      <c r="AL519" s="58" t="s">
        <v>32</v>
      </c>
      <c r="AM519" s="58" t="s">
        <v>6703</v>
      </c>
      <c r="AN519" s="75">
        <v>7</v>
      </c>
      <c r="AO519" s="88">
        <v>70.489999999999995</v>
      </c>
      <c r="AP519" s="6" t="str">
        <f t="shared" si="93"/>
        <v>Increase</v>
      </c>
      <c r="AQ519" s="81">
        <f t="shared" si="94"/>
        <v>479.08</v>
      </c>
      <c r="AR519" s="81">
        <f t="shared" si="95"/>
        <v>493.42999999999995</v>
      </c>
      <c r="AS519" s="82">
        <f t="shared" ref="AS519:AS582" si="98">AR519-AQ519</f>
        <v>14.349999999999966</v>
      </c>
    </row>
    <row r="520" spans="1:45" hidden="1" x14ac:dyDescent="0.3">
      <c r="A520">
        <v>5090752</v>
      </c>
      <c r="B520" s="15" t="s">
        <v>5856</v>
      </c>
      <c r="C520" s="16" t="s">
        <v>30</v>
      </c>
      <c r="D520" s="6" t="s">
        <v>31</v>
      </c>
      <c r="E520" t="s">
        <v>474</v>
      </c>
      <c r="F520" t="s">
        <v>474</v>
      </c>
      <c r="H520" s="11" t="s">
        <v>27</v>
      </c>
      <c r="I520" s="6" t="s">
        <v>28</v>
      </c>
      <c r="J520" s="6" t="s">
        <v>28</v>
      </c>
      <c r="K520" t="s">
        <v>32</v>
      </c>
      <c r="L520" s="35">
        <v>15.5</v>
      </c>
      <c r="M520" s="6" t="s">
        <v>29</v>
      </c>
      <c r="N520" s="6">
        <v>3105</v>
      </c>
      <c r="P520" s="18"/>
      <c r="Q520" s="17"/>
      <c r="R520" s="19">
        <v>15.5</v>
      </c>
      <c r="S520" s="19">
        <v>15.5</v>
      </c>
      <c r="T520" s="38">
        <v>15</v>
      </c>
      <c r="U520" s="38"/>
      <c r="V520" s="29">
        <v>15.5</v>
      </c>
      <c r="W520" s="35">
        <v>15.5</v>
      </c>
      <c r="X520" s="32">
        <f t="shared" si="88"/>
        <v>232.5</v>
      </c>
      <c r="Y520" s="32">
        <f t="shared" si="89"/>
        <v>232.5</v>
      </c>
      <c r="Z520" s="32">
        <f t="shared" si="90"/>
        <v>0</v>
      </c>
      <c r="AA520" s="38">
        <v>15</v>
      </c>
      <c r="AB520" s="37">
        <f>IFERROR(VLOOKUP(A520,'Tash Lookup'!A:E,3,FALSE),"")</f>
        <v>234.2</v>
      </c>
      <c r="AC520" s="6">
        <f t="shared" si="91"/>
        <v>0</v>
      </c>
      <c r="AD520" s="2" t="s">
        <v>6703</v>
      </c>
      <c r="AF520" s="56">
        <v>17.07</v>
      </c>
      <c r="AG520" s="56">
        <f>VLOOKUP(A520,Sheet1!$A$2:$C$1140,3,FALSE)</f>
        <v>17.59</v>
      </c>
      <c r="AH520" s="58">
        <v>17.59</v>
      </c>
      <c r="AI520" s="56" t="str">
        <f t="shared" si="92"/>
        <v>Increase</v>
      </c>
      <c r="AJ520" s="81">
        <f t="shared" si="96"/>
        <v>256.05</v>
      </c>
      <c r="AK520" s="81">
        <f t="shared" si="97"/>
        <v>263.85000000000002</v>
      </c>
      <c r="AL520" s="58" t="s">
        <v>32</v>
      </c>
      <c r="AM520" s="58" t="s">
        <v>6703</v>
      </c>
      <c r="AN520" s="75">
        <v>8</v>
      </c>
      <c r="AO520" s="88">
        <v>17.59</v>
      </c>
      <c r="AP520" s="6" t="str">
        <f t="shared" si="93"/>
        <v>Increase</v>
      </c>
      <c r="AQ520" s="81">
        <f t="shared" si="94"/>
        <v>136.56</v>
      </c>
      <c r="AR520" s="81">
        <f t="shared" si="95"/>
        <v>140.72</v>
      </c>
      <c r="AS520" s="82">
        <f t="shared" si="98"/>
        <v>4.1599999999999966</v>
      </c>
    </row>
    <row r="521" spans="1:45" hidden="1" x14ac:dyDescent="0.3">
      <c r="A521">
        <v>5090590</v>
      </c>
      <c r="B521" s="15" t="s">
        <v>5857</v>
      </c>
      <c r="C521" s="16" t="s">
        <v>30</v>
      </c>
      <c r="D521" s="6" t="s">
        <v>31</v>
      </c>
      <c r="E521" t="s">
        <v>163</v>
      </c>
      <c r="F521" t="s">
        <v>163</v>
      </c>
      <c r="H521" s="11" t="s">
        <v>27</v>
      </c>
      <c r="I521" s="6" t="s">
        <v>28</v>
      </c>
      <c r="J521" s="6" t="s">
        <v>28</v>
      </c>
      <c r="K521" t="s">
        <v>32</v>
      </c>
      <c r="L521" s="35">
        <v>34.909999999999997</v>
      </c>
      <c r="M521" s="6" t="s">
        <v>29</v>
      </c>
      <c r="N521" s="6">
        <v>3105</v>
      </c>
      <c r="P521" s="18"/>
      <c r="Q521" s="17"/>
      <c r="R521" s="19">
        <v>34.909999999999997</v>
      </c>
      <c r="S521" s="19">
        <v>34.909999999999997</v>
      </c>
      <c r="T521" s="38">
        <v>15</v>
      </c>
      <c r="U521" s="38"/>
      <c r="V521" s="29">
        <v>30.542499999999997</v>
      </c>
      <c r="W521" s="35">
        <v>34.909999999999997</v>
      </c>
      <c r="X521" s="32">
        <f t="shared" si="88"/>
        <v>458.13749999999993</v>
      </c>
      <c r="Y521" s="32">
        <f t="shared" si="89"/>
        <v>523.65</v>
      </c>
      <c r="Z521" s="32">
        <f t="shared" si="90"/>
        <v>-65.512500000000045</v>
      </c>
      <c r="AA521" s="38">
        <v>15</v>
      </c>
      <c r="AB521" s="37">
        <f>IFERROR(VLOOKUP(A521,'Tash Lookup'!A:E,3,FALSE),"")</f>
        <v>504.29</v>
      </c>
      <c r="AC521" s="6">
        <f t="shared" si="91"/>
        <v>0</v>
      </c>
      <c r="AD521" s="2" t="s">
        <v>6703</v>
      </c>
      <c r="AF521" s="56">
        <v>32.61</v>
      </c>
      <c r="AG521" s="56">
        <f>VLOOKUP(A521,Sheet1!$A$2:$C$1140,3,FALSE)</f>
        <v>32.61</v>
      </c>
      <c r="AH521" s="58">
        <v>32.61</v>
      </c>
      <c r="AI521" s="56" t="str">
        <f t="shared" si="92"/>
        <v>Same</v>
      </c>
      <c r="AJ521" s="81">
        <f t="shared" si="96"/>
        <v>489.15</v>
      </c>
      <c r="AK521" s="81">
        <f t="shared" si="97"/>
        <v>489.15</v>
      </c>
      <c r="AL521" s="58" t="s">
        <v>32</v>
      </c>
      <c r="AM521" s="58" t="s">
        <v>6703</v>
      </c>
      <c r="AN521" s="75">
        <v>19</v>
      </c>
      <c r="AO521" s="88">
        <v>32.61</v>
      </c>
      <c r="AP521" s="6" t="str">
        <f t="shared" si="93"/>
        <v>Same</v>
      </c>
      <c r="AQ521" s="81">
        <f t="shared" si="94"/>
        <v>619.59</v>
      </c>
      <c r="AR521" s="81">
        <f t="shared" si="95"/>
        <v>619.59</v>
      </c>
      <c r="AS521" s="81">
        <f t="shared" si="98"/>
        <v>0</v>
      </c>
    </row>
    <row r="522" spans="1:45" hidden="1" x14ac:dyDescent="0.3">
      <c r="A522">
        <v>5218650</v>
      </c>
      <c r="B522" s="15" t="s">
        <v>5858</v>
      </c>
      <c r="C522" s="16" t="s">
        <v>30</v>
      </c>
      <c r="D522" s="6" t="s">
        <v>31</v>
      </c>
      <c r="E522" t="s">
        <v>279</v>
      </c>
      <c r="F522" t="s">
        <v>279</v>
      </c>
      <c r="H522" s="11" t="s">
        <v>27</v>
      </c>
      <c r="I522" s="6" t="s">
        <v>28</v>
      </c>
      <c r="J522" s="6" t="s">
        <v>28</v>
      </c>
      <c r="K522" t="s">
        <v>32</v>
      </c>
      <c r="L522" s="35">
        <v>12.9</v>
      </c>
      <c r="M522" s="6" t="s">
        <v>29</v>
      </c>
      <c r="N522" s="6">
        <v>3105</v>
      </c>
      <c r="P522" s="18"/>
      <c r="Q522" s="17"/>
      <c r="R522" s="19">
        <v>15.77</v>
      </c>
      <c r="S522" s="19">
        <v>15.77</v>
      </c>
      <c r="T522" s="38">
        <v>14</v>
      </c>
      <c r="U522" s="38"/>
      <c r="V522" s="29">
        <v>12.9</v>
      </c>
      <c r="W522" s="45">
        <v>9.26</v>
      </c>
      <c r="X522" s="32">
        <f t="shared" si="88"/>
        <v>180.6</v>
      </c>
      <c r="Y522" s="32">
        <f t="shared" si="89"/>
        <v>180.6</v>
      </c>
      <c r="Z522" s="32">
        <f t="shared" si="90"/>
        <v>0</v>
      </c>
      <c r="AA522" s="38">
        <v>14</v>
      </c>
      <c r="AB522" s="37">
        <f>IFERROR(VLOOKUP(A522,'Tash Lookup'!A:E,3,FALSE),"")</f>
        <v>140.12</v>
      </c>
      <c r="AC522" s="6">
        <f t="shared" si="91"/>
        <v>0</v>
      </c>
      <c r="AD522" s="2" t="s">
        <v>6703</v>
      </c>
      <c r="AF522" s="56">
        <v>13.62</v>
      </c>
      <c r="AG522" s="56">
        <f>VLOOKUP(A522,Sheet1!$A$2:$C$1140,3,FALSE)</f>
        <v>14.03</v>
      </c>
      <c r="AH522" s="58">
        <v>14.03</v>
      </c>
      <c r="AI522" s="56" t="str">
        <f t="shared" si="92"/>
        <v>Increase</v>
      </c>
      <c r="AJ522" s="81">
        <f t="shared" si="96"/>
        <v>190.67999999999998</v>
      </c>
      <c r="AK522" s="81">
        <f t="shared" si="97"/>
        <v>196.42</v>
      </c>
      <c r="AL522" s="58" t="s">
        <v>32</v>
      </c>
      <c r="AM522" s="58" t="s">
        <v>6703</v>
      </c>
      <c r="AN522" s="75">
        <v>23</v>
      </c>
      <c r="AO522" s="88">
        <v>14.03</v>
      </c>
      <c r="AP522" s="6" t="str">
        <f t="shared" si="93"/>
        <v>Increase</v>
      </c>
      <c r="AQ522" s="81">
        <f t="shared" si="94"/>
        <v>313.26</v>
      </c>
      <c r="AR522" s="81">
        <f t="shared" si="95"/>
        <v>322.69</v>
      </c>
      <c r="AS522" s="82">
        <f t="shared" si="98"/>
        <v>9.4300000000000068</v>
      </c>
    </row>
    <row r="523" spans="1:45" hidden="1" x14ac:dyDescent="0.3">
      <c r="A523">
        <v>6383954</v>
      </c>
      <c r="B523" s="15" t="s">
        <v>5859</v>
      </c>
      <c r="C523" s="16" t="s">
        <v>30</v>
      </c>
      <c r="D523" s="6" t="s">
        <v>31</v>
      </c>
      <c r="E523" t="s">
        <v>758</v>
      </c>
      <c r="F523" t="s">
        <v>758</v>
      </c>
      <c r="H523" s="11" t="s">
        <v>27</v>
      </c>
      <c r="I523" s="6" t="s">
        <v>28</v>
      </c>
      <c r="J523" s="6" t="s">
        <v>28</v>
      </c>
      <c r="K523" t="s">
        <v>32</v>
      </c>
      <c r="L523" s="35">
        <v>5.42</v>
      </c>
      <c r="M523" s="6" t="s">
        <v>29</v>
      </c>
      <c r="N523" s="6">
        <v>3105</v>
      </c>
      <c r="P523" s="18"/>
      <c r="Q523" s="17"/>
      <c r="R523" s="19">
        <v>5.42</v>
      </c>
      <c r="S523" s="19">
        <v>5.42</v>
      </c>
      <c r="T523" s="38">
        <v>14</v>
      </c>
      <c r="U523" s="38"/>
      <c r="V523" s="30">
        <v>5.42</v>
      </c>
      <c r="W523" s="35">
        <v>5.42</v>
      </c>
      <c r="X523" s="32">
        <f t="shared" si="88"/>
        <v>75.88</v>
      </c>
      <c r="Y523" s="32">
        <f t="shared" si="89"/>
        <v>75.88</v>
      </c>
      <c r="Z523" s="32">
        <f t="shared" si="90"/>
        <v>0</v>
      </c>
      <c r="AA523" s="38">
        <v>14</v>
      </c>
      <c r="AB523" s="37">
        <f>IFERROR(VLOOKUP(A523,'Tash Lookup'!A:E,3,FALSE),"")</f>
        <v>75.86</v>
      </c>
      <c r="AC523" s="6">
        <f t="shared" si="91"/>
        <v>0</v>
      </c>
      <c r="AD523" s="2" t="s">
        <v>6709</v>
      </c>
      <c r="AF523" s="56">
        <v>5.42</v>
      </c>
      <c r="AG523" s="56">
        <f>VLOOKUP(A523,Sheet1!$A$2:$C$1140,3,FALSE)</f>
        <v>5.42</v>
      </c>
      <c r="AH523" s="58">
        <v>5.42</v>
      </c>
      <c r="AI523" s="56" t="str">
        <f t="shared" si="92"/>
        <v>Same</v>
      </c>
      <c r="AJ523" s="81">
        <f t="shared" si="96"/>
        <v>75.88</v>
      </c>
      <c r="AK523" s="81">
        <f t="shared" si="97"/>
        <v>75.88</v>
      </c>
      <c r="AL523" s="58" t="s">
        <v>7206</v>
      </c>
      <c r="AM523" s="58" t="s">
        <v>6709</v>
      </c>
      <c r="AN523" s="75">
        <v>3</v>
      </c>
      <c r="AO523" s="88">
        <v>5.42</v>
      </c>
      <c r="AP523" s="6" t="str">
        <f t="shared" si="93"/>
        <v>Same</v>
      </c>
      <c r="AQ523" s="81">
        <f t="shared" si="94"/>
        <v>16.259999999999998</v>
      </c>
      <c r="AR523" s="81">
        <f t="shared" si="95"/>
        <v>16.259999999999998</v>
      </c>
      <c r="AS523" s="81">
        <f t="shared" si="98"/>
        <v>0</v>
      </c>
    </row>
    <row r="524" spans="1:45" hidden="1" x14ac:dyDescent="0.3">
      <c r="A524">
        <v>5092537</v>
      </c>
      <c r="B524" s="15" t="s">
        <v>5860</v>
      </c>
      <c r="C524" s="16" t="s">
        <v>30</v>
      </c>
      <c r="D524" s="6" t="s">
        <v>31</v>
      </c>
      <c r="E524" t="s">
        <v>310</v>
      </c>
      <c r="F524" t="s">
        <v>310</v>
      </c>
      <c r="H524" s="11" t="s">
        <v>27</v>
      </c>
      <c r="I524" s="6" t="s">
        <v>28</v>
      </c>
      <c r="J524" s="6" t="s">
        <v>28</v>
      </c>
      <c r="K524" t="s">
        <v>32</v>
      </c>
      <c r="L524" s="35">
        <v>6.18</v>
      </c>
      <c r="M524" s="6" t="s">
        <v>29</v>
      </c>
      <c r="N524" s="6">
        <v>3105</v>
      </c>
      <c r="P524" s="18"/>
      <c r="Q524" s="17"/>
      <c r="R524" s="19">
        <v>6.18</v>
      </c>
      <c r="S524" s="19">
        <v>6.18</v>
      </c>
      <c r="T524" s="38">
        <v>14</v>
      </c>
      <c r="U524" s="38"/>
      <c r="V524" s="29">
        <v>6.18</v>
      </c>
      <c r="W524" s="35">
        <v>6.18</v>
      </c>
      <c r="X524" s="32">
        <f t="shared" si="88"/>
        <v>86.52</v>
      </c>
      <c r="Y524" s="32">
        <f t="shared" si="89"/>
        <v>86.52</v>
      </c>
      <c r="Z524" s="32">
        <f t="shared" si="90"/>
        <v>0</v>
      </c>
      <c r="AA524" s="38">
        <v>14</v>
      </c>
      <c r="AB524" s="37">
        <f>IFERROR(VLOOKUP(A524,'Tash Lookup'!A:E,3,FALSE),"")</f>
        <v>97.66</v>
      </c>
      <c r="AC524" s="6">
        <f t="shared" si="91"/>
        <v>0</v>
      </c>
      <c r="AD524" s="2" t="s">
        <v>6703</v>
      </c>
      <c r="AF524" s="56">
        <v>6.6</v>
      </c>
      <c r="AG524" s="56">
        <f>VLOOKUP(A524,Sheet1!$A$2:$C$1140,3,FALSE)</f>
        <v>6.8</v>
      </c>
      <c r="AH524" s="58">
        <v>6.8</v>
      </c>
      <c r="AI524" s="56" t="str">
        <f t="shared" si="92"/>
        <v>Increase</v>
      </c>
      <c r="AJ524" s="81">
        <f t="shared" si="96"/>
        <v>92.399999999999991</v>
      </c>
      <c r="AK524" s="81">
        <f t="shared" si="97"/>
        <v>95.2</v>
      </c>
      <c r="AL524" s="58" t="s">
        <v>32</v>
      </c>
      <c r="AM524" s="58" t="s">
        <v>6703</v>
      </c>
      <c r="AN524" s="75">
        <v>15</v>
      </c>
      <c r="AO524" s="88">
        <v>6.8</v>
      </c>
      <c r="AP524" s="6" t="str">
        <f t="shared" si="93"/>
        <v>Increase</v>
      </c>
      <c r="AQ524" s="81">
        <f t="shared" si="94"/>
        <v>99</v>
      </c>
      <c r="AR524" s="81">
        <f t="shared" si="95"/>
        <v>102</v>
      </c>
      <c r="AS524" s="82">
        <f t="shared" si="98"/>
        <v>3</v>
      </c>
    </row>
    <row r="525" spans="1:45" hidden="1" x14ac:dyDescent="0.3">
      <c r="A525">
        <v>6342575</v>
      </c>
      <c r="B525" s="15" t="s">
        <v>5861</v>
      </c>
      <c r="C525" s="16" t="s">
        <v>30</v>
      </c>
      <c r="D525" s="6" t="s">
        <v>31</v>
      </c>
      <c r="E525" t="s">
        <v>2959</v>
      </c>
      <c r="F525" t="s">
        <v>2959</v>
      </c>
      <c r="H525" s="11" t="s">
        <v>27</v>
      </c>
      <c r="I525" s="6" t="s">
        <v>28</v>
      </c>
      <c r="J525" s="6" t="s">
        <v>28</v>
      </c>
      <c r="K525" t="s">
        <v>32</v>
      </c>
      <c r="L525" s="35">
        <v>11.19</v>
      </c>
      <c r="M525" s="6" t="s">
        <v>29</v>
      </c>
      <c r="N525" s="6">
        <v>3105</v>
      </c>
      <c r="P525" s="18"/>
      <c r="Q525" s="17"/>
      <c r="R525" s="19">
        <v>11.19</v>
      </c>
      <c r="S525" s="19">
        <v>11.19</v>
      </c>
      <c r="T525" s="38">
        <v>14</v>
      </c>
      <c r="U525" s="38"/>
      <c r="V525" s="30">
        <v>11.19</v>
      </c>
      <c r="W525" s="35">
        <v>11.19</v>
      </c>
      <c r="X525" s="32">
        <f t="shared" si="88"/>
        <v>156.66</v>
      </c>
      <c r="Y525" s="32">
        <f t="shared" si="89"/>
        <v>156.66</v>
      </c>
      <c r="Z525" s="32">
        <f t="shared" si="90"/>
        <v>0</v>
      </c>
      <c r="AA525" s="38">
        <v>14</v>
      </c>
      <c r="AB525" s="37">
        <f>IFERROR(VLOOKUP(A525,'Tash Lookup'!A:E,3,FALSE),"")</f>
        <v>151.86000000000001</v>
      </c>
      <c r="AC525" s="6">
        <f t="shared" si="91"/>
        <v>0</v>
      </c>
      <c r="AD525" s="2" t="s">
        <v>6703</v>
      </c>
      <c r="AF525" s="56">
        <v>8.07</v>
      </c>
      <c r="AG525" s="56">
        <f>VLOOKUP(A525,Sheet1!$A$2:$C$1140,3,FALSE)</f>
        <v>8.23</v>
      </c>
      <c r="AH525" s="58">
        <v>8.23</v>
      </c>
      <c r="AI525" s="56" t="str">
        <f t="shared" si="92"/>
        <v>Increase</v>
      </c>
      <c r="AJ525" s="81">
        <f t="shared" si="96"/>
        <v>112.98</v>
      </c>
      <c r="AK525" s="81">
        <f t="shared" si="97"/>
        <v>115.22</v>
      </c>
      <c r="AL525" s="58" t="s">
        <v>7206</v>
      </c>
      <c r="AM525" s="58" t="s">
        <v>6703</v>
      </c>
      <c r="AN525" s="75">
        <v>8</v>
      </c>
      <c r="AO525" s="88">
        <v>8.23</v>
      </c>
      <c r="AP525" s="6" t="str">
        <f t="shared" si="93"/>
        <v>Increase</v>
      </c>
      <c r="AQ525" s="81">
        <f t="shared" si="94"/>
        <v>64.56</v>
      </c>
      <c r="AR525" s="81">
        <f t="shared" si="95"/>
        <v>65.84</v>
      </c>
      <c r="AS525" s="82">
        <f t="shared" si="98"/>
        <v>1.2800000000000011</v>
      </c>
    </row>
    <row r="526" spans="1:45" hidden="1" x14ac:dyDescent="0.3">
      <c r="A526">
        <v>5184005</v>
      </c>
      <c r="B526" s="15" t="s">
        <v>5862</v>
      </c>
      <c r="C526" s="16" t="s">
        <v>30</v>
      </c>
      <c r="D526" s="6" t="s">
        <v>31</v>
      </c>
      <c r="E526" t="s">
        <v>473</v>
      </c>
      <c r="F526" t="s">
        <v>473</v>
      </c>
      <c r="H526" s="11" t="s">
        <v>27</v>
      </c>
      <c r="I526" s="6" t="s">
        <v>28</v>
      </c>
      <c r="J526" s="6" t="s">
        <v>28</v>
      </c>
      <c r="K526" t="s">
        <v>32</v>
      </c>
      <c r="L526" s="35">
        <v>36.22</v>
      </c>
      <c r="M526" s="6" t="s">
        <v>29</v>
      </c>
      <c r="N526" s="6">
        <v>3105</v>
      </c>
      <c r="P526" s="18"/>
      <c r="Q526" s="17"/>
      <c r="R526" s="19">
        <v>36.22</v>
      </c>
      <c r="S526" s="19">
        <v>36.22</v>
      </c>
      <c r="T526" s="38">
        <v>14</v>
      </c>
      <c r="U526" s="38"/>
      <c r="V526" s="29">
        <v>36.22</v>
      </c>
      <c r="W526" s="35">
        <v>36.22</v>
      </c>
      <c r="X526" s="32">
        <f t="shared" si="88"/>
        <v>507.08</v>
      </c>
      <c r="Y526" s="32">
        <f t="shared" si="89"/>
        <v>507.08</v>
      </c>
      <c r="Z526" s="32">
        <f t="shared" si="90"/>
        <v>0</v>
      </c>
      <c r="AA526" s="38">
        <v>14</v>
      </c>
      <c r="AB526" s="37">
        <f>IFERROR(VLOOKUP(A526,'Tash Lookup'!A:E,3,FALSE),"")</f>
        <v>502.87</v>
      </c>
      <c r="AC526" s="6">
        <f t="shared" si="91"/>
        <v>0</v>
      </c>
      <c r="AD526" s="2" t="s">
        <v>6703</v>
      </c>
      <c r="AF526" s="56">
        <v>33.25</v>
      </c>
      <c r="AG526" s="56">
        <f>VLOOKUP(A526,Sheet1!$A$2:$C$1140,3,FALSE)</f>
        <v>34.25</v>
      </c>
      <c r="AH526" s="58">
        <v>34.25</v>
      </c>
      <c r="AI526" s="56" t="str">
        <f t="shared" si="92"/>
        <v>Increase</v>
      </c>
      <c r="AJ526" s="81">
        <f t="shared" si="96"/>
        <v>465.5</v>
      </c>
      <c r="AK526" s="81">
        <f t="shared" si="97"/>
        <v>479.5</v>
      </c>
      <c r="AL526" s="58" t="s">
        <v>32</v>
      </c>
      <c r="AM526" s="58" t="s">
        <v>6703</v>
      </c>
      <c r="AN526" s="75">
        <v>15</v>
      </c>
      <c r="AO526" s="88">
        <v>34.25</v>
      </c>
      <c r="AP526" s="6" t="str">
        <f t="shared" si="93"/>
        <v>Increase</v>
      </c>
      <c r="AQ526" s="81">
        <f t="shared" si="94"/>
        <v>498.75</v>
      </c>
      <c r="AR526" s="81">
        <f t="shared" si="95"/>
        <v>513.75</v>
      </c>
      <c r="AS526" s="82">
        <f t="shared" si="98"/>
        <v>15</v>
      </c>
    </row>
    <row r="527" spans="1:45" hidden="1" x14ac:dyDescent="0.3">
      <c r="A527">
        <v>6372915</v>
      </c>
      <c r="B527" s="15" t="s">
        <v>5863</v>
      </c>
      <c r="C527" s="16" t="s">
        <v>30</v>
      </c>
      <c r="D527" s="6" t="s">
        <v>31</v>
      </c>
      <c r="E527" t="s">
        <v>1311</v>
      </c>
      <c r="F527" t="s">
        <v>1311</v>
      </c>
      <c r="H527" s="11" t="s">
        <v>27</v>
      </c>
      <c r="I527" s="6" t="s">
        <v>28</v>
      </c>
      <c r="J527" s="6" t="s">
        <v>28</v>
      </c>
      <c r="K527" t="s">
        <v>32</v>
      </c>
      <c r="L527" s="35">
        <v>11.41</v>
      </c>
      <c r="M527" s="6" t="s">
        <v>29</v>
      </c>
      <c r="N527" s="6">
        <v>3105</v>
      </c>
      <c r="P527" s="18"/>
      <c r="Q527" s="17"/>
      <c r="R527" s="19">
        <v>11.41</v>
      </c>
      <c r="S527" s="19">
        <v>11.41</v>
      </c>
      <c r="T527" s="38">
        <v>14</v>
      </c>
      <c r="U527" s="38"/>
      <c r="V527" s="30">
        <v>11.41</v>
      </c>
      <c r="W527" s="35">
        <v>11.41</v>
      </c>
      <c r="X527" s="32">
        <f t="shared" si="88"/>
        <v>159.74</v>
      </c>
      <c r="Y527" s="32">
        <f t="shared" si="89"/>
        <v>159.74</v>
      </c>
      <c r="Z527" s="32">
        <f t="shared" si="90"/>
        <v>0</v>
      </c>
      <c r="AA527" s="38">
        <v>14</v>
      </c>
      <c r="AB527" s="37">
        <f>IFERROR(VLOOKUP(A527,'Tash Lookup'!A:E,3,FALSE),"")</f>
        <v>159.25</v>
      </c>
      <c r="AC527" s="6">
        <f t="shared" si="91"/>
        <v>0</v>
      </c>
      <c r="AD527" s="2" t="s">
        <v>6703</v>
      </c>
      <c r="AF527" s="56">
        <v>12.71</v>
      </c>
      <c r="AG527" s="56">
        <f>VLOOKUP(A527,Sheet1!$A$2:$C$1140,3,FALSE)</f>
        <v>12.71</v>
      </c>
      <c r="AH527" s="58">
        <v>12.71</v>
      </c>
      <c r="AI527" s="56" t="str">
        <f t="shared" si="92"/>
        <v>Same</v>
      </c>
      <c r="AJ527" s="81">
        <f t="shared" si="96"/>
        <v>177.94</v>
      </c>
      <c r="AK527" s="81">
        <f t="shared" si="97"/>
        <v>177.94</v>
      </c>
      <c r="AL527" s="58" t="s">
        <v>7206</v>
      </c>
      <c r="AM527" s="58" t="s">
        <v>6703</v>
      </c>
      <c r="AN527" s="75">
        <v>23</v>
      </c>
      <c r="AO527" s="88">
        <v>12.71</v>
      </c>
      <c r="AP527" s="6" t="str">
        <f t="shared" si="93"/>
        <v>Same</v>
      </c>
      <c r="AQ527" s="81">
        <f t="shared" si="94"/>
        <v>292.33000000000004</v>
      </c>
      <c r="AR527" s="81">
        <f t="shared" si="95"/>
        <v>292.33000000000004</v>
      </c>
      <c r="AS527" s="81">
        <f t="shared" si="98"/>
        <v>0</v>
      </c>
    </row>
    <row r="528" spans="1:45" hidden="1" x14ac:dyDescent="0.3">
      <c r="A528">
        <v>6188881</v>
      </c>
      <c r="B528" s="15" t="s">
        <v>5864</v>
      </c>
      <c r="C528" s="16" t="s">
        <v>30</v>
      </c>
      <c r="D528" s="6" t="s">
        <v>31</v>
      </c>
      <c r="E528" t="s">
        <v>690</v>
      </c>
      <c r="F528" t="s">
        <v>690</v>
      </c>
      <c r="H528" s="11" t="s">
        <v>27</v>
      </c>
      <c r="I528" s="6" t="s">
        <v>28</v>
      </c>
      <c r="J528" s="6" t="s">
        <v>28</v>
      </c>
      <c r="K528" t="s">
        <v>32</v>
      </c>
      <c r="L528" s="35">
        <v>7.06</v>
      </c>
      <c r="M528" s="6" t="s">
        <v>29</v>
      </c>
      <c r="N528" s="6">
        <v>3105</v>
      </c>
      <c r="P528" s="18"/>
      <c r="Q528" s="17"/>
      <c r="R528" s="19">
        <v>7.06</v>
      </c>
      <c r="S528" s="19">
        <v>7.06</v>
      </c>
      <c r="T528" s="38">
        <v>14</v>
      </c>
      <c r="U528" s="38"/>
      <c r="V528" s="30">
        <v>7.06</v>
      </c>
      <c r="W528" s="35">
        <v>7.06</v>
      </c>
      <c r="X528" s="32">
        <f t="shared" si="88"/>
        <v>98.839999999999989</v>
      </c>
      <c r="Y528" s="32">
        <f t="shared" si="89"/>
        <v>98.839999999999989</v>
      </c>
      <c r="Z528" s="32">
        <f t="shared" si="90"/>
        <v>0</v>
      </c>
      <c r="AA528" s="38">
        <v>14</v>
      </c>
      <c r="AB528" s="37">
        <f>IFERROR(VLOOKUP(A528,'Tash Lookup'!A:E,3,FALSE),"")</f>
        <v>98.87</v>
      </c>
      <c r="AC528" s="6">
        <f t="shared" si="91"/>
        <v>0</v>
      </c>
      <c r="AD528" s="2" t="s">
        <v>6703</v>
      </c>
      <c r="AF528" s="56">
        <v>6.35</v>
      </c>
      <c r="AG528" s="56">
        <f>VLOOKUP(A528,Sheet1!$A$2:$C$1140,3,FALSE)</f>
        <v>6.48</v>
      </c>
      <c r="AH528" s="58">
        <v>6.48</v>
      </c>
      <c r="AI528" s="56" t="str">
        <f t="shared" si="92"/>
        <v>Increase</v>
      </c>
      <c r="AJ528" s="81">
        <f t="shared" si="96"/>
        <v>88.899999999999991</v>
      </c>
      <c r="AK528" s="81">
        <f t="shared" si="97"/>
        <v>90.72</v>
      </c>
      <c r="AL528" s="58" t="s">
        <v>7206</v>
      </c>
      <c r="AM528" s="58" t="s">
        <v>6703</v>
      </c>
      <c r="AN528" s="75">
        <v>0</v>
      </c>
      <c r="AO528" s="88">
        <v>6.48</v>
      </c>
      <c r="AP528" s="6" t="str">
        <f t="shared" si="93"/>
        <v>Increase</v>
      </c>
      <c r="AQ528" s="81">
        <f t="shared" si="94"/>
        <v>0</v>
      </c>
      <c r="AR528" s="81">
        <f t="shared" si="95"/>
        <v>0</v>
      </c>
      <c r="AS528" s="82">
        <f t="shared" si="98"/>
        <v>0</v>
      </c>
    </row>
    <row r="529" spans="1:45" hidden="1" x14ac:dyDescent="0.3">
      <c r="A529">
        <v>6416425</v>
      </c>
      <c r="B529" s="15" t="s">
        <v>5865</v>
      </c>
      <c r="C529" s="16" t="s">
        <v>30</v>
      </c>
      <c r="D529" s="6" t="s">
        <v>31</v>
      </c>
      <c r="E529" t="s">
        <v>973</v>
      </c>
      <c r="F529" t="s">
        <v>973</v>
      </c>
      <c r="H529" s="11" t="s">
        <v>27</v>
      </c>
      <c r="I529" s="6" t="s">
        <v>28</v>
      </c>
      <c r="J529" s="6" t="s">
        <v>28</v>
      </c>
      <c r="K529" t="s">
        <v>32</v>
      </c>
      <c r="L529" s="35">
        <v>25.9</v>
      </c>
      <c r="M529" s="6" t="s">
        <v>29</v>
      </c>
      <c r="N529" s="6">
        <v>3105</v>
      </c>
      <c r="P529" s="18"/>
      <c r="Q529" s="17"/>
      <c r="R529" s="19">
        <v>25.9</v>
      </c>
      <c r="S529" s="19">
        <v>25.9</v>
      </c>
      <c r="T529" s="38">
        <v>14</v>
      </c>
      <c r="U529" s="38"/>
      <c r="V529" s="30">
        <v>25.9</v>
      </c>
      <c r="W529" s="35">
        <v>25.9</v>
      </c>
      <c r="X529" s="32">
        <f t="shared" si="88"/>
        <v>362.59999999999997</v>
      </c>
      <c r="Y529" s="32">
        <f t="shared" si="89"/>
        <v>362.59999999999997</v>
      </c>
      <c r="Z529" s="32">
        <f t="shared" si="90"/>
        <v>0</v>
      </c>
      <c r="AA529" s="38">
        <v>14</v>
      </c>
      <c r="AB529" s="37">
        <f>IFERROR(VLOOKUP(A529,'Tash Lookup'!A:E,3,FALSE),"")</f>
        <v>358.16</v>
      </c>
      <c r="AC529" s="6">
        <f t="shared" si="91"/>
        <v>0</v>
      </c>
      <c r="AD529" s="2" t="s">
        <v>6707</v>
      </c>
      <c r="AF529" s="56">
        <v>25.9</v>
      </c>
      <c r="AG529" s="56">
        <f>VLOOKUP(A529,Sheet1!$A$2:$C$1140,3,FALSE)</f>
        <v>25.9</v>
      </c>
      <c r="AH529" s="58">
        <v>25.9</v>
      </c>
      <c r="AI529" s="56" t="str">
        <f t="shared" si="92"/>
        <v>Same</v>
      </c>
      <c r="AJ529" s="81">
        <f t="shared" si="96"/>
        <v>362.59999999999997</v>
      </c>
      <c r="AK529" s="81">
        <f t="shared" si="97"/>
        <v>362.59999999999997</v>
      </c>
      <c r="AL529" s="58" t="s">
        <v>7206</v>
      </c>
      <c r="AM529" s="58" t="s">
        <v>6708</v>
      </c>
      <c r="AN529" s="75">
        <v>0</v>
      </c>
      <c r="AO529" s="88">
        <v>25.9</v>
      </c>
      <c r="AP529" s="6" t="str">
        <f t="shared" si="93"/>
        <v>Same</v>
      </c>
      <c r="AQ529" s="81">
        <f t="shared" si="94"/>
        <v>0</v>
      </c>
      <c r="AR529" s="81">
        <f t="shared" si="95"/>
        <v>0</v>
      </c>
      <c r="AS529" s="81">
        <f t="shared" si="98"/>
        <v>0</v>
      </c>
    </row>
    <row r="530" spans="1:45" hidden="1" x14ac:dyDescent="0.3">
      <c r="A530">
        <v>5321297</v>
      </c>
      <c r="B530" s="15" t="s">
        <v>5866</v>
      </c>
      <c r="C530" s="16" t="s">
        <v>30</v>
      </c>
      <c r="D530" s="6" t="s">
        <v>31</v>
      </c>
      <c r="E530" t="s">
        <v>305</v>
      </c>
      <c r="F530" t="s">
        <v>305</v>
      </c>
      <c r="H530" s="11" t="s">
        <v>27</v>
      </c>
      <c r="I530" s="6" t="s">
        <v>28</v>
      </c>
      <c r="J530" s="6" t="s">
        <v>28</v>
      </c>
      <c r="K530" t="s">
        <v>32</v>
      </c>
      <c r="L530" s="35">
        <v>26.08</v>
      </c>
      <c r="M530" s="6" t="s">
        <v>29</v>
      </c>
      <c r="N530" s="6">
        <v>3105</v>
      </c>
      <c r="P530" s="18"/>
      <c r="Q530" s="17"/>
      <c r="R530" s="19">
        <v>26.08</v>
      </c>
      <c r="S530" s="19">
        <v>26.08</v>
      </c>
      <c r="T530" s="38">
        <v>14</v>
      </c>
      <c r="U530" s="38"/>
      <c r="V530" s="29">
        <v>26.08</v>
      </c>
      <c r="W530" s="45">
        <v>21.41</v>
      </c>
      <c r="X530" s="32">
        <f t="shared" si="88"/>
        <v>365.12</v>
      </c>
      <c r="Y530" s="32">
        <f t="shared" si="89"/>
        <v>365.12</v>
      </c>
      <c r="Z530" s="32">
        <f t="shared" si="90"/>
        <v>0</v>
      </c>
      <c r="AA530" s="38">
        <v>14</v>
      </c>
      <c r="AB530" s="37">
        <f>IFERROR(VLOOKUP(A530,'Tash Lookup'!A:E,3,FALSE),"")</f>
        <v>317.33999999999997</v>
      </c>
      <c r="AC530" s="6">
        <f t="shared" si="91"/>
        <v>0</v>
      </c>
      <c r="AD530" s="2" t="s">
        <v>6703</v>
      </c>
      <c r="AF530" s="56">
        <v>26.74</v>
      </c>
      <c r="AG530" s="56">
        <f>VLOOKUP(A530,Sheet1!$A$2:$C$1140,3,FALSE)</f>
        <v>27.54</v>
      </c>
      <c r="AH530" s="58">
        <v>27.54</v>
      </c>
      <c r="AI530" s="56" t="str">
        <f t="shared" si="92"/>
        <v>Increase</v>
      </c>
      <c r="AJ530" s="81">
        <f t="shared" si="96"/>
        <v>374.35999999999996</v>
      </c>
      <c r="AK530" s="81">
        <f t="shared" si="97"/>
        <v>385.56</v>
      </c>
      <c r="AL530" s="58" t="s">
        <v>32</v>
      </c>
      <c r="AM530" s="58" t="s">
        <v>6703</v>
      </c>
      <c r="AN530" s="75">
        <v>52</v>
      </c>
      <c r="AO530" s="88">
        <v>27.54</v>
      </c>
      <c r="AP530" s="6" t="str">
        <f t="shared" si="93"/>
        <v>Increase</v>
      </c>
      <c r="AQ530" s="81">
        <f t="shared" si="94"/>
        <v>1390.48</v>
      </c>
      <c r="AR530" s="81">
        <f t="shared" si="95"/>
        <v>1432.08</v>
      </c>
      <c r="AS530" s="82">
        <f t="shared" si="98"/>
        <v>41.599999999999909</v>
      </c>
    </row>
    <row r="531" spans="1:45" hidden="1" x14ac:dyDescent="0.3">
      <c r="A531">
        <v>6316966</v>
      </c>
      <c r="B531" s="15" t="s">
        <v>5867</v>
      </c>
      <c r="C531" s="16" t="s">
        <v>30</v>
      </c>
      <c r="D531" s="6" t="s">
        <v>31</v>
      </c>
      <c r="E531" t="s">
        <v>718</v>
      </c>
      <c r="F531" t="s">
        <v>718</v>
      </c>
      <c r="H531" s="11" t="s">
        <v>27</v>
      </c>
      <c r="I531" s="6" t="s">
        <v>28</v>
      </c>
      <c r="J531" s="6" t="s">
        <v>28</v>
      </c>
      <c r="K531" t="s">
        <v>32</v>
      </c>
      <c r="L531" s="35">
        <v>2.58</v>
      </c>
      <c r="M531" s="6" t="s">
        <v>29</v>
      </c>
      <c r="N531" s="6">
        <v>3105</v>
      </c>
      <c r="P531" s="18"/>
      <c r="Q531" s="17"/>
      <c r="R531" s="19">
        <v>2.58</v>
      </c>
      <c r="S531" s="19">
        <v>2.58</v>
      </c>
      <c r="T531" s="38">
        <v>14</v>
      </c>
      <c r="U531" s="38"/>
      <c r="V531" s="30">
        <v>2.58</v>
      </c>
      <c r="W531" s="35">
        <v>2.58</v>
      </c>
      <c r="X531" s="32">
        <f t="shared" si="88"/>
        <v>36.120000000000005</v>
      </c>
      <c r="Y531" s="32">
        <f t="shared" si="89"/>
        <v>36.120000000000005</v>
      </c>
      <c r="Z531" s="32">
        <f t="shared" si="90"/>
        <v>0</v>
      </c>
      <c r="AA531" s="38">
        <v>14</v>
      </c>
      <c r="AB531" s="37">
        <f>IFERROR(VLOOKUP(A531,'Tash Lookup'!A:E,3,FALSE),"")</f>
        <v>35.47</v>
      </c>
      <c r="AC531" s="6">
        <f t="shared" si="91"/>
        <v>0</v>
      </c>
      <c r="AD531" s="2" t="s">
        <v>6703</v>
      </c>
      <c r="AF531" s="56">
        <v>2.58</v>
      </c>
      <c r="AG531" s="56">
        <f>VLOOKUP(A531,Sheet1!$A$2:$C$1140,3,FALSE)</f>
        <v>2.63</v>
      </c>
      <c r="AH531" s="58">
        <v>2.63</v>
      </c>
      <c r="AI531" s="56" t="str">
        <f t="shared" si="92"/>
        <v>Increase</v>
      </c>
      <c r="AJ531" s="81">
        <f t="shared" si="96"/>
        <v>36.120000000000005</v>
      </c>
      <c r="AK531" s="81">
        <f t="shared" si="97"/>
        <v>36.82</v>
      </c>
      <c r="AL531" s="58" t="s">
        <v>7206</v>
      </c>
      <c r="AM531" s="58" t="s">
        <v>6703</v>
      </c>
      <c r="AN531" s="75">
        <v>1</v>
      </c>
      <c r="AO531" s="88">
        <v>2.63</v>
      </c>
      <c r="AP531" s="6" t="str">
        <f t="shared" si="93"/>
        <v>Increase</v>
      </c>
      <c r="AQ531" s="81">
        <f t="shared" si="94"/>
        <v>2.58</v>
      </c>
      <c r="AR531" s="81">
        <f t="shared" si="95"/>
        <v>2.63</v>
      </c>
      <c r="AS531" s="82">
        <f t="shared" si="98"/>
        <v>4.9999999999999822E-2</v>
      </c>
    </row>
    <row r="532" spans="1:45" hidden="1" x14ac:dyDescent="0.3">
      <c r="A532">
        <v>6345857</v>
      </c>
      <c r="B532" s="15" t="s">
        <v>5868</v>
      </c>
      <c r="C532" s="16" t="s">
        <v>30</v>
      </c>
      <c r="D532" s="6" t="s">
        <v>31</v>
      </c>
      <c r="E532" t="s">
        <v>1287</v>
      </c>
      <c r="F532" t="s">
        <v>1287</v>
      </c>
      <c r="H532" s="11" t="s">
        <v>27</v>
      </c>
      <c r="I532" s="6" t="s">
        <v>28</v>
      </c>
      <c r="J532" s="6" t="s">
        <v>28</v>
      </c>
      <c r="K532" t="s">
        <v>32</v>
      </c>
      <c r="L532" s="35">
        <v>62.36</v>
      </c>
      <c r="M532" s="6" t="s">
        <v>29</v>
      </c>
      <c r="N532" s="6">
        <v>3105</v>
      </c>
      <c r="P532" s="18"/>
      <c r="Q532" s="17"/>
      <c r="R532" s="19">
        <v>62.36</v>
      </c>
      <c r="S532" s="19">
        <v>62.36</v>
      </c>
      <c r="T532" s="38">
        <v>14</v>
      </c>
      <c r="U532" s="38"/>
      <c r="V532" s="30">
        <v>62.36</v>
      </c>
      <c r="W532" s="35">
        <v>62.36</v>
      </c>
      <c r="X532" s="32">
        <f t="shared" si="88"/>
        <v>873.04</v>
      </c>
      <c r="Y532" s="32">
        <f t="shared" si="89"/>
        <v>873.04</v>
      </c>
      <c r="Z532" s="32">
        <f t="shared" si="90"/>
        <v>0</v>
      </c>
      <c r="AA532" s="38">
        <v>14</v>
      </c>
      <c r="AB532" s="37">
        <f>IFERROR(VLOOKUP(A532,'Tash Lookup'!A:E,3,FALSE),"")</f>
        <v>870.3</v>
      </c>
      <c r="AC532" s="6">
        <f t="shared" si="91"/>
        <v>0</v>
      </c>
      <c r="AD532" s="2" t="s">
        <v>6703</v>
      </c>
      <c r="AF532" s="56">
        <v>69.48</v>
      </c>
      <c r="AG532" s="56">
        <f>VLOOKUP(A532,Sheet1!$A$2:$C$1140,3,FALSE)</f>
        <v>69.48</v>
      </c>
      <c r="AH532" s="58">
        <v>69.48</v>
      </c>
      <c r="AI532" s="56" t="str">
        <f t="shared" si="92"/>
        <v>Same</v>
      </c>
      <c r="AJ532" s="81">
        <f t="shared" si="96"/>
        <v>972.72</v>
      </c>
      <c r="AK532" s="81">
        <f t="shared" si="97"/>
        <v>972.72</v>
      </c>
      <c r="AL532" s="58" t="s">
        <v>7206</v>
      </c>
      <c r="AM532" s="58" t="s">
        <v>6703</v>
      </c>
      <c r="AN532" s="75">
        <v>4</v>
      </c>
      <c r="AO532" s="88">
        <v>69.48</v>
      </c>
      <c r="AP532" s="6" t="str">
        <f t="shared" si="93"/>
        <v>Same</v>
      </c>
      <c r="AQ532" s="81">
        <f t="shared" si="94"/>
        <v>277.92</v>
      </c>
      <c r="AR532" s="81">
        <f t="shared" si="95"/>
        <v>277.92</v>
      </c>
      <c r="AS532" s="81">
        <f t="shared" si="98"/>
        <v>0</v>
      </c>
    </row>
    <row r="533" spans="1:45" hidden="1" x14ac:dyDescent="0.3">
      <c r="A533">
        <v>5255621</v>
      </c>
      <c r="B533" s="15" t="s">
        <v>5869</v>
      </c>
      <c r="C533" s="16" t="s">
        <v>30</v>
      </c>
      <c r="D533" s="6" t="s">
        <v>31</v>
      </c>
      <c r="E533" t="s">
        <v>2969</v>
      </c>
      <c r="F533" t="s">
        <v>5208</v>
      </c>
      <c r="H533" s="11" t="s">
        <v>27</v>
      </c>
      <c r="I533" s="6" t="s">
        <v>28</v>
      </c>
      <c r="J533" s="6" t="s">
        <v>28</v>
      </c>
      <c r="K533" t="s">
        <v>32</v>
      </c>
      <c r="L533" s="35">
        <v>69.64</v>
      </c>
      <c r="M533" s="6" t="s">
        <v>29</v>
      </c>
      <c r="N533" s="6">
        <v>3105</v>
      </c>
      <c r="P533" s="18"/>
      <c r="Q533" s="17"/>
      <c r="R533" s="19">
        <v>69.64</v>
      </c>
      <c r="S533" s="19">
        <v>69.64</v>
      </c>
      <c r="T533" s="38">
        <v>14</v>
      </c>
      <c r="U533" s="38"/>
      <c r="V533" s="30">
        <v>69.64</v>
      </c>
      <c r="W533" s="35">
        <v>69.64</v>
      </c>
      <c r="X533" s="32">
        <f t="shared" si="88"/>
        <v>974.96</v>
      </c>
      <c r="Y533" s="32">
        <f t="shared" si="89"/>
        <v>974.96</v>
      </c>
      <c r="Z533" s="32">
        <f t="shared" si="90"/>
        <v>0</v>
      </c>
      <c r="AA533" s="38">
        <v>14</v>
      </c>
      <c r="AB533" s="37">
        <f>IFERROR(VLOOKUP(A533,'Tash Lookup'!A:E,3,FALSE),"")</f>
        <v>962.45</v>
      </c>
      <c r="AC533" s="6">
        <f t="shared" si="91"/>
        <v>0</v>
      </c>
      <c r="AD533" s="2" t="s">
        <v>6703</v>
      </c>
      <c r="AF533" s="56">
        <v>74.540000000000006</v>
      </c>
      <c r="AG533" s="56">
        <f>VLOOKUP(A533,Sheet1!$A$2:$C$1140,3,FALSE)</f>
        <v>76.77</v>
      </c>
      <c r="AH533" s="58">
        <v>76.77</v>
      </c>
      <c r="AI533" s="56" t="str">
        <f t="shared" si="92"/>
        <v>Increase</v>
      </c>
      <c r="AJ533" s="81">
        <f t="shared" si="96"/>
        <v>1043.5600000000002</v>
      </c>
      <c r="AK533" s="81">
        <f t="shared" si="97"/>
        <v>1074.78</v>
      </c>
      <c r="AL533" s="58" t="s">
        <v>32</v>
      </c>
      <c r="AM533" s="58" t="s">
        <v>6705</v>
      </c>
      <c r="AN533" s="75">
        <v>26</v>
      </c>
      <c r="AO533" s="88">
        <v>76.77</v>
      </c>
      <c r="AP533" s="6" t="str">
        <f t="shared" si="93"/>
        <v>Increase</v>
      </c>
      <c r="AQ533" s="81">
        <f t="shared" si="94"/>
        <v>1938.0400000000002</v>
      </c>
      <c r="AR533" s="81">
        <f t="shared" si="95"/>
        <v>1996.02</v>
      </c>
      <c r="AS533" s="82">
        <f t="shared" si="98"/>
        <v>57.979999999999791</v>
      </c>
    </row>
    <row r="534" spans="1:45" hidden="1" x14ac:dyDescent="0.3">
      <c r="A534">
        <v>5082932</v>
      </c>
      <c r="B534" s="15" t="s">
        <v>5870</v>
      </c>
      <c r="C534" s="16" t="s">
        <v>30</v>
      </c>
      <c r="D534" s="6" t="s">
        <v>31</v>
      </c>
      <c r="E534" t="s">
        <v>581</v>
      </c>
      <c r="F534" t="s">
        <v>581</v>
      </c>
      <c r="H534" s="11" t="s">
        <v>27</v>
      </c>
      <c r="I534" s="6" t="s">
        <v>28</v>
      </c>
      <c r="J534" s="6" t="s">
        <v>28</v>
      </c>
      <c r="K534" t="s">
        <v>32</v>
      </c>
      <c r="L534" s="35">
        <v>49.18</v>
      </c>
      <c r="M534" s="6" t="s">
        <v>29</v>
      </c>
      <c r="N534" s="6">
        <v>3105</v>
      </c>
      <c r="P534" s="18"/>
      <c r="Q534" s="17"/>
      <c r="R534" s="19">
        <v>49.18</v>
      </c>
      <c r="S534" s="19">
        <v>49.18</v>
      </c>
      <c r="T534" s="38">
        <v>14</v>
      </c>
      <c r="U534" s="38"/>
      <c r="V534" s="29">
        <v>49.18</v>
      </c>
      <c r="W534" s="35">
        <v>49.18</v>
      </c>
      <c r="X534" s="32">
        <f t="shared" si="88"/>
        <v>688.52</v>
      </c>
      <c r="Y534" s="32">
        <f t="shared" si="89"/>
        <v>688.52</v>
      </c>
      <c r="Z534" s="32">
        <f t="shared" si="90"/>
        <v>0</v>
      </c>
      <c r="AA534" s="38">
        <v>14</v>
      </c>
      <c r="AB534" s="37">
        <f>IFERROR(VLOOKUP(A534,'Tash Lookup'!A:E,3,FALSE),"")</f>
        <v>688.53</v>
      </c>
      <c r="AC534" s="6">
        <f t="shared" si="91"/>
        <v>0</v>
      </c>
      <c r="AD534" s="2" t="s">
        <v>6703</v>
      </c>
      <c r="AF534" s="56">
        <v>51.32</v>
      </c>
      <c r="AG534" s="56">
        <f>VLOOKUP(A534,Sheet1!$A$2:$C$1140,3,FALSE)</f>
        <v>52.86</v>
      </c>
      <c r="AH534" s="58">
        <v>52.86</v>
      </c>
      <c r="AI534" s="56" t="str">
        <f t="shared" si="92"/>
        <v>Increase</v>
      </c>
      <c r="AJ534" s="81">
        <f t="shared" si="96"/>
        <v>718.48</v>
      </c>
      <c r="AK534" s="81">
        <f t="shared" si="97"/>
        <v>740.04</v>
      </c>
      <c r="AL534" s="58" t="s">
        <v>32</v>
      </c>
      <c r="AM534" s="58" t="s">
        <v>6703</v>
      </c>
      <c r="AN534" s="75">
        <v>4</v>
      </c>
      <c r="AO534" s="88">
        <v>52.86</v>
      </c>
      <c r="AP534" s="6" t="str">
        <f t="shared" si="93"/>
        <v>Increase</v>
      </c>
      <c r="AQ534" s="81">
        <f t="shared" si="94"/>
        <v>205.28</v>
      </c>
      <c r="AR534" s="81">
        <f t="shared" si="95"/>
        <v>211.44</v>
      </c>
      <c r="AS534" s="82">
        <f t="shared" si="98"/>
        <v>6.1599999999999966</v>
      </c>
    </row>
    <row r="535" spans="1:45" hidden="1" x14ac:dyDescent="0.3">
      <c r="A535">
        <v>5219314</v>
      </c>
      <c r="B535" s="15" t="s">
        <v>5871</v>
      </c>
      <c r="C535" s="16" t="s">
        <v>30</v>
      </c>
      <c r="D535" s="6" t="s">
        <v>31</v>
      </c>
      <c r="E535" t="s">
        <v>37</v>
      </c>
      <c r="F535" t="s">
        <v>37</v>
      </c>
      <c r="H535" s="11" t="s">
        <v>27</v>
      </c>
      <c r="I535" s="6" t="s">
        <v>28</v>
      </c>
      <c r="J535" s="6" t="s">
        <v>28</v>
      </c>
      <c r="K535" t="s">
        <v>32</v>
      </c>
      <c r="L535" s="29">
        <v>12.56</v>
      </c>
      <c r="M535" s="6" t="s">
        <v>29</v>
      </c>
      <c r="N535" s="6">
        <v>3105</v>
      </c>
      <c r="P535" s="18"/>
      <c r="Q535" s="17"/>
      <c r="R535" s="19">
        <v>12.56</v>
      </c>
      <c r="S535" s="19">
        <v>12.56</v>
      </c>
      <c r="T535" s="38">
        <v>14</v>
      </c>
      <c r="U535" s="38"/>
      <c r="V535" s="29">
        <v>12.56</v>
      </c>
      <c r="W535" s="44">
        <v>8.5399999999999991</v>
      </c>
      <c r="X535" s="32">
        <f t="shared" si="88"/>
        <v>175.84</v>
      </c>
      <c r="Y535" s="32">
        <f t="shared" si="89"/>
        <v>175.84</v>
      </c>
      <c r="Z535" s="32">
        <f t="shared" si="90"/>
        <v>0</v>
      </c>
      <c r="AA535" s="38">
        <v>14</v>
      </c>
      <c r="AB535" s="37">
        <f>IFERROR(VLOOKUP(A535,'Tash Lookup'!A:E,3,FALSE),"")</f>
        <v>145.44</v>
      </c>
      <c r="AC535" s="6">
        <f t="shared" si="91"/>
        <v>0</v>
      </c>
      <c r="AD535" s="2" t="s">
        <v>6703</v>
      </c>
      <c r="AF535" s="56">
        <v>13.53</v>
      </c>
      <c r="AG535" s="56">
        <f>VLOOKUP(A535,Sheet1!$A$2:$C$1140,3,FALSE)</f>
        <v>13.53</v>
      </c>
      <c r="AH535" s="58">
        <v>13.53</v>
      </c>
      <c r="AI535" s="56" t="str">
        <f t="shared" si="92"/>
        <v>Same</v>
      </c>
      <c r="AJ535" s="81">
        <f t="shared" si="96"/>
        <v>189.42</v>
      </c>
      <c r="AK535" s="81">
        <f t="shared" si="97"/>
        <v>189.42</v>
      </c>
      <c r="AL535" s="58" t="s">
        <v>32</v>
      </c>
      <c r="AM535" s="58" t="s">
        <v>6703</v>
      </c>
      <c r="AN535" s="75">
        <v>10</v>
      </c>
      <c r="AO535" s="88">
        <v>13.53</v>
      </c>
      <c r="AP535" s="6" t="str">
        <f t="shared" si="93"/>
        <v>Same</v>
      </c>
      <c r="AQ535" s="81">
        <f t="shared" si="94"/>
        <v>135.29999999999998</v>
      </c>
      <c r="AR535" s="81">
        <f t="shared" si="95"/>
        <v>135.29999999999998</v>
      </c>
      <c r="AS535" s="81">
        <f t="shared" si="98"/>
        <v>0</v>
      </c>
    </row>
    <row r="536" spans="1:45" hidden="1" x14ac:dyDescent="0.3">
      <c r="A536">
        <v>5090729</v>
      </c>
      <c r="B536" s="15" t="s">
        <v>5872</v>
      </c>
      <c r="C536" s="16" t="s">
        <v>30</v>
      </c>
      <c r="D536" s="6" t="s">
        <v>31</v>
      </c>
      <c r="E536" t="s">
        <v>141</v>
      </c>
      <c r="F536" t="s">
        <v>141</v>
      </c>
      <c r="H536" s="11" t="s">
        <v>27</v>
      </c>
      <c r="I536" s="6" t="s">
        <v>28</v>
      </c>
      <c r="J536" s="6" t="s">
        <v>28</v>
      </c>
      <c r="K536" t="s">
        <v>32</v>
      </c>
      <c r="L536" s="35">
        <v>14.43</v>
      </c>
      <c r="M536" s="6" t="s">
        <v>29</v>
      </c>
      <c r="N536" s="6">
        <v>3105</v>
      </c>
      <c r="P536" s="18"/>
      <c r="Q536" s="17"/>
      <c r="R536" s="19">
        <v>14.43</v>
      </c>
      <c r="S536" s="19">
        <v>14.43</v>
      </c>
      <c r="T536" s="38">
        <v>14</v>
      </c>
      <c r="U536" s="38"/>
      <c r="V536" s="29">
        <v>14.43</v>
      </c>
      <c r="W536" s="35">
        <v>14.43</v>
      </c>
      <c r="X536" s="32">
        <f t="shared" si="88"/>
        <v>202.01999999999998</v>
      </c>
      <c r="Y536" s="32">
        <f t="shared" si="89"/>
        <v>202.01999999999998</v>
      </c>
      <c r="Z536" s="32">
        <f t="shared" si="90"/>
        <v>0</v>
      </c>
      <c r="AA536" s="38">
        <v>14</v>
      </c>
      <c r="AB536" s="37">
        <f>IFERROR(VLOOKUP(A536,'Tash Lookup'!A:E,3,FALSE),"")</f>
        <v>196.50000000000003</v>
      </c>
      <c r="AC536" s="6">
        <f t="shared" si="91"/>
        <v>0</v>
      </c>
      <c r="AD536" s="2" t="s">
        <v>6703</v>
      </c>
      <c r="AF536" s="56">
        <v>14.7</v>
      </c>
      <c r="AG536" s="56">
        <f>VLOOKUP(A536,Sheet1!$A$2:$C$1140,3,FALSE)</f>
        <v>14.7</v>
      </c>
      <c r="AH536" s="58">
        <v>14.7</v>
      </c>
      <c r="AI536" s="56" t="str">
        <f t="shared" si="92"/>
        <v>Same</v>
      </c>
      <c r="AJ536" s="81">
        <f t="shared" si="96"/>
        <v>205.79999999999998</v>
      </c>
      <c r="AK536" s="81">
        <f t="shared" si="97"/>
        <v>205.79999999999998</v>
      </c>
      <c r="AL536" s="58" t="s">
        <v>32</v>
      </c>
      <c r="AM536" s="58" t="s">
        <v>6703</v>
      </c>
      <c r="AN536" s="75">
        <v>15</v>
      </c>
      <c r="AO536" s="88">
        <v>14.7</v>
      </c>
      <c r="AP536" s="6" t="str">
        <f t="shared" si="93"/>
        <v>Same</v>
      </c>
      <c r="AQ536" s="81">
        <f t="shared" si="94"/>
        <v>220.5</v>
      </c>
      <c r="AR536" s="81">
        <f t="shared" si="95"/>
        <v>220.5</v>
      </c>
      <c r="AS536" s="81">
        <f t="shared" si="98"/>
        <v>0</v>
      </c>
    </row>
    <row r="537" spans="1:45" hidden="1" x14ac:dyDescent="0.3">
      <c r="A537">
        <v>5218615</v>
      </c>
      <c r="B537" s="15" t="s">
        <v>5873</v>
      </c>
      <c r="C537" s="16" t="s">
        <v>30</v>
      </c>
      <c r="D537" s="6" t="s">
        <v>31</v>
      </c>
      <c r="E537" t="s">
        <v>253</v>
      </c>
      <c r="F537" t="s">
        <v>253</v>
      </c>
      <c r="H537" s="11" t="s">
        <v>27</v>
      </c>
      <c r="I537" s="6" t="s">
        <v>28</v>
      </c>
      <c r="J537" s="6" t="s">
        <v>28</v>
      </c>
      <c r="K537" t="s">
        <v>32</v>
      </c>
      <c r="L537" s="35">
        <v>13.27</v>
      </c>
      <c r="M537" s="6" t="s">
        <v>29</v>
      </c>
      <c r="N537" s="6">
        <v>3105</v>
      </c>
      <c r="P537" s="18"/>
      <c r="Q537" s="17"/>
      <c r="R537" s="19">
        <v>13.27</v>
      </c>
      <c r="S537" s="19">
        <v>13.27</v>
      </c>
      <c r="T537" s="38">
        <v>13</v>
      </c>
      <c r="U537" s="38"/>
      <c r="V537" s="29">
        <v>13.27</v>
      </c>
      <c r="W537" s="45">
        <v>7.71</v>
      </c>
      <c r="X537" s="32">
        <f t="shared" si="88"/>
        <v>172.51</v>
      </c>
      <c r="Y537" s="32">
        <f t="shared" si="89"/>
        <v>172.51</v>
      </c>
      <c r="Z537" s="32">
        <f t="shared" si="90"/>
        <v>0</v>
      </c>
      <c r="AA537" s="38">
        <v>13</v>
      </c>
      <c r="AB537" s="37">
        <f>IFERROR(VLOOKUP(A537,'Tash Lookup'!A:E,3,FALSE),"")</f>
        <v>140.59</v>
      </c>
      <c r="AC537" s="6">
        <f t="shared" si="91"/>
        <v>0</v>
      </c>
      <c r="AD537" s="2" t="s">
        <v>6703</v>
      </c>
      <c r="AF537" s="56">
        <v>14.03</v>
      </c>
      <c r="AG537" s="56">
        <f>VLOOKUP(A537,Sheet1!$A$2:$C$1140,3,FALSE)</f>
        <v>14.44</v>
      </c>
      <c r="AH537" s="58">
        <v>14.44</v>
      </c>
      <c r="AI537" s="56" t="str">
        <f t="shared" si="92"/>
        <v>Increase</v>
      </c>
      <c r="AJ537" s="81">
        <f t="shared" si="96"/>
        <v>182.39</v>
      </c>
      <c r="AK537" s="81">
        <f t="shared" si="97"/>
        <v>187.72</v>
      </c>
      <c r="AL537" s="58" t="s">
        <v>32</v>
      </c>
      <c r="AM537" s="58" t="s">
        <v>6703</v>
      </c>
      <c r="AN537" s="75">
        <v>7</v>
      </c>
      <c r="AO537" s="88">
        <v>14.44</v>
      </c>
      <c r="AP537" s="6" t="str">
        <f t="shared" si="93"/>
        <v>Increase</v>
      </c>
      <c r="AQ537" s="81">
        <f t="shared" si="94"/>
        <v>98.21</v>
      </c>
      <c r="AR537" s="81">
        <f t="shared" si="95"/>
        <v>101.08</v>
      </c>
      <c r="AS537" s="82">
        <f t="shared" si="98"/>
        <v>2.8700000000000045</v>
      </c>
    </row>
    <row r="538" spans="1:45" hidden="1" x14ac:dyDescent="0.3">
      <c r="A538">
        <v>5092481</v>
      </c>
      <c r="B538" s="15" t="s">
        <v>5874</v>
      </c>
      <c r="C538" s="16" t="s">
        <v>30</v>
      </c>
      <c r="D538" s="6" t="s">
        <v>31</v>
      </c>
      <c r="E538" t="s">
        <v>308</v>
      </c>
      <c r="F538" t="s">
        <v>308</v>
      </c>
      <c r="H538" s="11" t="s">
        <v>27</v>
      </c>
      <c r="I538" s="6" t="s">
        <v>28</v>
      </c>
      <c r="J538" s="6" t="s">
        <v>28</v>
      </c>
      <c r="K538" t="s">
        <v>32</v>
      </c>
      <c r="L538" s="35">
        <v>5.9</v>
      </c>
      <c r="M538" s="6" t="s">
        <v>29</v>
      </c>
      <c r="N538" s="6">
        <v>3105</v>
      </c>
      <c r="P538" s="18"/>
      <c r="Q538" s="17"/>
      <c r="R538" s="19">
        <v>5.9</v>
      </c>
      <c r="S538" s="19">
        <v>5.9</v>
      </c>
      <c r="T538" s="38">
        <v>13</v>
      </c>
      <c r="U538" s="38"/>
      <c r="V538" s="29">
        <v>5.9</v>
      </c>
      <c r="W538" s="35">
        <v>5.9</v>
      </c>
      <c r="X538" s="32">
        <f t="shared" si="88"/>
        <v>76.7</v>
      </c>
      <c r="Y538" s="32">
        <f t="shared" si="89"/>
        <v>76.7</v>
      </c>
      <c r="Z538" s="32">
        <f t="shared" si="90"/>
        <v>0</v>
      </c>
      <c r="AA538" s="38">
        <v>13</v>
      </c>
      <c r="AB538" s="37">
        <f>IFERROR(VLOOKUP(A538,'Tash Lookup'!A:E,3,FALSE),"")</f>
        <v>97.99</v>
      </c>
      <c r="AC538" s="6">
        <f t="shared" si="91"/>
        <v>0</v>
      </c>
      <c r="AD538" s="2" t="s">
        <v>6707</v>
      </c>
      <c r="AF538" s="56">
        <v>5.9</v>
      </c>
      <c r="AG538" s="56">
        <f>VLOOKUP(A538,Sheet1!$A$2:$C$1140,3,FALSE)</f>
        <v>5.9</v>
      </c>
      <c r="AH538" s="58">
        <v>5.9</v>
      </c>
      <c r="AI538" s="56" t="str">
        <f t="shared" si="92"/>
        <v>Same</v>
      </c>
      <c r="AJ538" s="81">
        <f t="shared" si="96"/>
        <v>76.7</v>
      </c>
      <c r="AK538" s="81">
        <f t="shared" si="97"/>
        <v>76.7</v>
      </c>
      <c r="AL538" s="58" t="s">
        <v>32</v>
      </c>
      <c r="AM538" s="58" t="s">
        <v>6708</v>
      </c>
      <c r="AN538" s="75">
        <v>0</v>
      </c>
      <c r="AO538" s="88">
        <v>5.9</v>
      </c>
      <c r="AP538" s="6" t="str">
        <f t="shared" si="93"/>
        <v>Same</v>
      </c>
      <c r="AQ538" s="81">
        <f t="shared" si="94"/>
        <v>0</v>
      </c>
      <c r="AR538" s="81">
        <f t="shared" si="95"/>
        <v>0</v>
      </c>
      <c r="AS538" s="81">
        <f t="shared" si="98"/>
        <v>0</v>
      </c>
    </row>
    <row r="539" spans="1:45" hidden="1" x14ac:dyDescent="0.3">
      <c r="A539">
        <v>5092711</v>
      </c>
      <c r="B539" s="15" t="s">
        <v>5875</v>
      </c>
      <c r="C539" s="16" t="s">
        <v>30</v>
      </c>
      <c r="D539" s="6" t="s">
        <v>31</v>
      </c>
      <c r="E539" t="s">
        <v>403</v>
      </c>
      <c r="F539" t="s">
        <v>403</v>
      </c>
      <c r="H539" s="11" t="s">
        <v>27</v>
      </c>
      <c r="I539" s="6" t="s">
        <v>28</v>
      </c>
      <c r="J539" s="6" t="s">
        <v>28</v>
      </c>
      <c r="K539" t="s">
        <v>32</v>
      </c>
      <c r="L539" s="35">
        <v>32.200000000000003</v>
      </c>
      <c r="M539" s="6" t="s">
        <v>29</v>
      </c>
      <c r="N539" s="6">
        <v>3105</v>
      </c>
      <c r="P539" s="18"/>
      <c r="Q539" s="17"/>
      <c r="R539" s="19">
        <v>0</v>
      </c>
      <c r="S539" s="19">
        <v>0</v>
      </c>
      <c r="T539" s="38">
        <v>13</v>
      </c>
      <c r="U539" s="38"/>
      <c r="V539" s="29">
        <v>32.200000000000003</v>
      </c>
      <c r="W539" s="35">
        <v>32.200000000000003</v>
      </c>
      <c r="X539" s="32">
        <f t="shared" si="88"/>
        <v>418.6</v>
      </c>
      <c r="Y539" s="32">
        <f t="shared" si="89"/>
        <v>418.6</v>
      </c>
      <c r="Z539" s="32">
        <f t="shared" si="90"/>
        <v>0</v>
      </c>
      <c r="AA539" s="38">
        <v>13</v>
      </c>
      <c r="AB539" s="37">
        <f>IFERROR(VLOOKUP(A539,'Tash Lookup'!A:E,3,FALSE),"")</f>
        <v>466.05</v>
      </c>
      <c r="AC539" s="6">
        <f t="shared" si="91"/>
        <v>0</v>
      </c>
      <c r="AD539" s="2" t="s">
        <v>6703</v>
      </c>
      <c r="AF539" s="56">
        <v>32.909999999999997</v>
      </c>
      <c r="AG539" s="56">
        <f>VLOOKUP(A539,Sheet1!$A$2:$C$1140,3,FALSE)</f>
        <v>33.9</v>
      </c>
      <c r="AH539" s="58">
        <v>33.9</v>
      </c>
      <c r="AI539" s="56" t="str">
        <f t="shared" si="92"/>
        <v>Increase</v>
      </c>
      <c r="AJ539" s="81">
        <f t="shared" si="96"/>
        <v>427.82999999999993</v>
      </c>
      <c r="AK539" s="81">
        <f t="shared" si="97"/>
        <v>440.7</v>
      </c>
      <c r="AL539" s="58" t="s">
        <v>32</v>
      </c>
      <c r="AM539" s="58" t="s">
        <v>6703</v>
      </c>
      <c r="AN539" s="75">
        <v>1</v>
      </c>
      <c r="AO539" s="88">
        <v>33.9</v>
      </c>
      <c r="AP539" s="6" t="str">
        <f t="shared" si="93"/>
        <v>Increase</v>
      </c>
      <c r="AQ539" s="81">
        <f t="shared" si="94"/>
        <v>32.909999999999997</v>
      </c>
      <c r="AR539" s="81">
        <f t="shared" si="95"/>
        <v>33.9</v>
      </c>
      <c r="AS539" s="82">
        <f t="shared" si="98"/>
        <v>0.99000000000000199</v>
      </c>
    </row>
    <row r="540" spans="1:45" hidden="1" x14ac:dyDescent="0.3">
      <c r="A540">
        <v>6383955</v>
      </c>
      <c r="B540" s="15" t="s">
        <v>5876</v>
      </c>
      <c r="C540" s="16" t="s">
        <v>30</v>
      </c>
      <c r="D540" s="6" t="s">
        <v>31</v>
      </c>
      <c r="E540" t="s">
        <v>826</v>
      </c>
      <c r="F540" t="s">
        <v>826</v>
      </c>
      <c r="H540" s="11" t="s">
        <v>27</v>
      </c>
      <c r="I540" s="6" t="s">
        <v>28</v>
      </c>
      <c r="J540" s="6" t="s">
        <v>28</v>
      </c>
      <c r="K540" t="s">
        <v>32</v>
      </c>
      <c r="L540" s="35">
        <v>1.79</v>
      </c>
      <c r="M540" s="6" t="s">
        <v>29</v>
      </c>
      <c r="N540" s="6">
        <v>3105</v>
      </c>
      <c r="P540" s="18"/>
      <c r="Q540" s="17"/>
      <c r="R540" s="19">
        <v>1.79</v>
      </c>
      <c r="S540" s="19">
        <v>1.79</v>
      </c>
      <c r="T540" s="38">
        <v>13</v>
      </c>
      <c r="U540" s="38"/>
      <c r="V540" s="30">
        <v>1.79</v>
      </c>
      <c r="W540" s="35">
        <v>1.79</v>
      </c>
      <c r="X540" s="32">
        <f t="shared" si="88"/>
        <v>23.27</v>
      </c>
      <c r="Y540" s="32">
        <f t="shared" si="89"/>
        <v>23.27</v>
      </c>
      <c r="Z540" s="32">
        <f t="shared" si="90"/>
        <v>0</v>
      </c>
      <c r="AA540" s="38">
        <v>13</v>
      </c>
      <c r="AB540" s="37">
        <f>IFERROR(VLOOKUP(A540,'Tash Lookup'!A:E,3,FALSE),"")</f>
        <v>23.29</v>
      </c>
      <c r="AC540" s="6">
        <f t="shared" si="91"/>
        <v>0</v>
      </c>
      <c r="AD540" s="2" t="s">
        <v>6703</v>
      </c>
      <c r="AF540" s="56">
        <v>1.79</v>
      </c>
      <c r="AG540" s="56">
        <f>VLOOKUP(A540,Sheet1!$A$2:$C$1140,3,FALSE)</f>
        <v>1.79</v>
      </c>
      <c r="AH540" s="58">
        <v>1.79</v>
      </c>
      <c r="AI540" s="56" t="str">
        <f t="shared" si="92"/>
        <v>Same</v>
      </c>
      <c r="AJ540" s="81">
        <f t="shared" si="96"/>
        <v>23.27</v>
      </c>
      <c r="AK540" s="81">
        <f t="shared" si="97"/>
        <v>23.27</v>
      </c>
      <c r="AL540" s="58" t="s">
        <v>7206</v>
      </c>
      <c r="AM540" s="58" t="s">
        <v>6703</v>
      </c>
      <c r="AN540" s="75">
        <v>12</v>
      </c>
      <c r="AO540" s="88">
        <v>1.79</v>
      </c>
      <c r="AP540" s="6" t="str">
        <f t="shared" si="93"/>
        <v>Same</v>
      </c>
      <c r="AQ540" s="81">
        <f t="shared" si="94"/>
        <v>21.48</v>
      </c>
      <c r="AR540" s="81">
        <f t="shared" si="95"/>
        <v>21.48</v>
      </c>
      <c r="AS540" s="81">
        <f t="shared" si="98"/>
        <v>0</v>
      </c>
    </row>
    <row r="541" spans="1:45" hidden="1" x14ac:dyDescent="0.3">
      <c r="A541">
        <v>5556022</v>
      </c>
      <c r="B541" s="15" t="s">
        <v>5877</v>
      </c>
      <c r="C541" s="16" t="s">
        <v>30</v>
      </c>
      <c r="D541" s="6" t="s">
        <v>31</v>
      </c>
      <c r="E541" t="s">
        <v>2975</v>
      </c>
      <c r="F541" t="s">
        <v>5214</v>
      </c>
      <c r="H541" s="11" t="s">
        <v>27</v>
      </c>
      <c r="I541" s="6" t="s">
        <v>28</v>
      </c>
      <c r="J541" s="6" t="s">
        <v>28</v>
      </c>
      <c r="K541" t="s">
        <v>32</v>
      </c>
      <c r="L541" s="35">
        <v>177.65</v>
      </c>
      <c r="M541" s="6" t="s">
        <v>29</v>
      </c>
      <c r="N541" s="6">
        <v>3105</v>
      </c>
      <c r="P541" s="18"/>
      <c r="Q541" s="17"/>
      <c r="R541" s="19">
        <v>177.65</v>
      </c>
      <c r="S541" s="19">
        <v>177.65</v>
      </c>
      <c r="T541" s="38">
        <v>13</v>
      </c>
      <c r="U541" s="38"/>
      <c r="V541" s="29">
        <v>177.65</v>
      </c>
      <c r="W541" s="35">
        <v>177.65</v>
      </c>
      <c r="X541" s="32">
        <f t="shared" si="88"/>
        <v>2309.4500000000003</v>
      </c>
      <c r="Y541" s="32">
        <f t="shared" si="89"/>
        <v>2309.4500000000003</v>
      </c>
      <c r="Z541" s="32">
        <f t="shared" si="90"/>
        <v>0</v>
      </c>
      <c r="AA541" s="38">
        <v>13</v>
      </c>
      <c r="AB541" s="37">
        <f>IFERROR(VLOOKUP(A541,'Tash Lookup'!A:E,3,FALSE),"")</f>
        <v>2273.4299999999998</v>
      </c>
      <c r="AC541" s="6">
        <f t="shared" si="91"/>
        <v>0</v>
      </c>
      <c r="AD541" s="2" t="s">
        <v>6705</v>
      </c>
      <c r="AF541" s="56">
        <v>184.81</v>
      </c>
      <c r="AG541" s="56">
        <f>VLOOKUP(A541,Sheet1!$A$2:$C$1140,3,FALSE)</f>
        <v>184.81</v>
      </c>
      <c r="AH541" s="58">
        <v>184.81</v>
      </c>
      <c r="AI541" s="56" t="str">
        <f t="shared" si="92"/>
        <v>Same</v>
      </c>
      <c r="AJ541" s="81">
        <f t="shared" si="96"/>
        <v>2402.5300000000002</v>
      </c>
      <c r="AK541" s="81">
        <f t="shared" si="97"/>
        <v>2402.5300000000002</v>
      </c>
      <c r="AL541" s="58" t="s">
        <v>32</v>
      </c>
      <c r="AM541" s="58" t="s">
        <v>6705</v>
      </c>
      <c r="AN541" s="75">
        <v>8</v>
      </c>
      <c r="AO541" s="88">
        <v>184.81</v>
      </c>
      <c r="AP541" s="6" t="str">
        <f t="shared" si="93"/>
        <v>Same</v>
      </c>
      <c r="AQ541" s="81">
        <f t="shared" si="94"/>
        <v>1478.48</v>
      </c>
      <c r="AR541" s="81">
        <f t="shared" si="95"/>
        <v>1478.48</v>
      </c>
      <c r="AS541" s="81">
        <f t="shared" si="98"/>
        <v>0</v>
      </c>
    </row>
    <row r="542" spans="1:45" hidden="1" x14ac:dyDescent="0.3">
      <c r="A542">
        <v>5091630</v>
      </c>
      <c r="B542" s="15" t="s">
        <v>5878</v>
      </c>
      <c r="C542" s="16" t="s">
        <v>30</v>
      </c>
      <c r="D542" s="6" t="s">
        <v>31</v>
      </c>
      <c r="E542" t="s">
        <v>515</v>
      </c>
      <c r="F542" t="s">
        <v>515</v>
      </c>
      <c r="H542" s="11" t="s">
        <v>27</v>
      </c>
      <c r="I542" s="6" t="s">
        <v>28</v>
      </c>
      <c r="J542" s="6" t="s">
        <v>28</v>
      </c>
      <c r="K542" t="s">
        <v>32</v>
      </c>
      <c r="L542" s="35">
        <v>56.51</v>
      </c>
      <c r="M542" s="6" t="s">
        <v>29</v>
      </c>
      <c r="N542" s="6">
        <v>3105</v>
      </c>
      <c r="P542" s="18"/>
      <c r="Q542" s="17"/>
      <c r="R542" s="19">
        <v>56.51</v>
      </c>
      <c r="S542" s="19">
        <v>56.51</v>
      </c>
      <c r="T542" s="38">
        <v>13</v>
      </c>
      <c r="U542" s="38"/>
      <c r="V542" s="29">
        <v>56.51</v>
      </c>
      <c r="W542" s="35">
        <v>56.51</v>
      </c>
      <c r="X542" s="32">
        <f t="shared" si="88"/>
        <v>734.63</v>
      </c>
      <c r="Y542" s="32">
        <f t="shared" si="89"/>
        <v>734.63</v>
      </c>
      <c r="Z542" s="32">
        <f t="shared" si="90"/>
        <v>0</v>
      </c>
      <c r="AA542" s="38">
        <v>13</v>
      </c>
      <c r="AB542" s="37">
        <f>IFERROR(VLOOKUP(A542,'Tash Lookup'!A:E,3,FALSE),"")</f>
        <v>708.33</v>
      </c>
      <c r="AC542" s="6">
        <f t="shared" si="91"/>
        <v>0</v>
      </c>
      <c r="AD542" s="2" t="s">
        <v>6703</v>
      </c>
      <c r="AF542" s="56">
        <v>52.54</v>
      </c>
      <c r="AG542" s="56">
        <f>VLOOKUP(A542,Sheet1!$A$2:$C$1140,3,FALSE)</f>
        <v>52.54</v>
      </c>
      <c r="AH542" s="58">
        <v>52.54</v>
      </c>
      <c r="AI542" s="56" t="str">
        <f t="shared" si="92"/>
        <v>Same</v>
      </c>
      <c r="AJ542" s="81">
        <f t="shared" si="96"/>
        <v>683.02</v>
      </c>
      <c r="AK542" s="81">
        <f t="shared" si="97"/>
        <v>683.02</v>
      </c>
      <c r="AL542" s="58" t="s">
        <v>32</v>
      </c>
      <c r="AM542" s="58" t="s">
        <v>6703</v>
      </c>
      <c r="AN542" s="75">
        <v>56</v>
      </c>
      <c r="AO542" s="88">
        <v>52.54</v>
      </c>
      <c r="AP542" s="6" t="str">
        <f t="shared" si="93"/>
        <v>Same</v>
      </c>
      <c r="AQ542" s="81">
        <f t="shared" si="94"/>
        <v>2942.24</v>
      </c>
      <c r="AR542" s="81">
        <f t="shared" si="95"/>
        <v>2942.24</v>
      </c>
      <c r="AS542" s="81">
        <f t="shared" si="98"/>
        <v>0</v>
      </c>
    </row>
    <row r="543" spans="1:45" hidden="1" x14ac:dyDescent="0.3">
      <c r="A543">
        <v>5583706</v>
      </c>
      <c r="B543" s="15" t="s">
        <v>5879</v>
      </c>
      <c r="C543" s="16" t="s">
        <v>30</v>
      </c>
      <c r="D543" s="6" t="s">
        <v>31</v>
      </c>
      <c r="E543" t="s">
        <v>210</v>
      </c>
      <c r="F543" t="s">
        <v>210</v>
      </c>
      <c r="H543" s="11" t="s">
        <v>27</v>
      </c>
      <c r="I543" s="6" t="s">
        <v>28</v>
      </c>
      <c r="J543" s="6" t="s">
        <v>28</v>
      </c>
      <c r="K543" t="s">
        <v>32</v>
      </c>
      <c r="L543" s="35">
        <v>20.74</v>
      </c>
      <c r="M543" s="6" t="s">
        <v>29</v>
      </c>
      <c r="N543" s="6">
        <v>3105</v>
      </c>
      <c r="P543" s="18"/>
      <c r="Q543" s="17"/>
      <c r="R543" s="19">
        <v>20.74</v>
      </c>
      <c r="S543" s="19">
        <v>20.74</v>
      </c>
      <c r="T543" s="38">
        <v>13</v>
      </c>
      <c r="U543" s="38"/>
      <c r="V543" s="29">
        <v>20.74</v>
      </c>
      <c r="W543" s="35">
        <v>20.74</v>
      </c>
      <c r="X543" s="32">
        <f t="shared" si="88"/>
        <v>269.62</v>
      </c>
      <c r="Y543" s="32">
        <f t="shared" si="89"/>
        <v>269.62</v>
      </c>
      <c r="Z543" s="32">
        <f t="shared" si="90"/>
        <v>0</v>
      </c>
      <c r="AA543" s="38">
        <v>13</v>
      </c>
      <c r="AB543" s="37">
        <f>IFERROR(VLOOKUP(A543,'Tash Lookup'!A:E,3,FALSE),"")</f>
        <v>266.11</v>
      </c>
      <c r="AC543" s="6">
        <f t="shared" si="91"/>
        <v>0</v>
      </c>
      <c r="AD543" s="2" t="s">
        <v>6703</v>
      </c>
      <c r="AF543" s="56">
        <v>21.82</v>
      </c>
      <c r="AG543" s="56">
        <f>VLOOKUP(A543,Sheet1!$A$2:$C$1140,3,FALSE)</f>
        <v>21.82</v>
      </c>
      <c r="AH543" s="58">
        <v>21.82</v>
      </c>
      <c r="AI543" s="56" t="str">
        <f t="shared" si="92"/>
        <v>Same</v>
      </c>
      <c r="AJ543" s="81">
        <f t="shared" si="96"/>
        <v>283.66000000000003</v>
      </c>
      <c r="AK543" s="81">
        <f t="shared" si="97"/>
        <v>283.66000000000003</v>
      </c>
      <c r="AL543" s="58" t="s">
        <v>32</v>
      </c>
      <c r="AM543" s="58" t="s">
        <v>6703</v>
      </c>
      <c r="AN543" s="75">
        <v>5</v>
      </c>
      <c r="AO543" s="88">
        <v>21.82</v>
      </c>
      <c r="AP543" s="6" t="str">
        <f t="shared" si="93"/>
        <v>Same</v>
      </c>
      <c r="AQ543" s="81">
        <f t="shared" si="94"/>
        <v>109.1</v>
      </c>
      <c r="AR543" s="81">
        <f t="shared" si="95"/>
        <v>109.1</v>
      </c>
      <c r="AS543" s="81">
        <f t="shared" si="98"/>
        <v>0</v>
      </c>
    </row>
    <row r="544" spans="1:45" hidden="1" x14ac:dyDescent="0.3">
      <c r="A544">
        <v>6107298</v>
      </c>
      <c r="B544" s="15" t="s">
        <v>5880</v>
      </c>
      <c r="C544" s="16" t="s">
        <v>30</v>
      </c>
      <c r="D544" s="6" t="s">
        <v>31</v>
      </c>
      <c r="E544" t="s">
        <v>955</v>
      </c>
      <c r="F544" t="s">
        <v>955</v>
      </c>
      <c r="H544" s="11" t="s">
        <v>27</v>
      </c>
      <c r="I544" s="6" t="s">
        <v>28</v>
      </c>
      <c r="J544" s="6" t="s">
        <v>28</v>
      </c>
      <c r="K544" t="s">
        <v>32</v>
      </c>
      <c r="L544" s="35">
        <v>14.85</v>
      </c>
      <c r="M544" s="6" t="s">
        <v>29</v>
      </c>
      <c r="N544" s="6">
        <v>3105</v>
      </c>
      <c r="P544" s="18"/>
      <c r="Q544" s="17"/>
      <c r="R544" s="19">
        <v>14.85</v>
      </c>
      <c r="S544" s="19">
        <v>14.85</v>
      </c>
      <c r="T544" s="38">
        <v>13</v>
      </c>
      <c r="U544" s="38"/>
      <c r="V544" s="29">
        <v>14.85</v>
      </c>
      <c r="W544" s="35">
        <v>14.85</v>
      </c>
      <c r="X544" s="32">
        <f t="shared" si="88"/>
        <v>193.04999999999998</v>
      </c>
      <c r="Y544" s="32">
        <f t="shared" si="89"/>
        <v>193.04999999999998</v>
      </c>
      <c r="Z544" s="32">
        <f t="shared" si="90"/>
        <v>0</v>
      </c>
      <c r="AA544" s="38">
        <v>13</v>
      </c>
      <c r="AB544" s="37">
        <f>IFERROR(VLOOKUP(A544,'Tash Lookup'!A:E,3,FALSE),"")</f>
        <v>193.08</v>
      </c>
      <c r="AC544" s="6">
        <f t="shared" si="91"/>
        <v>0</v>
      </c>
      <c r="AD544" s="2" t="s">
        <v>6707</v>
      </c>
      <c r="AF544" s="56">
        <v>14.85</v>
      </c>
      <c r="AG544" s="56" t="e">
        <f>VLOOKUP(A544,Sheet1!$A$2:$C$1140,3,FALSE)</f>
        <v>#N/A</v>
      </c>
      <c r="AH544" s="58" t="e">
        <v>#N/A</v>
      </c>
      <c r="AI544" s="56" t="str">
        <f t="shared" si="92"/>
        <v>Delete</v>
      </c>
      <c r="AJ544" s="81">
        <f t="shared" si="96"/>
        <v>193.04999999999998</v>
      </c>
      <c r="AK544" s="81">
        <f t="shared" si="97"/>
        <v>0</v>
      </c>
      <c r="AL544" s="58" t="s">
        <v>7206</v>
      </c>
      <c r="AM544" s="58" t="s">
        <v>6708</v>
      </c>
      <c r="AN544" s="75">
        <v>0</v>
      </c>
      <c r="AO544" s="88">
        <v>14.85</v>
      </c>
      <c r="AP544" s="6" t="str">
        <f t="shared" si="93"/>
        <v>Same</v>
      </c>
      <c r="AQ544" s="81">
        <f t="shared" si="94"/>
        <v>0</v>
      </c>
      <c r="AR544" s="81">
        <f t="shared" si="95"/>
        <v>0</v>
      </c>
      <c r="AS544" s="81">
        <f t="shared" si="98"/>
        <v>0</v>
      </c>
    </row>
    <row r="545" spans="1:45" hidden="1" x14ac:dyDescent="0.3">
      <c r="A545">
        <v>5084866</v>
      </c>
      <c r="B545" s="15" t="s">
        <v>5881</v>
      </c>
      <c r="C545" s="16" t="s">
        <v>30</v>
      </c>
      <c r="D545" s="6" t="s">
        <v>31</v>
      </c>
      <c r="E545" t="s">
        <v>977</v>
      </c>
      <c r="F545" t="s">
        <v>977</v>
      </c>
      <c r="H545" s="11" t="s">
        <v>27</v>
      </c>
      <c r="I545" s="6" t="s">
        <v>28</v>
      </c>
      <c r="J545" s="6" t="s">
        <v>28</v>
      </c>
      <c r="K545" t="s">
        <v>32</v>
      </c>
      <c r="L545" s="35">
        <v>50.08</v>
      </c>
      <c r="M545" s="6" t="s">
        <v>29</v>
      </c>
      <c r="N545" s="6">
        <v>3105</v>
      </c>
      <c r="P545" s="18"/>
      <c r="Q545" s="17"/>
      <c r="R545" s="19">
        <v>50.08</v>
      </c>
      <c r="S545" s="19">
        <v>50.08</v>
      </c>
      <c r="T545" s="38">
        <v>13</v>
      </c>
      <c r="U545" s="38"/>
      <c r="V545" s="30">
        <v>50.08</v>
      </c>
      <c r="W545" s="35">
        <v>50.08</v>
      </c>
      <c r="X545" s="32">
        <f t="shared" si="88"/>
        <v>651.04</v>
      </c>
      <c r="Y545" s="32">
        <f t="shared" si="89"/>
        <v>651.04</v>
      </c>
      <c r="Z545" s="32">
        <f t="shared" si="90"/>
        <v>0</v>
      </c>
      <c r="AA545" s="38">
        <v>13</v>
      </c>
      <c r="AB545" s="37">
        <f>IFERROR(VLOOKUP(A545,'Tash Lookup'!A:E,3,FALSE),"")</f>
        <v>641.86</v>
      </c>
      <c r="AC545" s="6">
        <f t="shared" si="91"/>
        <v>0</v>
      </c>
      <c r="AD545" s="2" t="s">
        <v>6703</v>
      </c>
      <c r="AF545" s="56">
        <v>28.89</v>
      </c>
      <c r="AG545" s="56">
        <f>VLOOKUP(A545,Sheet1!$A$2:$C$1140,3,FALSE)</f>
        <v>28.89</v>
      </c>
      <c r="AH545" s="58">
        <v>28.89</v>
      </c>
      <c r="AI545" s="56" t="str">
        <f t="shared" si="92"/>
        <v>Same</v>
      </c>
      <c r="AJ545" s="81">
        <f t="shared" si="96"/>
        <v>375.57</v>
      </c>
      <c r="AK545" s="81">
        <f t="shared" si="97"/>
        <v>375.57</v>
      </c>
      <c r="AL545" s="58" t="s">
        <v>7206</v>
      </c>
      <c r="AM545" s="58" t="s">
        <v>6703</v>
      </c>
      <c r="AN545" s="75">
        <v>2</v>
      </c>
      <c r="AO545" s="88">
        <v>28.89</v>
      </c>
      <c r="AP545" s="6" t="str">
        <f t="shared" si="93"/>
        <v>Same</v>
      </c>
      <c r="AQ545" s="81">
        <f t="shared" si="94"/>
        <v>57.78</v>
      </c>
      <c r="AR545" s="81">
        <f t="shared" si="95"/>
        <v>57.78</v>
      </c>
      <c r="AS545" s="81">
        <f t="shared" si="98"/>
        <v>0</v>
      </c>
    </row>
    <row r="546" spans="1:45" hidden="1" x14ac:dyDescent="0.3">
      <c r="A546">
        <v>6386671</v>
      </c>
      <c r="B546" s="15" t="s">
        <v>5882</v>
      </c>
      <c r="C546" s="16" t="s">
        <v>30</v>
      </c>
      <c r="D546" s="6" t="s">
        <v>31</v>
      </c>
      <c r="E546" t="s">
        <v>643</v>
      </c>
      <c r="F546" t="s">
        <v>643</v>
      </c>
      <c r="H546" s="11" t="s">
        <v>27</v>
      </c>
      <c r="I546" s="6" t="s">
        <v>28</v>
      </c>
      <c r="J546" s="6" t="s">
        <v>28</v>
      </c>
      <c r="K546" t="s">
        <v>32</v>
      </c>
      <c r="L546" s="35">
        <v>22.49</v>
      </c>
      <c r="M546" s="6" t="s">
        <v>29</v>
      </c>
      <c r="N546" s="6">
        <v>3105</v>
      </c>
      <c r="P546" s="18"/>
      <c r="Q546" s="17"/>
      <c r="R546" s="19">
        <v>22.49</v>
      </c>
      <c r="S546" s="19">
        <v>22.49</v>
      </c>
      <c r="T546" s="38">
        <v>13</v>
      </c>
      <c r="U546" s="38"/>
      <c r="V546" s="30">
        <v>22.49</v>
      </c>
      <c r="W546" s="35">
        <v>22.49</v>
      </c>
      <c r="X546" s="32">
        <f t="shared" si="88"/>
        <v>292.37</v>
      </c>
      <c r="Y546" s="32">
        <f t="shared" si="89"/>
        <v>292.37</v>
      </c>
      <c r="Z546" s="32">
        <f t="shared" si="90"/>
        <v>0</v>
      </c>
      <c r="AA546" s="38">
        <v>13</v>
      </c>
      <c r="AB546" s="37">
        <f>IFERROR(VLOOKUP(A546,'Tash Lookup'!A:E,3,FALSE),"")</f>
        <v>289.49</v>
      </c>
      <c r="AC546" s="6">
        <f t="shared" si="91"/>
        <v>0</v>
      </c>
      <c r="AD546" s="2" t="s">
        <v>6704</v>
      </c>
      <c r="AF546" s="56">
        <v>22.49</v>
      </c>
      <c r="AG546" s="56" t="e">
        <f>VLOOKUP(A546,Sheet1!$A$2:$C$1140,3,FALSE)</f>
        <v>#N/A</v>
      </c>
      <c r="AH546" s="58" t="e">
        <v>#N/A</v>
      </c>
      <c r="AI546" s="56" t="str">
        <f t="shared" si="92"/>
        <v>Delete</v>
      </c>
      <c r="AJ546" s="81">
        <f t="shared" si="96"/>
        <v>292.37</v>
      </c>
      <c r="AK546" s="81">
        <f t="shared" si="97"/>
        <v>0</v>
      </c>
      <c r="AL546" s="58" t="s">
        <v>7206</v>
      </c>
      <c r="AM546" s="58" t="s">
        <v>6708</v>
      </c>
      <c r="AN546" s="75">
        <v>0</v>
      </c>
      <c r="AO546" s="88">
        <v>22.49</v>
      </c>
      <c r="AP546" s="6" t="str">
        <f t="shared" si="93"/>
        <v>Same</v>
      </c>
      <c r="AQ546" s="81">
        <f t="shared" si="94"/>
        <v>0</v>
      </c>
      <c r="AR546" s="81">
        <f t="shared" si="95"/>
        <v>0</v>
      </c>
      <c r="AS546" s="81">
        <f t="shared" si="98"/>
        <v>0</v>
      </c>
    </row>
    <row r="547" spans="1:45" x14ac:dyDescent="0.3">
      <c r="A547">
        <v>5086585</v>
      </c>
      <c r="B547" s="15" t="s">
        <v>5883</v>
      </c>
      <c r="C547" s="16" t="s">
        <v>30</v>
      </c>
      <c r="D547" s="6" t="s">
        <v>31</v>
      </c>
      <c r="E547" t="s">
        <v>1185</v>
      </c>
      <c r="F547" t="s">
        <v>1185</v>
      </c>
      <c r="H547" s="11" t="s">
        <v>27</v>
      </c>
      <c r="I547" s="6" t="s">
        <v>28</v>
      </c>
      <c r="J547" s="6" t="s">
        <v>28</v>
      </c>
      <c r="K547" t="s">
        <v>32</v>
      </c>
      <c r="L547" s="35">
        <v>59.09</v>
      </c>
      <c r="M547" s="6" t="s">
        <v>29</v>
      </c>
      <c r="N547" s="6">
        <v>3105</v>
      </c>
      <c r="P547" s="18"/>
      <c r="Q547" s="17"/>
      <c r="R547" s="19">
        <v>59.09</v>
      </c>
      <c r="S547" s="19">
        <v>59.09</v>
      </c>
      <c r="T547" s="38">
        <v>13</v>
      </c>
      <c r="U547" s="38"/>
      <c r="V547" s="30">
        <v>59.09</v>
      </c>
      <c r="W547" s="35">
        <v>59.09</v>
      </c>
      <c r="X547" s="32">
        <f t="shared" si="88"/>
        <v>768.17000000000007</v>
      </c>
      <c r="Y547" s="32">
        <f t="shared" si="89"/>
        <v>768.17000000000007</v>
      </c>
      <c r="Z547" s="32">
        <f t="shared" si="90"/>
        <v>0</v>
      </c>
      <c r="AA547" s="38">
        <v>13</v>
      </c>
      <c r="AB547" s="37">
        <f>IFERROR(VLOOKUP(A547,'Tash Lookup'!A:E,3,FALSE),"")</f>
        <v>768.22</v>
      </c>
      <c r="AC547" s="6">
        <f t="shared" si="91"/>
        <v>0</v>
      </c>
      <c r="AD547" s="2" t="s">
        <v>6703</v>
      </c>
      <c r="AF547" s="56">
        <v>62.38</v>
      </c>
      <c r="AG547" s="56">
        <f>VLOOKUP(A547,Sheet1!$A$2:$C$1140,3,FALSE)</f>
        <v>62.38</v>
      </c>
      <c r="AH547" s="58">
        <v>62.38</v>
      </c>
      <c r="AI547" s="56" t="str">
        <f t="shared" si="92"/>
        <v>Same</v>
      </c>
      <c r="AJ547" s="81">
        <f t="shared" si="96"/>
        <v>810.94</v>
      </c>
      <c r="AK547" s="81">
        <f t="shared" si="97"/>
        <v>810.94</v>
      </c>
      <c r="AL547" s="58" t="s">
        <v>7206</v>
      </c>
      <c r="AM547" s="58" t="s">
        <v>6703</v>
      </c>
      <c r="AN547" s="75">
        <v>2</v>
      </c>
      <c r="AO547" s="88">
        <v>62.38</v>
      </c>
      <c r="AP547" s="6" t="str">
        <f t="shared" si="93"/>
        <v>Same</v>
      </c>
      <c r="AQ547" s="81">
        <f t="shared" si="94"/>
        <v>124.76</v>
      </c>
      <c r="AR547" s="81">
        <f t="shared" si="95"/>
        <v>124.76</v>
      </c>
      <c r="AS547" s="81">
        <f t="shared" si="98"/>
        <v>0</v>
      </c>
    </row>
    <row r="548" spans="1:45" hidden="1" x14ac:dyDescent="0.3">
      <c r="A548">
        <v>5315859</v>
      </c>
      <c r="B548" s="15" t="s">
        <v>5884</v>
      </c>
      <c r="C548" s="16" t="s">
        <v>30</v>
      </c>
      <c r="D548" s="6" t="s">
        <v>31</v>
      </c>
      <c r="E548" t="s">
        <v>1306</v>
      </c>
      <c r="F548" t="s">
        <v>1306</v>
      </c>
      <c r="H548" s="11" t="s">
        <v>27</v>
      </c>
      <c r="I548" s="6" t="s">
        <v>28</v>
      </c>
      <c r="J548" s="6" t="s">
        <v>28</v>
      </c>
      <c r="K548" t="s">
        <v>32</v>
      </c>
      <c r="L548" s="35">
        <v>22.09</v>
      </c>
      <c r="M548" s="6" t="s">
        <v>29</v>
      </c>
      <c r="N548" s="6">
        <v>3105</v>
      </c>
      <c r="P548" s="18"/>
      <c r="Q548" s="17"/>
      <c r="R548" s="19">
        <v>22.09</v>
      </c>
      <c r="S548" s="19">
        <v>22.09</v>
      </c>
      <c r="T548" s="38">
        <v>13</v>
      </c>
      <c r="U548" s="38"/>
      <c r="V548" s="30">
        <v>22.09</v>
      </c>
      <c r="W548" s="35">
        <v>22.09</v>
      </c>
      <c r="X548" s="32">
        <f t="shared" si="88"/>
        <v>287.17</v>
      </c>
      <c r="Y548" s="32">
        <f t="shared" si="89"/>
        <v>287.17</v>
      </c>
      <c r="Z548" s="32">
        <f t="shared" si="90"/>
        <v>0</v>
      </c>
      <c r="AA548" s="38">
        <v>13</v>
      </c>
      <c r="AB548" s="37">
        <f>IFERROR(VLOOKUP(A548,'Tash Lookup'!A:E,3,FALSE),"")</f>
        <v>286.24</v>
      </c>
      <c r="AC548" s="6">
        <f t="shared" si="91"/>
        <v>0</v>
      </c>
      <c r="AD548" s="2" t="s">
        <v>6703</v>
      </c>
      <c r="AF548" s="56">
        <v>24.62</v>
      </c>
      <c r="AG548" s="56">
        <f>VLOOKUP(A548,Sheet1!$A$2:$C$1140,3,FALSE)</f>
        <v>24.62</v>
      </c>
      <c r="AH548" s="58">
        <v>24.62</v>
      </c>
      <c r="AI548" s="56" t="str">
        <f t="shared" si="92"/>
        <v>Same</v>
      </c>
      <c r="AJ548" s="81">
        <f t="shared" si="96"/>
        <v>320.06</v>
      </c>
      <c r="AK548" s="81">
        <f t="shared" si="97"/>
        <v>320.06</v>
      </c>
      <c r="AL548" s="58" t="s">
        <v>7206</v>
      </c>
      <c r="AM548" s="58" t="s">
        <v>6703</v>
      </c>
      <c r="AN548" s="75">
        <v>16</v>
      </c>
      <c r="AO548" s="88">
        <v>24.62</v>
      </c>
      <c r="AP548" s="6" t="str">
        <f t="shared" si="93"/>
        <v>Same</v>
      </c>
      <c r="AQ548" s="81">
        <f t="shared" si="94"/>
        <v>393.92</v>
      </c>
      <c r="AR548" s="81">
        <f t="shared" si="95"/>
        <v>393.92</v>
      </c>
      <c r="AS548" s="81">
        <f t="shared" si="98"/>
        <v>0</v>
      </c>
    </row>
    <row r="549" spans="1:45" hidden="1" x14ac:dyDescent="0.3">
      <c r="A549">
        <v>6108955</v>
      </c>
      <c r="B549" s="15" t="s">
        <v>5885</v>
      </c>
      <c r="C549" s="16" t="s">
        <v>30</v>
      </c>
      <c r="D549" s="6" t="s">
        <v>31</v>
      </c>
      <c r="E549" t="s">
        <v>662</v>
      </c>
      <c r="F549" t="s">
        <v>662</v>
      </c>
      <c r="H549" s="11" t="s">
        <v>27</v>
      </c>
      <c r="I549" s="6" t="s">
        <v>28</v>
      </c>
      <c r="J549" s="6" t="s">
        <v>28</v>
      </c>
      <c r="K549" t="s">
        <v>32</v>
      </c>
      <c r="L549" s="35">
        <v>6.27</v>
      </c>
      <c r="M549" s="6" t="s">
        <v>29</v>
      </c>
      <c r="N549" s="6">
        <v>3105</v>
      </c>
      <c r="P549" s="18"/>
      <c r="Q549" s="17"/>
      <c r="R549" s="19">
        <v>6.27</v>
      </c>
      <c r="S549" s="19">
        <v>6.27</v>
      </c>
      <c r="T549" s="38">
        <v>13</v>
      </c>
      <c r="U549" s="38"/>
      <c r="V549" s="30">
        <v>6.27</v>
      </c>
      <c r="W549" s="35">
        <v>6.27</v>
      </c>
      <c r="X549" s="32">
        <f t="shared" si="88"/>
        <v>81.509999999999991</v>
      </c>
      <c r="Y549" s="32">
        <f t="shared" si="89"/>
        <v>81.509999999999991</v>
      </c>
      <c r="Z549" s="32">
        <f t="shared" si="90"/>
        <v>0</v>
      </c>
      <c r="AA549" s="38">
        <v>13</v>
      </c>
      <c r="AB549" s="37">
        <f>IFERROR(VLOOKUP(A549,'Tash Lookup'!A:E,3,FALSE),"")</f>
        <v>80.209999999999994</v>
      </c>
      <c r="AC549" s="6">
        <f t="shared" si="91"/>
        <v>0</v>
      </c>
      <c r="AD549" s="2" t="s">
        <v>6703</v>
      </c>
      <c r="AF549" s="56">
        <v>6.27</v>
      </c>
      <c r="AG549" s="56">
        <f>VLOOKUP(A549,Sheet1!$A$2:$C$1140,3,FALSE)</f>
        <v>6.27</v>
      </c>
      <c r="AH549" s="58">
        <v>6.27</v>
      </c>
      <c r="AI549" s="56" t="str">
        <f t="shared" si="92"/>
        <v>Same</v>
      </c>
      <c r="AJ549" s="81">
        <f t="shared" si="96"/>
        <v>81.509999999999991</v>
      </c>
      <c r="AK549" s="81">
        <f t="shared" si="97"/>
        <v>81.509999999999991</v>
      </c>
      <c r="AL549" s="58" t="s">
        <v>7206</v>
      </c>
      <c r="AM549" s="58" t="s">
        <v>6703</v>
      </c>
      <c r="AN549" s="75">
        <v>42</v>
      </c>
      <c r="AO549" s="88">
        <v>6.27</v>
      </c>
      <c r="AP549" s="6" t="str">
        <f t="shared" si="93"/>
        <v>Same</v>
      </c>
      <c r="AQ549" s="81">
        <f t="shared" si="94"/>
        <v>263.33999999999997</v>
      </c>
      <c r="AR549" s="81">
        <f t="shared" si="95"/>
        <v>263.33999999999997</v>
      </c>
      <c r="AS549" s="81">
        <f t="shared" si="98"/>
        <v>0</v>
      </c>
    </row>
    <row r="550" spans="1:45" hidden="1" x14ac:dyDescent="0.3">
      <c r="A550">
        <v>5092527</v>
      </c>
      <c r="B550" s="15" t="s">
        <v>5886</v>
      </c>
      <c r="C550" s="16" t="s">
        <v>30</v>
      </c>
      <c r="D550" s="6" t="s">
        <v>31</v>
      </c>
      <c r="E550" t="s">
        <v>418</v>
      </c>
      <c r="F550" t="s">
        <v>418</v>
      </c>
      <c r="H550" s="11" t="s">
        <v>27</v>
      </c>
      <c r="I550" s="6" t="s">
        <v>28</v>
      </c>
      <c r="J550" s="6" t="s">
        <v>28</v>
      </c>
      <c r="K550" t="s">
        <v>32</v>
      </c>
      <c r="L550" s="35">
        <v>6.64</v>
      </c>
      <c r="M550" s="6" t="s">
        <v>29</v>
      </c>
      <c r="N550" s="6">
        <v>3105</v>
      </c>
      <c r="P550" s="18"/>
      <c r="Q550" s="17"/>
      <c r="R550" s="19">
        <v>5.98</v>
      </c>
      <c r="S550" s="19">
        <v>0</v>
      </c>
      <c r="T550" s="38">
        <v>13</v>
      </c>
      <c r="U550" s="38"/>
      <c r="V550" s="29">
        <v>6.64</v>
      </c>
      <c r="W550" s="35">
        <v>6.64</v>
      </c>
      <c r="X550" s="32">
        <f t="shared" si="88"/>
        <v>86.32</v>
      </c>
      <c r="Y550" s="32">
        <f t="shared" si="89"/>
        <v>86.32</v>
      </c>
      <c r="Z550" s="32">
        <f t="shared" si="90"/>
        <v>0</v>
      </c>
      <c r="AA550" s="38">
        <v>13</v>
      </c>
      <c r="AB550" s="37">
        <f>IFERROR(VLOOKUP(A550,'Tash Lookup'!A:E,3,FALSE),"")</f>
        <v>86.33</v>
      </c>
      <c r="AC550" s="6">
        <f t="shared" si="91"/>
        <v>0</v>
      </c>
      <c r="AD550" s="2" t="s">
        <v>6703</v>
      </c>
      <c r="AF550" s="56">
        <v>6.73</v>
      </c>
      <c r="AG550" s="56">
        <f>VLOOKUP(A550,Sheet1!$A$2:$C$1140,3,FALSE)</f>
        <v>6.94</v>
      </c>
      <c r="AH550" s="58">
        <v>6.94</v>
      </c>
      <c r="AI550" s="56" t="str">
        <f t="shared" si="92"/>
        <v>Increase</v>
      </c>
      <c r="AJ550" s="81">
        <f t="shared" si="96"/>
        <v>87.490000000000009</v>
      </c>
      <c r="AK550" s="81">
        <f t="shared" si="97"/>
        <v>90.22</v>
      </c>
      <c r="AL550" s="58" t="s">
        <v>32</v>
      </c>
      <c r="AM550" s="58" t="s">
        <v>6703</v>
      </c>
      <c r="AN550" s="75">
        <v>11</v>
      </c>
      <c r="AO550" s="88">
        <v>6.94</v>
      </c>
      <c r="AP550" s="6" t="str">
        <f t="shared" si="93"/>
        <v>Increase</v>
      </c>
      <c r="AQ550" s="81">
        <f t="shared" si="94"/>
        <v>74.03</v>
      </c>
      <c r="AR550" s="81">
        <f t="shared" si="95"/>
        <v>76.34</v>
      </c>
      <c r="AS550" s="82">
        <f t="shared" si="98"/>
        <v>2.3100000000000023</v>
      </c>
    </row>
    <row r="551" spans="1:45" hidden="1" x14ac:dyDescent="0.3">
      <c r="A551">
        <v>6412815</v>
      </c>
      <c r="B551" s="15" t="s">
        <v>5887</v>
      </c>
      <c r="C551" s="16" t="s">
        <v>30</v>
      </c>
      <c r="D551" s="6" t="s">
        <v>31</v>
      </c>
      <c r="E551" t="s">
        <v>2533</v>
      </c>
      <c r="F551" t="s">
        <v>2533</v>
      </c>
      <c r="H551" s="11" t="s">
        <v>27</v>
      </c>
      <c r="I551" s="6" t="s">
        <v>28</v>
      </c>
      <c r="J551" s="6" t="s">
        <v>28</v>
      </c>
      <c r="K551" t="s">
        <v>32</v>
      </c>
      <c r="L551" s="35">
        <v>2.2400000000000002</v>
      </c>
      <c r="M551" s="6" t="s">
        <v>29</v>
      </c>
      <c r="N551" s="6">
        <v>3105</v>
      </c>
      <c r="P551" s="18"/>
      <c r="Q551" s="17"/>
      <c r="R551" s="19">
        <v>2.2400000000000002</v>
      </c>
      <c r="S551" s="19">
        <v>2.2400000000000002</v>
      </c>
      <c r="T551" s="38">
        <v>13</v>
      </c>
      <c r="U551" s="38"/>
      <c r="V551" s="29">
        <v>2.2400000000000002</v>
      </c>
      <c r="W551" s="35">
        <v>2.2400000000000002</v>
      </c>
      <c r="X551" s="32">
        <f t="shared" si="88"/>
        <v>29.120000000000005</v>
      </c>
      <c r="Y551" s="32">
        <f t="shared" si="89"/>
        <v>29.120000000000005</v>
      </c>
      <c r="Z551" s="32">
        <f t="shared" si="90"/>
        <v>0</v>
      </c>
      <c r="AA551" s="38">
        <v>13</v>
      </c>
      <c r="AB551" s="37">
        <f>IFERROR(VLOOKUP(A551,'Tash Lookup'!A:E,3,FALSE),"")</f>
        <v>29.120000000000005</v>
      </c>
      <c r="AC551" s="6">
        <f t="shared" si="91"/>
        <v>0</v>
      </c>
      <c r="AD551" s="2" t="s">
        <v>6711</v>
      </c>
      <c r="AE551" s="2" t="s">
        <v>6701</v>
      </c>
      <c r="AF551" s="56">
        <v>2.2400000000000002</v>
      </c>
      <c r="AG551" s="56" t="e">
        <f>VLOOKUP(A551,Sheet1!$A$2:$C$1140,3,FALSE)</f>
        <v>#N/A</v>
      </c>
      <c r="AH551" s="58" t="e">
        <v>#N/A</v>
      </c>
      <c r="AI551" s="56" t="str">
        <f t="shared" si="92"/>
        <v>Delete</v>
      </c>
      <c r="AJ551" s="81">
        <f t="shared" si="96"/>
        <v>29.120000000000005</v>
      </c>
      <c r="AK551" s="81">
        <f t="shared" si="97"/>
        <v>0</v>
      </c>
      <c r="AL551" s="58" t="s">
        <v>32</v>
      </c>
      <c r="AM551" s="58" t="s">
        <v>6711</v>
      </c>
      <c r="AN551" s="75">
        <v>13</v>
      </c>
      <c r="AO551" s="88">
        <v>2.2400000000000002</v>
      </c>
      <c r="AP551" s="6" t="str">
        <f t="shared" si="93"/>
        <v>Delete</v>
      </c>
      <c r="AQ551" s="81">
        <f t="shared" si="94"/>
        <v>29.120000000000005</v>
      </c>
      <c r="AR551" s="81">
        <f t="shared" si="95"/>
        <v>29.120000000000005</v>
      </c>
      <c r="AS551" s="81">
        <f t="shared" si="98"/>
        <v>0</v>
      </c>
    </row>
    <row r="552" spans="1:45" hidden="1" x14ac:dyDescent="0.3">
      <c r="A552">
        <v>5090755</v>
      </c>
      <c r="B552" s="15" t="s">
        <v>5888</v>
      </c>
      <c r="C552" s="16" t="s">
        <v>30</v>
      </c>
      <c r="D552" s="6" t="s">
        <v>31</v>
      </c>
      <c r="E552" t="s">
        <v>151</v>
      </c>
      <c r="F552" t="s">
        <v>151</v>
      </c>
      <c r="H552" s="11" t="s">
        <v>27</v>
      </c>
      <c r="I552" s="6" t="s">
        <v>28</v>
      </c>
      <c r="J552" s="6" t="s">
        <v>28</v>
      </c>
      <c r="K552" t="s">
        <v>32</v>
      </c>
      <c r="L552" s="35">
        <v>11.62</v>
      </c>
      <c r="M552" s="6" t="s">
        <v>29</v>
      </c>
      <c r="N552" s="6">
        <v>3105</v>
      </c>
      <c r="P552" s="18"/>
      <c r="Q552" s="17"/>
      <c r="R552" s="19">
        <v>11.62</v>
      </c>
      <c r="S552" s="19">
        <v>11.62</v>
      </c>
      <c r="T552" s="38">
        <v>13</v>
      </c>
      <c r="U552" s="38"/>
      <c r="V552" s="29">
        <v>11.62</v>
      </c>
      <c r="W552" s="35">
        <v>11.62</v>
      </c>
      <c r="X552" s="32">
        <f t="shared" si="88"/>
        <v>151.06</v>
      </c>
      <c r="Y552" s="32">
        <f t="shared" si="89"/>
        <v>151.06</v>
      </c>
      <c r="Z552" s="32">
        <f t="shared" si="90"/>
        <v>0</v>
      </c>
      <c r="AA552" s="38">
        <v>13</v>
      </c>
      <c r="AB552" s="37">
        <f>IFERROR(VLOOKUP(A552,'Tash Lookup'!A:E,3,FALSE),"")</f>
        <v>144.56</v>
      </c>
      <c r="AC552" s="6">
        <f t="shared" si="91"/>
        <v>0</v>
      </c>
      <c r="AD552" s="2" t="s">
        <v>6703</v>
      </c>
      <c r="AF552" s="56">
        <v>11.08</v>
      </c>
      <c r="AG552" s="56">
        <f>VLOOKUP(A552,Sheet1!$A$2:$C$1140,3,FALSE)</f>
        <v>11.08</v>
      </c>
      <c r="AH552" s="58">
        <v>11.08</v>
      </c>
      <c r="AI552" s="56" t="str">
        <f t="shared" si="92"/>
        <v>Same</v>
      </c>
      <c r="AJ552" s="81">
        <f t="shared" si="96"/>
        <v>144.04</v>
      </c>
      <c r="AK552" s="81">
        <f t="shared" si="97"/>
        <v>144.04</v>
      </c>
      <c r="AL552" s="58" t="s">
        <v>32</v>
      </c>
      <c r="AM552" s="58" t="s">
        <v>6703</v>
      </c>
      <c r="AN552" s="75">
        <v>22</v>
      </c>
      <c r="AO552" s="88">
        <v>11.08</v>
      </c>
      <c r="AP552" s="6" t="str">
        <f t="shared" si="93"/>
        <v>Same</v>
      </c>
      <c r="AQ552" s="81">
        <f t="shared" si="94"/>
        <v>243.76</v>
      </c>
      <c r="AR552" s="81">
        <f t="shared" si="95"/>
        <v>243.76</v>
      </c>
      <c r="AS552" s="81">
        <f t="shared" si="98"/>
        <v>0</v>
      </c>
    </row>
    <row r="553" spans="1:45" hidden="1" x14ac:dyDescent="0.3">
      <c r="A553">
        <v>5090761</v>
      </c>
      <c r="B553" s="15" t="s">
        <v>5889</v>
      </c>
      <c r="C553" s="16" t="s">
        <v>30</v>
      </c>
      <c r="D553" s="6" t="s">
        <v>31</v>
      </c>
      <c r="E553" t="s">
        <v>584</v>
      </c>
      <c r="F553" t="s">
        <v>584</v>
      </c>
      <c r="H553" s="11" t="s">
        <v>27</v>
      </c>
      <c r="I553" s="6" t="s">
        <v>28</v>
      </c>
      <c r="J553" s="6" t="s">
        <v>28</v>
      </c>
      <c r="K553" t="s">
        <v>32</v>
      </c>
      <c r="L553" s="35">
        <v>68.17</v>
      </c>
      <c r="M553" s="6" t="s">
        <v>29</v>
      </c>
      <c r="N553" s="6">
        <v>3105</v>
      </c>
      <c r="P553" s="18"/>
      <c r="Q553" s="17"/>
      <c r="R553" s="19">
        <v>68.17</v>
      </c>
      <c r="S553" s="19">
        <v>68.17</v>
      </c>
      <c r="T553" s="38">
        <v>13</v>
      </c>
      <c r="U553" s="38"/>
      <c r="V553" s="29">
        <v>68.17</v>
      </c>
      <c r="W553" s="35">
        <v>68.17</v>
      </c>
      <c r="X553" s="32">
        <f t="shared" si="88"/>
        <v>886.21</v>
      </c>
      <c r="Y553" s="32">
        <f t="shared" si="89"/>
        <v>886.21</v>
      </c>
      <c r="Z553" s="32">
        <f t="shared" si="90"/>
        <v>0</v>
      </c>
      <c r="AA553" s="38">
        <v>13</v>
      </c>
      <c r="AB553" s="37">
        <f>IFERROR(VLOOKUP(A553,'Tash Lookup'!A:E,3,FALSE),"")</f>
        <v>911.13</v>
      </c>
      <c r="AC553" s="6">
        <f t="shared" si="91"/>
        <v>0</v>
      </c>
      <c r="AD553" s="2" t="s">
        <v>6703</v>
      </c>
      <c r="AF553" s="56">
        <v>71</v>
      </c>
      <c r="AG553" s="56">
        <f>VLOOKUP(A553,Sheet1!$A$2:$C$1140,3,FALSE)</f>
        <v>73.13</v>
      </c>
      <c r="AH553" s="58">
        <v>73.13</v>
      </c>
      <c r="AI553" s="56" t="str">
        <f t="shared" si="92"/>
        <v>Increase</v>
      </c>
      <c r="AJ553" s="81">
        <f t="shared" si="96"/>
        <v>923</v>
      </c>
      <c r="AK553" s="81">
        <f t="shared" si="97"/>
        <v>950.68999999999994</v>
      </c>
      <c r="AL553" s="58" t="s">
        <v>32</v>
      </c>
      <c r="AM553" s="58" t="s">
        <v>6703</v>
      </c>
      <c r="AN553" s="75">
        <v>14</v>
      </c>
      <c r="AO553" s="88">
        <v>73.13</v>
      </c>
      <c r="AP553" s="6" t="str">
        <f t="shared" si="93"/>
        <v>Increase</v>
      </c>
      <c r="AQ553" s="81">
        <f t="shared" si="94"/>
        <v>994</v>
      </c>
      <c r="AR553" s="81">
        <f t="shared" si="95"/>
        <v>1023.8199999999999</v>
      </c>
      <c r="AS553" s="82">
        <f t="shared" si="98"/>
        <v>29.819999999999936</v>
      </c>
    </row>
    <row r="554" spans="1:45" hidden="1" x14ac:dyDescent="0.3">
      <c r="A554">
        <v>5218601</v>
      </c>
      <c r="B554" s="15" t="s">
        <v>5890</v>
      </c>
      <c r="C554" s="16" t="s">
        <v>30</v>
      </c>
      <c r="D554" s="6" t="s">
        <v>31</v>
      </c>
      <c r="E554" t="s">
        <v>247</v>
      </c>
      <c r="F554" t="s">
        <v>247</v>
      </c>
      <c r="H554" s="11" t="s">
        <v>27</v>
      </c>
      <c r="I554" s="6" t="s">
        <v>28</v>
      </c>
      <c r="J554" s="6" t="s">
        <v>28</v>
      </c>
      <c r="K554" t="s">
        <v>32</v>
      </c>
      <c r="L554" s="35">
        <v>20.190000000000001</v>
      </c>
      <c r="M554" s="6" t="s">
        <v>29</v>
      </c>
      <c r="N554" s="6">
        <v>3105</v>
      </c>
      <c r="P554" s="18"/>
      <c r="Q554" s="17"/>
      <c r="R554" s="19">
        <v>20.190000000000001</v>
      </c>
      <c r="S554" s="19">
        <v>20.190000000000001</v>
      </c>
      <c r="T554" s="38">
        <v>12</v>
      </c>
      <c r="U554" s="38"/>
      <c r="V554" s="29">
        <v>20.190000000000001</v>
      </c>
      <c r="W554" s="45">
        <v>14.69</v>
      </c>
      <c r="X554" s="32">
        <f t="shared" si="88"/>
        <v>242.28000000000003</v>
      </c>
      <c r="Y554" s="32">
        <f t="shared" si="89"/>
        <v>242.28000000000003</v>
      </c>
      <c r="Z554" s="32">
        <f t="shared" si="90"/>
        <v>0</v>
      </c>
      <c r="AA554" s="38">
        <v>12</v>
      </c>
      <c r="AB554" s="37">
        <f>IFERROR(VLOOKUP(A554,'Tash Lookup'!A:E,3,FALSE),"")</f>
        <v>201.96</v>
      </c>
      <c r="AC554" s="6">
        <f t="shared" si="91"/>
        <v>0</v>
      </c>
      <c r="AD554" s="2" t="s">
        <v>6704</v>
      </c>
      <c r="AF554" s="56">
        <v>20.190000000000001</v>
      </c>
      <c r="AG554" s="56" t="e">
        <f>VLOOKUP(A554,Sheet1!$A$2:$C$1140,3,FALSE)</f>
        <v>#N/A</v>
      </c>
      <c r="AH554" s="58" t="e">
        <v>#N/A</v>
      </c>
      <c r="AI554" s="56" t="str">
        <f t="shared" si="92"/>
        <v>Delete</v>
      </c>
      <c r="AJ554" s="81">
        <f t="shared" si="96"/>
        <v>242.28000000000003</v>
      </c>
      <c r="AK554" s="81">
        <f t="shared" si="97"/>
        <v>0</v>
      </c>
      <c r="AL554" s="58" t="s">
        <v>32</v>
      </c>
      <c r="AM554" s="58" t="s">
        <v>6708</v>
      </c>
      <c r="AN554" s="75">
        <v>0</v>
      </c>
      <c r="AO554" s="88">
        <v>20.190000000000001</v>
      </c>
      <c r="AP554" s="6" t="str">
        <f t="shared" si="93"/>
        <v>Same</v>
      </c>
      <c r="AQ554" s="81">
        <f t="shared" si="94"/>
        <v>0</v>
      </c>
      <c r="AR554" s="81">
        <f t="shared" si="95"/>
        <v>0</v>
      </c>
      <c r="AS554" s="81">
        <f t="shared" si="98"/>
        <v>0</v>
      </c>
    </row>
    <row r="555" spans="1:45" hidden="1" x14ac:dyDescent="0.3">
      <c r="A555">
        <v>5206086</v>
      </c>
      <c r="B555" s="15" t="s">
        <v>5891</v>
      </c>
      <c r="C555" s="16" t="s">
        <v>30</v>
      </c>
      <c r="D555" s="6" t="s">
        <v>31</v>
      </c>
      <c r="E555" t="s">
        <v>409</v>
      </c>
      <c r="F555" t="s">
        <v>409</v>
      </c>
      <c r="H555" s="11" t="s">
        <v>27</v>
      </c>
      <c r="I555" s="6" t="s">
        <v>28</v>
      </c>
      <c r="J555" s="6" t="s">
        <v>28</v>
      </c>
      <c r="K555" t="s">
        <v>32</v>
      </c>
      <c r="L555" s="35">
        <v>25.31</v>
      </c>
      <c r="M555" s="6" t="s">
        <v>29</v>
      </c>
      <c r="N555" s="6">
        <v>3105</v>
      </c>
      <c r="P555" s="18"/>
      <c r="Q555" s="17"/>
      <c r="R555" s="19">
        <v>25.31</v>
      </c>
      <c r="S555" s="19">
        <v>25.31</v>
      </c>
      <c r="T555" s="38">
        <v>12</v>
      </c>
      <c r="U555" s="38"/>
      <c r="V555" s="30">
        <v>25.31</v>
      </c>
      <c r="W555" s="35">
        <v>25.31</v>
      </c>
      <c r="X555" s="32">
        <f t="shared" si="88"/>
        <v>303.71999999999997</v>
      </c>
      <c r="Y555" s="32">
        <f t="shared" si="89"/>
        <v>303.71999999999997</v>
      </c>
      <c r="Z555" s="32">
        <f t="shared" si="90"/>
        <v>0</v>
      </c>
      <c r="AA555" s="38">
        <v>12</v>
      </c>
      <c r="AB555" s="37">
        <f>IFERROR(VLOOKUP(A555,'Tash Lookup'!A:E,3,FALSE),"")</f>
        <v>303.67</v>
      </c>
      <c r="AC555" s="6">
        <f t="shared" si="91"/>
        <v>0</v>
      </c>
      <c r="AD555" s="2" t="s">
        <v>6703</v>
      </c>
      <c r="AF555" s="56">
        <v>26.6</v>
      </c>
      <c r="AG555" s="56">
        <f>VLOOKUP(A555,Sheet1!$A$2:$C$1140,3,FALSE)</f>
        <v>27.4</v>
      </c>
      <c r="AH555" s="58">
        <v>27.4</v>
      </c>
      <c r="AI555" s="56" t="str">
        <f t="shared" si="92"/>
        <v>Increase</v>
      </c>
      <c r="AJ555" s="81">
        <f t="shared" si="96"/>
        <v>319.20000000000005</v>
      </c>
      <c r="AK555" s="81">
        <f t="shared" si="97"/>
        <v>328.79999999999995</v>
      </c>
      <c r="AL555" s="58" t="s">
        <v>32</v>
      </c>
      <c r="AM555" s="58" t="s">
        <v>6703</v>
      </c>
      <c r="AN555" s="75">
        <v>10</v>
      </c>
      <c r="AO555" s="88">
        <v>27.4</v>
      </c>
      <c r="AP555" s="6" t="str">
        <f t="shared" si="93"/>
        <v>Increase</v>
      </c>
      <c r="AQ555" s="81">
        <f t="shared" si="94"/>
        <v>266</v>
      </c>
      <c r="AR555" s="81">
        <f t="shared" si="95"/>
        <v>274</v>
      </c>
      <c r="AS555" s="82">
        <f t="shared" si="98"/>
        <v>8</v>
      </c>
    </row>
    <row r="556" spans="1:45" hidden="1" x14ac:dyDescent="0.3">
      <c r="A556">
        <v>5183260</v>
      </c>
      <c r="B556" s="15" t="s">
        <v>5892</v>
      </c>
      <c r="C556" s="16" t="s">
        <v>30</v>
      </c>
      <c r="D556" s="6" t="s">
        <v>31</v>
      </c>
      <c r="E556" t="s">
        <v>107</v>
      </c>
      <c r="F556" t="s">
        <v>107</v>
      </c>
      <c r="H556" s="11" t="s">
        <v>27</v>
      </c>
      <c r="I556" s="6" t="s">
        <v>28</v>
      </c>
      <c r="J556" s="6" t="s">
        <v>28</v>
      </c>
      <c r="K556" t="s">
        <v>32</v>
      </c>
      <c r="L556" s="35">
        <v>11.64</v>
      </c>
      <c r="M556" s="6" t="s">
        <v>29</v>
      </c>
      <c r="N556" s="6">
        <v>3105</v>
      </c>
      <c r="P556" s="18"/>
      <c r="Q556" s="17"/>
      <c r="R556" s="19">
        <v>11.64</v>
      </c>
      <c r="S556" s="19">
        <v>11.64</v>
      </c>
      <c r="T556" s="38">
        <v>12</v>
      </c>
      <c r="U556" s="38"/>
      <c r="V556" s="29">
        <v>11.64</v>
      </c>
      <c r="W556" s="35">
        <v>11.64</v>
      </c>
      <c r="X556" s="32">
        <f t="shared" si="88"/>
        <v>139.68</v>
      </c>
      <c r="Y556" s="32">
        <f t="shared" si="89"/>
        <v>139.68</v>
      </c>
      <c r="Z556" s="32">
        <f t="shared" si="90"/>
        <v>0</v>
      </c>
      <c r="AA556" s="38">
        <v>12</v>
      </c>
      <c r="AB556" s="37">
        <f>IFERROR(VLOOKUP(A556,'Tash Lookup'!A:E,3,FALSE),"")</f>
        <v>138.36000000000001</v>
      </c>
      <c r="AC556" s="6">
        <f t="shared" si="91"/>
        <v>0</v>
      </c>
      <c r="AD556" s="2" t="s">
        <v>6703</v>
      </c>
      <c r="AF556" s="56">
        <v>12.23</v>
      </c>
      <c r="AG556" s="56">
        <f>VLOOKUP(A556,Sheet1!$A$2:$C$1140,3,FALSE)</f>
        <v>12.23</v>
      </c>
      <c r="AH556" s="58">
        <v>12.23</v>
      </c>
      <c r="AI556" s="56" t="str">
        <f t="shared" si="92"/>
        <v>Same</v>
      </c>
      <c r="AJ556" s="81">
        <f t="shared" si="96"/>
        <v>146.76</v>
      </c>
      <c r="AK556" s="81">
        <f t="shared" si="97"/>
        <v>146.76</v>
      </c>
      <c r="AL556" s="58" t="s">
        <v>32</v>
      </c>
      <c r="AM556" s="58" t="s">
        <v>6703</v>
      </c>
      <c r="AN556" s="75">
        <v>12</v>
      </c>
      <c r="AO556" s="88">
        <v>12.23</v>
      </c>
      <c r="AP556" s="6" t="str">
        <f t="shared" si="93"/>
        <v>Same</v>
      </c>
      <c r="AQ556" s="81">
        <f t="shared" si="94"/>
        <v>146.76</v>
      </c>
      <c r="AR556" s="81">
        <f t="shared" si="95"/>
        <v>146.76</v>
      </c>
      <c r="AS556" s="81">
        <f t="shared" si="98"/>
        <v>0</v>
      </c>
    </row>
    <row r="557" spans="1:45" hidden="1" x14ac:dyDescent="0.3">
      <c r="A557">
        <v>5220147</v>
      </c>
      <c r="B557" s="15" t="s">
        <v>5893</v>
      </c>
      <c r="C557" s="16" t="s">
        <v>30</v>
      </c>
      <c r="D557" s="6" t="s">
        <v>31</v>
      </c>
      <c r="E557" t="s">
        <v>130</v>
      </c>
      <c r="F557" t="s">
        <v>130</v>
      </c>
      <c r="H557" s="11" t="s">
        <v>27</v>
      </c>
      <c r="I557" s="6" t="s">
        <v>28</v>
      </c>
      <c r="J557" s="6" t="s">
        <v>28</v>
      </c>
      <c r="K557" t="s">
        <v>32</v>
      </c>
      <c r="L557" s="35">
        <v>13.82</v>
      </c>
      <c r="M557" s="6" t="s">
        <v>29</v>
      </c>
      <c r="N557" s="6">
        <v>3105</v>
      </c>
      <c r="P557" s="18"/>
      <c r="Q557" s="17"/>
      <c r="R557" s="19">
        <v>13.82</v>
      </c>
      <c r="S557" s="19">
        <v>13.82</v>
      </c>
      <c r="T557" s="38">
        <v>12</v>
      </c>
      <c r="U557" s="38"/>
      <c r="V557" s="29">
        <v>13.82</v>
      </c>
      <c r="W557" s="35">
        <v>13.82</v>
      </c>
      <c r="X557" s="32">
        <f t="shared" si="88"/>
        <v>165.84</v>
      </c>
      <c r="Y557" s="32">
        <f t="shared" si="89"/>
        <v>165.84</v>
      </c>
      <c r="Z557" s="32">
        <f t="shared" si="90"/>
        <v>0</v>
      </c>
      <c r="AA557" s="38">
        <v>12</v>
      </c>
      <c r="AB557" s="37">
        <f>IFERROR(VLOOKUP(A557,'Tash Lookup'!A:E,3,FALSE),"")</f>
        <v>169.23</v>
      </c>
      <c r="AC557" s="6">
        <f t="shared" si="91"/>
        <v>0</v>
      </c>
      <c r="AD557" s="2" t="s">
        <v>6703</v>
      </c>
      <c r="AF557" s="56">
        <v>13.42</v>
      </c>
      <c r="AG557" s="56">
        <f>VLOOKUP(A557,Sheet1!$A$2:$C$1140,3,FALSE)</f>
        <v>13.42</v>
      </c>
      <c r="AH557" s="58">
        <v>13.42</v>
      </c>
      <c r="AI557" s="56" t="str">
        <f t="shared" si="92"/>
        <v>Same</v>
      </c>
      <c r="AJ557" s="81">
        <f t="shared" si="96"/>
        <v>161.04</v>
      </c>
      <c r="AK557" s="81">
        <f t="shared" si="97"/>
        <v>161.04</v>
      </c>
      <c r="AL557" s="58" t="s">
        <v>32</v>
      </c>
      <c r="AM557" s="58" t="s">
        <v>6703</v>
      </c>
      <c r="AN557" s="75">
        <v>10</v>
      </c>
      <c r="AO557" s="88">
        <v>13.42</v>
      </c>
      <c r="AP557" s="6" t="str">
        <f t="shared" si="93"/>
        <v>Same</v>
      </c>
      <c r="AQ557" s="81">
        <f t="shared" si="94"/>
        <v>134.19999999999999</v>
      </c>
      <c r="AR557" s="81">
        <f t="shared" si="95"/>
        <v>134.19999999999999</v>
      </c>
      <c r="AS557" s="81">
        <f t="shared" si="98"/>
        <v>0</v>
      </c>
    </row>
    <row r="558" spans="1:45" hidden="1" x14ac:dyDescent="0.3">
      <c r="A558">
        <v>5091639</v>
      </c>
      <c r="B558" s="15" t="s">
        <v>5894</v>
      </c>
      <c r="C558" s="16" t="s">
        <v>30</v>
      </c>
      <c r="D558" s="6" t="s">
        <v>31</v>
      </c>
      <c r="E558" t="s">
        <v>580</v>
      </c>
      <c r="F558" t="s">
        <v>580</v>
      </c>
      <c r="H558" s="11" t="s">
        <v>27</v>
      </c>
      <c r="I558" s="6" t="s">
        <v>28</v>
      </c>
      <c r="J558" s="6" t="s">
        <v>28</v>
      </c>
      <c r="K558" t="s">
        <v>32</v>
      </c>
      <c r="L558" s="35">
        <v>27.31</v>
      </c>
      <c r="M558" s="6" t="s">
        <v>29</v>
      </c>
      <c r="N558" s="6">
        <v>3105</v>
      </c>
      <c r="P558" s="18"/>
      <c r="Q558" s="17"/>
      <c r="R558" s="19">
        <v>27.31</v>
      </c>
      <c r="S558" s="19">
        <v>27.31</v>
      </c>
      <c r="T558" s="38">
        <v>12</v>
      </c>
      <c r="U558" s="38"/>
      <c r="V558" s="29">
        <v>27.31</v>
      </c>
      <c r="W558" s="35">
        <v>27.31</v>
      </c>
      <c r="X558" s="32">
        <f t="shared" si="88"/>
        <v>327.71999999999997</v>
      </c>
      <c r="Y558" s="32">
        <f t="shared" si="89"/>
        <v>327.71999999999997</v>
      </c>
      <c r="Z558" s="32">
        <f t="shared" si="90"/>
        <v>0</v>
      </c>
      <c r="AA558" s="38">
        <v>12</v>
      </c>
      <c r="AB558" s="37">
        <f>IFERROR(VLOOKUP(A558,'Tash Lookup'!A:E,3,FALSE),"")</f>
        <v>334.5</v>
      </c>
      <c r="AC558" s="6">
        <f t="shared" si="91"/>
        <v>0</v>
      </c>
      <c r="AD558" s="2" t="s">
        <v>6703</v>
      </c>
      <c r="AF558" s="56">
        <v>28.65</v>
      </c>
      <c r="AG558" s="56">
        <f>VLOOKUP(A558,Sheet1!$A$2:$C$1140,3,FALSE)</f>
        <v>29.51</v>
      </c>
      <c r="AH558" s="58">
        <v>29.51</v>
      </c>
      <c r="AI558" s="56" t="str">
        <f t="shared" si="92"/>
        <v>Increase</v>
      </c>
      <c r="AJ558" s="81">
        <f t="shared" si="96"/>
        <v>343.79999999999995</v>
      </c>
      <c r="AK558" s="81">
        <f t="shared" si="97"/>
        <v>354.12</v>
      </c>
      <c r="AL558" s="58" t="s">
        <v>32</v>
      </c>
      <c r="AM558" s="58" t="s">
        <v>6703</v>
      </c>
      <c r="AN558" s="75">
        <v>20</v>
      </c>
      <c r="AO558" s="88">
        <v>29.51</v>
      </c>
      <c r="AP558" s="6" t="str">
        <f t="shared" si="93"/>
        <v>Increase</v>
      </c>
      <c r="AQ558" s="81">
        <f t="shared" si="94"/>
        <v>573</v>
      </c>
      <c r="AR558" s="81">
        <f t="shared" si="95"/>
        <v>590.20000000000005</v>
      </c>
      <c r="AS558" s="82">
        <f t="shared" si="98"/>
        <v>17.200000000000045</v>
      </c>
    </row>
    <row r="559" spans="1:45" hidden="1" x14ac:dyDescent="0.3">
      <c r="A559">
        <v>6107901</v>
      </c>
      <c r="B559" s="15" t="s">
        <v>5895</v>
      </c>
      <c r="C559" s="16" t="s">
        <v>30</v>
      </c>
      <c r="D559" s="6" t="s">
        <v>31</v>
      </c>
      <c r="E559" t="s">
        <v>1070</v>
      </c>
      <c r="F559" t="s">
        <v>1070</v>
      </c>
      <c r="H559" s="11" t="s">
        <v>27</v>
      </c>
      <c r="I559" s="6" t="s">
        <v>28</v>
      </c>
      <c r="J559" s="6" t="s">
        <v>28</v>
      </c>
      <c r="K559" t="s">
        <v>32</v>
      </c>
      <c r="L559" s="35">
        <v>19.8</v>
      </c>
      <c r="M559" s="6" t="s">
        <v>29</v>
      </c>
      <c r="N559" s="6">
        <v>3105</v>
      </c>
      <c r="P559" s="18"/>
      <c r="Q559" s="17"/>
      <c r="R559" s="19">
        <v>0</v>
      </c>
      <c r="S559" s="19">
        <v>0</v>
      </c>
      <c r="T559" s="38">
        <v>12</v>
      </c>
      <c r="U559" s="38"/>
      <c r="V559" s="31">
        <v>19.8</v>
      </c>
      <c r="W559" s="35">
        <v>19.8</v>
      </c>
      <c r="X559" s="32">
        <f t="shared" si="88"/>
        <v>237.60000000000002</v>
      </c>
      <c r="Y559" s="32">
        <f t="shared" si="89"/>
        <v>237.60000000000002</v>
      </c>
      <c r="Z559" s="32">
        <f t="shared" si="90"/>
        <v>0</v>
      </c>
      <c r="AA559" s="38">
        <v>12</v>
      </c>
      <c r="AB559" s="37">
        <f>IFERROR(VLOOKUP(A559,'Tash Lookup'!A:E,3,FALSE),"")</f>
        <v>233.29</v>
      </c>
      <c r="AC559" s="6">
        <f t="shared" si="91"/>
        <v>0</v>
      </c>
      <c r="AD559" s="2" t="s">
        <v>6710</v>
      </c>
      <c r="AF559" s="56">
        <v>24.91</v>
      </c>
      <c r="AG559" s="56">
        <f>VLOOKUP(A559,Sheet1!$A$2:$C$1140,3,FALSE)</f>
        <v>24.91</v>
      </c>
      <c r="AH559" s="58">
        <v>24.91</v>
      </c>
      <c r="AI559" s="56" t="str">
        <f t="shared" si="92"/>
        <v>Same</v>
      </c>
      <c r="AJ559" s="81">
        <f t="shared" si="96"/>
        <v>298.92</v>
      </c>
      <c r="AK559" s="81">
        <f t="shared" si="97"/>
        <v>298.92</v>
      </c>
      <c r="AL559" s="58" t="s">
        <v>7206</v>
      </c>
      <c r="AM559" s="58" t="s">
        <v>7193</v>
      </c>
      <c r="AN559" s="75">
        <v>5</v>
      </c>
      <c r="AO559" s="88">
        <v>24.91</v>
      </c>
      <c r="AP559" s="6" t="str">
        <f t="shared" si="93"/>
        <v>Same</v>
      </c>
      <c r="AQ559" s="81">
        <f t="shared" si="94"/>
        <v>124.55</v>
      </c>
      <c r="AR559" s="81">
        <f t="shared" si="95"/>
        <v>124.55</v>
      </c>
      <c r="AS559" s="81">
        <f t="shared" si="98"/>
        <v>0</v>
      </c>
    </row>
    <row r="560" spans="1:45" hidden="1" x14ac:dyDescent="0.3">
      <c r="A560">
        <v>6404055</v>
      </c>
      <c r="B560" s="15" t="s">
        <v>5896</v>
      </c>
      <c r="C560" s="16" t="s">
        <v>30</v>
      </c>
      <c r="D560" s="6" t="s">
        <v>31</v>
      </c>
      <c r="E560" t="s">
        <v>633</v>
      </c>
      <c r="F560" t="s">
        <v>633</v>
      </c>
      <c r="H560" s="11" t="s">
        <v>27</v>
      </c>
      <c r="I560" s="6" t="s">
        <v>28</v>
      </c>
      <c r="J560" s="6" t="s">
        <v>28</v>
      </c>
      <c r="K560" t="s">
        <v>32</v>
      </c>
      <c r="L560" s="35">
        <v>33.380000000000003</v>
      </c>
      <c r="M560" s="6" t="s">
        <v>29</v>
      </c>
      <c r="N560" s="6">
        <v>3105</v>
      </c>
      <c r="P560" s="18"/>
      <c r="Q560" s="17"/>
      <c r="R560" s="19">
        <v>33.380000000000003</v>
      </c>
      <c r="S560" s="19">
        <v>33.380000000000003</v>
      </c>
      <c r="T560" s="38">
        <v>12</v>
      </c>
      <c r="U560" s="38"/>
      <c r="V560" s="30">
        <v>33.380000000000003</v>
      </c>
      <c r="W560" s="35">
        <v>33.380000000000003</v>
      </c>
      <c r="X560" s="32">
        <f t="shared" si="88"/>
        <v>400.56000000000006</v>
      </c>
      <c r="Y560" s="32">
        <f t="shared" si="89"/>
        <v>400.56000000000006</v>
      </c>
      <c r="Z560" s="32">
        <f t="shared" si="90"/>
        <v>0</v>
      </c>
      <c r="AA560" s="38">
        <v>12</v>
      </c>
      <c r="AB560" s="37">
        <f>IFERROR(VLOOKUP(A560,'Tash Lookup'!A:E,3,FALSE),"")</f>
        <v>375.13</v>
      </c>
      <c r="AC560" s="6">
        <f t="shared" si="91"/>
        <v>0</v>
      </c>
      <c r="AD560" s="2" t="s">
        <v>6707</v>
      </c>
      <c r="AF560" s="56">
        <v>33.380000000000003</v>
      </c>
      <c r="AG560" s="56" t="e">
        <f>VLOOKUP(A560,Sheet1!$A$2:$C$1140,3,FALSE)</f>
        <v>#N/A</v>
      </c>
      <c r="AH560" s="58" t="e">
        <v>#N/A</v>
      </c>
      <c r="AI560" s="56" t="str">
        <f t="shared" si="92"/>
        <v>Delete</v>
      </c>
      <c r="AJ560" s="81">
        <f t="shared" si="96"/>
        <v>400.56000000000006</v>
      </c>
      <c r="AK560" s="81">
        <f t="shared" si="97"/>
        <v>0</v>
      </c>
      <c r="AL560" s="58" t="s">
        <v>7206</v>
      </c>
      <c r="AM560" s="58" t="s">
        <v>6709</v>
      </c>
      <c r="AN560" s="75">
        <v>0</v>
      </c>
      <c r="AO560" s="88">
        <v>33.380000000000003</v>
      </c>
      <c r="AP560" s="6" t="str">
        <f t="shared" si="93"/>
        <v>Same</v>
      </c>
      <c r="AQ560" s="81">
        <f t="shared" si="94"/>
        <v>0</v>
      </c>
      <c r="AR560" s="81">
        <f t="shared" si="95"/>
        <v>0</v>
      </c>
      <c r="AS560" s="81">
        <f t="shared" si="98"/>
        <v>0</v>
      </c>
    </row>
    <row r="561" spans="1:45" hidden="1" x14ac:dyDescent="0.3">
      <c r="A561">
        <v>6390501</v>
      </c>
      <c r="B561" s="15" t="s">
        <v>5897</v>
      </c>
      <c r="C561" s="16" t="s">
        <v>30</v>
      </c>
      <c r="D561" s="6" t="s">
        <v>31</v>
      </c>
      <c r="E561" t="s">
        <v>1207</v>
      </c>
      <c r="F561" t="s">
        <v>1207</v>
      </c>
      <c r="H561" s="11" t="s">
        <v>27</v>
      </c>
      <c r="I561" s="6" t="s">
        <v>28</v>
      </c>
      <c r="J561" s="6" t="s">
        <v>28</v>
      </c>
      <c r="K561" t="s">
        <v>32</v>
      </c>
      <c r="L561" s="35">
        <v>5.17</v>
      </c>
      <c r="M561" s="6" t="s">
        <v>29</v>
      </c>
      <c r="N561" s="6">
        <v>3105</v>
      </c>
      <c r="P561" s="18"/>
      <c r="Q561" s="17"/>
      <c r="R561" s="19">
        <v>5.17</v>
      </c>
      <c r="S561" s="19">
        <v>5.17</v>
      </c>
      <c r="T561" s="38">
        <v>12</v>
      </c>
      <c r="U561" s="38"/>
      <c r="V561" s="30">
        <v>5.17</v>
      </c>
      <c r="W561" s="35">
        <v>5.17</v>
      </c>
      <c r="X561" s="32">
        <f t="shared" si="88"/>
        <v>62.04</v>
      </c>
      <c r="Y561" s="32">
        <f t="shared" si="89"/>
        <v>62.04</v>
      </c>
      <c r="Z561" s="32">
        <f t="shared" si="90"/>
        <v>0</v>
      </c>
      <c r="AA561" s="38">
        <v>12</v>
      </c>
      <c r="AB561" s="37">
        <f>IFERROR(VLOOKUP(A561,'Tash Lookup'!A:E,3,FALSE),"")</f>
        <v>22.17</v>
      </c>
      <c r="AC561" s="6">
        <f t="shared" si="91"/>
        <v>0</v>
      </c>
      <c r="AD561" s="2" t="s">
        <v>6707</v>
      </c>
      <c r="AF561" s="56">
        <v>5.17</v>
      </c>
      <c r="AG561" s="56" t="e">
        <f>VLOOKUP(A561,Sheet1!$A$2:$C$1140,3,FALSE)</f>
        <v>#N/A</v>
      </c>
      <c r="AH561" s="58" t="e">
        <v>#N/A</v>
      </c>
      <c r="AI561" s="56" t="str">
        <f t="shared" si="92"/>
        <v>Delete</v>
      </c>
      <c r="AJ561" s="81">
        <f t="shared" si="96"/>
        <v>62.04</v>
      </c>
      <c r="AK561" s="81">
        <f t="shared" si="97"/>
        <v>0</v>
      </c>
      <c r="AL561" s="58" t="s">
        <v>7206</v>
      </c>
      <c r="AM561" s="58" t="s">
        <v>6709</v>
      </c>
      <c r="AN561" s="75">
        <v>0</v>
      </c>
      <c r="AO561" s="88">
        <v>5.17</v>
      </c>
      <c r="AP561" s="6" t="str">
        <f t="shared" si="93"/>
        <v>Same</v>
      </c>
      <c r="AQ561" s="81">
        <f t="shared" si="94"/>
        <v>0</v>
      </c>
      <c r="AR561" s="81">
        <f t="shared" si="95"/>
        <v>0</v>
      </c>
      <c r="AS561" s="81">
        <f t="shared" si="98"/>
        <v>0</v>
      </c>
    </row>
    <row r="562" spans="1:45" hidden="1" x14ac:dyDescent="0.3">
      <c r="A562">
        <v>6345844</v>
      </c>
      <c r="B562" s="15" t="s">
        <v>5898</v>
      </c>
      <c r="C562" s="16" t="s">
        <v>30</v>
      </c>
      <c r="D562" s="6" t="s">
        <v>31</v>
      </c>
      <c r="E562" t="s">
        <v>1310</v>
      </c>
      <c r="F562" t="s">
        <v>1310</v>
      </c>
      <c r="H562" s="11" t="s">
        <v>27</v>
      </c>
      <c r="I562" s="6" t="s">
        <v>28</v>
      </c>
      <c r="J562" s="6" t="s">
        <v>28</v>
      </c>
      <c r="K562" t="s">
        <v>32</v>
      </c>
      <c r="L562" s="35">
        <v>52.9</v>
      </c>
      <c r="M562" s="6" t="s">
        <v>29</v>
      </c>
      <c r="N562" s="6">
        <v>3105</v>
      </c>
      <c r="P562" s="18"/>
      <c r="Q562" s="17"/>
      <c r="R562" s="19">
        <v>52.9</v>
      </c>
      <c r="S562" s="19">
        <v>52.9</v>
      </c>
      <c r="T562" s="38">
        <v>12</v>
      </c>
      <c r="U562" s="38"/>
      <c r="V562" s="30">
        <v>52.9</v>
      </c>
      <c r="W562" s="35">
        <v>52.9</v>
      </c>
      <c r="X562" s="32">
        <f t="shared" si="88"/>
        <v>634.79999999999995</v>
      </c>
      <c r="Y562" s="32">
        <f t="shared" si="89"/>
        <v>634.79999999999995</v>
      </c>
      <c r="Z562" s="32">
        <f t="shared" si="90"/>
        <v>0</v>
      </c>
      <c r="AA562" s="38">
        <v>12</v>
      </c>
      <c r="AB562" s="37">
        <f>IFERROR(VLOOKUP(A562,'Tash Lookup'!A:E,3,FALSE),"")</f>
        <v>634.79999999999995</v>
      </c>
      <c r="AC562" s="6">
        <f t="shared" si="91"/>
        <v>0</v>
      </c>
      <c r="AD562" s="2" t="s">
        <v>6703</v>
      </c>
      <c r="AF562" s="56">
        <v>58.94</v>
      </c>
      <c r="AG562" s="56">
        <f>VLOOKUP(A562,Sheet1!$A$2:$C$1140,3,FALSE)</f>
        <v>58.94</v>
      </c>
      <c r="AH562" s="58">
        <v>58.94</v>
      </c>
      <c r="AI562" s="56" t="str">
        <f t="shared" si="92"/>
        <v>Same</v>
      </c>
      <c r="AJ562" s="81">
        <f t="shared" si="96"/>
        <v>707.28</v>
      </c>
      <c r="AK562" s="81">
        <f t="shared" si="97"/>
        <v>707.28</v>
      </c>
      <c r="AL562" s="58" t="s">
        <v>7206</v>
      </c>
      <c r="AM562" s="58" t="s">
        <v>6703</v>
      </c>
      <c r="AN562" s="75">
        <v>1</v>
      </c>
      <c r="AO562" s="88">
        <v>58.94</v>
      </c>
      <c r="AP562" s="6" t="str">
        <f t="shared" si="93"/>
        <v>Same</v>
      </c>
      <c r="AQ562" s="81">
        <f t="shared" si="94"/>
        <v>58.94</v>
      </c>
      <c r="AR562" s="81">
        <f t="shared" si="95"/>
        <v>58.94</v>
      </c>
      <c r="AS562" s="81">
        <f t="shared" si="98"/>
        <v>0</v>
      </c>
    </row>
    <row r="563" spans="1:45" hidden="1" x14ac:dyDescent="0.3">
      <c r="A563">
        <v>5082970</v>
      </c>
      <c r="B563" s="15" t="s">
        <v>5899</v>
      </c>
      <c r="C563" s="16" t="s">
        <v>30</v>
      </c>
      <c r="D563" s="6" t="s">
        <v>31</v>
      </c>
      <c r="E563" t="s">
        <v>467</v>
      </c>
      <c r="F563" t="s">
        <v>467</v>
      </c>
      <c r="H563" s="11" t="s">
        <v>27</v>
      </c>
      <c r="I563" s="6" t="s">
        <v>28</v>
      </c>
      <c r="J563" s="6" t="s">
        <v>28</v>
      </c>
      <c r="K563" t="s">
        <v>32</v>
      </c>
      <c r="L563" s="35">
        <v>47.12</v>
      </c>
      <c r="M563" s="6" t="s">
        <v>29</v>
      </c>
      <c r="N563" s="6">
        <v>3105</v>
      </c>
      <c r="P563" s="18"/>
      <c r="Q563" s="17"/>
      <c r="R563" s="19">
        <v>47.12</v>
      </c>
      <c r="S563" s="19">
        <v>47.12</v>
      </c>
      <c r="T563" s="38">
        <v>12</v>
      </c>
      <c r="U563" s="38"/>
      <c r="V563" s="29">
        <v>47.12</v>
      </c>
      <c r="W563" s="35">
        <v>47.12</v>
      </c>
      <c r="X563" s="32">
        <f t="shared" si="88"/>
        <v>565.43999999999994</v>
      </c>
      <c r="Y563" s="32">
        <f t="shared" si="89"/>
        <v>565.43999999999994</v>
      </c>
      <c r="Z563" s="32">
        <f t="shared" si="90"/>
        <v>0</v>
      </c>
      <c r="AA563" s="38">
        <v>12</v>
      </c>
      <c r="AB563" s="37">
        <f>IFERROR(VLOOKUP(A563,'Tash Lookup'!A:E,3,FALSE),"")</f>
        <v>604.13</v>
      </c>
      <c r="AC563" s="6">
        <f t="shared" si="91"/>
        <v>0</v>
      </c>
      <c r="AD563" s="2" t="s">
        <v>6703</v>
      </c>
      <c r="AF563" s="56">
        <v>48.54</v>
      </c>
      <c r="AG563" s="56">
        <f>VLOOKUP(A563,Sheet1!$A$2:$C$1140,3,FALSE)</f>
        <v>49.99</v>
      </c>
      <c r="AH563" s="58">
        <v>49.99</v>
      </c>
      <c r="AI563" s="56" t="str">
        <f t="shared" si="92"/>
        <v>Increase</v>
      </c>
      <c r="AJ563" s="81">
        <f t="shared" si="96"/>
        <v>582.48</v>
      </c>
      <c r="AK563" s="81">
        <f t="shared" si="97"/>
        <v>599.88</v>
      </c>
      <c r="AL563" s="58" t="s">
        <v>32</v>
      </c>
      <c r="AM563" s="58" t="s">
        <v>6703</v>
      </c>
      <c r="AN563" s="75">
        <v>3</v>
      </c>
      <c r="AO563" s="88">
        <v>49.99</v>
      </c>
      <c r="AP563" s="6" t="str">
        <f t="shared" si="93"/>
        <v>Increase</v>
      </c>
      <c r="AQ563" s="81">
        <f t="shared" si="94"/>
        <v>145.62</v>
      </c>
      <c r="AR563" s="81">
        <f t="shared" si="95"/>
        <v>149.97</v>
      </c>
      <c r="AS563" s="82">
        <f t="shared" si="98"/>
        <v>4.3499999999999943</v>
      </c>
    </row>
    <row r="564" spans="1:45" hidden="1" x14ac:dyDescent="0.3">
      <c r="A564">
        <v>5085000</v>
      </c>
      <c r="B564" s="15" t="s">
        <v>5900</v>
      </c>
      <c r="C564" s="16" t="s">
        <v>30</v>
      </c>
      <c r="D564" s="6" t="s">
        <v>31</v>
      </c>
      <c r="E564" t="s">
        <v>1105</v>
      </c>
      <c r="F564" t="s">
        <v>1105</v>
      </c>
      <c r="H564" s="11" t="s">
        <v>27</v>
      </c>
      <c r="I564" s="6" t="s">
        <v>28</v>
      </c>
      <c r="J564" s="6" t="s">
        <v>28</v>
      </c>
      <c r="K564" t="s">
        <v>32</v>
      </c>
      <c r="L564" s="35">
        <v>12.24</v>
      </c>
      <c r="M564" s="6" t="s">
        <v>29</v>
      </c>
      <c r="N564" s="6">
        <v>3105</v>
      </c>
      <c r="P564" s="18"/>
      <c r="Q564" s="17"/>
      <c r="R564" s="19">
        <v>12.24</v>
      </c>
      <c r="S564" s="19">
        <v>12.24</v>
      </c>
      <c r="T564" s="38">
        <v>12</v>
      </c>
      <c r="U564" s="38"/>
      <c r="V564" s="30">
        <v>12.24</v>
      </c>
      <c r="W564" s="35">
        <v>12.24</v>
      </c>
      <c r="X564" s="32">
        <f t="shared" si="88"/>
        <v>146.88</v>
      </c>
      <c r="Y564" s="32">
        <f t="shared" si="89"/>
        <v>146.88</v>
      </c>
      <c r="Z564" s="32">
        <f t="shared" si="90"/>
        <v>0</v>
      </c>
      <c r="AA564" s="38">
        <v>12</v>
      </c>
      <c r="AB564" s="37">
        <f>IFERROR(VLOOKUP(A564,'Tash Lookup'!A:E,3,FALSE),"")</f>
        <v>146.13</v>
      </c>
      <c r="AC564" s="6">
        <f t="shared" si="91"/>
        <v>0</v>
      </c>
      <c r="AD564" s="2" t="s">
        <v>6703</v>
      </c>
      <c r="AF564" s="56">
        <v>11.55</v>
      </c>
      <c r="AG564" s="56">
        <f>VLOOKUP(A564,Sheet1!$A$2:$C$1140,3,FALSE)</f>
        <v>11.55</v>
      </c>
      <c r="AH564" s="58">
        <v>11.55</v>
      </c>
      <c r="AI564" s="56" t="str">
        <f t="shared" si="92"/>
        <v>Same</v>
      </c>
      <c r="AJ564" s="81">
        <f t="shared" si="96"/>
        <v>138.60000000000002</v>
      </c>
      <c r="AK564" s="81">
        <f t="shared" si="97"/>
        <v>138.60000000000002</v>
      </c>
      <c r="AL564" s="58" t="s">
        <v>7206</v>
      </c>
      <c r="AM564" s="58" t="s">
        <v>6703</v>
      </c>
      <c r="AN564" s="75">
        <v>14</v>
      </c>
      <c r="AO564" s="88">
        <v>11.55</v>
      </c>
      <c r="AP564" s="6" t="str">
        <f t="shared" si="93"/>
        <v>Same</v>
      </c>
      <c r="AQ564" s="81">
        <f t="shared" si="94"/>
        <v>161.70000000000002</v>
      </c>
      <c r="AR564" s="81">
        <f t="shared" si="95"/>
        <v>161.70000000000002</v>
      </c>
      <c r="AS564" s="81">
        <f t="shared" si="98"/>
        <v>0</v>
      </c>
    </row>
    <row r="565" spans="1:45" hidden="1" x14ac:dyDescent="0.3">
      <c r="A565">
        <v>5326057</v>
      </c>
      <c r="B565" s="15" t="s">
        <v>5901</v>
      </c>
      <c r="C565" s="16" t="s">
        <v>30</v>
      </c>
      <c r="D565" s="6" t="s">
        <v>31</v>
      </c>
      <c r="E565" t="s">
        <v>105</v>
      </c>
      <c r="F565" s="42" t="s">
        <v>105</v>
      </c>
      <c r="H565" s="11" t="s">
        <v>27</v>
      </c>
      <c r="I565" s="6" t="s">
        <v>28</v>
      </c>
      <c r="J565" s="6" t="s">
        <v>28</v>
      </c>
      <c r="K565" t="s">
        <v>32</v>
      </c>
      <c r="L565" s="35">
        <v>44.41</v>
      </c>
      <c r="M565" s="6" t="s">
        <v>29</v>
      </c>
      <c r="N565" s="6">
        <v>3105</v>
      </c>
      <c r="P565" s="18"/>
      <c r="Q565" s="17"/>
      <c r="R565" s="19">
        <v>44.41</v>
      </c>
      <c r="S565" s="19">
        <v>44.41</v>
      </c>
      <c r="T565" s="38">
        <v>12</v>
      </c>
      <c r="U565" s="38"/>
      <c r="V565" s="29">
        <v>44.41</v>
      </c>
      <c r="W565" s="35">
        <v>44.41</v>
      </c>
      <c r="X565" s="32">
        <f t="shared" si="88"/>
        <v>532.91999999999996</v>
      </c>
      <c r="Y565" s="32">
        <f t="shared" si="89"/>
        <v>532.91999999999996</v>
      </c>
      <c r="Z565" s="32">
        <f t="shared" si="90"/>
        <v>0</v>
      </c>
      <c r="AA565" s="38">
        <v>12</v>
      </c>
      <c r="AB565" s="37">
        <f>IFERROR(VLOOKUP(A565,'Tash Lookup'!A:E,3,FALSE),"")</f>
        <v>505.30999999999995</v>
      </c>
      <c r="AC565" s="6">
        <f t="shared" si="91"/>
        <v>0</v>
      </c>
      <c r="AD565" s="2" t="s">
        <v>6703</v>
      </c>
      <c r="AF565" s="56">
        <v>43.1</v>
      </c>
      <c r="AG565" s="56">
        <f>VLOOKUP(A565,Sheet1!$A$2:$C$1140,3,FALSE)</f>
        <v>43.1</v>
      </c>
      <c r="AH565" s="58">
        <v>43.1</v>
      </c>
      <c r="AI565" s="56" t="str">
        <f t="shared" si="92"/>
        <v>Same</v>
      </c>
      <c r="AJ565" s="81">
        <f t="shared" si="96"/>
        <v>517.20000000000005</v>
      </c>
      <c r="AK565" s="81">
        <f t="shared" si="97"/>
        <v>517.20000000000005</v>
      </c>
      <c r="AL565" s="58" t="s">
        <v>32</v>
      </c>
      <c r="AM565" s="58" t="s">
        <v>6703</v>
      </c>
      <c r="AN565" s="75">
        <v>59</v>
      </c>
      <c r="AO565" s="88">
        <v>43.1</v>
      </c>
      <c r="AP565" s="6" t="str">
        <f t="shared" si="93"/>
        <v>Same</v>
      </c>
      <c r="AQ565" s="81">
        <f t="shared" si="94"/>
        <v>2542.9</v>
      </c>
      <c r="AR565" s="81">
        <f t="shared" si="95"/>
        <v>2542.9</v>
      </c>
      <c r="AS565" s="81">
        <f t="shared" si="98"/>
        <v>0</v>
      </c>
    </row>
    <row r="566" spans="1:45" hidden="1" x14ac:dyDescent="0.3">
      <c r="A566">
        <v>5480938</v>
      </c>
      <c r="B566" s="15" t="s">
        <v>5902</v>
      </c>
      <c r="C566" s="16" t="s">
        <v>30</v>
      </c>
      <c r="D566" s="6" t="s">
        <v>31</v>
      </c>
      <c r="E566" t="s">
        <v>488</v>
      </c>
      <c r="F566" t="s">
        <v>488</v>
      </c>
      <c r="H566" s="11" t="s">
        <v>27</v>
      </c>
      <c r="I566" s="6" t="s">
        <v>28</v>
      </c>
      <c r="J566" s="6" t="s">
        <v>28</v>
      </c>
      <c r="K566" t="s">
        <v>32</v>
      </c>
      <c r="L566" s="35">
        <v>22.69</v>
      </c>
      <c r="M566" s="6" t="s">
        <v>29</v>
      </c>
      <c r="N566" s="6">
        <v>3105</v>
      </c>
      <c r="P566" s="18"/>
      <c r="Q566" s="17"/>
      <c r="R566" s="19">
        <v>22.69</v>
      </c>
      <c r="S566" s="19">
        <v>22.69</v>
      </c>
      <c r="T566" s="38">
        <v>12</v>
      </c>
      <c r="U566" s="38"/>
      <c r="V566" s="29">
        <v>22.69</v>
      </c>
      <c r="W566" s="35">
        <v>22.69</v>
      </c>
      <c r="X566" s="32">
        <f t="shared" si="88"/>
        <v>272.28000000000003</v>
      </c>
      <c r="Y566" s="32">
        <f t="shared" si="89"/>
        <v>272.28000000000003</v>
      </c>
      <c r="Z566" s="32">
        <f t="shared" si="90"/>
        <v>0</v>
      </c>
      <c r="AA566" s="38">
        <v>12</v>
      </c>
      <c r="AB566" s="37">
        <f>IFERROR(VLOOKUP(A566,'Tash Lookup'!A:E,3,FALSE),"")</f>
        <v>272.28999999999996</v>
      </c>
      <c r="AC566" s="6">
        <f t="shared" si="91"/>
        <v>0</v>
      </c>
      <c r="AD566" s="2" t="s">
        <v>6703</v>
      </c>
      <c r="AF566" s="56">
        <v>20.85</v>
      </c>
      <c r="AG566" s="56">
        <f>VLOOKUP(A566,Sheet1!$A$2:$C$1140,3,FALSE)</f>
        <v>20.85</v>
      </c>
      <c r="AH566" s="58">
        <v>20.85</v>
      </c>
      <c r="AI566" s="56" t="str">
        <f t="shared" si="92"/>
        <v>Same</v>
      </c>
      <c r="AJ566" s="81">
        <f t="shared" si="96"/>
        <v>250.20000000000002</v>
      </c>
      <c r="AK566" s="81">
        <f t="shared" si="97"/>
        <v>250.20000000000002</v>
      </c>
      <c r="AL566" s="58" t="s">
        <v>32</v>
      </c>
      <c r="AM566" s="58" t="s">
        <v>6703</v>
      </c>
      <c r="AN566" s="75">
        <v>3</v>
      </c>
      <c r="AO566" s="88">
        <v>20.85</v>
      </c>
      <c r="AP566" s="6" t="str">
        <f t="shared" si="93"/>
        <v>Same</v>
      </c>
      <c r="AQ566" s="81">
        <f t="shared" si="94"/>
        <v>62.550000000000004</v>
      </c>
      <c r="AR566" s="81">
        <f t="shared" si="95"/>
        <v>62.550000000000004</v>
      </c>
      <c r="AS566" s="81">
        <f t="shared" si="98"/>
        <v>0</v>
      </c>
    </row>
    <row r="567" spans="1:45" hidden="1" x14ac:dyDescent="0.3">
      <c r="A567">
        <v>5090739</v>
      </c>
      <c r="B567" s="15" t="s">
        <v>5903</v>
      </c>
      <c r="C567" s="16" t="s">
        <v>30</v>
      </c>
      <c r="D567" s="6" t="s">
        <v>31</v>
      </c>
      <c r="E567" t="s">
        <v>199</v>
      </c>
      <c r="F567" t="s">
        <v>199</v>
      </c>
      <c r="H567" s="11" t="s">
        <v>27</v>
      </c>
      <c r="I567" s="6" t="s">
        <v>28</v>
      </c>
      <c r="J567" s="6" t="s">
        <v>28</v>
      </c>
      <c r="K567" t="s">
        <v>32</v>
      </c>
      <c r="L567" s="35">
        <v>18.59</v>
      </c>
      <c r="M567" s="6" t="s">
        <v>29</v>
      </c>
      <c r="N567" s="6">
        <v>3105</v>
      </c>
      <c r="P567" s="18"/>
      <c r="Q567" s="17"/>
      <c r="R567" s="19">
        <v>18.59</v>
      </c>
      <c r="S567" s="19">
        <v>18.59</v>
      </c>
      <c r="T567" s="38">
        <v>12</v>
      </c>
      <c r="U567" s="38"/>
      <c r="V567" s="29">
        <v>18.59</v>
      </c>
      <c r="W567" s="35">
        <v>18.59</v>
      </c>
      <c r="X567" s="32">
        <f t="shared" si="88"/>
        <v>223.07999999999998</v>
      </c>
      <c r="Y567" s="32">
        <f t="shared" si="89"/>
        <v>223.07999999999998</v>
      </c>
      <c r="Z567" s="32">
        <f t="shared" si="90"/>
        <v>0</v>
      </c>
      <c r="AA567" s="38">
        <v>12</v>
      </c>
      <c r="AB567" s="37">
        <f>IFERROR(VLOOKUP(A567,'Tash Lookup'!A:E,3,FALSE),"")</f>
        <v>219.82</v>
      </c>
      <c r="AC567" s="6">
        <f t="shared" si="91"/>
        <v>0</v>
      </c>
      <c r="AD567" s="2" t="s">
        <v>6703</v>
      </c>
      <c r="AF567" s="56">
        <v>20.100000000000001</v>
      </c>
      <c r="AG567" s="56">
        <f>VLOOKUP(A567,Sheet1!$A$2:$C$1140,3,FALSE)</f>
        <v>20.100000000000001</v>
      </c>
      <c r="AH567" s="58">
        <v>20.100000000000001</v>
      </c>
      <c r="AI567" s="56" t="str">
        <f t="shared" si="92"/>
        <v>Same</v>
      </c>
      <c r="AJ567" s="81">
        <f t="shared" si="96"/>
        <v>241.20000000000002</v>
      </c>
      <c r="AK567" s="81">
        <f t="shared" si="97"/>
        <v>241.20000000000002</v>
      </c>
      <c r="AL567" s="58" t="s">
        <v>32</v>
      </c>
      <c r="AM567" s="58" t="s">
        <v>6703</v>
      </c>
      <c r="AN567" s="75">
        <v>7</v>
      </c>
      <c r="AO567" s="88">
        <v>20.100000000000001</v>
      </c>
      <c r="AP567" s="6" t="str">
        <f t="shared" si="93"/>
        <v>Same</v>
      </c>
      <c r="AQ567" s="81">
        <f t="shared" si="94"/>
        <v>140.70000000000002</v>
      </c>
      <c r="AR567" s="81">
        <f t="shared" si="95"/>
        <v>140.70000000000002</v>
      </c>
      <c r="AS567" s="81">
        <f t="shared" si="98"/>
        <v>0</v>
      </c>
    </row>
    <row r="568" spans="1:45" hidden="1" x14ac:dyDescent="0.3">
      <c r="A568">
        <v>6394196</v>
      </c>
      <c r="B568" s="15" t="s">
        <v>5904</v>
      </c>
      <c r="C568" s="16" t="s">
        <v>30</v>
      </c>
      <c r="D568" s="6" t="s">
        <v>31</v>
      </c>
      <c r="E568" t="s">
        <v>753</v>
      </c>
      <c r="F568" t="s">
        <v>753</v>
      </c>
      <c r="H568" s="11" t="s">
        <v>27</v>
      </c>
      <c r="I568" s="6" t="s">
        <v>28</v>
      </c>
      <c r="J568" s="6" t="s">
        <v>28</v>
      </c>
      <c r="K568" t="s">
        <v>32</v>
      </c>
      <c r="L568" s="35">
        <v>31.61</v>
      </c>
      <c r="M568" s="6" t="s">
        <v>29</v>
      </c>
      <c r="N568" s="6">
        <v>3105</v>
      </c>
      <c r="P568" s="18"/>
      <c r="Q568" s="17"/>
      <c r="R568" s="19">
        <v>31.61</v>
      </c>
      <c r="S568" s="19">
        <v>31.61</v>
      </c>
      <c r="T568" s="38">
        <v>11</v>
      </c>
      <c r="U568" s="38"/>
      <c r="V568" s="30">
        <v>31.61</v>
      </c>
      <c r="W568" s="35">
        <v>15.16</v>
      </c>
      <c r="X568" s="32">
        <f t="shared" si="88"/>
        <v>347.71</v>
      </c>
      <c r="Y568" s="32">
        <f t="shared" si="89"/>
        <v>347.71</v>
      </c>
      <c r="Z568" s="32">
        <f t="shared" si="90"/>
        <v>0</v>
      </c>
      <c r="AA568" s="38">
        <v>11</v>
      </c>
      <c r="AB568" s="37">
        <f>IFERROR(VLOOKUP(A568,'Tash Lookup'!A:E,3,FALSE),"")</f>
        <v>346.33</v>
      </c>
      <c r="AC568" s="6">
        <f t="shared" si="91"/>
        <v>0</v>
      </c>
      <c r="AD568" s="2" t="s">
        <v>6703</v>
      </c>
      <c r="AF568" s="56">
        <v>31.61</v>
      </c>
      <c r="AG568" s="56">
        <f>VLOOKUP(A568,Sheet1!$A$2:$C$1140,3,FALSE)</f>
        <v>32.24</v>
      </c>
      <c r="AH568" s="58">
        <v>32.24</v>
      </c>
      <c r="AI568" s="56" t="str">
        <f t="shared" si="92"/>
        <v>Increase</v>
      </c>
      <c r="AJ568" s="81">
        <f t="shared" si="96"/>
        <v>347.71</v>
      </c>
      <c r="AK568" s="81">
        <f t="shared" si="97"/>
        <v>354.64000000000004</v>
      </c>
      <c r="AL568" s="58" t="s">
        <v>7206</v>
      </c>
      <c r="AM568" s="58" t="s">
        <v>6703</v>
      </c>
      <c r="AN568" s="75">
        <v>5</v>
      </c>
      <c r="AO568" s="88">
        <v>32.24</v>
      </c>
      <c r="AP568" s="6" t="str">
        <f t="shared" si="93"/>
        <v>Increase</v>
      </c>
      <c r="AQ568" s="81">
        <f t="shared" si="94"/>
        <v>158.05000000000001</v>
      </c>
      <c r="AR568" s="81">
        <f t="shared" si="95"/>
        <v>161.20000000000002</v>
      </c>
      <c r="AS568" s="82">
        <f t="shared" si="98"/>
        <v>3.1500000000000057</v>
      </c>
    </row>
    <row r="569" spans="1:45" hidden="1" x14ac:dyDescent="0.3">
      <c r="A569">
        <v>5092480</v>
      </c>
      <c r="B569" s="15" t="s">
        <v>5905</v>
      </c>
      <c r="C569" s="16" t="s">
        <v>30</v>
      </c>
      <c r="D569" s="6" t="s">
        <v>31</v>
      </c>
      <c r="E569" t="s">
        <v>307</v>
      </c>
      <c r="F569" t="s">
        <v>307</v>
      </c>
      <c r="H569" s="11" t="s">
        <v>27</v>
      </c>
      <c r="I569" s="6" t="s">
        <v>28</v>
      </c>
      <c r="J569" s="6" t="s">
        <v>28</v>
      </c>
      <c r="K569" t="s">
        <v>32</v>
      </c>
      <c r="L569" s="35">
        <v>5.9</v>
      </c>
      <c r="M569" s="6" t="s">
        <v>29</v>
      </c>
      <c r="N569" s="6">
        <v>3105</v>
      </c>
      <c r="P569" s="18"/>
      <c r="Q569" s="17"/>
      <c r="R569" s="19">
        <v>5.9</v>
      </c>
      <c r="S569" s="19">
        <v>5.9</v>
      </c>
      <c r="T569" s="38">
        <v>11</v>
      </c>
      <c r="U569" s="38"/>
      <c r="V569" s="29">
        <v>5.9</v>
      </c>
      <c r="W569" s="35">
        <v>31.61</v>
      </c>
      <c r="X569" s="32">
        <f t="shared" si="88"/>
        <v>64.900000000000006</v>
      </c>
      <c r="Y569" s="32">
        <f t="shared" si="89"/>
        <v>64.900000000000006</v>
      </c>
      <c r="Z569" s="32">
        <f t="shared" si="90"/>
        <v>0</v>
      </c>
      <c r="AA569" s="38">
        <v>11</v>
      </c>
      <c r="AB569" s="37">
        <f>IFERROR(VLOOKUP(A569,'Tash Lookup'!A:E,3,FALSE),"")</f>
        <v>64.86</v>
      </c>
      <c r="AC569" s="6">
        <f t="shared" si="91"/>
        <v>0</v>
      </c>
      <c r="AD569" s="2" t="s">
        <v>6703</v>
      </c>
      <c r="AF569" s="56">
        <v>6.31</v>
      </c>
      <c r="AG569" s="56">
        <f>VLOOKUP(A569,Sheet1!$A$2:$C$1140,3,FALSE)</f>
        <v>6.49</v>
      </c>
      <c r="AH569" s="58">
        <v>6.49</v>
      </c>
      <c r="AI569" s="56" t="str">
        <f t="shared" si="92"/>
        <v>Increase</v>
      </c>
      <c r="AJ569" s="81">
        <f t="shared" si="96"/>
        <v>69.41</v>
      </c>
      <c r="AK569" s="81">
        <f t="shared" si="97"/>
        <v>71.39</v>
      </c>
      <c r="AL569" s="58" t="s">
        <v>32</v>
      </c>
      <c r="AM569" s="58" t="s">
        <v>6703</v>
      </c>
      <c r="AN569" s="75">
        <v>12</v>
      </c>
      <c r="AO569" s="88">
        <v>6.49</v>
      </c>
      <c r="AP569" s="6" t="str">
        <f t="shared" si="93"/>
        <v>Increase</v>
      </c>
      <c r="AQ569" s="81">
        <f t="shared" si="94"/>
        <v>75.72</v>
      </c>
      <c r="AR569" s="81">
        <f t="shared" si="95"/>
        <v>77.88</v>
      </c>
      <c r="AS569" s="82">
        <f t="shared" si="98"/>
        <v>2.1599999999999966</v>
      </c>
    </row>
    <row r="570" spans="1:45" hidden="1" x14ac:dyDescent="0.3">
      <c r="A570">
        <v>5180496</v>
      </c>
      <c r="B570" s="15" t="s">
        <v>5906</v>
      </c>
      <c r="C570" s="16" t="s">
        <v>30</v>
      </c>
      <c r="D570" s="6" t="s">
        <v>31</v>
      </c>
      <c r="E570" t="s">
        <v>329</v>
      </c>
      <c r="F570" t="s">
        <v>329</v>
      </c>
      <c r="H570" s="11" t="s">
        <v>27</v>
      </c>
      <c r="I570" s="6" t="s">
        <v>28</v>
      </c>
      <c r="J570" s="6" t="s">
        <v>28</v>
      </c>
      <c r="K570" t="s">
        <v>32</v>
      </c>
      <c r="L570" s="35">
        <v>35.4</v>
      </c>
      <c r="M570" s="6" t="s">
        <v>29</v>
      </c>
      <c r="N570" s="6">
        <v>3105</v>
      </c>
      <c r="P570" s="18"/>
      <c r="Q570" s="17"/>
      <c r="R570" s="19">
        <v>35.4</v>
      </c>
      <c r="S570" s="19">
        <v>35.4</v>
      </c>
      <c r="T570" s="38">
        <v>11</v>
      </c>
      <c r="U570" s="38"/>
      <c r="V570" s="29">
        <v>35.4</v>
      </c>
      <c r="W570" s="35">
        <v>5.9</v>
      </c>
      <c r="X570" s="32">
        <f t="shared" si="88"/>
        <v>389.4</v>
      </c>
      <c r="Y570" s="32">
        <f t="shared" si="89"/>
        <v>389.4</v>
      </c>
      <c r="Z570" s="32">
        <f t="shared" si="90"/>
        <v>0</v>
      </c>
      <c r="AA570" s="38">
        <v>11</v>
      </c>
      <c r="AB570" s="37">
        <f>IFERROR(VLOOKUP(A570,'Tash Lookup'!A:E,3,FALSE),"")</f>
        <v>389.43</v>
      </c>
      <c r="AC570" s="6">
        <f t="shared" si="91"/>
        <v>0</v>
      </c>
      <c r="AD570" s="2" t="s">
        <v>6707</v>
      </c>
      <c r="AF570" s="56">
        <v>38.32</v>
      </c>
      <c r="AG570" s="56" t="e">
        <f>VLOOKUP(A570,Sheet1!$A$2:$C$1140,3,FALSE)</f>
        <v>#N/A</v>
      </c>
      <c r="AH570" s="58" t="e">
        <v>#N/A</v>
      </c>
      <c r="AI570" s="56" t="str">
        <f t="shared" si="92"/>
        <v>Delete</v>
      </c>
      <c r="AJ570" s="81">
        <f t="shared" si="96"/>
        <v>421.52</v>
      </c>
      <c r="AK570" s="81">
        <f t="shared" si="97"/>
        <v>0</v>
      </c>
      <c r="AL570" s="58" t="s">
        <v>32</v>
      </c>
      <c r="AM570" s="58" t="s">
        <v>6708</v>
      </c>
      <c r="AN570" s="75">
        <v>0</v>
      </c>
      <c r="AO570" s="88">
        <v>38.32</v>
      </c>
      <c r="AP570" s="6" t="str">
        <f t="shared" si="93"/>
        <v>Same</v>
      </c>
      <c r="AQ570" s="81">
        <f t="shared" si="94"/>
        <v>0</v>
      </c>
      <c r="AR570" s="81">
        <f t="shared" si="95"/>
        <v>0</v>
      </c>
      <c r="AS570" s="81">
        <f t="shared" si="98"/>
        <v>0</v>
      </c>
    </row>
    <row r="571" spans="1:45" hidden="1" x14ac:dyDescent="0.3">
      <c r="A571">
        <v>5180665</v>
      </c>
      <c r="B571" s="15" t="s">
        <v>5907</v>
      </c>
      <c r="C571" s="16" t="s">
        <v>30</v>
      </c>
      <c r="D571" s="6" t="s">
        <v>31</v>
      </c>
      <c r="E571" t="s">
        <v>603</v>
      </c>
      <c r="F571" t="s">
        <v>603</v>
      </c>
      <c r="H571" s="11" t="s">
        <v>27</v>
      </c>
      <c r="I571" s="6" t="s">
        <v>28</v>
      </c>
      <c r="J571" s="6" t="s">
        <v>28</v>
      </c>
      <c r="K571" t="s">
        <v>32</v>
      </c>
      <c r="L571" s="35">
        <v>35.4</v>
      </c>
      <c r="M571" s="6" t="s">
        <v>29</v>
      </c>
      <c r="N571" s="6">
        <v>3105</v>
      </c>
      <c r="P571" s="18"/>
      <c r="Q571" s="17"/>
      <c r="R571" s="19">
        <v>35.4</v>
      </c>
      <c r="S571" s="19">
        <v>35.4</v>
      </c>
      <c r="T571" s="38">
        <v>11</v>
      </c>
      <c r="U571" s="38"/>
      <c r="V571" s="29">
        <v>35.4</v>
      </c>
      <c r="W571" s="35">
        <v>35.4</v>
      </c>
      <c r="X571" s="32">
        <f t="shared" si="88"/>
        <v>389.4</v>
      </c>
      <c r="Y571" s="32">
        <f t="shared" si="89"/>
        <v>389.4</v>
      </c>
      <c r="Z571" s="32">
        <f t="shared" si="90"/>
        <v>0</v>
      </c>
      <c r="AA571" s="38">
        <v>11</v>
      </c>
      <c r="AB571" s="37">
        <f>IFERROR(VLOOKUP(A571,'Tash Lookup'!A:E,3,FALSE),"")</f>
        <v>389.65</v>
      </c>
      <c r="AC571" s="6">
        <f t="shared" si="91"/>
        <v>0</v>
      </c>
      <c r="AD571" s="2" t="s">
        <v>6703</v>
      </c>
      <c r="AF571" s="56">
        <v>33.85</v>
      </c>
      <c r="AG571" s="56">
        <f>VLOOKUP(A571,Sheet1!$A$2:$C$1140,3,FALSE)</f>
        <v>34.869999999999997</v>
      </c>
      <c r="AH571" s="58">
        <v>34.869999999999997</v>
      </c>
      <c r="AI571" s="56" t="str">
        <f t="shared" si="92"/>
        <v>Increase</v>
      </c>
      <c r="AJ571" s="81">
        <f t="shared" si="96"/>
        <v>372.35</v>
      </c>
      <c r="AK571" s="81">
        <f t="shared" si="97"/>
        <v>383.57</v>
      </c>
      <c r="AL571" s="58" t="s">
        <v>32</v>
      </c>
      <c r="AM571" s="58" t="s">
        <v>6703</v>
      </c>
      <c r="AN571" s="75">
        <v>4</v>
      </c>
      <c r="AO571" s="88">
        <v>34.869999999999997</v>
      </c>
      <c r="AP571" s="6" t="str">
        <f t="shared" si="93"/>
        <v>Increase</v>
      </c>
      <c r="AQ571" s="81">
        <f t="shared" si="94"/>
        <v>135.4</v>
      </c>
      <c r="AR571" s="81">
        <f t="shared" si="95"/>
        <v>139.47999999999999</v>
      </c>
      <c r="AS571" s="82">
        <f t="shared" si="98"/>
        <v>4.0799999999999841</v>
      </c>
    </row>
    <row r="572" spans="1:45" hidden="1" x14ac:dyDescent="0.3">
      <c r="A572">
        <v>5183424</v>
      </c>
      <c r="B572" s="15" t="s">
        <v>5908</v>
      </c>
      <c r="C572" s="16" t="s">
        <v>30</v>
      </c>
      <c r="D572" s="6" t="s">
        <v>31</v>
      </c>
      <c r="E572" t="s">
        <v>612</v>
      </c>
      <c r="F572" t="s">
        <v>612</v>
      </c>
      <c r="H572" s="11" t="s">
        <v>27</v>
      </c>
      <c r="I572" s="6" t="s">
        <v>28</v>
      </c>
      <c r="J572" s="6" t="s">
        <v>28</v>
      </c>
      <c r="K572" t="s">
        <v>32</v>
      </c>
      <c r="L572" s="35">
        <v>35.4</v>
      </c>
      <c r="M572" s="6" t="s">
        <v>29</v>
      </c>
      <c r="N572" s="6">
        <v>3105</v>
      </c>
      <c r="P572" s="18"/>
      <c r="Q572" s="17"/>
      <c r="R572" s="19">
        <v>33.630000000000003</v>
      </c>
      <c r="S572" s="19">
        <v>0</v>
      </c>
      <c r="T572" s="38">
        <v>11</v>
      </c>
      <c r="U572" s="38"/>
      <c r="V572" s="29">
        <v>35.4</v>
      </c>
      <c r="W572" s="35">
        <v>35.4</v>
      </c>
      <c r="X572" s="32">
        <f t="shared" si="88"/>
        <v>389.4</v>
      </c>
      <c r="Y572" s="32">
        <f t="shared" si="89"/>
        <v>389.4</v>
      </c>
      <c r="Z572" s="32">
        <f t="shared" si="90"/>
        <v>0</v>
      </c>
      <c r="AA572" s="38">
        <v>11</v>
      </c>
      <c r="AB572" s="37">
        <f>IFERROR(VLOOKUP(A572,'Tash Lookup'!A:E,3,FALSE),"")</f>
        <v>388.55</v>
      </c>
      <c r="AC572" s="6">
        <f t="shared" si="91"/>
        <v>0</v>
      </c>
      <c r="AD572" s="2" t="s">
        <v>6703</v>
      </c>
      <c r="AF572" s="56">
        <v>35.64</v>
      </c>
      <c r="AG572" s="56">
        <f>VLOOKUP(A572,Sheet1!$A$2:$C$1140,3,FALSE)</f>
        <v>36.700000000000003</v>
      </c>
      <c r="AH572" s="58">
        <v>36.700000000000003</v>
      </c>
      <c r="AI572" s="56" t="str">
        <f t="shared" si="92"/>
        <v>Increase</v>
      </c>
      <c r="AJ572" s="81">
        <f t="shared" si="96"/>
        <v>392.04</v>
      </c>
      <c r="AK572" s="81">
        <f t="shared" si="97"/>
        <v>403.70000000000005</v>
      </c>
      <c r="AL572" s="58" t="s">
        <v>32</v>
      </c>
      <c r="AM572" s="58" t="s">
        <v>6703</v>
      </c>
      <c r="AN572" s="75">
        <v>11</v>
      </c>
      <c r="AO572" s="88">
        <v>36.700000000000003</v>
      </c>
      <c r="AP572" s="6" t="str">
        <f t="shared" si="93"/>
        <v>Increase</v>
      </c>
      <c r="AQ572" s="81">
        <f t="shared" si="94"/>
        <v>392.04</v>
      </c>
      <c r="AR572" s="81">
        <f t="shared" si="95"/>
        <v>403.70000000000005</v>
      </c>
      <c r="AS572" s="82">
        <f t="shared" si="98"/>
        <v>11.660000000000025</v>
      </c>
    </row>
    <row r="573" spans="1:45" hidden="1" x14ac:dyDescent="0.3">
      <c r="A573">
        <v>5180707</v>
      </c>
      <c r="B573" s="15" t="s">
        <v>5909</v>
      </c>
      <c r="C573" s="16" t="s">
        <v>30</v>
      </c>
      <c r="D573" s="6" t="s">
        <v>31</v>
      </c>
      <c r="E573" t="s">
        <v>622</v>
      </c>
      <c r="F573" t="s">
        <v>622</v>
      </c>
      <c r="H573" s="11" t="s">
        <v>27</v>
      </c>
      <c r="I573" s="6" t="s">
        <v>28</v>
      </c>
      <c r="J573" s="6" t="s">
        <v>28</v>
      </c>
      <c r="K573" t="s">
        <v>32</v>
      </c>
      <c r="L573" s="35">
        <v>61.05</v>
      </c>
      <c r="M573" s="6" t="s">
        <v>29</v>
      </c>
      <c r="N573" s="6">
        <v>3105</v>
      </c>
      <c r="P573" s="18"/>
      <c r="Q573" s="17"/>
      <c r="R573" s="19">
        <v>58</v>
      </c>
      <c r="S573" s="19">
        <v>0</v>
      </c>
      <c r="T573" s="38">
        <v>11</v>
      </c>
      <c r="U573" s="38"/>
      <c r="V573" s="29">
        <v>61.05</v>
      </c>
      <c r="W573" s="35">
        <v>35.4</v>
      </c>
      <c r="X573" s="32">
        <f t="shared" si="88"/>
        <v>671.55</v>
      </c>
      <c r="Y573" s="32">
        <f t="shared" si="89"/>
        <v>671.55</v>
      </c>
      <c r="Z573" s="32">
        <f t="shared" si="90"/>
        <v>0</v>
      </c>
      <c r="AA573" s="38">
        <v>11</v>
      </c>
      <c r="AB573" s="37">
        <f>IFERROR(VLOOKUP(A573,'Tash Lookup'!A:E,3,FALSE),"")</f>
        <v>694.33</v>
      </c>
      <c r="AC573" s="6">
        <f t="shared" si="91"/>
        <v>0</v>
      </c>
      <c r="AD573" s="2" t="s">
        <v>6703</v>
      </c>
      <c r="AF573" s="56">
        <v>68.44</v>
      </c>
      <c r="AG573" s="56">
        <f>VLOOKUP(A573,Sheet1!$A$2:$C$1140,3,FALSE)</f>
        <v>70.489999999999995</v>
      </c>
      <c r="AH573" s="58">
        <v>70.489999999999995</v>
      </c>
      <c r="AI573" s="56" t="str">
        <f t="shared" si="92"/>
        <v>Increase</v>
      </c>
      <c r="AJ573" s="81">
        <f t="shared" si="96"/>
        <v>752.83999999999992</v>
      </c>
      <c r="AK573" s="81">
        <f t="shared" si="97"/>
        <v>775.39</v>
      </c>
      <c r="AL573" s="58" t="s">
        <v>32</v>
      </c>
      <c r="AM573" s="58" t="s">
        <v>6703</v>
      </c>
      <c r="AN573" s="75">
        <v>14</v>
      </c>
      <c r="AO573" s="88">
        <v>70.489999999999995</v>
      </c>
      <c r="AP573" s="6" t="str">
        <f t="shared" si="93"/>
        <v>Increase</v>
      </c>
      <c r="AQ573" s="81">
        <f t="shared" si="94"/>
        <v>958.16</v>
      </c>
      <c r="AR573" s="81">
        <f t="shared" si="95"/>
        <v>986.8599999999999</v>
      </c>
      <c r="AS573" s="82">
        <f t="shared" si="98"/>
        <v>28.699999999999932</v>
      </c>
    </row>
    <row r="574" spans="1:45" hidden="1" x14ac:dyDescent="0.3">
      <c r="A574">
        <v>6395773</v>
      </c>
      <c r="B574" s="15" t="s">
        <v>5910</v>
      </c>
      <c r="C574" s="16" t="s">
        <v>30</v>
      </c>
      <c r="D574" s="6" t="s">
        <v>31</v>
      </c>
      <c r="E574" t="s">
        <v>960</v>
      </c>
      <c r="F574" t="s">
        <v>960</v>
      </c>
      <c r="H574" s="11" t="s">
        <v>27</v>
      </c>
      <c r="I574" s="6" t="s">
        <v>28</v>
      </c>
      <c r="J574" s="6" t="s">
        <v>28</v>
      </c>
      <c r="K574" t="s">
        <v>32</v>
      </c>
      <c r="L574" s="35">
        <v>7.56</v>
      </c>
      <c r="M574" s="6" t="s">
        <v>29</v>
      </c>
      <c r="N574" s="6">
        <v>3105</v>
      </c>
      <c r="P574" s="18"/>
      <c r="Q574" s="17"/>
      <c r="R574" s="19">
        <v>0</v>
      </c>
      <c r="S574" s="19">
        <v>0</v>
      </c>
      <c r="T574" s="38">
        <v>11</v>
      </c>
      <c r="U574" s="38"/>
      <c r="V574" s="29">
        <v>7.56</v>
      </c>
      <c r="W574" s="35">
        <v>61.05</v>
      </c>
      <c r="X574" s="32">
        <f t="shared" si="88"/>
        <v>83.16</v>
      </c>
      <c r="Y574" s="32">
        <f t="shared" si="89"/>
        <v>83.16</v>
      </c>
      <c r="Z574" s="32">
        <f t="shared" si="90"/>
        <v>0</v>
      </c>
      <c r="AA574" s="38">
        <v>11</v>
      </c>
      <c r="AB574" s="37">
        <f>IFERROR(VLOOKUP(A574,'Tash Lookup'!A:E,3,FALSE),"")</f>
        <v>83.16</v>
      </c>
      <c r="AC574" s="6">
        <f t="shared" si="91"/>
        <v>0</v>
      </c>
      <c r="AD574" s="2" t="s">
        <v>6703</v>
      </c>
      <c r="AF574" s="56">
        <v>7.83</v>
      </c>
      <c r="AG574" s="56">
        <f>VLOOKUP(A574,Sheet1!$A$2:$C$1140,3,FALSE)</f>
        <v>7.83</v>
      </c>
      <c r="AH574" s="58">
        <v>7.83</v>
      </c>
      <c r="AI574" s="56" t="str">
        <f t="shared" si="92"/>
        <v>Same</v>
      </c>
      <c r="AJ574" s="81">
        <f t="shared" si="96"/>
        <v>86.13</v>
      </c>
      <c r="AK574" s="81">
        <f t="shared" si="97"/>
        <v>86.13</v>
      </c>
      <c r="AL574" s="58" t="s">
        <v>7206</v>
      </c>
      <c r="AM574" s="58" t="s">
        <v>6703</v>
      </c>
      <c r="AN574" s="75">
        <v>0</v>
      </c>
      <c r="AO574" s="88">
        <v>7.83</v>
      </c>
      <c r="AP574" s="6" t="str">
        <f t="shared" si="93"/>
        <v>Same</v>
      </c>
      <c r="AQ574" s="81">
        <f t="shared" si="94"/>
        <v>0</v>
      </c>
      <c r="AR574" s="81">
        <f t="shared" si="95"/>
        <v>0</v>
      </c>
      <c r="AS574" s="81">
        <f t="shared" si="98"/>
        <v>0</v>
      </c>
    </row>
    <row r="575" spans="1:45" hidden="1" x14ac:dyDescent="0.3">
      <c r="A575">
        <v>6342542</v>
      </c>
      <c r="B575" s="15" t="s">
        <v>5911</v>
      </c>
      <c r="C575" s="16" t="s">
        <v>30</v>
      </c>
      <c r="D575" s="6" t="s">
        <v>31</v>
      </c>
      <c r="E575" t="s">
        <v>1123</v>
      </c>
      <c r="F575" t="s">
        <v>1123</v>
      </c>
      <c r="H575" s="11" t="s">
        <v>27</v>
      </c>
      <c r="I575" s="6" t="s">
        <v>28</v>
      </c>
      <c r="J575" s="6" t="s">
        <v>28</v>
      </c>
      <c r="K575" t="s">
        <v>32</v>
      </c>
      <c r="L575" s="35">
        <v>6.93</v>
      </c>
      <c r="M575" s="6" t="s">
        <v>29</v>
      </c>
      <c r="N575" s="6">
        <v>3105</v>
      </c>
      <c r="P575" s="18"/>
      <c r="Q575" s="17"/>
      <c r="R575" s="19">
        <v>0</v>
      </c>
      <c r="S575" s="19">
        <v>0</v>
      </c>
      <c r="T575" s="38">
        <v>11</v>
      </c>
      <c r="U575" s="38"/>
      <c r="V575" s="31">
        <v>6.93</v>
      </c>
      <c r="W575" s="35">
        <v>7.56</v>
      </c>
      <c r="X575" s="32">
        <f t="shared" si="88"/>
        <v>76.22999999999999</v>
      </c>
      <c r="Y575" s="32">
        <f t="shared" si="89"/>
        <v>76.22999999999999</v>
      </c>
      <c r="Z575" s="32">
        <f t="shared" si="90"/>
        <v>0</v>
      </c>
      <c r="AA575" s="38">
        <v>11</v>
      </c>
      <c r="AB575" s="37">
        <f>IFERROR(VLOOKUP(A575,'Tash Lookup'!A:E,3,FALSE),"")</f>
        <v>77.73</v>
      </c>
      <c r="AC575" s="6">
        <f t="shared" si="91"/>
        <v>0</v>
      </c>
      <c r="AD575" s="2" t="s">
        <v>6703</v>
      </c>
      <c r="AF575" s="56">
        <v>6.93</v>
      </c>
      <c r="AG575" s="56">
        <f>VLOOKUP(A575,Sheet1!$A$2:$C$1140,3,FALSE)</f>
        <v>7.07</v>
      </c>
      <c r="AH575" s="58">
        <v>7.07</v>
      </c>
      <c r="AI575" s="56" t="str">
        <f t="shared" si="92"/>
        <v>Increase</v>
      </c>
      <c r="AJ575" s="81">
        <f t="shared" si="96"/>
        <v>76.22999999999999</v>
      </c>
      <c r="AK575" s="81">
        <f t="shared" si="97"/>
        <v>77.77000000000001</v>
      </c>
      <c r="AL575" s="58" t="s">
        <v>7206</v>
      </c>
      <c r="AM575" s="58" t="s">
        <v>6703</v>
      </c>
      <c r="AN575" s="75">
        <v>7</v>
      </c>
      <c r="AO575" s="88">
        <v>7.07</v>
      </c>
      <c r="AP575" s="6" t="str">
        <f t="shared" si="93"/>
        <v>Increase</v>
      </c>
      <c r="AQ575" s="81">
        <f t="shared" si="94"/>
        <v>48.51</v>
      </c>
      <c r="AR575" s="81">
        <f t="shared" si="95"/>
        <v>49.49</v>
      </c>
      <c r="AS575" s="82">
        <f t="shared" si="98"/>
        <v>0.98000000000000398</v>
      </c>
    </row>
    <row r="576" spans="1:45" hidden="1" x14ac:dyDescent="0.3">
      <c r="A576">
        <v>5074298</v>
      </c>
      <c r="B576" s="15" t="s">
        <v>5912</v>
      </c>
      <c r="C576" s="16" t="s">
        <v>30</v>
      </c>
      <c r="D576" s="6" t="s">
        <v>31</v>
      </c>
      <c r="E576" t="s">
        <v>1162</v>
      </c>
      <c r="F576" t="s">
        <v>1162</v>
      </c>
      <c r="H576" s="11" t="s">
        <v>27</v>
      </c>
      <c r="I576" s="6" t="s">
        <v>28</v>
      </c>
      <c r="J576" s="6" t="s">
        <v>28</v>
      </c>
      <c r="K576" t="s">
        <v>32</v>
      </c>
      <c r="L576" s="35">
        <v>36.92</v>
      </c>
      <c r="M576" s="6" t="s">
        <v>29</v>
      </c>
      <c r="N576" s="6">
        <v>3105</v>
      </c>
      <c r="P576" s="18"/>
      <c r="Q576" s="17"/>
      <c r="R576" s="19">
        <v>36.92</v>
      </c>
      <c r="S576" s="19">
        <v>36.92</v>
      </c>
      <c r="T576" s="38">
        <v>11</v>
      </c>
      <c r="U576" s="38"/>
      <c r="V576" s="30">
        <v>36.92</v>
      </c>
      <c r="W576" s="35">
        <v>6.93</v>
      </c>
      <c r="X576" s="32">
        <f t="shared" si="88"/>
        <v>406.12</v>
      </c>
      <c r="Y576" s="32">
        <f t="shared" si="89"/>
        <v>406.12</v>
      </c>
      <c r="Z576" s="32">
        <f t="shared" si="90"/>
        <v>0</v>
      </c>
      <c r="AA576" s="38">
        <v>11</v>
      </c>
      <c r="AB576" s="37">
        <f>IFERROR(VLOOKUP(A576,'Tash Lookup'!A:E,3,FALSE),"")</f>
        <v>406.11</v>
      </c>
      <c r="AC576" s="6">
        <f t="shared" si="91"/>
        <v>0</v>
      </c>
      <c r="AD576" s="2" t="s">
        <v>6703</v>
      </c>
      <c r="AF576" s="56">
        <v>38.39</v>
      </c>
      <c r="AG576" s="56">
        <f>VLOOKUP(A576,Sheet1!$A$2:$C$1140,3,FALSE)</f>
        <v>38.39</v>
      </c>
      <c r="AH576" s="58">
        <v>38.39</v>
      </c>
      <c r="AI576" s="56" t="str">
        <f t="shared" si="92"/>
        <v>Same</v>
      </c>
      <c r="AJ576" s="81">
        <f t="shared" si="96"/>
        <v>422.29</v>
      </c>
      <c r="AK576" s="81">
        <f t="shared" si="97"/>
        <v>422.29</v>
      </c>
      <c r="AL576" s="58" t="s">
        <v>7206</v>
      </c>
      <c r="AM576" s="58" t="s">
        <v>6703</v>
      </c>
      <c r="AN576" s="75">
        <v>5</v>
      </c>
      <c r="AO576" s="88">
        <v>38.39</v>
      </c>
      <c r="AP576" s="6" t="str">
        <f t="shared" si="93"/>
        <v>Same</v>
      </c>
      <c r="AQ576" s="81">
        <f t="shared" si="94"/>
        <v>191.95</v>
      </c>
      <c r="AR576" s="81">
        <f t="shared" si="95"/>
        <v>191.95</v>
      </c>
      <c r="AS576" s="81">
        <f t="shared" si="98"/>
        <v>0</v>
      </c>
    </row>
    <row r="577" spans="1:45" hidden="1" x14ac:dyDescent="0.3">
      <c r="A577">
        <v>5222347</v>
      </c>
      <c r="B577" s="15" t="s">
        <v>5913</v>
      </c>
      <c r="C577" s="16" t="s">
        <v>30</v>
      </c>
      <c r="D577" s="6" t="s">
        <v>31</v>
      </c>
      <c r="E577" t="s">
        <v>1303</v>
      </c>
      <c r="F577" t="s">
        <v>1303</v>
      </c>
      <c r="H577" s="11" t="s">
        <v>27</v>
      </c>
      <c r="I577" s="6" t="s">
        <v>28</v>
      </c>
      <c r="J577" s="6" t="s">
        <v>28</v>
      </c>
      <c r="K577" t="s">
        <v>32</v>
      </c>
      <c r="L577" s="35">
        <v>31.65</v>
      </c>
      <c r="M577" s="6" t="s">
        <v>29</v>
      </c>
      <c r="N577" s="6">
        <v>3105</v>
      </c>
      <c r="P577" s="18"/>
      <c r="Q577" s="17"/>
      <c r="R577" s="19">
        <v>31.65</v>
      </c>
      <c r="S577" s="19">
        <v>31.65</v>
      </c>
      <c r="T577" s="38">
        <v>11</v>
      </c>
      <c r="U577" s="38"/>
      <c r="V577" s="30">
        <v>31.65</v>
      </c>
      <c r="W577" s="35">
        <v>36.92</v>
      </c>
      <c r="X577" s="32">
        <f t="shared" si="88"/>
        <v>348.15</v>
      </c>
      <c r="Y577" s="32">
        <f t="shared" si="89"/>
        <v>348.15</v>
      </c>
      <c r="Z577" s="32">
        <f t="shared" si="90"/>
        <v>0</v>
      </c>
      <c r="AA577" s="38">
        <v>11</v>
      </c>
      <c r="AB577" s="37">
        <f>IFERROR(VLOOKUP(A577,'Tash Lookup'!A:E,3,FALSE),"")</f>
        <v>348.19</v>
      </c>
      <c r="AC577" s="6">
        <f t="shared" si="91"/>
        <v>0</v>
      </c>
      <c r="AD577" s="2" t="s">
        <v>6703</v>
      </c>
      <c r="AF577" s="56">
        <v>35.270000000000003</v>
      </c>
      <c r="AG577" s="56">
        <f>VLOOKUP(A577,Sheet1!$A$2:$C$1140,3,FALSE)</f>
        <v>35.270000000000003</v>
      </c>
      <c r="AH577" s="58">
        <v>35.270000000000003</v>
      </c>
      <c r="AI577" s="56" t="str">
        <f t="shared" si="92"/>
        <v>Same</v>
      </c>
      <c r="AJ577" s="81">
        <f t="shared" si="96"/>
        <v>387.97</v>
      </c>
      <c r="AK577" s="81">
        <f t="shared" si="97"/>
        <v>387.97</v>
      </c>
      <c r="AL577" s="58" t="s">
        <v>7206</v>
      </c>
      <c r="AM577" s="58" t="s">
        <v>6703</v>
      </c>
      <c r="AN577" s="75">
        <v>5</v>
      </c>
      <c r="AO577" s="88">
        <v>35.270000000000003</v>
      </c>
      <c r="AP577" s="6" t="str">
        <f t="shared" si="93"/>
        <v>Same</v>
      </c>
      <c r="AQ577" s="81">
        <f t="shared" si="94"/>
        <v>176.35000000000002</v>
      </c>
      <c r="AR577" s="81">
        <f t="shared" si="95"/>
        <v>176.35000000000002</v>
      </c>
      <c r="AS577" s="81">
        <f t="shared" si="98"/>
        <v>0</v>
      </c>
    </row>
    <row r="578" spans="1:45" hidden="1" x14ac:dyDescent="0.3">
      <c r="A578">
        <v>6183934</v>
      </c>
      <c r="B578" s="15" t="s">
        <v>5914</v>
      </c>
      <c r="C578" s="16" t="s">
        <v>30</v>
      </c>
      <c r="D578" s="6" t="s">
        <v>31</v>
      </c>
      <c r="E578" t="s">
        <v>696</v>
      </c>
      <c r="F578" t="s">
        <v>696</v>
      </c>
      <c r="H578" s="11" t="s">
        <v>27</v>
      </c>
      <c r="I578" s="6" t="s">
        <v>28</v>
      </c>
      <c r="J578" s="6" t="s">
        <v>28</v>
      </c>
      <c r="K578" t="s">
        <v>32</v>
      </c>
      <c r="L578" s="35">
        <v>10.06</v>
      </c>
      <c r="M578" s="6" t="s">
        <v>29</v>
      </c>
      <c r="N578" s="6">
        <v>3105</v>
      </c>
      <c r="P578" s="18"/>
      <c r="Q578" s="17"/>
      <c r="R578" s="19">
        <v>10.06</v>
      </c>
      <c r="S578" s="19">
        <v>10.06</v>
      </c>
      <c r="T578" s="38">
        <v>11</v>
      </c>
      <c r="U578" s="38"/>
      <c r="V578" s="30">
        <v>10.06</v>
      </c>
      <c r="W578" s="35">
        <v>31.65</v>
      </c>
      <c r="X578" s="32">
        <f t="shared" si="88"/>
        <v>110.66000000000001</v>
      </c>
      <c r="Y578" s="32">
        <f t="shared" si="89"/>
        <v>110.66000000000001</v>
      </c>
      <c r="Z578" s="32">
        <f t="shared" si="90"/>
        <v>0</v>
      </c>
      <c r="AA578" s="38">
        <v>11</v>
      </c>
      <c r="AB578" s="37">
        <f>IFERROR(VLOOKUP(A578,'Tash Lookup'!A:E,3,FALSE),"")</f>
        <v>110.23</v>
      </c>
      <c r="AC578" s="6">
        <f t="shared" si="91"/>
        <v>0</v>
      </c>
      <c r="AD578" s="2" t="s">
        <v>6703</v>
      </c>
      <c r="AF578" s="56">
        <v>10.06</v>
      </c>
      <c r="AG578" s="56">
        <f>VLOOKUP(A578,Sheet1!$A$2:$C$1140,3,FALSE)</f>
        <v>10.26</v>
      </c>
      <c r="AH578" s="58">
        <v>10.26</v>
      </c>
      <c r="AI578" s="56" t="str">
        <f t="shared" si="92"/>
        <v>Increase</v>
      </c>
      <c r="AJ578" s="81">
        <f t="shared" si="96"/>
        <v>110.66000000000001</v>
      </c>
      <c r="AK578" s="81">
        <f t="shared" si="97"/>
        <v>112.86</v>
      </c>
      <c r="AL578" s="58" t="s">
        <v>7206</v>
      </c>
      <c r="AM578" s="58" t="s">
        <v>6703</v>
      </c>
      <c r="AN578" s="75">
        <v>10</v>
      </c>
      <c r="AO578" s="88">
        <v>10.26</v>
      </c>
      <c r="AP578" s="6" t="str">
        <f t="shared" si="93"/>
        <v>Increase</v>
      </c>
      <c r="AQ578" s="81">
        <f t="shared" si="94"/>
        <v>100.60000000000001</v>
      </c>
      <c r="AR578" s="81">
        <f t="shared" si="95"/>
        <v>102.6</v>
      </c>
      <c r="AS578" s="82">
        <f t="shared" si="98"/>
        <v>1.9999999999999858</v>
      </c>
    </row>
    <row r="579" spans="1:45" hidden="1" x14ac:dyDescent="0.3">
      <c r="A579">
        <v>6183937</v>
      </c>
      <c r="B579" s="15" t="s">
        <v>5915</v>
      </c>
      <c r="C579" s="16" t="s">
        <v>30</v>
      </c>
      <c r="D579" s="6" t="s">
        <v>31</v>
      </c>
      <c r="E579" t="s">
        <v>697</v>
      </c>
      <c r="F579" t="s">
        <v>697</v>
      </c>
      <c r="H579" s="11" t="s">
        <v>27</v>
      </c>
      <c r="I579" s="6" t="s">
        <v>28</v>
      </c>
      <c r="J579" s="6" t="s">
        <v>28</v>
      </c>
      <c r="K579" t="s">
        <v>32</v>
      </c>
      <c r="L579" s="35">
        <v>7.52</v>
      </c>
      <c r="M579" s="6" t="s">
        <v>29</v>
      </c>
      <c r="N579" s="6">
        <v>3105</v>
      </c>
      <c r="P579" s="18"/>
      <c r="Q579" s="17"/>
      <c r="R579" s="19">
        <v>7.52</v>
      </c>
      <c r="S579" s="19">
        <v>7.52</v>
      </c>
      <c r="T579" s="38">
        <v>11</v>
      </c>
      <c r="U579" s="38"/>
      <c r="V579" s="30">
        <v>7.52</v>
      </c>
      <c r="W579" s="35">
        <v>10.06</v>
      </c>
      <c r="X579" s="32">
        <f t="shared" si="88"/>
        <v>82.72</v>
      </c>
      <c r="Y579" s="32">
        <f t="shared" si="89"/>
        <v>82.72</v>
      </c>
      <c r="Z579" s="32">
        <f t="shared" si="90"/>
        <v>0</v>
      </c>
      <c r="AA579" s="38">
        <v>11</v>
      </c>
      <c r="AB579" s="37">
        <f>IFERROR(VLOOKUP(A579,'Tash Lookup'!A:E,3,FALSE),"")</f>
        <v>82.08</v>
      </c>
      <c r="AC579" s="6">
        <f t="shared" si="91"/>
        <v>0</v>
      </c>
      <c r="AD579" s="2" t="s">
        <v>6703</v>
      </c>
      <c r="AF579" s="56">
        <v>7.52</v>
      </c>
      <c r="AG579" s="56">
        <f>VLOOKUP(A579,Sheet1!$A$2:$C$1140,3,FALSE)</f>
        <v>7.67</v>
      </c>
      <c r="AH579" s="58">
        <v>7.67</v>
      </c>
      <c r="AI579" s="56" t="str">
        <f t="shared" si="92"/>
        <v>Increase</v>
      </c>
      <c r="AJ579" s="81">
        <f t="shared" si="96"/>
        <v>82.72</v>
      </c>
      <c r="AK579" s="81">
        <f t="shared" si="97"/>
        <v>84.37</v>
      </c>
      <c r="AL579" s="58" t="s">
        <v>7206</v>
      </c>
      <c r="AM579" s="58" t="s">
        <v>6703</v>
      </c>
      <c r="AN579" s="75">
        <v>12</v>
      </c>
      <c r="AO579" s="88">
        <v>7.67</v>
      </c>
      <c r="AP579" s="6" t="str">
        <f t="shared" si="93"/>
        <v>Increase</v>
      </c>
      <c r="AQ579" s="81">
        <f t="shared" si="94"/>
        <v>90.24</v>
      </c>
      <c r="AR579" s="81">
        <f t="shared" si="95"/>
        <v>92.039999999999992</v>
      </c>
      <c r="AS579" s="82">
        <f t="shared" si="98"/>
        <v>1.7999999999999972</v>
      </c>
    </row>
    <row r="580" spans="1:45" hidden="1" x14ac:dyDescent="0.3">
      <c r="A580">
        <v>5213422</v>
      </c>
      <c r="B580" s="15" t="s">
        <v>5916</v>
      </c>
      <c r="C580" s="16" t="s">
        <v>30</v>
      </c>
      <c r="D580" s="6" t="s">
        <v>31</v>
      </c>
      <c r="E580" t="s">
        <v>1108</v>
      </c>
      <c r="F580" t="s">
        <v>1108</v>
      </c>
      <c r="H580" s="11" t="s">
        <v>27</v>
      </c>
      <c r="I580" s="6" t="s">
        <v>28</v>
      </c>
      <c r="J580" s="6" t="s">
        <v>28</v>
      </c>
      <c r="K580" t="s">
        <v>32</v>
      </c>
      <c r="L580" s="35">
        <v>7.55</v>
      </c>
      <c r="M580" s="6" t="s">
        <v>29</v>
      </c>
      <c r="N580" s="6">
        <v>3105</v>
      </c>
      <c r="P580" s="18"/>
      <c r="Q580" s="17"/>
      <c r="R580" s="19">
        <v>7.55</v>
      </c>
      <c r="S580" s="19">
        <v>7.55</v>
      </c>
      <c r="T580" s="38">
        <v>11</v>
      </c>
      <c r="U580" s="38"/>
      <c r="V580" s="30">
        <v>7.55</v>
      </c>
      <c r="W580" s="35">
        <v>7.52</v>
      </c>
      <c r="X580" s="32">
        <f t="shared" si="88"/>
        <v>83.05</v>
      </c>
      <c r="Y580" s="32">
        <f t="shared" si="89"/>
        <v>83.05</v>
      </c>
      <c r="Z580" s="32">
        <f t="shared" si="90"/>
        <v>0</v>
      </c>
      <c r="AA580" s="38">
        <v>11</v>
      </c>
      <c r="AB580" s="37">
        <f>IFERROR(VLOOKUP(A580,'Tash Lookup'!A:E,3,FALSE),"")</f>
        <v>81.67</v>
      </c>
      <c r="AC580" s="6">
        <f t="shared" si="91"/>
        <v>0</v>
      </c>
      <c r="AD580" s="2" t="s">
        <v>6703</v>
      </c>
      <c r="AF580" s="56">
        <v>7.62</v>
      </c>
      <c r="AG580" s="56">
        <f>VLOOKUP(A580,Sheet1!$A$2:$C$1140,3,FALSE)</f>
        <v>7.62</v>
      </c>
      <c r="AH580" s="58">
        <v>7.62</v>
      </c>
      <c r="AI580" s="56" t="str">
        <f t="shared" si="92"/>
        <v>Same</v>
      </c>
      <c r="AJ580" s="81">
        <f t="shared" si="96"/>
        <v>83.820000000000007</v>
      </c>
      <c r="AK580" s="81">
        <f t="shared" si="97"/>
        <v>83.820000000000007</v>
      </c>
      <c r="AL580" s="58" t="s">
        <v>7206</v>
      </c>
      <c r="AM580" s="58" t="s">
        <v>6703</v>
      </c>
      <c r="AN580" s="75">
        <v>6</v>
      </c>
      <c r="AO580" s="88">
        <v>7.62</v>
      </c>
      <c r="AP580" s="6" t="str">
        <f t="shared" si="93"/>
        <v>Same</v>
      </c>
      <c r="AQ580" s="81">
        <f t="shared" si="94"/>
        <v>45.72</v>
      </c>
      <c r="AR580" s="81">
        <f t="shared" si="95"/>
        <v>45.72</v>
      </c>
      <c r="AS580" s="81">
        <f t="shared" si="98"/>
        <v>0</v>
      </c>
    </row>
    <row r="581" spans="1:45" hidden="1" x14ac:dyDescent="0.3">
      <c r="A581">
        <v>6183933</v>
      </c>
      <c r="B581" s="15" t="s">
        <v>5917</v>
      </c>
      <c r="C581" s="16" t="s">
        <v>30</v>
      </c>
      <c r="D581" s="6" t="s">
        <v>31</v>
      </c>
      <c r="E581" t="s">
        <v>695</v>
      </c>
      <c r="F581" t="s">
        <v>695</v>
      </c>
      <c r="H581" s="11" t="s">
        <v>27</v>
      </c>
      <c r="I581" s="6" t="s">
        <v>28</v>
      </c>
      <c r="J581" s="6" t="s">
        <v>28</v>
      </c>
      <c r="K581" t="s">
        <v>32</v>
      </c>
      <c r="L581" s="35">
        <v>8.91</v>
      </c>
      <c r="M581" s="6" t="s">
        <v>29</v>
      </c>
      <c r="N581" s="6">
        <v>3105</v>
      </c>
      <c r="P581" s="18"/>
      <c r="Q581" s="17"/>
      <c r="R581" s="19">
        <v>8.91</v>
      </c>
      <c r="S581" s="19">
        <v>8.91</v>
      </c>
      <c r="T581" s="38">
        <v>11</v>
      </c>
      <c r="U581" s="38"/>
      <c r="V581" s="30">
        <v>8.91</v>
      </c>
      <c r="W581" s="35">
        <v>7.55</v>
      </c>
      <c r="X581" s="32">
        <f t="shared" si="88"/>
        <v>98.01</v>
      </c>
      <c r="Y581" s="32">
        <f t="shared" si="89"/>
        <v>98.01</v>
      </c>
      <c r="Z581" s="32">
        <f t="shared" si="90"/>
        <v>0</v>
      </c>
      <c r="AA581" s="38">
        <v>11</v>
      </c>
      <c r="AB581" s="37">
        <f>IFERROR(VLOOKUP(A581,'Tash Lookup'!A:E,3,FALSE),"")</f>
        <v>98.01</v>
      </c>
      <c r="AC581" s="6">
        <f t="shared" si="91"/>
        <v>0</v>
      </c>
      <c r="AD581" s="2" t="s">
        <v>6703</v>
      </c>
      <c r="AF581" s="56">
        <v>8.91</v>
      </c>
      <c r="AG581" s="56">
        <f>VLOOKUP(A581,Sheet1!$A$2:$C$1140,3,FALSE)</f>
        <v>9.09</v>
      </c>
      <c r="AH581" s="58">
        <v>9.09</v>
      </c>
      <c r="AI581" s="56" t="str">
        <f t="shared" si="92"/>
        <v>Increase</v>
      </c>
      <c r="AJ581" s="81">
        <f t="shared" si="96"/>
        <v>98.01</v>
      </c>
      <c r="AK581" s="81">
        <f t="shared" si="97"/>
        <v>99.99</v>
      </c>
      <c r="AL581" s="58" t="s">
        <v>7206</v>
      </c>
      <c r="AM581" s="58" t="s">
        <v>6703</v>
      </c>
      <c r="AN581" s="75">
        <v>10</v>
      </c>
      <c r="AO581" s="88">
        <v>9.09</v>
      </c>
      <c r="AP581" s="6" t="str">
        <f t="shared" si="93"/>
        <v>Increase</v>
      </c>
      <c r="AQ581" s="81">
        <f t="shared" si="94"/>
        <v>89.1</v>
      </c>
      <c r="AR581" s="81">
        <f t="shared" si="95"/>
        <v>90.9</v>
      </c>
      <c r="AS581" s="82">
        <f t="shared" si="98"/>
        <v>1.8000000000000114</v>
      </c>
    </row>
    <row r="582" spans="1:45" hidden="1" x14ac:dyDescent="0.3">
      <c r="A582">
        <v>6188870</v>
      </c>
      <c r="B582" s="15" t="s">
        <v>5918</v>
      </c>
      <c r="C582" s="16" t="s">
        <v>30</v>
      </c>
      <c r="D582" s="6" t="s">
        <v>31</v>
      </c>
      <c r="E582" t="s">
        <v>844</v>
      </c>
      <c r="F582" t="s">
        <v>844</v>
      </c>
      <c r="H582" s="11" t="s">
        <v>27</v>
      </c>
      <c r="I582" s="6" t="s">
        <v>28</v>
      </c>
      <c r="J582" s="6" t="s">
        <v>28</v>
      </c>
      <c r="K582" t="s">
        <v>32</v>
      </c>
      <c r="L582" s="35">
        <v>12.15</v>
      </c>
      <c r="M582" s="6" t="s">
        <v>29</v>
      </c>
      <c r="N582" s="6">
        <v>3105</v>
      </c>
      <c r="P582" s="18"/>
      <c r="Q582" s="17"/>
      <c r="R582" s="19">
        <v>13.04</v>
      </c>
      <c r="S582" s="19">
        <v>0</v>
      </c>
      <c r="T582" s="38">
        <v>11</v>
      </c>
      <c r="U582" s="38"/>
      <c r="V582" s="30">
        <v>13.04</v>
      </c>
      <c r="W582" s="35">
        <v>8.91</v>
      </c>
      <c r="X582" s="32">
        <f t="shared" ref="X582:X645" si="99">SUM(V582*T582)</f>
        <v>143.44</v>
      </c>
      <c r="Y582" s="32">
        <f t="shared" ref="Y582:Y645" si="100">SUM(L582*T582)</f>
        <v>133.65</v>
      </c>
      <c r="Z582" s="32">
        <f t="shared" ref="Z582:Z645" si="101">SUM(X582-Y582)</f>
        <v>9.789999999999992</v>
      </c>
      <c r="AA582" s="38">
        <v>11</v>
      </c>
      <c r="AB582" s="37">
        <f>IFERROR(VLOOKUP(A582,'Tash Lookup'!A:E,3,FALSE),"")</f>
        <v>131.56</v>
      </c>
      <c r="AC582" s="6">
        <f t="shared" ref="AC582:AC645" si="102">IFERROR(AA582-T582,"")</f>
        <v>0</v>
      </c>
      <c r="AD582" s="2" t="s">
        <v>6703</v>
      </c>
      <c r="AF582" s="56">
        <v>13.04</v>
      </c>
      <c r="AG582" s="56">
        <f>VLOOKUP(A582,Sheet1!$A$2:$C$1140,3,FALSE)</f>
        <v>13.3</v>
      </c>
      <c r="AH582" s="58">
        <v>13.3</v>
      </c>
      <c r="AI582" s="56" t="str">
        <f t="shared" ref="AI582:AI645" si="103">IF(ISNA(AH582),"Delete",IF(AH582=AF582,"Same",IF(AH582&gt;AF582,"Increase","Decrease")))</f>
        <v>Increase</v>
      </c>
      <c r="AJ582" s="81">
        <f t="shared" si="96"/>
        <v>143.44</v>
      </c>
      <c r="AK582" s="81">
        <f t="shared" si="97"/>
        <v>146.30000000000001</v>
      </c>
      <c r="AL582" s="58" t="s">
        <v>7206</v>
      </c>
      <c r="AM582" s="58" t="s">
        <v>6703</v>
      </c>
      <c r="AN582" s="75">
        <v>7</v>
      </c>
      <c r="AO582" s="88">
        <v>13.3</v>
      </c>
      <c r="AP582" s="6" t="str">
        <f t="shared" ref="AP582:AP645" si="104">IF(AM582="Delete","Delete",IF(AO582=AF582,"Same",IF(AO582&gt;AF582,"Increase","Decrease")))</f>
        <v>Increase</v>
      </c>
      <c r="AQ582" s="81">
        <f t="shared" ref="AQ582:AQ645" si="105">AN582*AF582</f>
        <v>91.28</v>
      </c>
      <c r="AR582" s="81">
        <f t="shared" ref="AR582:AR645" si="106">AN582*AO582</f>
        <v>93.100000000000009</v>
      </c>
      <c r="AS582" s="82">
        <f t="shared" si="98"/>
        <v>1.8200000000000074</v>
      </c>
    </row>
    <row r="583" spans="1:45" hidden="1" x14ac:dyDescent="0.3">
      <c r="A583">
        <v>6383111</v>
      </c>
      <c r="B583" s="15" t="s">
        <v>5919</v>
      </c>
      <c r="C583" s="16" t="s">
        <v>30</v>
      </c>
      <c r="D583" s="6" t="s">
        <v>31</v>
      </c>
      <c r="E583" t="s">
        <v>971</v>
      </c>
      <c r="F583" t="s">
        <v>971</v>
      </c>
      <c r="H583" s="11" t="s">
        <v>27</v>
      </c>
      <c r="I583" s="6" t="s">
        <v>28</v>
      </c>
      <c r="J583" s="6" t="s">
        <v>28</v>
      </c>
      <c r="K583" t="s">
        <v>32</v>
      </c>
      <c r="L583" s="35">
        <v>6.14</v>
      </c>
      <c r="M583" s="6" t="s">
        <v>29</v>
      </c>
      <c r="N583" s="6">
        <v>3105</v>
      </c>
      <c r="P583" s="18"/>
      <c r="Q583" s="17"/>
      <c r="R583" s="19">
        <v>6.14</v>
      </c>
      <c r="S583" s="19">
        <v>6.14</v>
      </c>
      <c r="T583" s="38">
        <v>11</v>
      </c>
      <c r="U583" s="38"/>
      <c r="V583" s="29">
        <v>6.14</v>
      </c>
      <c r="W583" s="35">
        <v>12.15</v>
      </c>
      <c r="X583" s="32">
        <f t="shared" si="99"/>
        <v>67.539999999999992</v>
      </c>
      <c r="Y583" s="32">
        <f t="shared" si="100"/>
        <v>67.539999999999992</v>
      </c>
      <c r="Z583" s="32">
        <f t="shared" si="101"/>
        <v>0</v>
      </c>
      <c r="AA583" s="38">
        <v>11</v>
      </c>
      <c r="AB583" s="37">
        <f>IFERROR(VLOOKUP(A583,'Tash Lookup'!A:E,3,FALSE),"")</f>
        <v>65.52</v>
      </c>
      <c r="AC583" s="6">
        <f t="shared" si="102"/>
        <v>0</v>
      </c>
      <c r="AD583" s="2" t="s">
        <v>6707</v>
      </c>
      <c r="AF583" s="56">
        <v>6.32</v>
      </c>
      <c r="AG583" s="56" t="e">
        <f>VLOOKUP(A583,Sheet1!$A$2:$C$1140,3,FALSE)</f>
        <v>#N/A</v>
      </c>
      <c r="AH583" s="58" t="e">
        <v>#N/A</v>
      </c>
      <c r="AI583" s="56" t="str">
        <f t="shared" si="103"/>
        <v>Delete</v>
      </c>
      <c r="AJ583" s="81">
        <f t="shared" ref="AJ583:AJ646" si="107">IFERROR(AA583*AF583,0)</f>
        <v>69.52000000000001</v>
      </c>
      <c r="AK583" s="81">
        <f t="shared" ref="AK583:AK646" si="108">IFERROR(AA583*AH583,0)</f>
        <v>0</v>
      </c>
      <c r="AL583" s="58" t="s">
        <v>7206</v>
      </c>
      <c r="AM583" s="58" t="s">
        <v>6708</v>
      </c>
      <c r="AN583" s="75">
        <v>0</v>
      </c>
      <c r="AO583" s="88">
        <v>6.32</v>
      </c>
      <c r="AP583" s="6" t="str">
        <f t="shared" si="104"/>
        <v>Same</v>
      </c>
      <c r="AQ583" s="81">
        <f t="shared" si="105"/>
        <v>0</v>
      </c>
      <c r="AR583" s="81">
        <f t="shared" si="106"/>
        <v>0</v>
      </c>
      <c r="AS583" s="81">
        <f t="shared" ref="AS583:AS646" si="109">AR583-AQ583</f>
        <v>0</v>
      </c>
    </row>
    <row r="584" spans="1:45" hidden="1" x14ac:dyDescent="0.3">
      <c r="A584">
        <v>5090746</v>
      </c>
      <c r="B584" s="15" t="s">
        <v>5920</v>
      </c>
      <c r="C584" s="16" t="s">
        <v>30</v>
      </c>
      <c r="D584" s="6" t="s">
        <v>31</v>
      </c>
      <c r="E584" t="s">
        <v>481</v>
      </c>
      <c r="F584" t="s">
        <v>481</v>
      </c>
      <c r="H584" s="11" t="s">
        <v>27</v>
      </c>
      <c r="I584" s="6" t="s">
        <v>28</v>
      </c>
      <c r="J584" s="6" t="s">
        <v>28</v>
      </c>
      <c r="K584" t="s">
        <v>32</v>
      </c>
      <c r="L584" s="35">
        <v>40.98</v>
      </c>
      <c r="M584" s="6" t="s">
        <v>29</v>
      </c>
      <c r="N584" s="6">
        <v>3105</v>
      </c>
      <c r="P584" s="18"/>
      <c r="Q584" s="17"/>
      <c r="R584" s="19">
        <v>40.98</v>
      </c>
      <c r="S584" s="19">
        <v>40.98</v>
      </c>
      <c r="T584" s="38">
        <v>11</v>
      </c>
      <c r="U584" s="38"/>
      <c r="V584" s="29">
        <v>40.98</v>
      </c>
      <c r="W584" s="35">
        <v>6.14</v>
      </c>
      <c r="X584" s="32">
        <f t="shared" si="99"/>
        <v>450.78</v>
      </c>
      <c r="Y584" s="32">
        <f t="shared" si="100"/>
        <v>450.78</v>
      </c>
      <c r="Z584" s="32">
        <f t="shared" si="101"/>
        <v>0</v>
      </c>
      <c r="AA584" s="38">
        <v>11</v>
      </c>
      <c r="AB584" s="37">
        <f>IFERROR(VLOOKUP(A584,'Tash Lookup'!A:E,3,FALSE),"")</f>
        <v>450.74</v>
      </c>
      <c r="AC584" s="6">
        <f t="shared" si="102"/>
        <v>0</v>
      </c>
      <c r="AD584" s="2" t="s">
        <v>6703</v>
      </c>
      <c r="AF584" s="56">
        <v>42.75</v>
      </c>
      <c r="AG584" s="56">
        <f>VLOOKUP(A584,Sheet1!$A$2:$C$1140,3,FALSE)</f>
        <v>44.04</v>
      </c>
      <c r="AH584" s="58">
        <v>44.04</v>
      </c>
      <c r="AI584" s="56" t="str">
        <f t="shared" si="103"/>
        <v>Increase</v>
      </c>
      <c r="AJ584" s="81">
        <f t="shared" si="107"/>
        <v>470.25</v>
      </c>
      <c r="AK584" s="81">
        <f t="shared" si="108"/>
        <v>484.44</v>
      </c>
      <c r="AL584" s="58" t="s">
        <v>32</v>
      </c>
      <c r="AM584" s="58" t="s">
        <v>6703</v>
      </c>
      <c r="AN584" s="75">
        <v>16</v>
      </c>
      <c r="AO584" s="88">
        <v>44.04</v>
      </c>
      <c r="AP584" s="6" t="str">
        <f t="shared" si="104"/>
        <v>Increase</v>
      </c>
      <c r="AQ584" s="81">
        <f t="shared" si="105"/>
        <v>684</v>
      </c>
      <c r="AR584" s="81">
        <f t="shared" si="106"/>
        <v>704.64</v>
      </c>
      <c r="AS584" s="82">
        <f t="shared" si="109"/>
        <v>20.639999999999986</v>
      </c>
    </row>
    <row r="585" spans="1:45" hidden="1" x14ac:dyDescent="0.3">
      <c r="A585">
        <v>5090817</v>
      </c>
      <c r="B585" s="15" t="s">
        <v>5921</v>
      </c>
      <c r="C585" s="16" t="s">
        <v>30</v>
      </c>
      <c r="D585" s="6" t="s">
        <v>31</v>
      </c>
      <c r="E585" t="s">
        <v>555</v>
      </c>
      <c r="F585" t="s">
        <v>555</v>
      </c>
      <c r="H585" s="11" t="s">
        <v>27</v>
      </c>
      <c r="I585" s="6" t="s">
        <v>28</v>
      </c>
      <c r="J585" s="6" t="s">
        <v>28</v>
      </c>
      <c r="K585" t="s">
        <v>32</v>
      </c>
      <c r="L585" s="35">
        <v>15.16</v>
      </c>
      <c r="M585" s="6" t="s">
        <v>29</v>
      </c>
      <c r="N585" s="6">
        <v>3105</v>
      </c>
      <c r="P585" s="18"/>
      <c r="Q585" s="17"/>
      <c r="R585" s="19">
        <v>15.36</v>
      </c>
      <c r="S585" s="19">
        <v>0</v>
      </c>
      <c r="T585" s="38">
        <v>11</v>
      </c>
      <c r="U585" s="38"/>
      <c r="V585" s="29">
        <v>15.36</v>
      </c>
      <c r="W585" s="35">
        <v>40.98</v>
      </c>
      <c r="X585" s="32">
        <f t="shared" si="99"/>
        <v>168.95999999999998</v>
      </c>
      <c r="Y585" s="32">
        <f t="shared" si="100"/>
        <v>166.76</v>
      </c>
      <c r="Z585" s="32">
        <f t="shared" si="101"/>
        <v>2.1999999999999886</v>
      </c>
      <c r="AA585" s="38">
        <v>11</v>
      </c>
      <c r="AB585" s="37">
        <f>IFERROR(VLOOKUP(A585,'Tash Lookup'!A:E,3,FALSE),"")</f>
        <v>172.39999999999998</v>
      </c>
      <c r="AC585" s="6">
        <f t="shared" si="102"/>
        <v>0</v>
      </c>
      <c r="AD585" s="2" t="s">
        <v>6703</v>
      </c>
      <c r="AF585" s="56">
        <v>19.63</v>
      </c>
      <c r="AG585" s="56">
        <f>VLOOKUP(A585,Sheet1!$A$2:$C$1140,3,FALSE)</f>
        <v>20.22</v>
      </c>
      <c r="AH585" s="58">
        <v>20.22</v>
      </c>
      <c r="AI585" s="56" t="str">
        <f t="shared" si="103"/>
        <v>Increase</v>
      </c>
      <c r="AJ585" s="81">
        <f t="shared" si="107"/>
        <v>215.92999999999998</v>
      </c>
      <c r="AK585" s="81">
        <f t="shared" si="108"/>
        <v>222.42</v>
      </c>
      <c r="AL585" s="58" t="s">
        <v>32</v>
      </c>
      <c r="AM585" s="58" t="s">
        <v>6703</v>
      </c>
      <c r="AN585" s="75">
        <v>0</v>
      </c>
      <c r="AO585" s="88">
        <v>20.22</v>
      </c>
      <c r="AP585" s="6" t="str">
        <f t="shared" si="104"/>
        <v>Increase</v>
      </c>
      <c r="AQ585" s="81">
        <f t="shared" si="105"/>
        <v>0</v>
      </c>
      <c r="AR585" s="81">
        <f t="shared" si="106"/>
        <v>0</v>
      </c>
      <c r="AS585" s="82">
        <f t="shared" si="109"/>
        <v>0</v>
      </c>
    </row>
    <row r="586" spans="1:45" hidden="1" x14ac:dyDescent="0.3">
      <c r="A586">
        <v>5218672</v>
      </c>
      <c r="B586" s="15" t="s">
        <v>5922</v>
      </c>
      <c r="C586" s="16" t="s">
        <v>30</v>
      </c>
      <c r="D586" s="6" t="s">
        <v>31</v>
      </c>
      <c r="E586" t="s">
        <v>88</v>
      </c>
      <c r="F586" t="s">
        <v>88</v>
      </c>
      <c r="H586" s="11" t="s">
        <v>27</v>
      </c>
      <c r="I586" s="6" t="s">
        <v>28</v>
      </c>
      <c r="J586" s="6" t="s">
        <v>28</v>
      </c>
      <c r="K586" t="s">
        <v>32</v>
      </c>
      <c r="L586" s="35">
        <v>29.94</v>
      </c>
      <c r="M586" s="6" t="s">
        <v>29</v>
      </c>
      <c r="N586" s="6">
        <v>3105</v>
      </c>
      <c r="P586" s="18"/>
      <c r="Q586" s="17"/>
      <c r="R586" s="19">
        <v>29.94</v>
      </c>
      <c r="S586" s="19">
        <v>29.94</v>
      </c>
      <c r="T586" s="38">
        <v>10</v>
      </c>
      <c r="U586" s="38"/>
      <c r="V586" s="29">
        <v>29.94</v>
      </c>
      <c r="W586" s="45">
        <v>17.23</v>
      </c>
      <c r="X586" s="32">
        <f t="shared" si="99"/>
        <v>299.40000000000003</v>
      </c>
      <c r="Y586" s="32">
        <f t="shared" si="100"/>
        <v>299.40000000000003</v>
      </c>
      <c r="Z586" s="32">
        <f t="shared" si="101"/>
        <v>0</v>
      </c>
      <c r="AA586" s="38">
        <v>10</v>
      </c>
      <c r="AB586" s="37">
        <f>IFERROR(VLOOKUP(A586,'Tash Lookup'!A:E,3,FALSE),"")</f>
        <v>272.2</v>
      </c>
      <c r="AC586" s="6">
        <f t="shared" si="102"/>
        <v>0</v>
      </c>
      <c r="AD586" s="2" t="s">
        <v>6703</v>
      </c>
      <c r="AF586" s="56">
        <v>35.61</v>
      </c>
      <c r="AG586" s="56">
        <f>VLOOKUP(A586,Sheet1!$A$2:$C$1140,3,FALSE)</f>
        <v>35.61</v>
      </c>
      <c r="AH586" s="58">
        <v>35.61</v>
      </c>
      <c r="AI586" s="56" t="str">
        <f t="shared" si="103"/>
        <v>Same</v>
      </c>
      <c r="AJ586" s="81">
        <f t="shared" si="107"/>
        <v>356.1</v>
      </c>
      <c r="AK586" s="81">
        <f t="shared" si="108"/>
        <v>356.1</v>
      </c>
      <c r="AL586" s="58" t="s">
        <v>32</v>
      </c>
      <c r="AM586" s="58" t="s">
        <v>6703</v>
      </c>
      <c r="AN586" s="75">
        <v>0</v>
      </c>
      <c r="AO586" s="88">
        <v>35.61</v>
      </c>
      <c r="AP586" s="6" t="str">
        <f t="shared" si="104"/>
        <v>Same</v>
      </c>
      <c r="AQ586" s="81">
        <f t="shared" si="105"/>
        <v>0</v>
      </c>
      <c r="AR586" s="81">
        <f t="shared" si="106"/>
        <v>0</v>
      </c>
      <c r="AS586" s="81">
        <f t="shared" si="109"/>
        <v>0</v>
      </c>
    </row>
    <row r="587" spans="1:45" hidden="1" x14ac:dyDescent="0.3">
      <c r="A587">
        <v>5218752</v>
      </c>
      <c r="B587" s="15" t="s">
        <v>5923</v>
      </c>
      <c r="C587" s="16" t="s">
        <v>30</v>
      </c>
      <c r="D587" s="6" t="s">
        <v>31</v>
      </c>
      <c r="E587" t="s">
        <v>271</v>
      </c>
      <c r="F587" t="s">
        <v>271</v>
      </c>
      <c r="H587" s="11" t="s">
        <v>27</v>
      </c>
      <c r="I587" s="6" t="s">
        <v>28</v>
      </c>
      <c r="J587" s="6" t="s">
        <v>28</v>
      </c>
      <c r="K587" t="s">
        <v>32</v>
      </c>
      <c r="L587" s="35">
        <v>19.37</v>
      </c>
      <c r="M587" s="6" t="s">
        <v>29</v>
      </c>
      <c r="N587" s="6">
        <v>3105</v>
      </c>
      <c r="P587" s="18"/>
      <c r="Q587" s="17"/>
      <c r="R587" s="19">
        <v>19.37</v>
      </c>
      <c r="S587" s="19">
        <v>19.37</v>
      </c>
      <c r="T587" s="38">
        <v>10</v>
      </c>
      <c r="U587" s="38"/>
      <c r="V587" s="29">
        <v>19.37</v>
      </c>
      <c r="W587" s="45">
        <v>11.1</v>
      </c>
      <c r="X587" s="32">
        <f t="shared" si="99"/>
        <v>193.70000000000002</v>
      </c>
      <c r="Y587" s="32">
        <f t="shared" si="100"/>
        <v>193.70000000000002</v>
      </c>
      <c r="Z587" s="32">
        <f t="shared" si="101"/>
        <v>0</v>
      </c>
      <c r="AA587" s="38">
        <v>10</v>
      </c>
      <c r="AB587" s="37">
        <f>IFERROR(VLOOKUP(A587,'Tash Lookup'!A:E,3,FALSE),"")</f>
        <v>142.38999999999999</v>
      </c>
      <c r="AC587" s="6">
        <f t="shared" si="102"/>
        <v>0</v>
      </c>
      <c r="AD587" s="2" t="s">
        <v>6703</v>
      </c>
      <c r="AF587" s="56">
        <v>19.82</v>
      </c>
      <c r="AG587" s="56">
        <f>VLOOKUP(A587,Sheet1!$A$2:$C$1140,3,FALSE)</f>
        <v>20.420000000000002</v>
      </c>
      <c r="AH587" s="58">
        <v>20.420000000000002</v>
      </c>
      <c r="AI587" s="56" t="str">
        <f t="shared" si="103"/>
        <v>Increase</v>
      </c>
      <c r="AJ587" s="81">
        <f t="shared" si="107"/>
        <v>198.2</v>
      </c>
      <c r="AK587" s="81">
        <f t="shared" si="108"/>
        <v>204.20000000000002</v>
      </c>
      <c r="AL587" s="58" t="s">
        <v>32</v>
      </c>
      <c r="AM587" s="58" t="s">
        <v>6703</v>
      </c>
      <c r="AN587" s="75">
        <v>14</v>
      </c>
      <c r="AO587" s="88">
        <v>20.420000000000002</v>
      </c>
      <c r="AP587" s="6" t="str">
        <f t="shared" si="104"/>
        <v>Increase</v>
      </c>
      <c r="AQ587" s="81">
        <f t="shared" si="105"/>
        <v>277.48</v>
      </c>
      <c r="AR587" s="81">
        <f t="shared" si="106"/>
        <v>285.88</v>
      </c>
      <c r="AS587" s="82">
        <f t="shared" si="109"/>
        <v>8.3999999999999773</v>
      </c>
    </row>
    <row r="588" spans="1:45" hidden="1" x14ac:dyDescent="0.3">
      <c r="A588">
        <v>5218583</v>
      </c>
      <c r="B588" s="15" t="s">
        <v>5924</v>
      </c>
      <c r="C588" s="16" t="s">
        <v>30</v>
      </c>
      <c r="D588" s="6" t="s">
        <v>31</v>
      </c>
      <c r="E588" t="s">
        <v>79</v>
      </c>
      <c r="F588" t="s">
        <v>79</v>
      </c>
      <c r="H588" s="11" t="s">
        <v>27</v>
      </c>
      <c r="I588" s="6" t="s">
        <v>28</v>
      </c>
      <c r="J588" s="6" t="s">
        <v>28</v>
      </c>
      <c r="K588" t="s">
        <v>32</v>
      </c>
      <c r="L588" s="35">
        <v>15.4</v>
      </c>
      <c r="M588" s="6" t="s">
        <v>29</v>
      </c>
      <c r="N588" s="6">
        <v>3105</v>
      </c>
      <c r="P588" s="18"/>
      <c r="Q588" s="17"/>
      <c r="R588" s="19">
        <v>15.4</v>
      </c>
      <c r="S588" s="19">
        <v>15.4</v>
      </c>
      <c r="T588" s="38">
        <v>10</v>
      </c>
      <c r="U588" s="38"/>
      <c r="V588" s="29">
        <v>15.4</v>
      </c>
      <c r="W588" s="45">
        <v>13.52</v>
      </c>
      <c r="X588" s="32">
        <f t="shared" si="99"/>
        <v>154</v>
      </c>
      <c r="Y588" s="32">
        <f t="shared" si="100"/>
        <v>154</v>
      </c>
      <c r="Z588" s="32">
        <f t="shared" si="101"/>
        <v>0</v>
      </c>
      <c r="AA588" s="38">
        <v>10</v>
      </c>
      <c r="AB588" s="37">
        <f>IFERROR(VLOOKUP(A588,'Tash Lookup'!A:E,3,FALSE),"")</f>
        <v>154</v>
      </c>
      <c r="AC588" s="6">
        <f t="shared" si="102"/>
        <v>0</v>
      </c>
      <c r="AD588" s="2" t="s">
        <v>6703</v>
      </c>
      <c r="AF588" s="56">
        <v>16.989999999999998</v>
      </c>
      <c r="AG588" s="56">
        <f>VLOOKUP(A588,Sheet1!$A$2:$C$1140,3,FALSE)</f>
        <v>16.989999999999998</v>
      </c>
      <c r="AH588" s="58">
        <v>16.989999999999998</v>
      </c>
      <c r="AI588" s="56" t="str">
        <f t="shared" si="103"/>
        <v>Same</v>
      </c>
      <c r="AJ588" s="81">
        <f t="shared" si="107"/>
        <v>169.89999999999998</v>
      </c>
      <c r="AK588" s="81">
        <f t="shared" si="108"/>
        <v>169.89999999999998</v>
      </c>
      <c r="AL588" s="58" t="s">
        <v>32</v>
      </c>
      <c r="AM588" s="58" t="s">
        <v>6703</v>
      </c>
      <c r="AN588" s="75">
        <v>3</v>
      </c>
      <c r="AO588" s="88">
        <v>16.989999999999998</v>
      </c>
      <c r="AP588" s="6" t="str">
        <f t="shared" si="104"/>
        <v>Same</v>
      </c>
      <c r="AQ588" s="81">
        <f t="shared" si="105"/>
        <v>50.97</v>
      </c>
      <c r="AR588" s="81">
        <f t="shared" si="106"/>
        <v>50.97</v>
      </c>
      <c r="AS588" s="81">
        <f t="shared" si="109"/>
        <v>0</v>
      </c>
    </row>
    <row r="589" spans="1:45" hidden="1" x14ac:dyDescent="0.3">
      <c r="A589">
        <v>5222640</v>
      </c>
      <c r="B589" s="15" t="s">
        <v>5925</v>
      </c>
      <c r="C589" s="16" t="s">
        <v>30</v>
      </c>
      <c r="D589" s="6" t="s">
        <v>31</v>
      </c>
      <c r="E589" t="s">
        <v>737</v>
      </c>
      <c r="F589" t="s">
        <v>737</v>
      </c>
      <c r="H589" s="11" t="s">
        <v>27</v>
      </c>
      <c r="I589" s="6" t="s">
        <v>28</v>
      </c>
      <c r="J589" s="6" t="s">
        <v>28</v>
      </c>
      <c r="K589" t="s">
        <v>32</v>
      </c>
      <c r="L589" s="35">
        <v>29.98</v>
      </c>
      <c r="M589" s="6" t="s">
        <v>29</v>
      </c>
      <c r="N589" s="6">
        <v>3105</v>
      </c>
      <c r="P589" s="18"/>
      <c r="Q589" s="17"/>
      <c r="R589" s="19">
        <v>29.98</v>
      </c>
      <c r="S589" s="19">
        <v>29.98</v>
      </c>
      <c r="T589" s="38">
        <v>10</v>
      </c>
      <c r="U589" s="38"/>
      <c r="V589" s="30">
        <v>29.98</v>
      </c>
      <c r="W589" s="35">
        <v>29.98</v>
      </c>
      <c r="X589" s="32">
        <f t="shared" si="99"/>
        <v>299.8</v>
      </c>
      <c r="Y589" s="32">
        <f t="shared" si="100"/>
        <v>299.8</v>
      </c>
      <c r="Z589" s="32">
        <f t="shared" si="101"/>
        <v>0</v>
      </c>
      <c r="AA589" s="38">
        <v>10</v>
      </c>
      <c r="AB589" s="37">
        <f>IFERROR(VLOOKUP(A589,'Tash Lookup'!A:E,3,FALSE),"")</f>
        <v>298.52</v>
      </c>
      <c r="AC589" s="6">
        <f t="shared" si="102"/>
        <v>0</v>
      </c>
      <c r="AD589" s="2" t="s">
        <v>6703</v>
      </c>
      <c r="AF589" s="56">
        <v>29.98</v>
      </c>
      <c r="AG589" s="56">
        <f>VLOOKUP(A589,Sheet1!$A$2:$C$1140,3,FALSE)</f>
        <v>30.58</v>
      </c>
      <c r="AH589" s="58">
        <v>30.58</v>
      </c>
      <c r="AI589" s="56" t="str">
        <f t="shared" si="103"/>
        <v>Increase</v>
      </c>
      <c r="AJ589" s="81">
        <f t="shared" si="107"/>
        <v>299.8</v>
      </c>
      <c r="AK589" s="81">
        <f t="shared" si="108"/>
        <v>305.79999999999995</v>
      </c>
      <c r="AL589" s="58" t="s">
        <v>7206</v>
      </c>
      <c r="AM589" s="58" t="s">
        <v>6703</v>
      </c>
      <c r="AN589" s="75">
        <v>6</v>
      </c>
      <c r="AO589" s="88">
        <v>30.58</v>
      </c>
      <c r="AP589" s="6" t="str">
        <f t="shared" si="104"/>
        <v>Increase</v>
      </c>
      <c r="AQ589" s="81">
        <f t="shared" si="105"/>
        <v>179.88</v>
      </c>
      <c r="AR589" s="81">
        <f t="shared" si="106"/>
        <v>183.48</v>
      </c>
      <c r="AS589" s="82">
        <f t="shared" si="109"/>
        <v>3.5999999999999943</v>
      </c>
    </row>
    <row r="590" spans="1:45" hidden="1" x14ac:dyDescent="0.3">
      <c r="A590">
        <v>5092488</v>
      </c>
      <c r="B590" s="15" t="s">
        <v>5926</v>
      </c>
      <c r="C590" s="16" t="s">
        <v>30</v>
      </c>
      <c r="D590" s="6" t="s">
        <v>31</v>
      </c>
      <c r="E590" t="s">
        <v>311</v>
      </c>
      <c r="F590" t="s">
        <v>311</v>
      </c>
      <c r="H590" s="11" t="s">
        <v>27</v>
      </c>
      <c r="I590" s="6" t="s">
        <v>28</v>
      </c>
      <c r="J590" s="6" t="s">
        <v>28</v>
      </c>
      <c r="K590" t="s">
        <v>32</v>
      </c>
      <c r="L590" s="35">
        <v>2.77</v>
      </c>
      <c r="M590" s="6" t="s">
        <v>29</v>
      </c>
      <c r="N590" s="6">
        <v>3105</v>
      </c>
      <c r="P590" s="18"/>
      <c r="Q590" s="17"/>
      <c r="R590" s="19">
        <v>2.77</v>
      </c>
      <c r="S590" s="19">
        <v>2.77</v>
      </c>
      <c r="T590" s="38">
        <v>10</v>
      </c>
      <c r="U590" s="38"/>
      <c r="V590" s="29">
        <v>2.77</v>
      </c>
      <c r="W590" s="35">
        <v>2.77</v>
      </c>
      <c r="X590" s="32">
        <f t="shared" si="99"/>
        <v>27.7</v>
      </c>
      <c r="Y590" s="32">
        <f t="shared" si="100"/>
        <v>27.7</v>
      </c>
      <c r="Z590" s="32">
        <f t="shared" si="101"/>
        <v>0</v>
      </c>
      <c r="AA590" s="38">
        <v>10</v>
      </c>
      <c r="AB590" s="37">
        <f>IFERROR(VLOOKUP(A590,'Tash Lookup'!A:E,3,FALSE),"")</f>
        <v>27.72</v>
      </c>
      <c r="AC590" s="6">
        <f t="shared" si="102"/>
        <v>0</v>
      </c>
      <c r="AD590" s="2" t="s">
        <v>6703</v>
      </c>
      <c r="AF590" s="56">
        <v>3.01</v>
      </c>
      <c r="AG590" s="56">
        <f>VLOOKUP(A590,Sheet1!$A$2:$C$1140,3,FALSE)</f>
        <v>3.1</v>
      </c>
      <c r="AH590" s="58">
        <v>3.1</v>
      </c>
      <c r="AI590" s="56" t="str">
        <f t="shared" si="103"/>
        <v>Increase</v>
      </c>
      <c r="AJ590" s="81">
        <f t="shared" si="107"/>
        <v>30.099999999999998</v>
      </c>
      <c r="AK590" s="81">
        <f t="shared" si="108"/>
        <v>31</v>
      </c>
      <c r="AL590" s="58" t="s">
        <v>32</v>
      </c>
      <c r="AM590" s="58" t="s">
        <v>6703</v>
      </c>
      <c r="AN590" s="75">
        <v>0</v>
      </c>
      <c r="AO590" s="88">
        <v>3.1</v>
      </c>
      <c r="AP590" s="6" t="str">
        <f t="shared" si="104"/>
        <v>Increase</v>
      </c>
      <c r="AQ590" s="81">
        <f t="shared" si="105"/>
        <v>0</v>
      </c>
      <c r="AR590" s="81">
        <f t="shared" si="106"/>
        <v>0</v>
      </c>
      <c r="AS590" s="82">
        <f t="shared" si="109"/>
        <v>0</v>
      </c>
    </row>
    <row r="591" spans="1:45" hidden="1" x14ac:dyDescent="0.3">
      <c r="A591">
        <v>6386672</v>
      </c>
      <c r="B591" s="15" t="s">
        <v>5927</v>
      </c>
      <c r="C591" s="16" t="s">
        <v>30</v>
      </c>
      <c r="D591" s="6" t="s">
        <v>31</v>
      </c>
      <c r="E591" t="s">
        <v>2567</v>
      </c>
      <c r="F591" t="s">
        <v>2567</v>
      </c>
      <c r="H591" s="11" t="s">
        <v>27</v>
      </c>
      <c r="I591" s="6" t="s">
        <v>28</v>
      </c>
      <c r="J591" s="6" t="s">
        <v>28</v>
      </c>
      <c r="K591" t="s">
        <v>32</v>
      </c>
      <c r="L591" s="35">
        <v>10.94</v>
      </c>
      <c r="M591" s="6" t="s">
        <v>29</v>
      </c>
      <c r="N591" s="6">
        <v>3105</v>
      </c>
      <c r="P591" s="18"/>
      <c r="Q591" s="17"/>
      <c r="R591" s="19">
        <v>10.94</v>
      </c>
      <c r="S591" s="19">
        <v>10.94</v>
      </c>
      <c r="T591" s="38">
        <v>10</v>
      </c>
      <c r="U591" s="38"/>
      <c r="V591" s="30">
        <v>10.94</v>
      </c>
      <c r="W591" s="35">
        <v>10.94</v>
      </c>
      <c r="X591" s="32">
        <f t="shared" si="99"/>
        <v>109.39999999999999</v>
      </c>
      <c r="Y591" s="32">
        <f t="shared" si="100"/>
        <v>109.39999999999999</v>
      </c>
      <c r="Z591" s="32">
        <f t="shared" si="101"/>
        <v>0</v>
      </c>
      <c r="AA591" s="38">
        <v>10</v>
      </c>
      <c r="AB591" s="37">
        <f>IFERROR(VLOOKUP(A591,'Tash Lookup'!A:E,3,FALSE),"")</f>
        <v>109.41</v>
      </c>
      <c r="AC591" s="6">
        <f t="shared" si="102"/>
        <v>0</v>
      </c>
      <c r="AD591" s="2" t="s">
        <v>6703</v>
      </c>
      <c r="AF591" s="56">
        <v>10.94</v>
      </c>
      <c r="AG591" s="56">
        <f>VLOOKUP(A591,Sheet1!$A$2:$C$1140,3,FALSE)</f>
        <v>10.94</v>
      </c>
      <c r="AH591" s="58">
        <v>10.94</v>
      </c>
      <c r="AI591" s="56" t="str">
        <f t="shared" si="103"/>
        <v>Same</v>
      </c>
      <c r="AJ591" s="81">
        <f t="shared" si="107"/>
        <v>109.39999999999999</v>
      </c>
      <c r="AK591" s="81">
        <f t="shared" si="108"/>
        <v>109.39999999999999</v>
      </c>
      <c r="AL591" s="58" t="s">
        <v>7206</v>
      </c>
      <c r="AM591" s="58" t="s">
        <v>6703</v>
      </c>
      <c r="AN591" s="75">
        <v>10</v>
      </c>
      <c r="AO591" s="88">
        <v>10.94</v>
      </c>
      <c r="AP591" s="6" t="str">
        <f t="shared" si="104"/>
        <v>Same</v>
      </c>
      <c r="AQ591" s="81">
        <f t="shared" si="105"/>
        <v>109.39999999999999</v>
      </c>
      <c r="AR591" s="81">
        <f t="shared" si="106"/>
        <v>109.39999999999999</v>
      </c>
      <c r="AS591" s="81">
        <f t="shared" si="109"/>
        <v>0</v>
      </c>
    </row>
    <row r="592" spans="1:45" hidden="1" x14ac:dyDescent="0.3">
      <c r="A592">
        <v>6108022</v>
      </c>
      <c r="B592" s="15" t="s">
        <v>5928</v>
      </c>
      <c r="C592" s="16" t="s">
        <v>30</v>
      </c>
      <c r="D592" s="6" t="s">
        <v>31</v>
      </c>
      <c r="E592" t="s">
        <v>1124</v>
      </c>
      <c r="F592" t="s">
        <v>1124</v>
      </c>
      <c r="H592" s="11" t="s">
        <v>27</v>
      </c>
      <c r="I592" s="6" t="s">
        <v>28</v>
      </c>
      <c r="J592" s="6" t="s">
        <v>28</v>
      </c>
      <c r="K592" t="s">
        <v>32</v>
      </c>
      <c r="L592" s="35">
        <v>5.2</v>
      </c>
      <c r="M592" s="6" t="s">
        <v>29</v>
      </c>
      <c r="N592" s="6">
        <v>3105</v>
      </c>
      <c r="P592" s="18"/>
      <c r="Q592" s="17"/>
      <c r="R592" s="19">
        <v>0</v>
      </c>
      <c r="S592" s="19">
        <v>0</v>
      </c>
      <c r="T592" s="38">
        <v>10</v>
      </c>
      <c r="U592" s="38"/>
      <c r="V592" s="31">
        <v>5.2</v>
      </c>
      <c r="W592" s="35">
        <v>5.2</v>
      </c>
      <c r="X592" s="32">
        <f t="shared" si="99"/>
        <v>52</v>
      </c>
      <c r="Y592" s="32">
        <f t="shared" si="100"/>
        <v>52</v>
      </c>
      <c r="Z592" s="32">
        <f t="shared" si="101"/>
        <v>0</v>
      </c>
      <c r="AA592" s="38">
        <v>10</v>
      </c>
      <c r="AB592" s="37">
        <f>IFERROR(VLOOKUP(A592,'Tash Lookup'!A:E,3,FALSE),"")</f>
        <v>51.34</v>
      </c>
      <c r="AC592" s="6">
        <f t="shared" si="102"/>
        <v>0</v>
      </c>
      <c r="AD592" s="2" t="s">
        <v>6703</v>
      </c>
      <c r="AF592" s="56">
        <v>4.9400000000000004</v>
      </c>
      <c r="AG592" s="56">
        <f>VLOOKUP(A592,Sheet1!$A$2:$C$1140,3,FALSE)</f>
        <v>5.04</v>
      </c>
      <c r="AH592" s="58">
        <v>5.04</v>
      </c>
      <c r="AI592" s="56" t="str">
        <f t="shared" si="103"/>
        <v>Increase</v>
      </c>
      <c r="AJ592" s="81">
        <f t="shared" si="107"/>
        <v>49.400000000000006</v>
      </c>
      <c r="AK592" s="81">
        <f t="shared" si="108"/>
        <v>50.4</v>
      </c>
      <c r="AL592" s="58" t="s">
        <v>7206</v>
      </c>
      <c r="AM592" s="58" t="s">
        <v>6703</v>
      </c>
      <c r="AN592" s="75">
        <v>8</v>
      </c>
      <c r="AO592" s="88">
        <v>5.04</v>
      </c>
      <c r="AP592" s="6" t="str">
        <f t="shared" si="104"/>
        <v>Increase</v>
      </c>
      <c r="AQ592" s="81">
        <f t="shared" si="105"/>
        <v>39.520000000000003</v>
      </c>
      <c r="AR592" s="81">
        <f t="shared" si="106"/>
        <v>40.32</v>
      </c>
      <c r="AS592" s="82">
        <f t="shared" si="109"/>
        <v>0.79999999999999716</v>
      </c>
    </row>
    <row r="593" spans="1:45" hidden="1" x14ac:dyDescent="0.3">
      <c r="A593">
        <v>6054205</v>
      </c>
      <c r="B593" s="15" t="s">
        <v>5929</v>
      </c>
      <c r="C593" s="16" t="s">
        <v>30</v>
      </c>
      <c r="D593" s="6" t="s">
        <v>31</v>
      </c>
      <c r="E593" t="s">
        <v>2541</v>
      </c>
      <c r="F593" t="s">
        <v>2541</v>
      </c>
      <c r="H593" s="11" t="s">
        <v>27</v>
      </c>
      <c r="I593" s="6" t="s">
        <v>28</v>
      </c>
      <c r="J593" s="6" t="s">
        <v>28</v>
      </c>
      <c r="K593" t="s">
        <v>32</v>
      </c>
      <c r="L593" s="35">
        <v>14.6</v>
      </c>
      <c r="M593" s="6" t="s">
        <v>29</v>
      </c>
      <c r="N593" s="6">
        <v>3105</v>
      </c>
      <c r="P593" s="18"/>
      <c r="Q593" s="17"/>
      <c r="R593" s="19">
        <v>0</v>
      </c>
      <c r="S593" s="19">
        <v>0</v>
      </c>
      <c r="T593" s="38">
        <v>10</v>
      </c>
      <c r="U593" s="38"/>
      <c r="V593" s="31">
        <v>14.6</v>
      </c>
      <c r="W593" s="35">
        <v>14.6</v>
      </c>
      <c r="X593" s="32">
        <f t="shared" si="99"/>
        <v>146</v>
      </c>
      <c r="Y593" s="32">
        <f t="shared" si="100"/>
        <v>146</v>
      </c>
      <c r="Z593" s="32">
        <f t="shared" si="101"/>
        <v>0</v>
      </c>
      <c r="AA593" s="38">
        <v>10</v>
      </c>
      <c r="AB593" s="37">
        <f>IFERROR(VLOOKUP(A593,'Tash Lookup'!A:E,3,FALSE),"")</f>
        <v>144.74</v>
      </c>
      <c r="AC593" s="6">
        <f t="shared" si="102"/>
        <v>0</v>
      </c>
      <c r="AD593" s="2" t="s">
        <v>6703</v>
      </c>
      <c r="AF593" s="56">
        <v>14.6</v>
      </c>
      <c r="AG593" s="56">
        <f>VLOOKUP(A593,Sheet1!$A$2:$C$1140,3,FALSE)</f>
        <v>14.89</v>
      </c>
      <c r="AH593" s="58">
        <v>14.89</v>
      </c>
      <c r="AI593" s="56" t="str">
        <f t="shared" si="103"/>
        <v>Increase</v>
      </c>
      <c r="AJ593" s="81">
        <f t="shared" si="107"/>
        <v>146</v>
      </c>
      <c r="AK593" s="81">
        <f t="shared" si="108"/>
        <v>148.9</v>
      </c>
      <c r="AL593" s="58" t="s">
        <v>7206</v>
      </c>
      <c r="AM593" s="58" t="s">
        <v>6703</v>
      </c>
      <c r="AN593" s="75">
        <v>7</v>
      </c>
      <c r="AO593" s="88">
        <v>14.89</v>
      </c>
      <c r="AP593" s="6" t="str">
        <f t="shared" si="104"/>
        <v>Increase</v>
      </c>
      <c r="AQ593" s="81">
        <f t="shared" si="105"/>
        <v>102.2</v>
      </c>
      <c r="AR593" s="81">
        <f t="shared" si="106"/>
        <v>104.23</v>
      </c>
      <c r="AS593" s="82">
        <f t="shared" si="109"/>
        <v>2.0300000000000011</v>
      </c>
    </row>
    <row r="594" spans="1:45" hidden="1" x14ac:dyDescent="0.3">
      <c r="A594">
        <v>6027600</v>
      </c>
      <c r="B594" s="15" t="s">
        <v>5930</v>
      </c>
      <c r="C594" s="16" t="s">
        <v>30</v>
      </c>
      <c r="D594" s="6" t="s">
        <v>31</v>
      </c>
      <c r="E594" t="s">
        <v>665</v>
      </c>
      <c r="F594" t="s">
        <v>665</v>
      </c>
      <c r="H594" s="11" t="s">
        <v>27</v>
      </c>
      <c r="I594" s="6" t="s">
        <v>28</v>
      </c>
      <c r="J594" s="6" t="s">
        <v>28</v>
      </c>
      <c r="K594" t="s">
        <v>32</v>
      </c>
      <c r="L594" s="35">
        <v>4.7300000000000004</v>
      </c>
      <c r="M594" s="6" t="s">
        <v>29</v>
      </c>
      <c r="N594" s="6">
        <v>3105</v>
      </c>
      <c r="P594" s="18"/>
      <c r="Q594" s="17"/>
      <c r="R594" s="19">
        <v>4.7300000000000004</v>
      </c>
      <c r="S594" s="19">
        <v>4.7300000000000004</v>
      </c>
      <c r="T594" s="38">
        <v>10</v>
      </c>
      <c r="U594" s="38"/>
      <c r="V594" s="30">
        <v>4.7300000000000004</v>
      </c>
      <c r="W594" s="35">
        <v>4.7300000000000004</v>
      </c>
      <c r="X594" s="32">
        <f t="shared" si="99"/>
        <v>47.300000000000004</v>
      </c>
      <c r="Y594" s="32">
        <f t="shared" si="100"/>
        <v>47.300000000000004</v>
      </c>
      <c r="Z594" s="32">
        <f t="shared" si="101"/>
        <v>0</v>
      </c>
      <c r="AA594" s="38">
        <v>10</v>
      </c>
      <c r="AB594" s="37">
        <f>IFERROR(VLOOKUP(A594,'Tash Lookup'!A:E,3,FALSE),"")</f>
        <v>46.24</v>
      </c>
      <c r="AC594" s="6">
        <f t="shared" si="102"/>
        <v>0</v>
      </c>
      <c r="AD594" s="2" t="s">
        <v>6703</v>
      </c>
      <c r="AF594" s="56">
        <v>4.7300000000000004</v>
      </c>
      <c r="AG594" s="56">
        <f>VLOOKUP(A594,Sheet1!$A$2:$C$1140,3,FALSE)</f>
        <v>4.7300000000000004</v>
      </c>
      <c r="AH594" s="58">
        <v>4.7300000000000004</v>
      </c>
      <c r="AI594" s="56" t="str">
        <f t="shared" si="103"/>
        <v>Same</v>
      </c>
      <c r="AJ594" s="81">
        <f t="shared" si="107"/>
        <v>47.300000000000004</v>
      </c>
      <c r="AK594" s="81">
        <f t="shared" si="108"/>
        <v>47.300000000000004</v>
      </c>
      <c r="AL594" s="58" t="s">
        <v>7206</v>
      </c>
      <c r="AM594" s="58" t="s">
        <v>6708</v>
      </c>
      <c r="AN594" s="75">
        <v>13</v>
      </c>
      <c r="AO594" s="88">
        <v>4.7300000000000004</v>
      </c>
      <c r="AP594" s="6" t="str">
        <f t="shared" si="104"/>
        <v>Same</v>
      </c>
      <c r="AQ594" s="81">
        <f t="shared" si="105"/>
        <v>61.490000000000009</v>
      </c>
      <c r="AR594" s="81">
        <f t="shared" si="106"/>
        <v>61.490000000000009</v>
      </c>
      <c r="AS594" s="81">
        <f t="shared" si="109"/>
        <v>0</v>
      </c>
    </row>
    <row r="595" spans="1:45" hidden="1" x14ac:dyDescent="0.3">
      <c r="A595">
        <v>5089649</v>
      </c>
      <c r="B595" s="15" t="s">
        <v>5931</v>
      </c>
      <c r="C595" s="16" t="s">
        <v>30</v>
      </c>
      <c r="D595" s="6" t="s">
        <v>31</v>
      </c>
      <c r="E595" t="s">
        <v>116</v>
      </c>
      <c r="F595" t="s">
        <v>116</v>
      </c>
      <c r="H595" s="11" t="s">
        <v>27</v>
      </c>
      <c r="I595" s="6" t="s">
        <v>28</v>
      </c>
      <c r="J595" s="6" t="s">
        <v>28</v>
      </c>
      <c r="K595" t="s">
        <v>32</v>
      </c>
      <c r="L595" s="35">
        <v>8.52</v>
      </c>
      <c r="M595" s="6" t="s">
        <v>29</v>
      </c>
      <c r="N595" s="6">
        <v>3105</v>
      </c>
      <c r="P595" s="18"/>
      <c r="Q595" s="17"/>
      <c r="R595" s="19">
        <v>8.52</v>
      </c>
      <c r="S595" s="19">
        <v>8.52</v>
      </c>
      <c r="T595" s="38">
        <v>10</v>
      </c>
      <c r="U595" s="38"/>
      <c r="V595" s="29">
        <v>8.52</v>
      </c>
      <c r="W595" s="35">
        <v>8.52</v>
      </c>
      <c r="X595" s="32">
        <f t="shared" si="99"/>
        <v>85.199999999999989</v>
      </c>
      <c r="Y595" s="32">
        <f t="shared" si="100"/>
        <v>85.199999999999989</v>
      </c>
      <c r="Z595" s="32">
        <f t="shared" si="101"/>
        <v>0</v>
      </c>
      <c r="AA595" s="38">
        <v>10</v>
      </c>
      <c r="AB595" s="37">
        <f>IFERROR(VLOOKUP(A595,'Tash Lookup'!A:E,3,FALSE),"")</f>
        <v>83.23</v>
      </c>
      <c r="AC595" s="6">
        <f t="shared" si="102"/>
        <v>0</v>
      </c>
      <c r="AD595" s="2" t="s">
        <v>6703</v>
      </c>
      <c r="AF595" s="56">
        <v>8.3000000000000007</v>
      </c>
      <c r="AG595" s="56">
        <f>VLOOKUP(A595,Sheet1!$A$2:$C$1140,3,FALSE)</f>
        <v>8.3000000000000007</v>
      </c>
      <c r="AH595" s="58">
        <v>8.3000000000000007</v>
      </c>
      <c r="AI595" s="56" t="str">
        <f t="shared" si="103"/>
        <v>Same</v>
      </c>
      <c r="AJ595" s="81">
        <f t="shared" si="107"/>
        <v>83</v>
      </c>
      <c r="AK595" s="81">
        <f t="shared" si="108"/>
        <v>83</v>
      </c>
      <c r="AL595" s="58" t="s">
        <v>32</v>
      </c>
      <c r="AM595" s="58" t="s">
        <v>6703</v>
      </c>
      <c r="AN595" s="75">
        <v>9</v>
      </c>
      <c r="AO595" s="88">
        <v>8.3000000000000007</v>
      </c>
      <c r="AP595" s="6" t="str">
        <f t="shared" si="104"/>
        <v>Same</v>
      </c>
      <c r="AQ595" s="81">
        <f t="shared" si="105"/>
        <v>74.7</v>
      </c>
      <c r="AR595" s="81">
        <f t="shared" si="106"/>
        <v>74.7</v>
      </c>
      <c r="AS595" s="81">
        <f t="shared" si="109"/>
        <v>0</v>
      </c>
    </row>
    <row r="596" spans="1:45" hidden="1" x14ac:dyDescent="0.3">
      <c r="A596">
        <v>6107969</v>
      </c>
      <c r="B596" s="15" t="s">
        <v>5932</v>
      </c>
      <c r="C596" s="16" t="s">
        <v>30</v>
      </c>
      <c r="D596" s="6" t="s">
        <v>31</v>
      </c>
      <c r="E596" t="s">
        <v>1141</v>
      </c>
      <c r="F596" t="s">
        <v>1141</v>
      </c>
      <c r="H596" s="11" t="s">
        <v>27</v>
      </c>
      <c r="I596" s="6" t="s">
        <v>28</v>
      </c>
      <c r="J596" s="6" t="s">
        <v>28</v>
      </c>
      <c r="K596" t="s">
        <v>32</v>
      </c>
      <c r="L596" s="35">
        <v>11.7</v>
      </c>
      <c r="M596" s="6" t="s">
        <v>29</v>
      </c>
      <c r="N596" s="6">
        <v>3105</v>
      </c>
      <c r="P596" s="18"/>
      <c r="Q596" s="17"/>
      <c r="R596" s="19">
        <v>0</v>
      </c>
      <c r="S596" s="19">
        <v>0</v>
      </c>
      <c r="T596" s="38">
        <v>10</v>
      </c>
      <c r="U596" s="38"/>
      <c r="V596" s="31">
        <v>11.7</v>
      </c>
      <c r="W596" s="35">
        <v>11.7</v>
      </c>
      <c r="X596" s="32">
        <f t="shared" si="99"/>
        <v>117</v>
      </c>
      <c r="Y596" s="32">
        <f t="shared" si="100"/>
        <v>117</v>
      </c>
      <c r="Z596" s="32">
        <f t="shared" si="101"/>
        <v>0</v>
      </c>
      <c r="AA596" s="38">
        <v>10</v>
      </c>
      <c r="AB596" s="37">
        <f>IFERROR(VLOOKUP(A596,'Tash Lookup'!A:E,3,FALSE),"")</f>
        <v>116.98</v>
      </c>
      <c r="AC596" s="6">
        <f t="shared" si="102"/>
        <v>0</v>
      </c>
      <c r="AD596" s="2" t="s">
        <v>6703</v>
      </c>
      <c r="AF596" s="56">
        <v>11.7</v>
      </c>
      <c r="AG596" s="56">
        <f>VLOOKUP(A596,Sheet1!$A$2:$C$1140,3,FALSE)</f>
        <v>11.94</v>
      </c>
      <c r="AH596" s="58">
        <v>11.94</v>
      </c>
      <c r="AI596" s="56" t="str">
        <f t="shared" si="103"/>
        <v>Increase</v>
      </c>
      <c r="AJ596" s="81">
        <f t="shared" si="107"/>
        <v>117</v>
      </c>
      <c r="AK596" s="81">
        <f t="shared" si="108"/>
        <v>119.39999999999999</v>
      </c>
      <c r="AL596" s="58" t="s">
        <v>7206</v>
      </c>
      <c r="AM596" s="58" t="s">
        <v>6703</v>
      </c>
      <c r="AN596" s="75">
        <v>9</v>
      </c>
      <c r="AO596" s="88">
        <v>11.94</v>
      </c>
      <c r="AP596" s="6" t="str">
        <f t="shared" si="104"/>
        <v>Increase</v>
      </c>
      <c r="AQ596" s="81">
        <f t="shared" si="105"/>
        <v>105.3</v>
      </c>
      <c r="AR596" s="81">
        <f t="shared" si="106"/>
        <v>107.46</v>
      </c>
      <c r="AS596" s="82">
        <f t="shared" si="109"/>
        <v>2.1599999999999966</v>
      </c>
    </row>
    <row r="597" spans="1:45" hidden="1" x14ac:dyDescent="0.3">
      <c r="A597">
        <v>6188866</v>
      </c>
      <c r="B597" s="15" t="s">
        <v>5933</v>
      </c>
      <c r="C597" s="16" t="s">
        <v>30</v>
      </c>
      <c r="D597" s="6" t="s">
        <v>31</v>
      </c>
      <c r="E597" t="s">
        <v>882</v>
      </c>
      <c r="F597" t="s">
        <v>882</v>
      </c>
      <c r="H597" s="11" t="s">
        <v>27</v>
      </c>
      <c r="I597" s="6" t="s">
        <v>28</v>
      </c>
      <c r="J597" s="6" t="s">
        <v>28</v>
      </c>
      <c r="K597" t="s">
        <v>32</v>
      </c>
      <c r="L597" s="35">
        <v>8.7200000000000006</v>
      </c>
      <c r="M597" s="6" t="s">
        <v>29</v>
      </c>
      <c r="N597" s="6">
        <v>3105</v>
      </c>
      <c r="P597" s="18"/>
      <c r="Q597" s="17"/>
      <c r="R597" s="19">
        <v>9.98</v>
      </c>
      <c r="S597" s="19">
        <v>0</v>
      </c>
      <c r="T597" s="38">
        <v>9</v>
      </c>
      <c r="U597" s="38"/>
      <c r="V597" s="30">
        <v>9.98</v>
      </c>
      <c r="W597" s="35">
        <v>7.46</v>
      </c>
      <c r="X597" s="32">
        <f t="shared" si="99"/>
        <v>89.820000000000007</v>
      </c>
      <c r="Y597" s="32">
        <f t="shared" si="100"/>
        <v>78.48</v>
      </c>
      <c r="Z597" s="32">
        <f t="shared" si="101"/>
        <v>11.340000000000003</v>
      </c>
      <c r="AA597" s="38">
        <v>9</v>
      </c>
      <c r="AB597" s="37">
        <f>IFERROR(VLOOKUP(A597,'Tash Lookup'!A:E,3,FALSE),"")</f>
        <v>76.959999999999994</v>
      </c>
      <c r="AC597" s="6">
        <f t="shared" si="102"/>
        <v>0</v>
      </c>
      <c r="AD597" s="2" t="s">
        <v>6703</v>
      </c>
      <c r="AF597" s="56">
        <v>9.98</v>
      </c>
      <c r="AG597" s="56">
        <f>VLOOKUP(A597,Sheet1!$A$2:$C$1140,3,FALSE)</f>
        <v>10.18</v>
      </c>
      <c r="AH597" s="58">
        <v>10.18</v>
      </c>
      <c r="AI597" s="56" t="str">
        <f t="shared" si="103"/>
        <v>Increase</v>
      </c>
      <c r="AJ597" s="81">
        <f t="shared" si="107"/>
        <v>89.820000000000007</v>
      </c>
      <c r="AK597" s="81">
        <f t="shared" si="108"/>
        <v>91.62</v>
      </c>
      <c r="AL597" s="58" t="s">
        <v>7206</v>
      </c>
      <c r="AM597" s="58" t="s">
        <v>6703</v>
      </c>
      <c r="AN597" s="75">
        <v>9</v>
      </c>
      <c r="AO597" s="88">
        <v>10.18</v>
      </c>
      <c r="AP597" s="6" t="str">
        <f t="shared" si="104"/>
        <v>Increase</v>
      </c>
      <c r="AQ597" s="81">
        <f t="shared" si="105"/>
        <v>89.820000000000007</v>
      </c>
      <c r="AR597" s="81">
        <f t="shared" si="106"/>
        <v>91.62</v>
      </c>
      <c r="AS597" s="82">
        <f t="shared" si="109"/>
        <v>1.7999999999999972</v>
      </c>
    </row>
    <row r="598" spans="1:45" hidden="1" x14ac:dyDescent="0.3">
      <c r="A598">
        <v>6183860</v>
      </c>
      <c r="B598" s="15" t="s">
        <v>5934</v>
      </c>
      <c r="C598" s="16" t="s">
        <v>30</v>
      </c>
      <c r="D598" s="6" t="s">
        <v>31</v>
      </c>
      <c r="E598" t="s">
        <v>829</v>
      </c>
      <c r="F598" t="s">
        <v>829</v>
      </c>
      <c r="H598" s="11" t="s">
        <v>27</v>
      </c>
      <c r="I598" s="6" t="s">
        <v>28</v>
      </c>
      <c r="J598" s="6" t="s">
        <v>28</v>
      </c>
      <c r="K598" t="s">
        <v>32</v>
      </c>
      <c r="L598" s="35">
        <v>9.99</v>
      </c>
      <c r="M598" s="6" t="s">
        <v>29</v>
      </c>
      <c r="N598" s="6">
        <v>3105</v>
      </c>
      <c r="P598" s="18"/>
      <c r="Q598" s="17"/>
      <c r="R598" s="19">
        <v>10.64</v>
      </c>
      <c r="S598" s="19">
        <v>10.64</v>
      </c>
      <c r="T598" s="38">
        <v>9</v>
      </c>
      <c r="U598" s="38"/>
      <c r="V598" s="30">
        <v>10.64</v>
      </c>
      <c r="W598" s="35">
        <v>8.7200000000000006</v>
      </c>
      <c r="X598" s="32">
        <f t="shared" si="99"/>
        <v>95.76</v>
      </c>
      <c r="Y598" s="32">
        <f t="shared" si="100"/>
        <v>89.91</v>
      </c>
      <c r="Z598" s="32">
        <f t="shared" si="101"/>
        <v>5.8500000000000085</v>
      </c>
      <c r="AA598" s="38">
        <v>9</v>
      </c>
      <c r="AB598" s="37">
        <f>IFERROR(VLOOKUP(A598,'Tash Lookup'!A:E,3,FALSE),"")</f>
        <v>89.88</v>
      </c>
      <c r="AC598" s="6">
        <f t="shared" si="102"/>
        <v>0</v>
      </c>
      <c r="AD598" s="2" t="s">
        <v>6703</v>
      </c>
      <c r="AF598" s="56">
        <v>9.99</v>
      </c>
      <c r="AG598" s="56">
        <f>VLOOKUP(A598,Sheet1!$A$2:$C$1140,3,FALSE)</f>
        <v>10.19</v>
      </c>
      <c r="AH598" s="58">
        <v>10.19</v>
      </c>
      <c r="AI598" s="56" t="str">
        <f t="shared" si="103"/>
        <v>Increase</v>
      </c>
      <c r="AJ598" s="81">
        <f t="shared" si="107"/>
        <v>89.91</v>
      </c>
      <c r="AK598" s="81">
        <f t="shared" si="108"/>
        <v>91.71</v>
      </c>
      <c r="AL598" s="58" t="s">
        <v>7206</v>
      </c>
      <c r="AM598" s="58" t="s">
        <v>6703</v>
      </c>
      <c r="AN598" s="75">
        <v>7</v>
      </c>
      <c r="AO598" s="88">
        <v>10.19</v>
      </c>
      <c r="AP598" s="6" t="str">
        <f t="shared" si="104"/>
        <v>Increase</v>
      </c>
      <c r="AQ598" s="81">
        <f t="shared" si="105"/>
        <v>69.930000000000007</v>
      </c>
      <c r="AR598" s="81">
        <f t="shared" si="106"/>
        <v>71.33</v>
      </c>
      <c r="AS598" s="82">
        <f t="shared" si="109"/>
        <v>1.3999999999999915</v>
      </c>
    </row>
    <row r="599" spans="1:45" hidden="1" x14ac:dyDescent="0.3">
      <c r="A599">
        <v>6188873</v>
      </c>
      <c r="B599" s="15" t="s">
        <v>5935</v>
      </c>
      <c r="C599" s="16" t="s">
        <v>30</v>
      </c>
      <c r="D599" s="6" t="s">
        <v>31</v>
      </c>
      <c r="E599" t="s">
        <v>852</v>
      </c>
      <c r="F599" t="s">
        <v>852</v>
      </c>
      <c r="H599" s="11" t="s">
        <v>27</v>
      </c>
      <c r="I599" s="6" t="s">
        <v>28</v>
      </c>
      <c r="J599" s="6" t="s">
        <v>28</v>
      </c>
      <c r="K599" t="s">
        <v>32</v>
      </c>
      <c r="L599" s="35">
        <v>2.06</v>
      </c>
      <c r="M599" s="6" t="s">
        <v>29</v>
      </c>
      <c r="N599" s="6">
        <v>3105</v>
      </c>
      <c r="P599" s="18"/>
      <c r="Q599" s="17"/>
      <c r="R599" s="19">
        <v>2.4</v>
      </c>
      <c r="S599" s="19">
        <v>0</v>
      </c>
      <c r="T599" s="38">
        <v>9</v>
      </c>
      <c r="U599" s="38"/>
      <c r="V599" s="30">
        <v>2.4</v>
      </c>
      <c r="W599" s="45">
        <v>9.99</v>
      </c>
      <c r="X599" s="32">
        <f t="shared" si="99"/>
        <v>21.599999999999998</v>
      </c>
      <c r="Y599" s="32">
        <f t="shared" si="100"/>
        <v>18.54</v>
      </c>
      <c r="Z599" s="32">
        <f t="shared" si="101"/>
        <v>3.0599999999999987</v>
      </c>
      <c r="AA599" s="38">
        <v>9</v>
      </c>
      <c r="AB599" s="37">
        <f>IFERROR(VLOOKUP(A599,'Tash Lookup'!A:E,3,FALSE),"")</f>
        <v>18.45</v>
      </c>
      <c r="AC599" s="6">
        <f t="shared" si="102"/>
        <v>0</v>
      </c>
      <c r="AD599" s="2" t="s">
        <v>6703</v>
      </c>
      <c r="AF599" s="56">
        <v>2.16</v>
      </c>
      <c r="AG599" s="56">
        <f>VLOOKUP(A599,Sheet1!$A$2:$C$1140,3,FALSE)</f>
        <v>2.2000000000000002</v>
      </c>
      <c r="AH599" s="58">
        <v>2.2000000000000002</v>
      </c>
      <c r="AI599" s="56" t="str">
        <f t="shared" si="103"/>
        <v>Increase</v>
      </c>
      <c r="AJ599" s="81">
        <f t="shared" si="107"/>
        <v>19.440000000000001</v>
      </c>
      <c r="AK599" s="81">
        <f t="shared" si="108"/>
        <v>19.8</v>
      </c>
      <c r="AL599" s="58" t="s">
        <v>7206</v>
      </c>
      <c r="AM599" s="58" t="s">
        <v>6703</v>
      </c>
      <c r="AN599" s="75">
        <v>2</v>
      </c>
      <c r="AO599" s="88">
        <v>2.2000000000000002</v>
      </c>
      <c r="AP599" s="6" t="str">
        <f t="shared" si="104"/>
        <v>Increase</v>
      </c>
      <c r="AQ599" s="81">
        <f t="shared" si="105"/>
        <v>4.32</v>
      </c>
      <c r="AR599" s="81">
        <f t="shared" si="106"/>
        <v>4.4000000000000004</v>
      </c>
      <c r="AS599" s="81">
        <f t="shared" si="109"/>
        <v>8.0000000000000071E-2</v>
      </c>
    </row>
    <row r="600" spans="1:45" hidden="1" x14ac:dyDescent="0.3">
      <c r="A600">
        <v>5222639</v>
      </c>
      <c r="B600" s="15" t="s">
        <v>5936</v>
      </c>
      <c r="C600" s="16" t="s">
        <v>30</v>
      </c>
      <c r="D600" s="6" t="s">
        <v>31</v>
      </c>
      <c r="E600" t="s">
        <v>735</v>
      </c>
      <c r="F600" t="s">
        <v>735</v>
      </c>
      <c r="H600" s="11" t="s">
        <v>27</v>
      </c>
      <c r="I600" s="6" t="s">
        <v>28</v>
      </c>
      <c r="J600" s="6" t="s">
        <v>28</v>
      </c>
      <c r="K600" t="s">
        <v>32</v>
      </c>
      <c r="L600" s="35">
        <v>29.98</v>
      </c>
      <c r="M600" s="6" t="s">
        <v>29</v>
      </c>
      <c r="N600" s="6">
        <v>3105</v>
      </c>
      <c r="P600" s="18"/>
      <c r="Q600" s="17"/>
      <c r="R600" s="19">
        <v>29.98</v>
      </c>
      <c r="S600" s="19">
        <v>29.98</v>
      </c>
      <c r="T600" s="38">
        <v>9</v>
      </c>
      <c r="U600" s="38"/>
      <c r="V600" s="30">
        <v>29.98</v>
      </c>
      <c r="W600" s="35">
        <v>2.06</v>
      </c>
      <c r="X600" s="32">
        <f t="shared" si="99"/>
        <v>269.82</v>
      </c>
      <c r="Y600" s="32">
        <f t="shared" si="100"/>
        <v>269.82</v>
      </c>
      <c r="Z600" s="32">
        <f t="shared" si="101"/>
        <v>0</v>
      </c>
      <c r="AA600" s="38">
        <v>9</v>
      </c>
      <c r="AB600" s="37">
        <f>IFERROR(VLOOKUP(A600,'Tash Lookup'!A:E,3,FALSE),"")</f>
        <v>269.82</v>
      </c>
      <c r="AC600" s="6">
        <f t="shared" si="102"/>
        <v>0</v>
      </c>
      <c r="AD600" s="2" t="s">
        <v>6703</v>
      </c>
      <c r="AF600" s="56">
        <v>29.98</v>
      </c>
      <c r="AG600" s="56">
        <f>VLOOKUP(A600,Sheet1!$A$2:$C$1140,3,FALSE)</f>
        <v>30.58</v>
      </c>
      <c r="AH600" s="58">
        <v>30.58</v>
      </c>
      <c r="AI600" s="56" t="str">
        <f t="shared" si="103"/>
        <v>Increase</v>
      </c>
      <c r="AJ600" s="81">
        <f t="shared" si="107"/>
        <v>269.82</v>
      </c>
      <c r="AK600" s="81">
        <f t="shared" si="108"/>
        <v>275.21999999999997</v>
      </c>
      <c r="AL600" s="58" t="s">
        <v>7206</v>
      </c>
      <c r="AM600" s="58" t="s">
        <v>6703</v>
      </c>
      <c r="AN600" s="75">
        <v>3</v>
      </c>
      <c r="AO600" s="88">
        <v>30.58</v>
      </c>
      <c r="AP600" s="6" t="str">
        <f t="shared" si="104"/>
        <v>Increase</v>
      </c>
      <c r="AQ600" s="81">
        <f t="shared" si="105"/>
        <v>89.94</v>
      </c>
      <c r="AR600" s="81">
        <f t="shared" si="106"/>
        <v>91.74</v>
      </c>
      <c r="AS600" s="82">
        <f t="shared" si="109"/>
        <v>1.7999999999999972</v>
      </c>
    </row>
    <row r="601" spans="1:45" hidden="1" x14ac:dyDescent="0.3">
      <c r="A601">
        <v>5330418</v>
      </c>
      <c r="B601" s="15" t="s">
        <v>5937</v>
      </c>
      <c r="C601" s="16" t="s">
        <v>30</v>
      </c>
      <c r="D601" s="6" t="s">
        <v>31</v>
      </c>
      <c r="E601" t="s">
        <v>426</v>
      </c>
      <c r="F601" t="s">
        <v>426</v>
      </c>
      <c r="H601" s="11" t="s">
        <v>27</v>
      </c>
      <c r="I601" s="6" t="s">
        <v>28</v>
      </c>
      <c r="J601" s="6" t="s">
        <v>28</v>
      </c>
      <c r="K601" t="s">
        <v>32</v>
      </c>
      <c r="L601" s="35">
        <v>37.53</v>
      </c>
      <c r="M601" s="6" t="s">
        <v>29</v>
      </c>
      <c r="N601" s="6">
        <v>3105</v>
      </c>
      <c r="P601" s="18"/>
      <c r="Q601" s="17"/>
      <c r="R601" s="19">
        <v>33.78</v>
      </c>
      <c r="S601" s="19">
        <v>0</v>
      </c>
      <c r="T601" s="38">
        <v>9</v>
      </c>
      <c r="U601" s="38"/>
      <c r="V601" s="29">
        <v>37.53</v>
      </c>
      <c r="W601" s="35">
        <v>29.98</v>
      </c>
      <c r="X601" s="32">
        <f t="shared" si="99"/>
        <v>337.77</v>
      </c>
      <c r="Y601" s="32">
        <f t="shared" si="100"/>
        <v>337.77</v>
      </c>
      <c r="Z601" s="32">
        <f t="shared" si="101"/>
        <v>0</v>
      </c>
      <c r="AA601" s="38">
        <v>9</v>
      </c>
      <c r="AB601" s="37">
        <f>IFERROR(VLOOKUP(A601,'Tash Lookup'!A:E,3,FALSE),"")</f>
        <v>337.76</v>
      </c>
      <c r="AC601" s="6">
        <f t="shared" si="102"/>
        <v>0</v>
      </c>
      <c r="AD601" s="2" t="s">
        <v>6703</v>
      </c>
      <c r="AF601" s="56">
        <v>31.67</v>
      </c>
      <c r="AG601" s="56">
        <f>VLOOKUP(A601,Sheet1!$A$2:$C$1140,3,FALSE)</f>
        <v>32.619999999999997</v>
      </c>
      <c r="AH601" s="58">
        <v>32.619999999999997</v>
      </c>
      <c r="AI601" s="56" t="str">
        <f t="shared" si="103"/>
        <v>Increase</v>
      </c>
      <c r="AJ601" s="81">
        <f t="shared" si="107"/>
        <v>285.03000000000003</v>
      </c>
      <c r="AK601" s="81">
        <f t="shared" si="108"/>
        <v>293.58</v>
      </c>
      <c r="AL601" s="58" t="s">
        <v>32</v>
      </c>
      <c r="AM601" s="58" t="s">
        <v>6703</v>
      </c>
      <c r="AN601" s="75">
        <v>3</v>
      </c>
      <c r="AO601" s="88">
        <v>32.619999999999997</v>
      </c>
      <c r="AP601" s="6" t="str">
        <f t="shared" si="104"/>
        <v>Increase</v>
      </c>
      <c r="AQ601" s="81">
        <f t="shared" si="105"/>
        <v>95.01</v>
      </c>
      <c r="AR601" s="81">
        <f t="shared" si="106"/>
        <v>97.859999999999985</v>
      </c>
      <c r="AS601" s="82">
        <f t="shared" si="109"/>
        <v>2.8499999999999801</v>
      </c>
    </row>
    <row r="602" spans="1:45" hidden="1" x14ac:dyDescent="0.3">
      <c r="A602">
        <v>6183873</v>
      </c>
      <c r="B602" s="15" t="s">
        <v>5938</v>
      </c>
      <c r="C602" s="16" t="s">
        <v>30</v>
      </c>
      <c r="D602" s="6" t="s">
        <v>31</v>
      </c>
      <c r="E602" t="s">
        <v>866</v>
      </c>
      <c r="F602" t="s">
        <v>866</v>
      </c>
      <c r="H602" s="11" t="s">
        <v>27</v>
      </c>
      <c r="I602" s="6" t="s">
        <v>28</v>
      </c>
      <c r="J602" s="6" t="s">
        <v>28</v>
      </c>
      <c r="K602" t="s">
        <v>32</v>
      </c>
      <c r="L602" s="35">
        <v>4.88</v>
      </c>
      <c r="M602" s="6" t="s">
        <v>29</v>
      </c>
      <c r="N602" s="6">
        <v>3105</v>
      </c>
      <c r="P602" s="18"/>
      <c r="Q602" s="17"/>
      <c r="R602" s="19">
        <v>4.88</v>
      </c>
      <c r="S602" s="19">
        <v>4.88</v>
      </c>
      <c r="T602" s="38">
        <v>9</v>
      </c>
      <c r="U602" s="38"/>
      <c r="V602" s="30">
        <v>4.88</v>
      </c>
      <c r="W602" s="35">
        <v>37.53</v>
      </c>
      <c r="X602" s="32">
        <f t="shared" si="99"/>
        <v>43.92</v>
      </c>
      <c r="Y602" s="32">
        <f t="shared" si="100"/>
        <v>43.92</v>
      </c>
      <c r="Z602" s="32">
        <f t="shared" si="101"/>
        <v>0</v>
      </c>
      <c r="AA602" s="38">
        <v>9</v>
      </c>
      <c r="AB602" s="37">
        <f>IFERROR(VLOOKUP(A602,'Tash Lookup'!A:E,3,FALSE),"")</f>
        <v>43.91</v>
      </c>
      <c r="AC602" s="6">
        <f t="shared" si="102"/>
        <v>0</v>
      </c>
      <c r="AD602" s="2" t="s">
        <v>6703</v>
      </c>
      <c r="AF602" s="56">
        <v>5.22</v>
      </c>
      <c r="AG602" s="56">
        <f>VLOOKUP(A602,Sheet1!$A$2:$C$1140,3,FALSE)</f>
        <v>5.32</v>
      </c>
      <c r="AH602" s="58">
        <v>5.32</v>
      </c>
      <c r="AI602" s="56" t="str">
        <f t="shared" si="103"/>
        <v>Increase</v>
      </c>
      <c r="AJ602" s="81">
        <f t="shared" si="107"/>
        <v>46.98</v>
      </c>
      <c r="AK602" s="81">
        <f t="shared" si="108"/>
        <v>47.88</v>
      </c>
      <c r="AL602" s="58" t="s">
        <v>7206</v>
      </c>
      <c r="AM602" s="58" t="s">
        <v>6703</v>
      </c>
      <c r="AN602" s="75">
        <v>6</v>
      </c>
      <c r="AO602" s="88">
        <v>5.32</v>
      </c>
      <c r="AP602" s="6" t="str">
        <f t="shared" si="104"/>
        <v>Increase</v>
      </c>
      <c r="AQ602" s="81">
        <f t="shared" si="105"/>
        <v>31.32</v>
      </c>
      <c r="AR602" s="81">
        <f t="shared" si="106"/>
        <v>31.92</v>
      </c>
      <c r="AS602" s="82">
        <f t="shared" si="109"/>
        <v>0.60000000000000142</v>
      </c>
    </row>
    <row r="603" spans="1:45" hidden="1" x14ac:dyDescent="0.3">
      <c r="A603">
        <v>6183902</v>
      </c>
      <c r="B603" s="15" t="s">
        <v>5939</v>
      </c>
      <c r="C603" s="16" t="s">
        <v>30</v>
      </c>
      <c r="D603" s="6" t="s">
        <v>31</v>
      </c>
      <c r="E603" t="s">
        <v>903</v>
      </c>
      <c r="F603" t="s">
        <v>903</v>
      </c>
      <c r="H603" s="11" t="s">
        <v>27</v>
      </c>
      <c r="I603" s="6" t="s">
        <v>28</v>
      </c>
      <c r="J603" s="6" t="s">
        <v>28</v>
      </c>
      <c r="K603" t="s">
        <v>32</v>
      </c>
      <c r="L603" s="35">
        <v>7.33</v>
      </c>
      <c r="M603" s="6" t="s">
        <v>29</v>
      </c>
      <c r="N603" s="6">
        <v>3105</v>
      </c>
      <c r="P603" s="18"/>
      <c r="Q603" s="17"/>
      <c r="R603" s="19">
        <v>7.33</v>
      </c>
      <c r="S603" s="19">
        <v>7.33</v>
      </c>
      <c r="T603" s="38">
        <v>9</v>
      </c>
      <c r="U603" s="38"/>
      <c r="V603" s="30">
        <v>7.33</v>
      </c>
      <c r="W603" s="35">
        <v>4.88</v>
      </c>
      <c r="X603" s="32">
        <f t="shared" si="99"/>
        <v>65.97</v>
      </c>
      <c r="Y603" s="32">
        <f t="shared" si="100"/>
        <v>65.97</v>
      </c>
      <c r="Z603" s="32">
        <f t="shared" si="101"/>
        <v>0</v>
      </c>
      <c r="AA603" s="38">
        <v>9</v>
      </c>
      <c r="AB603" s="37">
        <f>IFERROR(VLOOKUP(A603,'Tash Lookup'!A:E,3,FALSE),"")</f>
        <v>65.97</v>
      </c>
      <c r="AC603" s="6">
        <f t="shared" si="102"/>
        <v>0</v>
      </c>
      <c r="AD603" s="2" t="s">
        <v>6703</v>
      </c>
      <c r="AF603" s="56">
        <v>7.33</v>
      </c>
      <c r="AG603" s="56">
        <f>VLOOKUP(A603,Sheet1!$A$2:$C$1140,3,FALSE)</f>
        <v>7.48</v>
      </c>
      <c r="AH603" s="58">
        <v>7.48</v>
      </c>
      <c r="AI603" s="56" t="str">
        <f t="shared" si="103"/>
        <v>Increase</v>
      </c>
      <c r="AJ603" s="81">
        <f t="shared" si="107"/>
        <v>65.97</v>
      </c>
      <c r="AK603" s="81">
        <f t="shared" si="108"/>
        <v>67.320000000000007</v>
      </c>
      <c r="AL603" s="58" t="s">
        <v>7206</v>
      </c>
      <c r="AM603" s="58" t="s">
        <v>6703</v>
      </c>
      <c r="AN603" s="75">
        <v>19</v>
      </c>
      <c r="AO603" s="88">
        <v>7.48</v>
      </c>
      <c r="AP603" s="6" t="str">
        <f t="shared" si="104"/>
        <v>Increase</v>
      </c>
      <c r="AQ603" s="81">
        <f t="shared" si="105"/>
        <v>139.27000000000001</v>
      </c>
      <c r="AR603" s="81">
        <f t="shared" si="106"/>
        <v>142.12</v>
      </c>
      <c r="AS603" s="82">
        <f t="shared" si="109"/>
        <v>2.8499999999999943</v>
      </c>
    </row>
    <row r="604" spans="1:45" hidden="1" x14ac:dyDescent="0.3">
      <c r="A604">
        <v>5090877</v>
      </c>
      <c r="B604" s="15" t="s">
        <v>5940</v>
      </c>
      <c r="C604" s="16" t="s">
        <v>30</v>
      </c>
      <c r="D604" s="6" t="s">
        <v>31</v>
      </c>
      <c r="E604" t="s">
        <v>490</v>
      </c>
      <c r="F604" t="s">
        <v>490</v>
      </c>
      <c r="H604" s="11" t="s">
        <v>27</v>
      </c>
      <c r="I604" s="6" t="s">
        <v>28</v>
      </c>
      <c r="J604" s="6" t="s">
        <v>28</v>
      </c>
      <c r="K604" t="s">
        <v>32</v>
      </c>
      <c r="L604" s="35">
        <v>75.05</v>
      </c>
      <c r="M604" s="6" t="s">
        <v>29</v>
      </c>
      <c r="N604" s="6">
        <v>3105</v>
      </c>
      <c r="P604" s="18"/>
      <c r="Q604" s="17"/>
      <c r="R604" s="19">
        <v>75.05</v>
      </c>
      <c r="S604" s="19">
        <v>75.05</v>
      </c>
      <c r="T604" s="38">
        <v>9</v>
      </c>
      <c r="U604" s="38"/>
      <c r="V604" s="29">
        <v>75.05</v>
      </c>
      <c r="W604" s="35">
        <v>7.33</v>
      </c>
      <c r="X604" s="32">
        <f t="shared" si="99"/>
        <v>675.44999999999993</v>
      </c>
      <c r="Y604" s="32">
        <f t="shared" si="100"/>
        <v>675.44999999999993</v>
      </c>
      <c r="Z604" s="32">
        <f t="shared" si="101"/>
        <v>0</v>
      </c>
      <c r="AA604" s="38">
        <v>9</v>
      </c>
      <c r="AB604" s="37">
        <f>IFERROR(VLOOKUP(A604,'Tash Lookup'!A:E,3,FALSE),"")</f>
        <v>675.43</v>
      </c>
      <c r="AC604" s="6">
        <f t="shared" si="102"/>
        <v>0</v>
      </c>
      <c r="AD604" s="2" t="s">
        <v>6703</v>
      </c>
      <c r="AF604" s="56">
        <v>85.61</v>
      </c>
      <c r="AG604" s="56">
        <f>VLOOKUP(A604,Sheet1!$A$2:$C$1140,3,FALSE)</f>
        <v>88.17</v>
      </c>
      <c r="AH604" s="58">
        <v>88.17</v>
      </c>
      <c r="AI604" s="56" t="str">
        <f t="shared" si="103"/>
        <v>Increase</v>
      </c>
      <c r="AJ604" s="81">
        <f t="shared" si="107"/>
        <v>770.49</v>
      </c>
      <c r="AK604" s="81">
        <f t="shared" si="108"/>
        <v>793.53</v>
      </c>
      <c r="AL604" s="58" t="s">
        <v>32</v>
      </c>
      <c r="AM604" s="58" t="s">
        <v>6703</v>
      </c>
      <c r="AN604" s="75">
        <v>2</v>
      </c>
      <c r="AO604" s="88">
        <v>88.17</v>
      </c>
      <c r="AP604" s="6" t="str">
        <f t="shared" si="104"/>
        <v>Increase</v>
      </c>
      <c r="AQ604" s="81">
        <f t="shared" si="105"/>
        <v>171.22</v>
      </c>
      <c r="AR604" s="81">
        <f t="shared" si="106"/>
        <v>176.34</v>
      </c>
      <c r="AS604" s="82">
        <f t="shared" si="109"/>
        <v>5.1200000000000045</v>
      </c>
    </row>
    <row r="605" spans="1:45" hidden="1" x14ac:dyDescent="0.3">
      <c r="A605">
        <v>5090874</v>
      </c>
      <c r="B605" s="15" t="s">
        <v>5941</v>
      </c>
      <c r="C605" s="16" t="s">
        <v>30</v>
      </c>
      <c r="D605" s="6" t="s">
        <v>31</v>
      </c>
      <c r="E605" t="s">
        <v>491</v>
      </c>
      <c r="F605" t="s">
        <v>491</v>
      </c>
      <c r="H605" s="11" t="s">
        <v>27</v>
      </c>
      <c r="I605" s="6" t="s">
        <v>28</v>
      </c>
      <c r="J605" s="6" t="s">
        <v>28</v>
      </c>
      <c r="K605" t="s">
        <v>32</v>
      </c>
      <c r="L605" s="35">
        <v>42.67</v>
      </c>
      <c r="M605" s="6" t="s">
        <v>29</v>
      </c>
      <c r="N605" s="6">
        <v>3105</v>
      </c>
      <c r="P605" s="18"/>
      <c r="Q605" s="17"/>
      <c r="R605" s="19">
        <v>42.67</v>
      </c>
      <c r="S605" s="19">
        <v>42.67</v>
      </c>
      <c r="T605" s="38">
        <v>9</v>
      </c>
      <c r="U605" s="38"/>
      <c r="V605" s="29">
        <v>42.67</v>
      </c>
      <c r="W605" s="35">
        <v>75.05</v>
      </c>
      <c r="X605" s="32">
        <f t="shared" si="99"/>
        <v>384.03000000000003</v>
      </c>
      <c r="Y605" s="32">
        <f t="shared" si="100"/>
        <v>384.03000000000003</v>
      </c>
      <c r="Z605" s="32">
        <f t="shared" si="101"/>
        <v>0</v>
      </c>
      <c r="AA605" s="38">
        <v>9</v>
      </c>
      <c r="AB605" s="37">
        <f>IFERROR(VLOOKUP(A605,'Tash Lookup'!A:E,3,FALSE),"")</f>
        <v>384.07</v>
      </c>
      <c r="AC605" s="6">
        <f t="shared" si="102"/>
        <v>0</v>
      </c>
      <c r="AD605" s="2" t="s">
        <v>6703</v>
      </c>
      <c r="AF605" s="56">
        <v>51.25</v>
      </c>
      <c r="AG605" s="56">
        <f>VLOOKUP(A605,Sheet1!$A$2:$C$1140,3,FALSE)</f>
        <v>52.79</v>
      </c>
      <c r="AH605" s="58">
        <v>52.79</v>
      </c>
      <c r="AI605" s="56" t="str">
        <f t="shared" si="103"/>
        <v>Increase</v>
      </c>
      <c r="AJ605" s="81">
        <f t="shared" si="107"/>
        <v>461.25</v>
      </c>
      <c r="AK605" s="81">
        <f t="shared" si="108"/>
        <v>475.11</v>
      </c>
      <c r="AL605" s="58" t="s">
        <v>32</v>
      </c>
      <c r="AM605" s="58" t="s">
        <v>6703</v>
      </c>
      <c r="AN605" s="75">
        <v>4</v>
      </c>
      <c r="AO605" s="88">
        <v>52.79</v>
      </c>
      <c r="AP605" s="6" t="str">
        <f t="shared" si="104"/>
        <v>Increase</v>
      </c>
      <c r="AQ605" s="81">
        <f t="shared" si="105"/>
        <v>205</v>
      </c>
      <c r="AR605" s="81">
        <f t="shared" si="106"/>
        <v>211.16</v>
      </c>
      <c r="AS605" s="82">
        <f t="shared" si="109"/>
        <v>6.1599999999999966</v>
      </c>
    </row>
    <row r="606" spans="1:45" hidden="1" x14ac:dyDescent="0.3">
      <c r="A606">
        <v>5083626</v>
      </c>
      <c r="B606" s="15" t="s">
        <v>5942</v>
      </c>
      <c r="C606" s="16" t="s">
        <v>30</v>
      </c>
      <c r="D606" s="6" t="s">
        <v>31</v>
      </c>
      <c r="E606" t="s">
        <v>493</v>
      </c>
      <c r="F606" t="s">
        <v>493</v>
      </c>
      <c r="H606" s="11" t="s">
        <v>27</v>
      </c>
      <c r="I606" s="6" t="s">
        <v>28</v>
      </c>
      <c r="J606" s="6" t="s">
        <v>28</v>
      </c>
      <c r="K606" t="s">
        <v>32</v>
      </c>
      <c r="L606" s="35">
        <v>74.900000000000006</v>
      </c>
      <c r="M606" s="6" t="s">
        <v>29</v>
      </c>
      <c r="N606" s="6">
        <v>3105</v>
      </c>
      <c r="P606" s="18"/>
      <c r="Q606" s="17"/>
      <c r="R606" s="19">
        <v>74.900000000000006</v>
      </c>
      <c r="S606" s="19">
        <v>74.900000000000006</v>
      </c>
      <c r="T606" s="38">
        <v>9</v>
      </c>
      <c r="U606" s="38"/>
      <c r="V606" s="29">
        <v>74.900000000000006</v>
      </c>
      <c r="W606" s="35">
        <v>42.67</v>
      </c>
      <c r="X606" s="32">
        <f t="shared" si="99"/>
        <v>674.1</v>
      </c>
      <c r="Y606" s="32">
        <f t="shared" si="100"/>
        <v>674.1</v>
      </c>
      <c r="Z606" s="32">
        <f t="shared" si="101"/>
        <v>0</v>
      </c>
      <c r="AA606" s="38">
        <v>9</v>
      </c>
      <c r="AB606" s="37">
        <f>IFERROR(VLOOKUP(A606,'Tash Lookup'!A:E,3,FALSE),"")</f>
        <v>685.54</v>
      </c>
      <c r="AC606" s="6">
        <f t="shared" si="102"/>
        <v>0</v>
      </c>
      <c r="AD606" s="2" t="s">
        <v>6703</v>
      </c>
      <c r="AF606" s="56">
        <v>77.03</v>
      </c>
      <c r="AG606" s="56">
        <f>VLOOKUP(A606,Sheet1!$A$2:$C$1140,3,FALSE)</f>
        <v>79.34</v>
      </c>
      <c r="AH606" s="58">
        <v>79.34</v>
      </c>
      <c r="AI606" s="56" t="str">
        <f t="shared" si="103"/>
        <v>Increase</v>
      </c>
      <c r="AJ606" s="81">
        <f t="shared" si="107"/>
        <v>693.27</v>
      </c>
      <c r="AK606" s="81">
        <f t="shared" si="108"/>
        <v>714.06000000000006</v>
      </c>
      <c r="AL606" s="58" t="s">
        <v>32</v>
      </c>
      <c r="AM606" s="58" t="s">
        <v>6703</v>
      </c>
      <c r="AN606" s="75">
        <v>14</v>
      </c>
      <c r="AO606" s="88">
        <v>79.34</v>
      </c>
      <c r="AP606" s="6" t="str">
        <f t="shared" si="104"/>
        <v>Increase</v>
      </c>
      <c r="AQ606" s="81">
        <f t="shared" si="105"/>
        <v>1078.42</v>
      </c>
      <c r="AR606" s="81">
        <f t="shared" si="106"/>
        <v>1110.76</v>
      </c>
      <c r="AS606" s="82">
        <f t="shared" si="109"/>
        <v>32.339999999999918</v>
      </c>
    </row>
    <row r="607" spans="1:45" hidden="1" x14ac:dyDescent="0.3">
      <c r="A607">
        <v>6107261</v>
      </c>
      <c r="B607" s="15" t="s">
        <v>5943</v>
      </c>
      <c r="C607" s="16" t="s">
        <v>30</v>
      </c>
      <c r="D607" s="6" t="s">
        <v>31</v>
      </c>
      <c r="E607" t="s">
        <v>968</v>
      </c>
      <c r="F607" t="s">
        <v>968</v>
      </c>
      <c r="H607" s="11" t="s">
        <v>27</v>
      </c>
      <c r="I607" s="6" t="s">
        <v>28</v>
      </c>
      <c r="J607" s="6" t="s">
        <v>28</v>
      </c>
      <c r="K607" t="s">
        <v>32</v>
      </c>
      <c r="L607" s="35">
        <v>17.12</v>
      </c>
      <c r="M607" s="6" t="s">
        <v>29</v>
      </c>
      <c r="N607" s="6">
        <v>3105</v>
      </c>
      <c r="P607" s="18"/>
      <c r="Q607" s="17"/>
      <c r="R607" s="19">
        <v>17.12</v>
      </c>
      <c r="S607" s="19">
        <v>17.12</v>
      </c>
      <c r="T607" s="38">
        <v>9</v>
      </c>
      <c r="U607" s="38"/>
      <c r="V607" s="29">
        <v>17.12</v>
      </c>
      <c r="W607" s="35">
        <v>74.900000000000006</v>
      </c>
      <c r="X607" s="32">
        <f t="shared" si="99"/>
        <v>154.08000000000001</v>
      </c>
      <c r="Y607" s="32">
        <f t="shared" si="100"/>
        <v>154.08000000000001</v>
      </c>
      <c r="Z607" s="32">
        <f t="shared" si="101"/>
        <v>0</v>
      </c>
      <c r="AA607" s="38">
        <v>9</v>
      </c>
      <c r="AB607" s="37">
        <f>IFERROR(VLOOKUP(A607,'Tash Lookup'!A:E,3,FALSE),"")</f>
        <v>154.09</v>
      </c>
      <c r="AC607" s="6">
        <f t="shared" si="102"/>
        <v>0</v>
      </c>
      <c r="AD607" s="2" t="s">
        <v>6707</v>
      </c>
      <c r="AF607" s="56">
        <v>17.12</v>
      </c>
      <c r="AG607" s="56" t="e">
        <f>VLOOKUP(A607,Sheet1!$A$2:$C$1140,3,FALSE)</f>
        <v>#N/A</v>
      </c>
      <c r="AH607" s="58" t="e">
        <v>#N/A</v>
      </c>
      <c r="AI607" s="56" t="str">
        <f t="shared" si="103"/>
        <v>Delete</v>
      </c>
      <c r="AJ607" s="81">
        <f t="shared" si="107"/>
        <v>154.08000000000001</v>
      </c>
      <c r="AK607" s="81">
        <f t="shared" si="108"/>
        <v>0</v>
      </c>
      <c r="AL607" s="58" t="s">
        <v>7206</v>
      </c>
      <c r="AM607" s="58" t="s">
        <v>6709</v>
      </c>
      <c r="AN607" s="75">
        <v>6</v>
      </c>
      <c r="AO607" s="88">
        <v>17.12</v>
      </c>
      <c r="AP607" s="6" t="str">
        <f t="shared" si="104"/>
        <v>Same</v>
      </c>
      <c r="AQ607" s="81">
        <f t="shared" si="105"/>
        <v>102.72</v>
      </c>
      <c r="AR607" s="81">
        <f t="shared" si="106"/>
        <v>102.72</v>
      </c>
      <c r="AS607" s="81">
        <f t="shared" si="109"/>
        <v>0</v>
      </c>
    </row>
    <row r="608" spans="1:45" hidden="1" x14ac:dyDescent="0.3">
      <c r="A608">
        <v>6392256</v>
      </c>
      <c r="B608" s="15" t="s">
        <v>5944</v>
      </c>
      <c r="C608" s="16" t="s">
        <v>30</v>
      </c>
      <c r="D608" s="6" t="s">
        <v>31</v>
      </c>
      <c r="E608" t="s">
        <v>2553</v>
      </c>
      <c r="F608" t="s">
        <v>2553</v>
      </c>
      <c r="H608" s="11" t="s">
        <v>27</v>
      </c>
      <c r="I608" s="6" t="s">
        <v>28</v>
      </c>
      <c r="J608" s="6" t="s">
        <v>28</v>
      </c>
      <c r="K608" t="s">
        <v>32</v>
      </c>
      <c r="L608" s="35">
        <v>2.81</v>
      </c>
      <c r="M608" s="6" t="s">
        <v>29</v>
      </c>
      <c r="N608" s="6">
        <v>3105</v>
      </c>
      <c r="P608" s="18"/>
      <c r="Q608" s="17"/>
      <c r="R608" s="19">
        <v>2.81</v>
      </c>
      <c r="S608" s="19">
        <v>2.81</v>
      </c>
      <c r="T608" s="38">
        <v>9</v>
      </c>
      <c r="U608" s="38"/>
      <c r="V608" s="30">
        <v>2.81</v>
      </c>
      <c r="W608" s="35">
        <v>17.12</v>
      </c>
      <c r="X608" s="32">
        <f t="shared" si="99"/>
        <v>25.29</v>
      </c>
      <c r="Y608" s="32">
        <f t="shared" si="100"/>
        <v>25.29</v>
      </c>
      <c r="Z608" s="32">
        <f t="shared" si="101"/>
        <v>0</v>
      </c>
      <c r="AA608" s="38">
        <v>9</v>
      </c>
      <c r="AB608" s="37">
        <f>IFERROR(VLOOKUP(A608,'Tash Lookup'!A:E,3,FALSE),"")</f>
        <v>25.26</v>
      </c>
      <c r="AC608" s="6">
        <f t="shared" si="102"/>
        <v>0</v>
      </c>
      <c r="AD608" s="2" t="s">
        <v>6703</v>
      </c>
      <c r="AF608" s="56">
        <v>2.81</v>
      </c>
      <c r="AG608" s="56">
        <f>VLOOKUP(A608,Sheet1!$A$2:$C$1140,3,FALSE)</f>
        <v>2.86</v>
      </c>
      <c r="AH608" s="58">
        <v>2.86</v>
      </c>
      <c r="AI608" s="56" t="str">
        <f t="shared" si="103"/>
        <v>Increase</v>
      </c>
      <c r="AJ608" s="81">
        <f t="shared" si="107"/>
        <v>25.29</v>
      </c>
      <c r="AK608" s="81">
        <f t="shared" si="108"/>
        <v>25.74</v>
      </c>
      <c r="AL608" s="58" t="s">
        <v>7206</v>
      </c>
      <c r="AM608" s="58" t="s">
        <v>6703</v>
      </c>
      <c r="AN608" s="75">
        <v>0</v>
      </c>
      <c r="AO608" s="88">
        <v>2.86</v>
      </c>
      <c r="AP608" s="6" t="str">
        <f t="shared" si="104"/>
        <v>Increase</v>
      </c>
      <c r="AQ608" s="81">
        <f t="shared" si="105"/>
        <v>0</v>
      </c>
      <c r="AR608" s="81">
        <f t="shared" si="106"/>
        <v>0</v>
      </c>
      <c r="AS608" s="81">
        <f t="shared" si="109"/>
        <v>0</v>
      </c>
    </row>
    <row r="609" spans="1:45" hidden="1" x14ac:dyDescent="0.3">
      <c r="A609">
        <v>6414008</v>
      </c>
      <c r="B609" s="15" t="s">
        <v>5945</v>
      </c>
      <c r="C609" s="16" t="s">
        <v>30</v>
      </c>
      <c r="D609" s="6" t="s">
        <v>31</v>
      </c>
      <c r="E609" t="s">
        <v>1049</v>
      </c>
      <c r="F609" t="s">
        <v>1049</v>
      </c>
      <c r="H609" s="11" t="s">
        <v>27</v>
      </c>
      <c r="I609" s="6" t="s">
        <v>28</v>
      </c>
      <c r="J609" s="6" t="s">
        <v>28</v>
      </c>
      <c r="K609" t="s">
        <v>32</v>
      </c>
      <c r="L609" s="35">
        <v>5.43</v>
      </c>
      <c r="M609" s="6" t="s">
        <v>29</v>
      </c>
      <c r="N609" s="6">
        <v>3105</v>
      </c>
      <c r="P609" s="18"/>
      <c r="Q609" s="17"/>
      <c r="R609" s="19">
        <v>0</v>
      </c>
      <c r="S609" s="19">
        <v>0</v>
      </c>
      <c r="T609" s="38">
        <v>9</v>
      </c>
      <c r="U609" s="38"/>
      <c r="V609" s="31">
        <v>5.43</v>
      </c>
      <c r="W609" s="35">
        <v>2.81</v>
      </c>
      <c r="X609" s="32">
        <f t="shared" si="99"/>
        <v>48.87</v>
      </c>
      <c r="Y609" s="32">
        <f t="shared" si="100"/>
        <v>48.87</v>
      </c>
      <c r="Z609" s="32">
        <f t="shared" si="101"/>
        <v>0</v>
      </c>
      <c r="AA609" s="38">
        <v>9</v>
      </c>
      <c r="AB609" s="37">
        <f>IFERROR(VLOOKUP(A609,'Tash Lookup'!A:E,3,FALSE),"")</f>
        <v>48.73</v>
      </c>
      <c r="AC609" s="6">
        <f t="shared" si="102"/>
        <v>0</v>
      </c>
      <c r="AD609" s="2" t="s">
        <v>6703</v>
      </c>
      <c r="AF609" s="56">
        <v>5.57</v>
      </c>
      <c r="AG609" s="56">
        <f>VLOOKUP(A609,Sheet1!$A$2:$C$1140,3,FALSE)</f>
        <v>5.68</v>
      </c>
      <c r="AH609" s="58">
        <v>5.68</v>
      </c>
      <c r="AI609" s="56" t="str">
        <f t="shared" si="103"/>
        <v>Increase</v>
      </c>
      <c r="AJ609" s="81">
        <f t="shared" si="107"/>
        <v>50.13</v>
      </c>
      <c r="AK609" s="81">
        <f t="shared" si="108"/>
        <v>51.12</v>
      </c>
      <c r="AL609" s="58" t="s">
        <v>7206</v>
      </c>
      <c r="AM609" s="58" t="s">
        <v>6703</v>
      </c>
      <c r="AN609" s="75">
        <v>20</v>
      </c>
      <c r="AO609" s="88">
        <v>5.68</v>
      </c>
      <c r="AP609" s="6" t="str">
        <f t="shared" si="104"/>
        <v>Increase</v>
      </c>
      <c r="AQ609" s="81">
        <f t="shared" si="105"/>
        <v>111.4</v>
      </c>
      <c r="AR609" s="81">
        <f t="shared" si="106"/>
        <v>113.6</v>
      </c>
      <c r="AS609" s="82">
        <f t="shared" si="109"/>
        <v>2.1999999999999886</v>
      </c>
    </row>
    <row r="610" spans="1:45" hidden="1" x14ac:dyDescent="0.3">
      <c r="A610">
        <v>6054204</v>
      </c>
      <c r="B610" s="15" t="s">
        <v>5946</v>
      </c>
      <c r="C610" s="16" t="s">
        <v>30</v>
      </c>
      <c r="D610" s="6" t="s">
        <v>31</v>
      </c>
      <c r="E610" t="s">
        <v>1191</v>
      </c>
      <c r="F610" t="s">
        <v>1191</v>
      </c>
      <c r="H610" s="11" t="s">
        <v>27</v>
      </c>
      <c r="I610" s="6" t="s">
        <v>28</v>
      </c>
      <c r="J610" s="6" t="s">
        <v>28</v>
      </c>
      <c r="K610" t="s">
        <v>32</v>
      </c>
      <c r="L610" s="35">
        <v>4.12</v>
      </c>
      <c r="M610" s="6" t="s">
        <v>29</v>
      </c>
      <c r="N610" s="6">
        <v>3105</v>
      </c>
      <c r="P610" s="18"/>
      <c r="Q610" s="17"/>
      <c r="R610" s="19">
        <v>0</v>
      </c>
      <c r="S610" s="19">
        <v>0</v>
      </c>
      <c r="T610" s="38">
        <v>9</v>
      </c>
      <c r="U610" s="38"/>
      <c r="V610" s="31">
        <v>4.12</v>
      </c>
      <c r="W610" s="35">
        <v>5.43</v>
      </c>
      <c r="X610" s="32">
        <f t="shared" si="99"/>
        <v>37.08</v>
      </c>
      <c r="Y610" s="32">
        <f t="shared" si="100"/>
        <v>37.08</v>
      </c>
      <c r="Z610" s="32">
        <f t="shared" si="101"/>
        <v>0</v>
      </c>
      <c r="AA610" s="38">
        <v>9</v>
      </c>
      <c r="AB610" s="37">
        <f>IFERROR(VLOOKUP(A610,'Tash Lookup'!A:E,3,FALSE),"")</f>
        <v>36.71</v>
      </c>
      <c r="AC610" s="6">
        <f t="shared" si="102"/>
        <v>0</v>
      </c>
      <c r="AD610" s="2" t="s">
        <v>6703</v>
      </c>
      <c r="AF610" s="56">
        <v>4.12</v>
      </c>
      <c r="AG610" s="56">
        <f>VLOOKUP(A610,Sheet1!$A$2:$C$1140,3,FALSE)</f>
        <v>4.2</v>
      </c>
      <c r="AH610" s="58">
        <v>4.2</v>
      </c>
      <c r="AI610" s="56" t="str">
        <f t="shared" si="103"/>
        <v>Increase</v>
      </c>
      <c r="AJ610" s="81">
        <f t="shared" si="107"/>
        <v>37.08</v>
      </c>
      <c r="AK610" s="81">
        <f t="shared" si="108"/>
        <v>37.800000000000004</v>
      </c>
      <c r="AL610" s="58" t="s">
        <v>7206</v>
      </c>
      <c r="AM610" s="58" t="s">
        <v>6703</v>
      </c>
      <c r="AN610" s="75">
        <v>7</v>
      </c>
      <c r="AO610" s="88">
        <v>4.2</v>
      </c>
      <c r="AP610" s="6" t="str">
        <f t="shared" si="104"/>
        <v>Increase</v>
      </c>
      <c r="AQ610" s="81">
        <f t="shared" si="105"/>
        <v>28.84</v>
      </c>
      <c r="AR610" s="81">
        <f t="shared" si="106"/>
        <v>29.400000000000002</v>
      </c>
      <c r="AS610" s="82">
        <f t="shared" si="109"/>
        <v>0.56000000000000227</v>
      </c>
    </row>
    <row r="611" spans="1:45" hidden="1" x14ac:dyDescent="0.3">
      <c r="A611">
        <v>6373251</v>
      </c>
      <c r="B611" s="15" t="s">
        <v>5947</v>
      </c>
      <c r="C611" s="16" t="s">
        <v>30</v>
      </c>
      <c r="D611" s="6" t="s">
        <v>31</v>
      </c>
      <c r="E611" t="s">
        <v>1273</v>
      </c>
      <c r="F611" t="s">
        <v>1273</v>
      </c>
      <c r="H611" s="11" t="s">
        <v>27</v>
      </c>
      <c r="I611" s="6" t="s">
        <v>28</v>
      </c>
      <c r="J611" s="6" t="s">
        <v>28</v>
      </c>
      <c r="K611" t="s">
        <v>32</v>
      </c>
      <c r="L611" s="35">
        <v>78.02</v>
      </c>
      <c r="M611" s="6" t="s">
        <v>29</v>
      </c>
      <c r="N611" s="6">
        <v>3105</v>
      </c>
      <c r="P611" s="18"/>
      <c r="Q611" s="17"/>
      <c r="R611" s="19">
        <v>78.02</v>
      </c>
      <c r="S611" s="19">
        <v>78.02</v>
      </c>
      <c r="T611" s="38">
        <v>9</v>
      </c>
      <c r="U611" s="38"/>
      <c r="V611" s="30">
        <v>78.02</v>
      </c>
      <c r="W611" s="35">
        <v>4.12</v>
      </c>
      <c r="X611" s="32">
        <f t="shared" si="99"/>
        <v>702.18</v>
      </c>
      <c r="Y611" s="32">
        <f t="shared" si="100"/>
        <v>702.18</v>
      </c>
      <c r="Z611" s="32">
        <f t="shared" si="101"/>
        <v>0</v>
      </c>
      <c r="AA611" s="38">
        <v>9</v>
      </c>
      <c r="AB611" s="37">
        <f>IFERROR(VLOOKUP(A611,'Tash Lookup'!A:E,3,FALSE),"")</f>
        <v>702.16</v>
      </c>
      <c r="AC611" s="6">
        <f t="shared" si="102"/>
        <v>0</v>
      </c>
      <c r="AD611" s="2" t="s">
        <v>6703</v>
      </c>
      <c r="AF611" s="56">
        <v>81.93</v>
      </c>
      <c r="AG611" s="56">
        <f>VLOOKUP(A611,Sheet1!$A$2:$C$1140,3,FALSE)</f>
        <v>78.8</v>
      </c>
      <c r="AH611" s="58">
        <v>78.8</v>
      </c>
      <c r="AI611" s="56" t="str">
        <f t="shared" si="103"/>
        <v>Decrease</v>
      </c>
      <c r="AJ611" s="81">
        <f t="shared" si="107"/>
        <v>737.37000000000012</v>
      </c>
      <c r="AK611" s="81">
        <f t="shared" si="108"/>
        <v>709.19999999999993</v>
      </c>
      <c r="AL611" s="58" t="s">
        <v>7206</v>
      </c>
      <c r="AM611" s="58" t="s">
        <v>6703</v>
      </c>
      <c r="AN611" s="75">
        <v>7</v>
      </c>
      <c r="AO611" s="88">
        <v>78.8</v>
      </c>
      <c r="AP611" s="6" t="str">
        <f t="shared" si="104"/>
        <v>Decrease</v>
      </c>
      <c r="AQ611" s="81">
        <f t="shared" si="105"/>
        <v>573.51</v>
      </c>
      <c r="AR611" s="81">
        <f t="shared" si="106"/>
        <v>551.6</v>
      </c>
      <c r="AS611" s="83">
        <f t="shared" si="109"/>
        <v>-21.909999999999968</v>
      </c>
    </row>
    <row r="612" spans="1:45" hidden="1" x14ac:dyDescent="0.3">
      <c r="A612">
        <v>6393688</v>
      </c>
      <c r="B612" s="15" t="s">
        <v>5948</v>
      </c>
      <c r="C612" s="16" t="s">
        <v>30</v>
      </c>
      <c r="D612" s="6" t="s">
        <v>31</v>
      </c>
      <c r="E612" t="s">
        <v>663</v>
      </c>
      <c r="F612" t="s">
        <v>663</v>
      </c>
      <c r="H612" s="11" t="s">
        <v>27</v>
      </c>
      <c r="I612" s="6" t="s">
        <v>28</v>
      </c>
      <c r="J612" s="6" t="s">
        <v>28</v>
      </c>
      <c r="K612" t="s">
        <v>32</v>
      </c>
      <c r="L612" s="35">
        <v>6.41</v>
      </c>
      <c r="M612" s="6" t="s">
        <v>29</v>
      </c>
      <c r="N612" s="6">
        <v>3105</v>
      </c>
      <c r="P612" s="18"/>
      <c r="Q612" s="17"/>
      <c r="R612" s="19">
        <v>6.41</v>
      </c>
      <c r="S612" s="19">
        <v>6.41</v>
      </c>
      <c r="T612" s="38">
        <v>9</v>
      </c>
      <c r="U612" s="38"/>
      <c r="V612" s="30">
        <v>6.41</v>
      </c>
      <c r="W612" s="35">
        <v>78.02</v>
      </c>
      <c r="X612" s="32">
        <f t="shared" si="99"/>
        <v>57.69</v>
      </c>
      <c r="Y612" s="32">
        <f t="shared" si="100"/>
        <v>57.69</v>
      </c>
      <c r="Z612" s="32">
        <f t="shared" si="101"/>
        <v>0</v>
      </c>
      <c r="AA612" s="38">
        <v>9</v>
      </c>
      <c r="AB612" s="37">
        <f>IFERROR(VLOOKUP(A612,'Tash Lookup'!A:E,3,FALSE),"")</f>
        <v>57.67</v>
      </c>
      <c r="AC612" s="6">
        <f t="shared" si="102"/>
        <v>0</v>
      </c>
      <c r="AD612" s="2" t="s">
        <v>6703</v>
      </c>
      <c r="AF612" s="56">
        <v>6.41</v>
      </c>
      <c r="AG612" s="56">
        <f>VLOOKUP(A612,Sheet1!$A$2:$C$1140,3,FALSE)</f>
        <v>6.54</v>
      </c>
      <c r="AH612" s="58">
        <v>6.54</v>
      </c>
      <c r="AI612" s="56" t="str">
        <f t="shared" si="103"/>
        <v>Increase</v>
      </c>
      <c r="AJ612" s="81">
        <f t="shared" si="107"/>
        <v>57.69</v>
      </c>
      <c r="AK612" s="81">
        <f t="shared" si="108"/>
        <v>58.86</v>
      </c>
      <c r="AL612" s="58" t="s">
        <v>7206</v>
      </c>
      <c r="AM612" s="58" t="s">
        <v>6703</v>
      </c>
      <c r="AN612" s="75">
        <v>3</v>
      </c>
      <c r="AO612" s="88">
        <v>6.54</v>
      </c>
      <c r="AP612" s="6" t="str">
        <f t="shared" si="104"/>
        <v>Increase</v>
      </c>
      <c r="AQ612" s="81">
        <f t="shared" si="105"/>
        <v>19.23</v>
      </c>
      <c r="AR612" s="81">
        <f t="shared" si="106"/>
        <v>19.62</v>
      </c>
      <c r="AS612" s="82">
        <f t="shared" si="109"/>
        <v>0.39000000000000057</v>
      </c>
    </row>
    <row r="613" spans="1:45" hidden="1" x14ac:dyDescent="0.3">
      <c r="A613">
        <v>5218658</v>
      </c>
      <c r="B613" s="15" t="s">
        <v>5949</v>
      </c>
      <c r="C613" s="16" t="s">
        <v>30</v>
      </c>
      <c r="D613" s="6" t="s">
        <v>31</v>
      </c>
      <c r="E613" t="s">
        <v>287</v>
      </c>
      <c r="F613" t="s">
        <v>287</v>
      </c>
      <c r="H613" s="11" t="s">
        <v>27</v>
      </c>
      <c r="I613" s="6" t="s">
        <v>28</v>
      </c>
      <c r="J613" s="6" t="s">
        <v>28</v>
      </c>
      <c r="K613" t="s">
        <v>32</v>
      </c>
      <c r="L613" s="35">
        <v>13.17</v>
      </c>
      <c r="M613" s="6" t="s">
        <v>29</v>
      </c>
      <c r="N613" s="6">
        <v>3105</v>
      </c>
      <c r="P613" s="18"/>
      <c r="Q613" s="17"/>
      <c r="R613" s="19">
        <v>13.17</v>
      </c>
      <c r="S613" s="19">
        <v>13.17</v>
      </c>
      <c r="T613" s="38">
        <v>9</v>
      </c>
      <c r="U613" s="38"/>
      <c r="V613" s="29">
        <v>13.17</v>
      </c>
      <c r="W613" s="35">
        <v>6.41</v>
      </c>
      <c r="X613" s="32">
        <f t="shared" si="99"/>
        <v>118.53</v>
      </c>
      <c r="Y613" s="32">
        <f t="shared" si="100"/>
        <v>118.53</v>
      </c>
      <c r="Z613" s="32">
        <f t="shared" si="101"/>
        <v>0</v>
      </c>
      <c r="AA613" s="38">
        <v>9</v>
      </c>
      <c r="AB613" s="37">
        <f>IFERROR(VLOOKUP(A613,'Tash Lookup'!A:E,3,FALSE),"")</f>
        <v>88.02</v>
      </c>
      <c r="AC613" s="6">
        <f t="shared" si="102"/>
        <v>0</v>
      </c>
      <c r="AD613" s="2" t="s">
        <v>6703</v>
      </c>
      <c r="AF613" s="56">
        <v>15.3</v>
      </c>
      <c r="AG613" s="56">
        <f>VLOOKUP(A613,Sheet1!$A$2:$C$1140,3,FALSE)</f>
        <v>15.76</v>
      </c>
      <c r="AH613" s="58">
        <v>15.76</v>
      </c>
      <c r="AI613" s="56" t="str">
        <f t="shared" si="103"/>
        <v>Increase</v>
      </c>
      <c r="AJ613" s="81">
        <f t="shared" si="107"/>
        <v>137.70000000000002</v>
      </c>
      <c r="AK613" s="81">
        <f t="shared" si="108"/>
        <v>141.84</v>
      </c>
      <c r="AL613" s="58" t="s">
        <v>32</v>
      </c>
      <c r="AM613" s="58" t="s">
        <v>6703</v>
      </c>
      <c r="AN613" s="75">
        <v>4</v>
      </c>
      <c r="AO613" s="88">
        <v>15.76</v>
      </c>
      <c r="AP613" s="6" t="str">
        <f t="shared" si="104"/>
        <v>Increase</v>
      </c>
      <c r="AQ613" s="81">
        <f t="shared" si="105"/>
        <v>61.2</v>
      </c>
      <c r="AR613" s="81">
        <f t="shared" si="106"/>
        <v>63.04</v>
      </c>
      <c r="AS613" s="82">
        <f t="shared" si="109"/>
        <v>1.8399999999999963</v>
      </c>
    </row>
    <row r="614" spans="1:45" hidden="1" x14ac:dyDescent="0.3">
      <c r="A614">
        <v>5183391</v>
      </c>
      <c r="B614" s="15" t="s">
        <v>5950</v>
      </c>
      <c r="C614" s="16" t="s">
        <v>30</v>
      </c>
      <c r="D614" s="6" t="s">
        <v>31</v>
      </c>
      <c r="E614" t="s">
        <v>575</v>
      </c>
      <c r="F614" t="s">
        <v>575</v>
      </c>
      <c r="H614" s="11" t="s">
        <v>27</v>
      </c>
      <c r="I614" s="6" t="s">
        <v>28</v>
      </c>
      <c r="J614" s="6" t="s">
        <v>28</v>
      </c>
      <c r="K614" t="s">
        <v>32</v>
      </c>
      <c r="L614" s="35">
        <v>29.98</v>
      </c>
      <c r="M614" s="6" t="s">
        <v>29</v>
      </c>
      <c r="N614" s="6">
        <v>3105</v>
      </c>
      <c r="P614" s="18"/>
      <c r="Q614" s="17"/>
      <c r="R614" s="19">
        <v>29.98</v>
      </c>
      <c r="S614" s="19">
        <v>29.98</v>
      </c>
      <c r="T614" s="38">
        <v>9</v>
      </c>
      <c r="U614" s="38"/>
      <c r="V614" s="29">
        <v>29.98</v>
      </c>
      <c r="W614" s="45">
        <v>7.71</v>
      </c>
      <c r="X614" s="32">
        <f t="shared" si="99"/>
        <v>269.82</v>
      </c>
      <c r="Y614" s="32">
        <f t="shared" si="100"/>
        <v>269.82</v>
      </c>
      <c r="Z614" s="32">
        <f t="shared" si="101"/>
        <v>0</v>
      </c>
      <c r="AA614" s="38">
        <v>9</v>
      </c>
      <c r="AB614" s="37">
        <f>IFERROR(VLOOKUP(A614,'Tash Lookup'!A:E,3,FALSE),"")</f>
        <v>295.94</v>
      </c>
      <c r="AC614" s="6">
        <f t="shared" si="102"/>
        <v>0</v>
      </c>
      <c r="AD614" s="2" t="s">
        <v>6703</v>
      </c>
      <c r="AF614" s="56">
        <v>31.91</v>
      </c>
      <c r="AG614" s="56">
        <f>VLOOKUP(A614,Sheet1!$A$2:$C$1140,3,FALSE)</f>
        <v>31.91</v>
      </c>
      <c r="AH614" s="58">
        <v>31.91</v>
      </c>
      <c r="AI614" s="56" t="str">
        <f t="shared" si="103"/>
        <v>Same</v>
      </c>
      <c r="AJ614" s="81">
        <f t="shared" si="107"/>
        <v>287.19</v>
      </c>
      <c r="AK614" s="81">
        <f t="shared" si="108"/>
        <v>287.19</v>
      </c>
      <c r="AL614" s="58" t="s">
        <v>32</v>
      </c>
      <c r="AM614" s="58" t="s">
        <v>6708</v>
      </c>
      <c r="AN614" s="75">
        <v>9</v>
      </c>
      <c r="AO614" s="88">
        <v>31.91</v>
      </c>
      <c r="AP614" s="6" t="str">
        <f t="shared" si="104"/>
        <v>Same</v>
      </c>
      <c r="AQ614" s="81">
        <f t="shared" si="105"/>
        <v>287.19</v>
      </c>
      <c r="AR614" s="81">
        <f t="shared" si="106"/>
        <v>287.19</v>
      </c>
      <c r="AS614" s="81">
        <f t="shared" si="109"/>
        <v>0</v>
      </c>
    </row>
    <row r="615" spans="1:45" hidden="1" x14ac:dyDescent="0.3">
      <c r="A615">
        <v>6183938</v>
      </c>
      <c r="B615" s="15" t="s">
        <v>5951</v>
      </c>
      <c r="C615" s="16" t="s">
        <v>30</v>
      </c>
      <c r="D615" s="6" t="s">
        <v>31</v>
      </c>
      <c r="E615" t="s">
        <v>698</v>
      </c>
      <c r="F615" t="s">
        <v>698</v>
      </c>
      <c r="H615" s="11" t="s">
        <v>27</v>
      </c>
      <c r="I615" s="6" t="s">
        <v>28</v>
      </c>
      <c r="J615" s="6" t="s">
        <v>28</v>
      </c>
      <c r="K615" t="s">
        <v>32</v>
      </c>
      <c r="L615" s="35">
        <v>8.27</v>
      </c>
      <c r="M615" s="6" t="s">
        <v>29</v>
      </c>
      <c r="N615" s="6">
        <v>3105</v>
      </c>
      <c r="P615" s="18"/>
      <c r="Q615" s="17"/>
      <c r="R615" s="19">
        <v>8.27</v>
      </c>
      <c r="S615" s="19">
        <v>8.27</v>
      </c>
      <c r="T615" s="38">
        <v>9</v>
      </c>
      <c r="U615" s="38"/>
      <c r="V615" s="30">
        <v>8.27</v>
      </c>
      <c r="W615" s="35">
        <v>29.98</v>
      </c>
      <c r="X615" s="32">
        <f t="shared" si="99"/>
        <v>74.429999999999993</v>
      </c>
      <c r="Y615" s="32">
        <f t="shared" si="100"/>
        <v>74.429999999999993</v>
      </c>
      <c r="Z615" s="32">
        <f t="shared" si="101"/>
        <v>0</v>
      </c>
      <c r="AA615" s="38">
        <v>9</v>
      </c>
      <c r="AB615" s="37">
        <f>IFERROR(VLOOKUP(A615,'Tash Lookup'!A:E,3,FALSE),"")</f>
        <v>74.430000000000007</v>
      </c>
      <c r="AC615" s="6">
        <f t="shared" si="102"/>
        <v>0</v>
      </c>
      <c r="AD615" s="2" t="s">
        <v>6703</v>
      </c>
      <c r="AF615" s="56">
        <v>8.27</v>
      </c>
      <c r="AG615" s="56">
        <f>VLOOKUP(A615,Sheet1!$A$2:$C$1140,3,FALSE)</f>
        <v>8.44</v>
      </c>
      <c r="AH615" s="58">
        <v>8.44</v>
      </c>
      <c r="AI615" s="56" t="str">
        <f t="shared" si="103"/>
        <v>Increase</v>
      </c>
      <c r="AJ615" s="81">
        <f t="shared" si="107"/>
        <v>74.429999999999993</v>
      </c>
      <c r="AK615" s="81">
        <f t="shared" si="108"/>
        <v>75.959999999999994</v>
      </c>
      <c r="AL615" s="58" t="s">
        <v>7206</v>
      </c>
      <c r="AM615" s="58" t="s">
        <v>6703</v>
      </c>
      <c r="AN615" s="75">
        <v>16</v>
      </c>
      <c r="AO615" s="88">
        <v>8.44</v>
      </c>
      <c r="AP615" s="6" t="str">
        <f t="shared" si="104"/>
        <v>Increase</v>
      </c>
      <c r="AQ615" s="81">
        <f t="shared" si="105"/>
        <v>132.32</v>
      </c>
      <c r="AR615" s="81">
        <f t="shared" si="106"/>
        <v>135.04</v>
      </c>
      <c r="AS615" s="82">
        <f t="shared" si="109"/>
        <v>2.7199999999999989</v>
      </c>
    </row>
    <row r="616" spans="1:45" hidden="1" x14ac:dyDescent="0.3">
      <c r="A616">
        <v>5082969</v>
      </c>
      <c r="B616" s="15" t="s">
        <v>5952</v>
      </c>
      <c r="C616" s="16" t="s">
        <v>30</v>
      </c>
      <c r="D616" s="6" t="s">
        <v>31</v>
      </c>
      <c r="E616" t="s">
        <v>464</v>
      </c>
      <c r="F616" t="s">
        <v>464</v>
      </c>
      <c r="H616" s="11" t="s">
        <v>27</v>
      </c>
      <c r="I616" s="6" t="s">
        <v>28</v>
      </c>
      <c r="J616" s="6" t="s">
        <v>28</v>
      </c>
      <c r="K616" t="s">
        <v>32</v>
      </c>
      <c r="L616" s="35">
        <v>47.12</v>
      </c>
      <c r="M616" s="6" t="s">
        <v>29</v>
      </c>
      <c r="N616" s="6">
        <v>3105</v>
      </c>
      <c r="P616" s="18"/>
      <c r="Q616" s="17"/>
      <c r="R616" s="19">
        <v>47.12</v>
      </c>
      <c r="S616" s="19">
        <v>47.12</v>
      </c>
      <c r="T616" s="38">
        <v>9</v>
      </c>
      <c r="U616" s="38"/>
      <c r="V616" s="29">
        <v>47.12</v>
      </c>
      <c r="W616" s="35">
        <v>8.27</v>
      </c>
      <c r="X616" s="32">
        <f t="shared" si="99"/>
        <v>424.08</v>
      </c>
      <c r="Y616" s="32">
        <f t="shared" si="100"/>
        <v>424.08</v>
      </c>
      <c r="Z616" s="32">
        <f t="shared" si="101"/>
        <v>0</v>
      </c>
      <c r="AA616" s="38">
        <v>9</v>
      </c>
      <c r="AB616" s="37">
        <f>IFERROR(VLOOKUP(A616,'Tash Lookup'!A:E,3,FALSE),"")</f>
        <v>453.1</v>
      </c>
      <c r="AC616" s="6">
        <f t="shared" si="102"/>
        <v>0</v>
      </c>
      <c r="AD616" s="2" t="s">
        <v>6703</v>
      </c>
      <c r="AF616" s="56">
        <v>48.54</v>
      </c>
      <c r="AG616" s="56">
        <f>VLOOKUP(A616,Sheet1!$A$2:$C$1140,3,FALSE)</f>
        <v>49.99</v>
      </c>
      <c r="AH616" s="58">
        <v>49.99</v>
      </c>
      <c r="AI616" s="56" t="str">
        <f t="shared" si="103"/>
        <v>Increase</v>
      </c>
      <c r="AJ616" s="81">
        <f t="shared" si="107"/>
        <v>436.86</v>
      </c>
      <c r="AK616" s="81">
        <f t="shared" si="108"/>
        <v>449.91</v>
      </c>
      <c r="AL616" s="58" t="s">
        <v>32</v>
      </c>
      <c r="AM616" s="58" t="s">
        <v>6703</v>
      </c>
      <c r="AN616" s="75">
        <v>4</v>
      </c>
      <c r="AO616" s="88">
        <v>49.99</v>
      </c>
      <c r="AP616" s="6" t="str">
        <f t="shared" si="104"/>
        <v>Increase</v>
      </c>
      <c r="AQ616" s="81">
        <f t="shared" si="105"/>
        <v>194.16</v>
      </c>
      <c r="AR616" s="81">
        <f t="shared" si="106"/>
        <v>199.96</v>
      </c>
      <c r="AS616" s="82">
        <f t="shared" si="109"/>
        <v>5.8000000000000114</v>
      </c>
    </row>
    <row r="617" spans="1:45" hidden="1" x14ac:dyDescent="0.3">
      <c r="A617">
        <v>6188858</v>
      </c>
      <c r="B617" s="15" t="s">
        <v>5953</v>
      </c>
      <c r="C617" s="16" t="s">
        <v>30</v>
      </c>
      <c r="D617" s="6" t="s">
        <v>31</v>
      </c>
      <c r="E617" t="s">
        <v>841</v>
      </c>
      <c r="F617" t="s">
        <v>841</v>
      </c>
      <c r="H617" s="11" t="s">
        <v>27</v>
      </c>
      <c r="I617" s="6" t="s">
        <v>28</v>
      </c>
      <c r="J617" s="6" t="s">
        <v>28</v>
      </c>
      <c r="K617" t="s">
        <v>32</v>
      </c>
      <c r="L617" s="35">
        <v>7.46</v>
      </c>
      <c r="M617" s="6" t="s">
        <v>29</v>
      </c>
      <c r="N617" s="6">
        <v>3105</v>
      </c>
      <c r="P617" s="18"/>
      <c r="Q617" s="17"/>
      <c r="R617" s="19">
        <v>8.4</v>
      </c>
      <c r="S617" s="19">
        <v>0</v>
      </c>
      <c r="T617" s="38">
        <v>9</v>
      </c>
      <c r="U617" s="38"/>
      <c r="V617" s="30">
        <v>8.4</v>
      </c>
      <c r="W617" s="35">
        <v>47.12</v>
      </c>
      <c r="X617" s="32">
        <f t="shared" si="99"/>
        <v>75.600000000000009</v>
      </c>
      <c r="Y617" s="32">
        <f t="shared" si="100"/>
        <v>67.14</v>
      </c>
      <c r="Z617" s="32">
        <f t="shared" si="101"/>
        <v>8.460000000000008</v>
      </c>
      <c r="AA617" s="38">
        <v>9</v>
      </c>
      <c r="AB617" s="37">
        <f>IFERROR(VLOOKUP(A617,'Tash Lookup'!A:E,3,FALSE),"")</f>
        <v>65.22</v>
      </c>
      <c r="AC617" s="6">
        <f t="shared" si="102"/>
        <v>0</v>
      </c>
      <c r="AD617" s="2" t="s">
        <v>6703</v>
      </c>
      <c r="AF617" s="56">
        <v>8.4</v>
      </c>
      <c r="AG617" s="56">
        <f>VLOOKUP(A617,Sheet1!$A$2:$C$1140,3,FALSE)</f>
        <v>8.57</v>
      </c>
      <c r="AH617" s="58">
        <v>8.57</v>
      </c>
      <c r="AI617" s="56" t="str">
        <f t="shared" si="103"/>
        <v>Increase</v>
      </c>
      <c r="AJ617" s="81">
        <f t="shared" si="107"/>
        <v>75.600000000000009</v>
      </c>
      <c r="AK617" s="81">
        <f t="shared" si="108"/>
        <v>77.13</v>
      </c>
      <c r="AL617" s="58" t="s">
        <v>7206</v>
      </c>
      <c r="AM617" s="58" t="s">
        <v>6703</v>
      </c>
      <c r="AN617" s="75">
        <v>4</v>
      </c>
      <c r="AO617" s="88">
        <v>8.57</v>
      </c>
      <c r="AP617" s="6" t="str">
        <f t="shared" si="104"/>
        <v>Increase</v>
      </c>
      <c r="AQ617" s="81">
        <f t="shared" si="105"/>
        <v>33.6</v>
      </c>
      <c r="AR617" s="81">
        <f t="shared" si="106"/>
        <v>34.28</v>
      </c>
      <c r="AS617" s="82">
        <f t="shared" si="109"/>
        <v>0.67999999999999972</v>
      </c>
    </row>
    <row r="618" spans="1:45" hidden="1" x14ac:dyDescent="0.3">
      <c r="A618">
        <v>5090786</v>
      </c>
      <c r="B618" s="15" t="s">
        <v>5954</v>
      </c>
      <c r="C618" s="16" t="s">
        <v>30</v>
      </c>
      <c r="D618" s="6" t="s">
        <v>31</v>
      </c>
      <c r="E618" t="s">
        <v>233</v>
      </c>
      <c r="F618" t="s">
        <v>233</v>
      </c>
      <c r="H618" s="11" t="s">
        <v>27</v>
      </c>
      <c r="I618" s="6" t="s">
        <v>28</v>
      </c>
      <c r="J618" s="6" t="s">
        <v>28</v>
      </c>
      <c r="K618" t="s">
        <v>32</v>
      </c>
      <c r="L618" s="35">
        <v>21.66</v>
      </c>
      <c r="M618" s="6" t="s">
        <v>29</v>
      </c>
      <c r="N618" s="6">
        <v>3105</v>
      </c>
      <c r="P618" s="18"/>
      <c r="Q618" s="17"/>
      <c r="R618" s="19">
        <v>21.66</v>
      </c>
      <c r="S618" s="19">
        <v>21.66</v>
      </c>
      <c r="T618" s="38">
        <v>9</v>
      </c>
      <c r="U618" s="38"/>
      <c r="V618" s="29">
        <v>21.66</v>
      </c>
      <c r="W618" s="35">
        <v>21.66</v>
      </c>
      <c r="X618" s="32">
        <f t="shared" si="99"/>
        <v>194.94</v>
      </c>
      <c r="Y618" s="32">
        <f t="shared" si="100"/>
        <v>194.94</v>
      </c>
      <c r="Z618" s="32">
        <f t="shared" si="101"/>
        <v>0</v>
      </c>
      <c r="AA618" s="38">
        <v>9</v>
      </c>
      <c r="AB618" s="37">
        <f>IFERROR(VLOOKUP(A618,'Tash Lookup'!A:E,3,FALSE),"")</f>
        <v>194.95</v>
      </c>
      <c r="AC618" s="6">
        <f t="shared" si="102"/>
        <v>0</v>
      </c>
      <c r="AD618" s="2" t="s">
        <v>6703</v>
      </c>
      <c r="AF618" s="56">
        <v>24.49</v>
      </c>
      <c r="AG618" s="56">
        <f>VLOOKUP(A618,Sheet1!$A$2:$C$1140,3,FALSE)</f>
        <v>24.49</v>
      </c>
      <c r="AH618" s="58">
        <v>24.49</v>
      </c>
      <c r="AI618" s="56" t="str">
        <f t="shared" si="103"/>
        <v>Same</v>
      </c>
      <c r="AJ618" s="81">
        <f t="shared" si="107"/>
        <v>220.41</v>
      </c>
      <c r="AK618" s="81">
        <f t="shared" si="108"/>
        <v>220.41</v>
      </c>
      <c r="AL618" s="58" t="s">
        <v>32</v>
      </c>
      <c r="AM618" s="58" t="s">
        <v>6703</v>
      </c>
      <c r="AN618" s="75">
        <v>2</v>
      </c>
      <c r="AO618" s="88">
        <v>24.49</v>
      </c>
      <c r="AP618" s="6" t="str">
        <f t="shared" si="104"/>
        <v>Same</v>
      </c>
      <c r="AQ618" s="81">
        <f t="shared" si="105"/>
        <v>48.98</v>
      </c>
      <c r="AR618" s="81">
        <f t="shared" si="106"/>
        <v>48.98</v>
      </c>
      <c r="AS618" s="81">
        <f t="shared" si="109"/>
        <v>0</v>
      </c>
    </row>
    <row r="619" spans="1:45" hidden="1" x14ac:dyDescent="0.3">
      <c r="A619">
        <v>5110651</v>
      </c>
      <c r="B619" s="15" t="s">
        <v>5955</v>
      </c>
      <c r="C619" s="16" t="s">
        <v>30</v>
      </c>
      <c r="D619" s="6" t="s">
        <v>31</v>
      </c>
      <c r="E619" t="s">
        <v>617</v>
      </c>
      <c r="F619" t="s">
        <v>617</v>
      </c>
      <c r="H619" s="11" t="s">
        <v>27</v>
      </c>
      <c r="I619" s="6" t="s">
        <v>28</v>
      </c>
      <c r="J619" s="6" t="s">
        <v>28</v>
      </c>
      <c r="K619" t="s">
        <v>32</v>
      </c>
      <c r="L619" s="35">
        <v>14.66</v>
      </c>
      <c r="M619" s="6" t="s">
        <v>29</v>
      </c>
      <c r="N619" s="6">
        <v>3105</v>
      </c>
      <c r="P619" s="18"/>
      <c r="Q619" s="17"/>
      <c r="R619" s="19">
        <v>14.66</v>
      </c>
      <c r="S619" s="19">
        <v>14.66</v>
      </c>
      <c r="T619" s="38">
        <v>9</v>
      </c>
      <c r="U619" s="38"/>
      <c r="V619" s="29">
        <v>14.66</v>
      </c>
      <c r="W619" s="35">
        <v>14.66</v>
      </c>
      <c r="X619" s="32">
        <f t="shared" si="99"/>
        <v>131.94</v>
      </c>
      <c r="Y619" s="32">
        <f t="shared" si="100"/>
        <v>131.94</v>
      </c>
      <c r="Z619" s="32">
        <f t="shared" si="101"/>
        <v>0</v>
      </c>
      <c r="AA619" s="38">
        <v>9</v>
      </c>
      <c r="AB619" s="37">
        <f>IFERROR(VLOOKUP(A619,'Tash Lookup'!A:E,3,FALSE),"")</f>
        <v>132.61000000000001</v>
      </c>
      <c r="AC619" s="6">
        <f t="shared" si="102"/>
        <v>0</v>
      </c>
      <c r="AD619" s="2" t="s">
        <v>6703</v>
      </c>
      <c r="AF619" s="56">
        <v>15.61</v>
      </c>
      <c r="AG619" s="56">
        <f>VLOOKUP(A619,Sheet1!$A$2:$C$1140,3,FALSE)</f>
        <v>16.079999999999998</v>
      </c>
      <c r="AH619" s="58">
        <v>16.079999999999998</v>
      </c>
      <c r="AI619" s="56" t="str">
        <f t="shared" si="103"/>
        <v>Increase</v>
      </c>
      <c r="AJ619" s="81">
        <f t="shared" si="107"/>
        <v>140.49</v>
      </c>
      <c r="AK619" s="81">
        <f t="shared" si="108"/>
        <v>144.71999999999997</v>
      </c>
      <c r="AL619" s="58" t="s">
        <v>32</v>
      </c>
      <c r="AM619" s="58" t="s">
        <v>6703</v>
      </c>
      <c r="AN619" s="75">
        <v>8</v>
      </c>
      <c r="AO619" s="88">
        <v>16.079999999999998</v>
      </c>
      <c r="AP619" s="6" t="str">
        <f t="shared" si="104"/>
        <v>Increase</v>
      </c>
      <c r="AQ619" s="81">
        <f t="shared" si="105"/>
        <v>124.88</v>
      </c>
      <c r="AR619" s="81">
        <f t="shared" si="106"/>
        <v>128.63999999999999</v>
      </c>
      <c r="AS619" s="82">
        <f t="shared" si="109"/>
        <v>3.7599999999999909</v>
      </c>
    </row>
    <row r="620" spans="1:45" hidden="1" x14ac:dyDescent="0.3">
      <c r="A620">
        <v>6090469</v>
      </c>
      <c r="B620" s="15" t="s">
        <v>5956</v>
      </c>
      <c r="C620" s="16" t="s">
        <v>30</v>
      </c>
      <c r="D620" s="6" t="s">
        <v>31</v>
      </c>
      <c r="E620" t="s">
        <v>1255</v>
      </c>
      <c r="F620" t="s">
        <v>1255</v>
      </c>
      <c r="H620" s="11" t="s">
        <v>27</v>
      </c>
      <c r="I620" s="6" t="s">
        <v>28</v>
      </c>
      <c r="J620" s="6" t="s">
        <v>28</v>
      </c>
      <c r="K620" t="s">
        <v>32</v>
      </c>
      <c r="L620" s="35">
        <v>45.35</v>
      </c>
      <c r="M620" s="6" t="s">
        <v>29</v>
      </c>
      <c r="N620" s="6">
        <v>3105</v>
      </c>
      <c r="P620" s="18"/>
      <c r="Q620" s="17"/>
      <c r="R620" s="19">
        <v>47.54</v>
      </c>
      <c r="S620" s="19">
        <v>0</v>
      </c>
      <c r="T620" s="38">
        <v>8</v>
      </c>
      <c r="U620" s="38"/>
      <c r="V620" s="30">
        <v>47.54</v>
      </c>
      <c r="W620" s="35">
        <v>45.35</v>
      </c>
      <c r="X620" s="32">
        <f t="shared" si="99"/>
        <v>380.32</v>
      </c>
      <c r="Y620" s="32">
        <f t="shared" si="100"/>
        <v>362.8</v>
      </c>
      <c r="Z620" s="32">
        <f t="shared" si="101"/>
        <v>17.519999999999982</v>
      </c>
      <c r="AA620" s="38">
        <v>8</v>
      </c>
      <c r="AB620" s="37">
        <f>IFERROR(VLOOKUP(A620,'Tash Lookup'!A:E,3,FALSE),"")</f>
        <v>362.82</v>
      </c>
      <c r="AC620" s="6">
        <f t="shared" si="102"/>
        <v>0</v>
      </c>
      <c r="AD620" s="2" t="s">
        <v>6707</v>
      </c>
      <c r="AF620" s="56">
        <v>47.54</v>
      </c>
      <c r="AG620" s="56" t="e">
        <f>VLOOKUP(A620,Sheet1!$A$2:$C$1140,3,FALSE)</f>
        <v>#N/A</v>
      </c>
      <c r="AH620" s="58" t="e">
        <v>#N/A</v>
      </c>
      <c r="AI620" s="56" t="str">
        <f t="shared" si="103"/>
        <v>Delete</v>
      </c>
      <c r="AJ620" s="81">
        <f t="shared" si="107"/>
        <v>380.32</v>
      </c>
      <c r="AK620" s="81">
        <f t="shared" si="108"/>
        <v>0</v>
      </c>
      <c r="AL620" s="58" t="s">
        <v>7206</v>
      </c>
      <c r="AM620" s="58" t="s">
        <v>6708</v>
      </c>
      <c r="AN620" s="75">
        <v>0</v>
      </c>
      <c r="AO620" s="88">
        <v>47.54</v>
      </c>
      <c r="AP620" s="6" t="str">
        <f t="shared" si="104"/>
        <v>Same</v>
      </c>
      <c r="AQ620" s="81">
        <f t="shared" si="105"/>
        <v>0</v>
      </c>
      <c r="AR620" s="81">
        <f t="shared" si="106"/>
        <v>0</v>
      </c>
      <c r="AS620" s="81">
        <f t="shared" si="109"/>
        <v>0</v>
      </c>
    </row>
    <row r="621" spans="1:45" hidden="1" x14ac:dyDescent="0.3">
      <c r="A621">
        <v>6188871</v>
      </c>
      <c r="B621" s="15" t="s">
        <v>5957</v>
      </c>
      <c r="C621" s="16" t="s">
        <v>30</v>
      </c>
      <c r="D621" s="6" t="s">
        <v>31</v>
      </c>
      <c r="E621" t="s">
        <v>843</v>
      </c>
      <c r="F621" t="s">
        <v>843</v>
      </c>
      <c r="H621" s="11" t="s">
        <v>27</v>
      </c>
      <c r="I621" s="6" t="s">
        <v>28</v>
      </c>
      <c r="J621" s="6" t="s">
        <v>28</v>
      </c>
      <c r="K621" t="s">
        <v>32</v>
      </c>
      <c r="L621" s="35">
        <v>15.9</v>
      </c>
      <c r="M621" s="6" t="s">
        <v>29</v>
      </c>
      <c r="N621" s="6">
        <v>3105</v>
      </c>
      <c r="P621" s="18"/>
      <c r="Q621" s="17"/>
      <c r="R621" s="19">
        <v>17.07</v>
      </c>
      <c r="S621" s="19">
        <v>0</v>
      </c>
      <c r="T621" s="38">
        <v>8</v>
      </c>
      <c r="U621" s="38"/>
      <c r="V621" s="30">
        <v>17.07</v>
      </c>
      <c r="W621" s="35">
        <v>15.9</v>
      </c>
      <c r="X621" s="32">
        <f t="shared" si="99"/>
        <v>136.56</v>
      </c>
      <c r="Y621" s="32">
        <f t="shared" si="100"/>
        <v>127.2</v>
      </c>
      <c r="Z621" s="32">
        <f t="shared" si="101"/>
        <v>9.36</v>
      </c>
      <c r="AA621" s="38">
        <v>8</v>
      </c>
      <c r="AB621" s="37">
        <f>IFERROR(VLOOKUP(A621,'Tash Lookup'!A:E,3,FALSE),"")</f>
        <v>124.47</v>
      </c>
      <c r="AC621" s="6">
        <f t="shared" si="102"/>
        <v>0</v>
      </c>
      <c r="AD621" s="2" t="s">
        <v>6703</v>
      </c>
      <c r="AF621" s="56">
        <v>17.07</v>
      </c>
      <c r="AG621" s="56">
        <f>VLOOKUP(A621,Sheet1!$A$2:$C$1140,3,FALSE)</f>
        <v>17.41</v>
      </c>
      <c r="AH621" s="58">
        <v>17.41</v>
      </c>
      <c r="AI621" s="56" t="str">
        <f t="shared" si="103"/>
        <v>Increase</v>
      </c>
      <c r="AJ621" s="81">
        <f t="shared" si="107"/>
        <v>136.56</v>
      </c>
      <c r="AK621" s="81">
        <f t="shared" si="108"/>
        <v>139.28</v>
      </c>
      <c r="AL621" s="58" t="s">
        <v>7206</v>
      </c>
      <c r="AM621" s="58" t="s">
        <v>6703</v>
      </c>
      <c r="AN621" s="75">
        <v>3</v>
      </c>
      <c r="AO621" s="88">
        <v>17.41</v>
      </c>
      <c r="AP621" s="6" t="str">
        <f t="shared" si="104"/>
        <v>Increase</v>
      </c>
      <c r="AQ621" s="81">
        <f t="shared" si="105"/>
        <v>51.21</v>
      </c>
      <c r="AR621" s="81">
        <f t="shared" si="106"/>
        <v>52.230000000000004</v>
      </c>
      <c r="AS621" s="82">
        <f t="shared" si="109"/>
        <v>1.0200000000000031</v>
      </c>
    </row>
    <row r="622" spans="1:45" hidden="1" x14ac:dyDescent="0.3">
      <c r="A622">
        <v>6085079</v>
      </c>
      <c r="B622" s="15" t="s">
        <v>5958</v>
      </c>
      <c r="C622" s="16" t="s">
        <v>30</v>
      </c>
      <c r="D622" s="6" t="s">
        <v>31</v>
      </c>
      <c r="E622" t="s">
        <v>1252</v>
      </c>
      <c r="F622" t="s">
        <v>1252</v>
      </c>
      <c r="H622" s="11" t="s">
        <v>27</v>
      </c>
      <c r="I622" s="6" t="s">
        <v>28</v>
      </c>
      <c r="J622" s="6" t="s">
        <v>28</v>
      </c>
      <c r="K622" t="s">
        <v>32</v>
      </c>
      <c r="L622" s="48">
        <v>16.809999999999999</v>
      </c>
      <c r="M622" s="6" t="s">
        <v>29</v>
      </c>
      <c r="N622" s="6">
        <v>3105</v>
      </c>
      <c r="P622" s="18"/>
      <c r="Q622" s="17"/>
      <c r="R622" s="19">
        <v>17.66</v>
      </c>
      <c r="S622" s="19">
        <v>0</v>
      </c>
      <c r="T622" s="38">
        <v>8</v>
      </c>
      <c r="U622" s="38"/>
      <c r="V622" s="30">
        <v>17.66</v>
      </c>
      <c r="W622" s="35">
        <v>16.809999999999999</v>
      </c>
      <c r="X622" s="32">
        <f t="shared" si="99"/>
        <v>141.28</v>
      </c>
      <c r="Y622" s="32">
        <f t="shared" si="100"/>
        <v>134.47999999999999</v>
      </c>
      <c r="Z622" s="32">
        <f t="shared" si="101"/>
        <v>6.8000000000000114</v>
      </c>
      <c r="AA622" s="38">
        <v>8</v>
      </c>
      <c r="AB622" s="37">
        <f>IFERROR(VLOOKUP(A622,'Tash Lookup'!A:E,3,FALSE),"")</f>
        <v>134.47999999999999</v>
      </c>
      <c r="AC622" s="6">
        <f t="shared" si="102"/>
        <v>0</v>
      </c>
      <c r="AD622" s="2" t="s">
        <v>6707</v>
      </c>
      <c r="AF622" s="56">
        <v>17.66</v>
      </c>
      <c r="AG622" s="56" t="e">
        <f>VLOOKUP(A622,Sheet1!$A$2:$C$1140,3,FALSE)</f>
        <v>#N/A</v>
      </c>
      <c r="AH622" s="58" t="e">
        <v>#N/A</v>
      </c>
      <c r="AI622" s="56" t="str">
        <f t="shared" si="103"/>
        <v>Delete</v>
      </c>
      <c r="AJ622" s="81">
        <f t="shared" si="107"/>
        <v>141.28</v>
      </c>
      <c r="AK622" s="81">
        <f t="shared" si="108"/>
        <v>0</v>
      </c>
      <c r="AL622" s="58" t="s">
        <v>7206</v>
      </c>
      <c r="AM622" s="58" t="s">
        <v>6708</v>
      </c>
      <c r="AN622" s="75">
        <v>6</v>
      </c>
      <c r="AO622" s="88">
        <v>17.66</v>
      </c>
      <c r="AP622" s="6" t="str">
        <f t="shared" si="104"/>
        <v>Same</v>
      </c>
      <c r="AQ622" s="81">
        <f t="shared" si="105"/>
        <v>105.96000000000001</v>
      </c>
      <c r="AR622" s="81">
        <f t="shared" si="106"/>
        <v>105.96000000000001</v>
      </c>
      <c r="AS622" s="81">
        <f t="shared" si="109"/>
        <v>0</v>
      </c>
    </row>
    <row r="623" spans="1:45" hidden="1" x14ac:dyDescent="0.3">
      <c r="A623">
        <v>6049615</v>
      </c>
      <c r="B623" s="15" t="s">
        <v>5959</v>
      </c>
      <c r="C623" s="16" t="s">
        <v>30</v>
      </c>
      <c r="D623" s="6" t="s">
        <v>31</v>
      </c>
      <c r="E623" t="s">
        <v>726</v>
      </c>
      <c r="F623" t="s">
        <v>726</v>
      </c>
      <c r="H623" s="11" t="s">
        <v>27</v>
      </c>
      <c r="I623" s="6" t="s">
        <v>28</v>
      </c>
      <c r="J623" s="6" t="s">
        <v>28</v>
      </c>
      <c r="K623" t="s">
        <v>32</v>
      </c>
      <c r="L623" s="35">
        <v>10.91</v>
      </c>
      <c r="M623" s="6" t="s">
        <v>29</v>
      </c>
      <c r="N623" s="6">
        <v>3105</v>
      </c>
      <c r="P623" s="18"/>
      <c r="Q623" s="17"/>
      <c r="R623" s="19">
        <v>10.91</v>
      </c>
      <c r="S623" s="19">
        <v>10.91</v>
      </c>
      <c r="T623" s="38">
        <v>8</v>
      </c>
      <c r="U623" s="38"/>
      <c r="V623" s="30">
        <v>10.91</v>
      </c>
      <c r="W623" s="35">
        <v>10.91</v>
      </c>
      <c r="X623" s="32">
        <f t="shared" si="99"/>
        <v>87.28</v>
      </c>
      <c r="Y623" s="32">
        <f t="shared" si="100"/>
        <v>87.28</v>
      </c>
      <c r="Z623" s="32">
        <f t="shared" si="101"/>
        <v>0</v>
      </c>
      <c r="AA623" s="38">
        <v>8</v>
      </c>
      <c r="AB623" s="37">
        <f>IFERROR(VLOOKUP(A623,'Tash Lookup'!A:E,3,FALSE),"")</f>
        <v>85.85</v>
      </c>
      <c r="AC623" s="6">
        <f t="shared" si="102"/>
        <v>0</v>
      </c>
      <c r="AD623" s="2" t="s">
        <v>6708</v>
      </c>
      <c r="AF623" s="56">
        <v>10.91</v>
      </c>
      <c r="AG623" s="56" t="e">
        <f>VLOOKUP(A623,Sheet1!$A$2:$C$1140,3,FALSE)</f>
        <v>#N/A</v>
      </c>
      <c r="AH623" s="58" t="e">
        <v>#N/A</v>
      </c>
      <c r="AI623" s="56" t="str">
        <f t="shared" si="103"/>
        <v>Delete</v>
      </c>
      <c r="AJ623" s="81">
        <f t="shared" si="107"/>
        <v>87.28</v>
      </c>
      <c r="AK623" s="81">
        <f t="shared" si="108"/>
        <v>0</v>
      </c>
      <c r="AL623" s="58" t="s">
        <v>7206</v>
      </c>
      <c r="AM623" s="58" t="s">
        <v>6708</v>
      </c>
      <c r="AN623" s="75">
        <v>13</v>
      </c>
      <c r="AO623" s="88">
        <v>10.91</v>
      </c>
      <c r="AP623" s="6" t="str">
        <f t="shared" si="104"/>
        <v>Same</v>
      </c>
      <c r="AQ623" s="81">
        <f t="shared" si="105"/>
        <v>141.83000000000001</v>
      </c>
      <c r="AR623" s="81">
        <f t="shared" si="106"/>
        <v>141.83000000000001</v>
      </c>
      <c r="AS623" s="81">
        <f t="shared" si="109"/>
        <v>0</v>
      </c>
    </row>
    <row r="624" spans="1:45" hidden="1" x14ac:dyDescent="0.3">
      <c r="A624">
        <v>6189799</v>
      </c>
      <c r="B624" s="15" t="s">
        <v>5960</v>
      </c>
      <c r="C624" s="16" t="s">
        <v>30</v>
      </c>
      <c r="D624" s="6" t="s">
        <v>31</v>
      </c>
      <c r="E624" t="s">
        <v>784</v>
      </c>
      <c r="F624" t="s">
        <v>784</v>
      </c>
      <c r="H624" s="11" t="s">
        <v>27</v>
      </c>
      <c r="I624" s="6" t="s">
        <v>28</v>
      </c>
      <c r="J624" s="6" t="s">
        <v>28</v>
      </c>
      <c r="K624" t="s">
        <v>32</v>
      </c>
      <c r="L624" s="35">
        <v>4.32</v>
      </c>
      <c r="M624" s="6" t="s">
        <v>29</v>
      </c>
      <c r="N624" s="6">
        <v>3105</v>
      </c>
      <c r="P624" s="18"/>
      <c r="Q624" s="17"/>
      <c r="R624" s="19">
        <v>4.32</v>
      </c>
      <c r="S624" s="19">
        <v>4.32</v>
      </c>
      <c r="T624" s="38">
        <v>8</v>
      </c>
      <c r="U624" s="38"/>
      <c r="V624" s="30">
        <v>4.32</v>
      </c>
      <c r="W624" s="35">
        <v>4.32</v>
      </c>
      <c r="X624" s="32">
        <f t="shared" si="99"/>
        <v>34.56</v>
      </c>
      <c r="Y624" s="32">
        <f t="shared" si="100"/>
        <v>34.56</v>
      </c>
      <c r="Z624" s="32">
        <f t="shared" si="101"/>
        <v>0</v>
      </c>
      <c r="AA624" s="38">
        <v>8</v>
      </c>
      <c r="AB624" s="37">
        <f>IFERROR(VLOOKUP(A624,'Tash Lookup'!A:E,3,FALSE),"")</f>
        <v>30.9</v>
      </c>
      <c r="AC624" s="6">
        <f t="shared" si="102"/>
        <v>0</v>
      </c>
      <c r="AD624" s="2" t="s">
        <v>6708</v>
      </c>
      <c r="AF624" s="56">
        <v>4.32</v>
      </c>
      <c r="AG624" s="56">
        <f>VLOOKUP(A624,Sheet1!$A$2:$C$1140,3,FALSE)</f>
        <v>4.32</v>
      </c>
      <c r="AH624" s="58">
        <v>4.32</v>
      </c>
      <c r="AI624" s="56" t="str">
        <f t="shared" si="103"/>
        <v>Same</v>
      </c>
      <c r="AJ624" s="81">
        <f t="shared" si="107"/>
        <v>34.56</v>
      </c>
      <c r="AK624" s="81">
        <f t="shared" si="108"/>
        <v>34.56</v>
      </c>
      <c r="AL624" s="58" t="s">
        <v>7206</v>
      </c>
      <c r="AM624" s="58" t="s">
        <v>6708</v>
      </c>
      <c r="AN624" s="75">
        <v>5</v>
      </c>
      <c r="AO624" s="88">
        <v>4.32</v>
      </c>
      <c r="AP624" s="6" t="str">
        <f t="shared" si="104"/>
        <v>Same</v>
      </c>
      <c r="AQ624" s="81">
        <f t="shared" si="105"/>
        <v>21.6</v>
      </c>
      <c r="AR624" s="81">
        <f t="shared" si="106"/>
        <v>21.6</v>
      </c>
      <c r="AS624" s="81">
        <f t="shared" si="109"/>
        <v>0</v>
      </c>
    </row>
    <row r="625" spans="1:45" hidden="1" x14ac:dyDescent="0.3">
      <c r="A625">
        <v>6183839</v>
      </c>
      <c r="B625" s="15" t="s">
        <v>5961</v>
      </c>
      <c r="C625" s="16" t="s">
        <v>30</v>
      </c>
      <c r="D625" s="6" t="s">
        <v>31</v>
      </c>
      <c r="E625" t="s">
        <v>2558</v>
      </c>
      <c r="F625" t="s">
        <v>2558</v>
      </c>
      <c r="H625" s="11" t="s">
        <v>27</v>
      </c>
      <c r="I625" s="6" t="s">
        <v>28</v>
      </c>
      <c r="J625" s="6" t="s">
        <v>28</v>
      </c>
      <c r="K625" t="s">
        <v>32</v>
      </c>
      <c r="L625" s="35">
        <v>8.33</v>
      </c>
      <c r="M625" s="6" t="s">
        <v>29</v>
      </c>
      <c r="N625" s="6">
        <v>3105</v>
      </c>
      <c r="P625" s="18"/>
      <c r="Q625" s="17"/>
      <c r="R625" s="19">
        <v>8.33</v>
      </c>
      <c r="S625" s="19">
        <v>8.33</v>
      </c>
      <c r="T625" s="38">
        <v>8</v>
      </c>
      <c r="U625" s="38"/>
      <c r="V625" s="30">
        <v>8.33</v>
      </c>
      <c r="W625" s="35">
        <v>8.33</v>
      </c>
      <c r="X625" s="32">
        <f t="shared" si="99"/>
        <v>66.64</v>
      </c>
      <c r="Y625" s="32">
        <f t="shared" si="100"/>
        <v>66.64</v>
      </c>
      <c r="Z625" s="32">
        <f t="shared" si="101"/>
        <v>0</v>
      </c>
      <c r="AA625" s="38">
        <v>8</v>
      </c>
      <c r="AB625" s="37">
        <f>IFERROR(VLOOKUP(A625,'Tash Lookup'!A:E,3,FALSE),"")</f>
        <v>66.64</v>
      </c>
      <c r="AC625" s="6">
        <f t="shared" si="102"/>
        <v>0</v>
      </c>
      <c r="AD625" s="2" t="s">
        <v>6703</v>
      </c>
      <c r="AF625" s="56">
        <v>7.49</v>
      </c>
      <c r="AG625" s="56">
        <f>VLOOKUP(A625,Sheet1!$A$2:$C$1140,3,FALSE)</f>
        <v>7.64</v>
      </c>
      <c r="AH625" s="58">
        <v>7.64</v>
      </c>
      <c r="AI625" s="56" t="str">
        <f t="shared" si="103"/>
        <v>Increase</v>
      </c>
      <c r="AJ625" s="81">
        <f t="shared" si="107"/>
        <v>59.92</v>
      </c>
      <c r="AK625" s="81">
        <f t="shared" si="108"/>
        <v>61.12</v>
      </c>
      <c r="AL625" s="58" t="s">
        <v>7206</v>
      </c>
      <c r="AM625" s="58" t="s">
        <v>6703</v>
      </c>
      <c r="AN625" s="75">
        <v>47</v>
      </c>
      <c r="AO625" s="88">
        <v>7.64</v>
      </c>
      <c r="AP625" s="6" t="str">
        <f t="shared" si="104"/>
        <v>Increase</v>
      </c>
      <c r="AQ625" s="81">
        <f t="shared" si="105"/>
        <v>352.03000000000003</v>
      </c>
      <c r="AR625" s="81">
        <f t="shared" si="106"/>
        <v>359.08</v>
      </c>
      <c r="AS625" s="82">
        <f t="shared" si="109"/>
        <v>7.0499999999999545</v>
      </c>
    </row>
    <row r="626" spans="1:45" hidden="1" x14ac:dyDescent="0.3">
      <c r="A626">
        <v>5282774</v>
      </c>
      <c r="B626" s="15" t="s">
        <v>5962</v>
      </c>
      <c r="C626" s="16" t="s">
        <v>30</v>
      </c>
      <c r="D626" s="6" t="s">
        <v>31</v>
      </c>
      <c r="E626" t="s">
        <v>102</v>
      </c>
      <c r="F626" t="s">
        <v>102</v>
      </c>
      <c r="H626" s="11" t="s">
        <v>27</v>
      </c>
      <c r="I626" s="6" t="s">
        <v>28</v>
      </c>
      <c r="J626" s="6" t="s">
        <v>28</v>
      </c>
      <c r="K626" t="s">
        <v>32</v>
      </c>
      <c r="L626" s="35">
        <v>29.61</v>
      </c>
      <c r="M626" s="6" t="s">
        <v>29</v>
      </c>
      <c r="N626" s="6">
        <v>3105</v>
      </c>
      <c r="P626" s="18"/>
      <c r="Q626" s="17"/>
      <c r="R626" s="19">
        <v>29.61</v>
      </c>
      <c r="S626" s="19">
        <v>29.61</v>
      </c>
      <c r="T626" s="38">
        <v>8</v>
      </c>
      <c r="U626" s="38"/>
      <c r="V626" s="29">
        <v>29.61</v>
      </c>
      <c r="W626" s="35">
        <v>29.61</v>
      </c>
      <c r="X626" s="32">
        <f t="shared" si="99"/>
        <v>236.88</v>
      </c>
      <c r="Y626" s="32">
        <f t="shared" si="100"/>
        <v>236.88</v>
      </c>
      <c r="Z626" s="32">
        <f t="shared" si="101"/>
        <v>0</v>
      </c>
      <c r="AA626" s="38">
        <v>8</v>
      </c>
      <c r="AB626" s="37">
        <f>IFERROR(VLOOKUP(A626,'Tash Lookup'!A:E,3,FALSE),"")</f>
        <v>236.88</v>
      </c>
      <c r="AC626" s="6">
        <f t="shared" si="102"/>
        <v>0</v>
      </c>
      <c r="AD626" s="2" t="s">
        <v>6703</v>
      </c>
      <c r="AF626" s="56">
        <v>29.68</v>
      </c>
      <c r="AG626" s="56">
        <f>VLOOKUP(A626,Sheet1!$A$2:$C$1140,3,FALSE)</f>
        <v>29.68</v>
      </c>
      <c r="AH626" s="58">
        <v>29.68</v>
      </c>
      <c r="AI626" s="56" t="str">
        <f t="shared" si="103"/>
        <v>Same</v>
      </c>
      <c r="AJ626" s="81">
        <f t="shared" si="107"/>
        <v>237.44</v>
      </c>
      <c r="AK626" s="81">
        <f t="shared" si="108"/>
        <v>237.44</v>
      </c>
      <c r="AL626" s="58" t="s">
        <v>32</v>
      </c>
      <c r="AM626" s="58" t="s">
        <v>6703</v>
      </c>
      <c r="AN626" s="75">
        <v>16</v>
      </c>
      <c r="AO626" s="88">
        <v>29.68</v>
      </c>
      <c r="AP626" s="6" t="str">
        <f t="shared" si="104"/>
        <v>Same</v>
      </c>
      <c r="AQ626" s="81">
        <f t="shared" si="105"/>
        <v>474.88</v>
      </c>
      <c r="AR626" s="81">
        <f t="shared" si="106"/>
        <v>474.88</v>
      </c>
      <c r="AS626" s="81">
        <f t="shared" si="109"/>
        <v>0</v>
      </c>
    </row>
    <row r="627" spans="1:45" hidden="1" x14ac:dyDescent="0.3">
      <c r="A627">
        <v>5183281</v>
      </c>
      <c r="B627" s="15" t="s">
        <v>5963</v>
      </c>
      <c r="C627" s="16" t="s">
        <v>30</v>
      </c>
      <c r="D627" s="6" t="s">
        <v>31</v>
      </c>
      <c r="E627" t="s">
        <v>138</v>
      </c>
      <c r="F627" t="s">
        <v>138</v>
      </c>
      <c r="H627" s="11" t="s">
        <v>27</v>
      </c>
      <c r="I627" s="6" t="s">
        <v>28</v>
      </c>
      <c r="J627" s="6" t="s">
        <v>28</v>
      </c>
      <c r="K627" t="s">
        <v>32</v>
      </c>
      <c r="L627" s="35">
        <v>11</v>
      </c>
      <c r="M627" s="6" t="s">
        <v>29</v>
      </c>
      <c r="N627" s="6">
        <v>3105</v>
      </c>
      <c r="P627" s="18"/>
      <c r="Q627" s="17"/>
      <c r="R627" s="19">
        <v>11</v>
      </c>
      <c r="S627" s="19">
        <v>11</v>
      </c>
      <c r="T627" s="38">
        <v>8</v>
      </c>
      <c r="U627" s="38"/>
      <c r="V627" s="29">
        <v>11</v>
      </c>
      <c r="W627" s="35">
        <v>11</v>
      </c>
      <c r="X627" s="32">
        <f t="shared" si="99"/>
        <v>88</v>
      </c>
      <c r="Y627" s="32">
        <f t="shared" si="100"/>
        <v>88</v>
      </c>
      <c r="Z627" s="32">
        <f t="shared" si="101"/>
        <v>0</v>
      </c>
      <c r="AA627" s="38">
        <v>8</v>
      </c>
      <c r="AB627" s="37">
        <f>IFERROR(VLOOKUP(A627,'Tash Lookup'!A:E,3,FALSE),"")</f>
        <v>83.36</v>
      </c>
      <c r="AC627" s="6">
        <f t="shared" si="102"/>
        <v>0</v>
      </c>
      <c r="AD627" s="2" t="s">
        <v>6703</v>
      </c>
      <c r="AF627" s="56">
        <v>11.36</v>
      </c>
      <c r="AG627" s="56">
        <f>VLOOKUP(A627,Sheet1!$A$2:$C$1140,3,FALSE)</f>
        <v>11.36</v>
      </c>
      <c r="AH627" s="58">
        <v>11.36</v>
      </c>
      <c r="AI627" s="56" t="str">
        <f t="shared" si="103"/>
        <v>Same</v>
      </c>
      <c r="AJ627" s="81">
        <f t="shared" si="107"/>
        <v>90.88</v>
      </c>
      <c r="AK627" s="81">
        <f t="shared" si="108"/>
        <v>90.88</v>
      </c>
      <c r="AL627" s="58" t="s">
        <v>32</v>
      </c>
      <c r="AM627" s="58" t="s">
        <v>6703</v>
      </c>
      <c r="AN627" s="75">
        <v>4</v>
      </c>
      <c r="AO627" s="88">
        <v>11.36</v>
      </c>
      <c r="AP627" s="6" t="str">
        <f t="shared" si="104"/>
        <v>Same</v>
      </c>
      <c r="AQ627" s="81">
        <f t="shared" si="105"/>
        <v>45.44</v>
      </c>
      <c r="AR627" s="81">
        <f t="shared" si="106"/>
        <v>45.44</v>
      </c>
      <c r="AS627" s="81">
        <f t="shared" si="109"/>
        <v>0</v>
      </c>
    </row>
    <row r="628" spans="1:45" hidden="1" x14ac:dyDescent="0.3">
      <c r="A628">
        <v>5091687</v>
      </c>
      <c r="B628" s="15" t="s">
        <v>5964</v>
      </c>
      <c r="C628" s="16" t="s">
        <v>30</v>
      </c>
      <c r="D628" s="6" t="s">
        <v>31</v>
      </c>
      <c r="E628" t="s">
        <v>203</v>
      </c>
      <c r="F628" t="s">
        <v>203</v>
      </c>
      <c r="H628" s="11" t="s">
        <v>27</v>
      </c>
      <c r="I628" s="6" t="s">
        <v>28</v>
      </c>
      <c r="J628" s="6" t="s">
        <v>28</v>
      </c>
      <c r="K628" t="s">
        <v>32</v>
      </c>
      <c r="L628" s="35">
        <v>25.04</v>
      </c>
      <c r="M628" s="6" t="s">
        <v>29</v>
      </c>
      <c r="N628" s="6">
        <v>3105</v>
      </c>
      <c r="P628" s="18"/>
      <c r="Q628" s="17"/>
      <c r="R628" s="19">
        <v>25.04</v>
      </c>
      <c r="S628" s="19">
        <v>25.04</v>
      </c>
      <c r="T628" s="38">
        <v>8</v>
      </c>
      <c r="U628" s="38"/>
      <c r="V628" s="29">
        <v>25.04</v>
      </c>
      <c r="W628" s="35">
        <v>25.04</v>
      </c>
      <c r="X628" s="32">
        <f t="shared" si="99"/>
        <v>200.32</v>
      </c>
      <c r="Y628" s="32">
        <f t="shared" si="100"/>
        <v>200.32</v>
      </c>
      <c r="Z628" s="32">
        <f t="shared" si="101"/>
        <v>0</v>
      </c>
      <c r="AA628" s="38">
        <v>8</v>
      </c>
      <c r="AB628" s="37">
        <f>IFERROR(VLOOKUP(A628,'Tash Lookup'!A:E,3,FALSE),"")</f>
        <v>200.33</v>
      </c>
      <c r="AC628" s="6">
        <f t="shared" si="102"/>
        <v>0</v>
      </c>
      <c r="AD628" s="2" t="s">
        <v>6703</v>
      </c>
      <c r="AF628" s="56">
        <v>28.05</v>
      </c>
      <c r="AG628" s="56">
        <f>VLOOKUP(A628,Sheet1!$A$2:$C$1140,3,FALSE)</f>
        <v>28.05</v>
      </c>
      <c r="AH628" s="58">
        <v>28.05</v>
      </c>
      <c r="AI628" s="56" t="str">
        <f t="shared" si="103"/>
        <v>Same</v>
      </c>
      <c r="AJ628" s="81">
        <f t="shared" si="107"/>
        <v>224.4</v>
      </c>
      <c r="AK628" s="81">
        <f t="shared" si="108"/>
        <v>224.4</v>
      </c>
      <c r="AL628" s="58" t="s">
        <v>32</v>
      </c>
      <c r="AM628" s="58" t="s">
        <v>6703</v>
      </c>
      <c r="AN628" s="75">
        <v>2</v>
      </c>
      <c r="AO628" s="88">
        <v>28.05</v>
      </c>
      <c r="AP628" s="6" t="str">
        <f t="shared" si="104"/>
        <v>Same</v>
      </c>
      <c r="AQ628" s="81">
        <f t="shared" si="105"/>
        <v>56.1</v>
      </c>
      <c r="AR628" s="81">
        <f t="shared" si="106"/>
        <v>56.1</v>
      </c>
      <c r="AS628" s="81">
        <f t="shared" si="109"/>
        <v>0</v>
      </c>
    </row>
    <row r="629" spans="1:45" hidden="1" x14ac:dyDescent="0.3">
      <c r="A629">
        <v>6392257</v>
      </c>
      <c r="B629" s="15" t="s">
        <v>5965</v>
      </c>
      <c r="C629" s="16" t="s">
        <v>30</v>
      </c>
      <c r="D629" s="6" t="s">
        <v>31</v>
      </c>
      <c r="E629" t="s">
        <v>2554</v>
      </c>
      <c r="F629" t="s">
        <v>2554</v>
      </c>
      <c r="H629" s="11" t="s">
        <v>27</v>
      </c>
      <c r="I629" s="6" t="s">
        <v>28</v>
      </c>
      <c r="J629" s="6" t="s">
        <v>28</v>
      </c>
      <c r="K629" t="s">
        <v>32</v>
      </c>
      <c r="L629" s="35">
        <v>3.13</v>
      </c>
      <c r="M629" s="6" t="s">
        <v>29</v>
      </c>
      <c r="N629" s="6">
        <v>3105</v>
      </c>
      <c r="P629" s="18"/>
      <c r="Q629" s="17"/>
      <c r="R629" s="19">
        <v>3.13</v>
      </c>
      <c r="S629" s="19">
        <v>3.13</v>
      </c>
      <c r="T629" s="38">
        <v>8</v>
      </c>
      <c r="U629" s="38"/>
      <c r="V629" s="30">
        <v>3.13</v>
      </c>
      <c r="W629" s="35">
        <v>3.13</v>
      </c>
      <c r="X629" s="32">
        <f t="shared" si="99"/>
        <v>25.04</v>
      </c>
      <c r="Y629" s="32">
        <f t="shared" si="100"/>
        <v>25.04</v>
      </c>
      <c r="Z629" s="32">
        <f t="shared" si="101"/>
        <v>0</v>
      </c>
      <c r="AA629" s="38">
        <v>8</v>
      </c>
      <c r="AB629" s="37">
        <f>IFERROR(VLOOKUP(A629,'Tash Lookup'!A:E,3,FALSE),"")</f>
        <v>25.04</v>
      </c>
      <c r="AC629" s="6">
        <f t="shared" si="102"/>
        <v>0</v>
      </c>
      <c r="AD629" s="2" t="s">
        <v>6703</v>
      </c>
      <c r="AF629" s="56">
        <v>3.13</v>
      </c>
      <c r="AG629" s="56">
        <f>VLOOKUP(A629,Sheet1!$A$2:$C$1140,3,FALSE)</f>
        <v>3.19</v>
      </c>
      <c r="AH629" s="58">
        <v>3.19</v>
      </c>
      <c r="AI629" s="56" t="str">
        <f t="shared" si="103"/>
        <v>Increase</v>
      </c>
      <c r="AJ629" s="81">
        <f t="shared" si="107"/>
        <v>25.04</v>
      </c>
      <c r="AK629" s="81">
        <f t="shared" si="108"/>
        <v>25.52</v>
      </c>
      <c r="AL629" s="58" t="s">
        <v>7206</v>
      </c>
      <c r="AM629" s="58" t="s">
        <v>6703</v>
      </c>
      <c r="AN629" s="75">
        <v>2</v>
      </c>
      <c r="AO629" s="88">
        <v>3.19</v>
      </c>
      <c r="AP629" s="6" t="str">
        <f t="shared" si="104"/>
        <v>Increase</v>
      </c>
      <c r="AQ629" s="81">
        <f t="shared" si="105"/>
        <v>6.26</v>
      </c>
      <c r="AR629" s="81">
        <f t="shared" si="106"/>
        <v>6.38</v>
      </c>
      <c r="AS629" s="81">
        <f t="shared" si="109"/>
        <v>0.12000000000000011</v>
      </c>
    </row>
    <row r="630" spans="1:45" hidden="1" x14ac:dyDescent="0.3">
      <c r="A630">
        <v>6394289</v>
      </c>
      <c r="B630" s="15" t="s">
        <v>5966</v>
      </c>
      <c r="C630" s="16" t="s">
        <v>30</v>
      </c>
      <c r="D630" s="6" t="s">
        <v>31</v>
      </c>
      <c r="E630" t="s">
        <v>2987</v>
      </c>
      <c r="F630" t="s">
        <v>2987</v>
      </c>
      <c r="H630" s="11" t="s">
        <v>27</v>
      </c>
      <c r="I630" s="6" t="s">
        <v>28</v>
      </c>
      <c r="J630" s="6" t="s">
        <v>28</v>
      </c>
      <c r="K630" t="s">
        <v>32</v>
      </c>
      <c r="L630" s="35">
        <v>7.41</v>
      </c>
      <c r="M630" s="6" t="s">
        <v>29</v>
      </c>
      <c r="N630" s="6">
        <v>3105</v>
      </c>
      <c r="P630" s="18"/>
      <c r="Q630" s="17"/>
      <c r="R630" s="19">
        <v>0</v>
      </c>
      <c r="S630" s="19">
        <v>0</v>
      </c>
      <c r="T630" s="38">
        <v>8</v>
      </c>
      <c r="U630" s="38"/>
      <c r="V630" s="31">
        <v>7.41</v>
      </c>
      <c r="W630" s="35">
        <v>7.41</v>
      </c>
      <c r="X630" s="32">
        <f t="shared" si="99"/>
        <v>59.28</v>
      </c>
      <c r="Y630" s="32">
        <f t="shared" si="100"/>
        <v>59.28</v>
      </c>
      <c r="Z630" s="32">
        <f t="shared" si="101"/>
        <v>0</v>
      </c>
      <c r="AA630" s="38">
        <v>8</v>
      </c>
      <c r="AB630" s="37">
        <f>IFERROR(VLOOKUP(A630,'Tash Lookup'!A:E,3,FALSE),"")</f>
        <v>54.73</v>
      </c>
      <c r="AC630" s="6">
        <f t="shared" si="102"/>
        <v>0</v>
      </c>
      <c r="AD630" s="2" t="s">
        <v>6703</v>
      </c>
      <c r="AF630" s="56">
        <v>7.41</v>
      </c>
      <c r="AG630" s="56" t="e">
        <f>VLOOKUP(A630,Sheet1!$A$2:$C$1140,3,FALSE)</f>
        <v>#N/A</v>
      </c>
      <c r="AH630" s="58" t="e">
        <v>#N/A</v>
      </c>
      <c r="AI630" s="56" t="str">
        <f t="shared" si="103"/>
        <v>Delete</v>
      </c>
      <c r="AJ630" s="81">
        <f t="shared" si="107"/>
        <v>59.28</v>
      </c>
      <c r="AK630" s="81">
        <f t="shared" si="108"/>
        <v>0</v>
      </c>
      <c r="AL630" s="58" t="s">
        <v>7206</v>
      </c>
      <c r="AM630" s="58" t="s">
        <v>6703</v>
      </c>
      <c r="AN630" s="75">
        <v>3</v>
      </c>
      <c r="AO630" s="88">
        <v>7.56</v>
      </c>
      <c r="AP630" s="6" t="str">
        <f t="shared" si="104"/>
        <v>Increase</v>
      </c>
      <c r="AQ630" s="81">
        <f t="shared" si="105"/>
        <v>22.23</v>
      </c>
      <c r="AR630" s="81">
        <f t="shared" si="106"/>
        <v>22.68</v>
      </c>
      <c r="AS630" s="82">
        <f t="shared" si="109"/>
        <v>0.44999999999999929</v>
      </c>
    </row>
    <row r="631" spans="1:45" hidden="1" x14ac:dyDescent="0.3">
      <c r="A631">
        <v>6394415</v>
      </c>
      <c r="B631" s="15" t="s">
        <v>5967</v>
      </c>
      <c r="C631" s="16" t="s">
        <v>30</v>
      </c>
      <c r="D631" s="6" t="s">
        <v>31</v>
      </c>
      <c r="E631" t="s">
        <v>1072</v>
      </c>
      <c r="F631" t="s">
        <v>1072</v>
      </c>
      <c r="H631" s="11" t="s">
        <v>27</v>
      </c>
      <c r="I631" s="6" t="s">
        <v>28</v>
      </c>
      <c r="J631" s="6" t="s">
        <v>28</v>
      </c>
      <c r="K631" t="s">
        <v>32</v>
      </c>
      <c r="L631" s="35">
        <v>3.12</v>
      </c>
      <c r="M631" s="6" t="s">
        <v>29</v>
      </c>
      <c r="N631" s="6">
        <v>3105</v>
      </c>
      <c r="P631" s="18"/>
      <c r="Q631" s="17"/>
      <c r="R631" s="19">
        <v>0</v>
      </c>
      <c r="S631" s="19">
        <v>0</v>
      </c>
      <c r="T631" s="38">
        <v>8</v>
      </c>
      <c r="U631" s="38"/>
      <c r="V631" s="31">
        <v>3.12</v>
      </c>
      <c r="W631" s="35">
        <v>3.12</v>
      </c>
      <c r="X631" s="32">
        <f t="shared" si="99"/>
        <v>24.96</v>
      </c>
      <c r="Y631" s="32">
        <f t="shared" si="100"/>
        <v>24.96</v>
      </c>
      <c r="Z631" s="32">
        <f t="shared" si="101"/>
        <v>0</v>
      </c>
      <c r="AA631" s="38">
        <v>8</v>
      </c>
      <c r="AB631" s="37">
        <f>IFERROR(VLOOKUP(A631,'Tash Lookup'!A:E,3,FALSE),"")</f>
        <v>24.83</v>
      </c>
      <c r="AC631" s="6">
        <f t="shared" si="102"/>
        <v>0</v>
      </c>
      <c r="AD631" s="2" t="s">
        <v>6703</v>
      </c>
      <c r="AF631" s="56">
        <v>3.12</v>
      </c>
      <c r="AG631" s="56">
        <f>VLOOKUP(A631,Sheet1!$A$2:$C$1140,3,FALSE)</f>
        <v>3.18</v>
      </c>
      <c r="AH631" s="58">
        <v>3.18</v>
      </c>
      <c r="AI631" s="56" t="str">
        <f t="shared" si="103"/>
        <v>Increase</v>
      </c>
      <c r="AJ631" s="81">
        <f t="shared" si="107"/>
        <v>24.96</v>
      </c>
      <c r="AK631" s="81">
        <f t="shared" si="108"/>
        <v>25.44</v>
      </c>
      <c r="AL631" s="58" t="s">
        <v>7206</v>
      </c>
      <c r="AM631" s="58" t="s">
        <v>6703</v>
      </c>
      <c r="AN631" s="75">
        <v>4</v>
      </c>
      <c r="AO631" s="88">
        <v>3.18</v>
      </c>
      <c r="AP631" s="6" t="str">
        <f t="shared" si="104"/>
        <v>Increase</v>
      </c>
      <c r="AQ631" s="81">
        <f t="shared" si="105"/>
        <v>12.48</v>
      </c>
      <c r="AR631" s="81">
        <f t="shared" si="106"/>
        <v>12.72</v>
      </c>
      <c r="AS631" s="81">
        <f t="shared" si="109"/>
        <v>0.24000000000000021</v>
      </c>
    </row>
    <row r="632" spans="1:45" hidden="1" x14ac:dyDescent="0.3">
      <c r="A632">
        <v>6033893</v>
      </c>
      <c r="B632" s="15" t="s">
        <v>5968</v>
      </c>
      <c r="C632" s="16" t="s">
        <v>30</v>
      </c>
      <c r="D632" s="6" t="s">
        <v>31</v>
      </c>
      <c r="E632" t="s">
        <v>1099</v>
      </c>
      <c r="F632" t="s">
        <v>1099</v>
      </c>
      <c r="H632" s="11" t="s">
        <v>27</v>
      </c>
      <c r="I632" s="6" t="s">
        <v>28</v>
      </c>
      <c r="J632" s="6" t="s">
        <v>28</v>
      </c>
      <c r="K632" t="s">
        <v>32</v>
      </c>
      <c r="L632" s="35">
        <v>17.239999999999998</v>
      </c>
      <c r="M632" s="6" t="s">
        <v>29</v>
      </c>
      <c r="N632" s="6">
        <v>3105</v>
      </c>
      <c r="P632" s="18"/>
      <c r="Q632" s="17"/>
      <c r="R632" s="19">
        <v>17.239999999999998</v>
      </c>
      <c r="S632" s="19">
        <v>17.239999999999998</v>
      </c>
      <c r="T632" s="38">
        <v>8</v>
      </c>
      <c r="U632" s="38"/>
      <c r="V632" s="30">
        <v>17.239999999999998</v>
      </c>
      <c r="W632" s="35">
        <v>17.239999999999998</v>
      </c>
      <c r="X632" s="32">
        <f t="shared" si="99"/>
        <v>137.91999999999999</v>
      </c>
      <c r="Y632" s="32">
        <f t="shared" si="100"/>
        <v>137.91999999999999</v>
      </c>
      <c r="Z632" s="32">
        <f t="shared" si="101"/>
        <v>0</v>
      </c>
      <c r="AA632" s="38">
        <v>8</v>
      </c>
      <c r="AB632" s="37">
        <f>IFERROR(VLOOKUP(A632,'Tash Lookup'!A:E,3,FALSE),"")</f>
        <v>136.44</v>
      </c>
      <c r="AC632" s="6">
        <f t="shared" si="102"/>
        <v>0</v>
      </c>
      <c r="AD632" s="2" t="s">
        <v>6703</v>
      </c>
      <c r="AF632" s="56">
        <v>17.239999999999998</v>
      </c>
      <c r="AG632" s="56">
        <f>VLOOKUP(A632,Sheet1!$A$2:$C$1140,3,FALSE)</f>
        <v>17.59</v>
      </c>
      <c r="AH632" s="58">
        <v>17.59</v>
      </c>
      <c r="AI632" s="56" t="str">
        <f t="shared" si="103"/>
        <v>Increase</v>
      </c>
      <c r="AJ632" s="81">
        <f t="shared" si="107"/>
        <v>137.91999999999999</v>
      </c>
      <c r="AK632" s="81">
        <f t="shared" si="108"/>
        <v>140.72</v>
      </c>
      <c r="AL632" s="58" t="s">
        <v>7206</v>
      </c>
      <c r="AM632" s="58" t="s">
        <v>6703</v>
      </c>
      <c r="AN632" s="75">
        <v>8</v>
      </c>
      <c r="AO632" s="88">
        <v>17.59</v>
      </c>
      <c r="AP632" s="6" t="str">
        <f t="shared" si="104"/>
        <v>Increase</v>
      </c>
      <c r="AQ632" s="81">
        <f t="shared" si="105"/>
        <v>137.91999999999999</v>
      </c>
      <c r="AR632" s="81">
        <f t="shared" si="106"/>
        <v>140.72</v>
      </c>
      <c r="AS632" s="82">
        <f t="shared" si="109"/>
        <v>2.8000000000000114</v>
      </c>
    </row>
    <row r="633" spans="1:45" hidden="1" x14ac:dyDescent="0.3">
      <c r="A633">
        <v>5093017</v>
      </c>
      <c r="B633" s="15" t="s">
        <v>5969</v>
      </c>
      <c r="C633" s="16" t="s">
        <v>30</v>
      </c>
      <c r="D633" s="6" t="s">
        <v>31</v>
      </c>
      <c r="E633" t="s">
        <v>1107</v>
      </c>
      <c r="F633" t="s">
        <v>1107</v>
      </c>
      <c r="H633" s="11" t="s">
        <v>27</v>
      </c>
      <c r="I633" s="6" t="s">
        <v>28</v>
      </c>
      <c r="J633" s="6" t="s">
        <v>28</v>
      </c>
      <c r="K633" t="s">
        <v>32</v>
      </c>
      <c r="L633" s="35">
        <v>5.94</v>
      </c>
      <c r="M633" s="6" t="s">
        <v>29</v>
      </c>
      <c r="N633" s="6">
        <v>3105</v>
      </c>
      <c r="P633" s="18"/>
      <c r="Q633" s="17"/>
      <c r="R633" s="19">
        <v>5.94</v>
      </c>
      <c r="S633" s="19">
        <v>5.94</v>
      </c>
      <c r="T633" s="38">
        <v>8</v>
      </c>
      <c r="U633" s="38"/>
      <c r="V633" s="30">
        <v>5.94</v>
      </c>
      <c r="W633" s="35">
        <v>5.94</v>
      </c>
      <c r="X633" s="32">
        <f t="shared" si="99"/>
        <v>47.52</v>
      </c>
      <c r="Y633" s="32">
        <f t="shared" si="100"/>
        <v>47.52</v>
      </c>
      <c r="Z633" s="32">
        <f t="shared" si="101"/>
        <v>0</v>
      </c>
      <c r="AA633" s="38">
        <v>8</v>
      </c>
      <c r="AB633" s="37">
        <f>IFERROR(VLOOKUP(A633,'Tash Lookup'!A:E,3,FALSE),"")</f>
        <v>47.15</v>
      </c>
      <c r="AC633" s="6">
        <f t="shared" si="102"/>
        <v>0</v>
      </c>
      <c r="AD633" s="2" t="s">
        <v>6703</v>
      </c>
      <c r="AF633" s="56">
        <v>5.63</v>
      </c>
      <c r="AG633" s="56">
        <f>VLOOKUP(A633,Sheet1!$A$2:$C$1140,3,FALSE)</f>
        <v>5.63</v>
      </c>
      <c r="AH633" s="58">
        <v>5.63</v>
      </c>
      <c r="AI633" s="56" t="str">
        <f t="shared" si="103"/>
        <v>Same</v>
      </c>
      <c r="AJ633" s="81">
        <f t="shared" si="107"/>
        <v>45.04</v>
      </c>
      <c r="AK633" s="81">
        <f t="shared" si="108"/>
        <v>45.04</v>
      </c>
      <c r="AL633" s="58" t="s">
        <v>7206</v>
      </c>
      <c r="AM633" s="58" t="s">
        <v>6703</v>
      </c>
      <c r="AN633" s="75">
        <v>9</v>
      </c>
      <c r="AO633" s="88">
        <v>5.63</v>
      </c>
      <c r="AP633" s="6" t="str">
        <f t="shared" si="104"/>
        <v>Same</v>
      </c>
      <c r="AQ633" s="81">
        <f t="shared" si="105"/>
        <v>50.67</v>
      </c>
      <c r="AR633" s="81">
        <f t="shared" si="106"/>
        <v>50.67</v>
      </c>
      <c r="AS633" s="81">
        <f t="shared" si="109"/>
        <v>0</v>
      </c>
    </row>
    <row r="634" spans="1:45" hidden="1" x14ac:dyDescent="0.3">
      <c r="A634">
        <v>6107964</v>
      </c>
      <c r="B634" s="15" t="s">
        <v>5970</v>
      </c>
      <c r="C634" s="16" t="s">
        <v>30</v>
      </c>
      <c r="D634" s="6" t="s">
        <v>31</v>
      </c>
      <c r="E634" t="s">
        <v>1135</v>
      </c>
      <c r="F634" t="s">
        <v>1135</v>
      </c>
      <c r="H634" s="11" t="s">
        <v>27</v>
      </c>
      <c r="I634" s="6" t="s">
        <v>28</v>
      </c>
      <c r="J634" s="6" t="s">
        <v>28</v>
      </c>
      <c r="K634" t="s">
        <v>32</v>
      </c>
      <c r="L634" s="35">
        <v>23.72</v>
      </c>
      <c r="M634" s="6" t="s">
        <v>29</v>
      </c>
      <c r="N634" s="6">
        <v>3105</v>
      </c>
      <c r="P634" s="18"/>
      <c r="Q634" s="17"/>
      <c r="R634" s="19">
        <v>0</v>
      </c>
      <c r="S634" s="19">
        <v>0</v>
      </c>
      <c r="T634" s="38">
        <v>8</v>
      </c>
      <c r="U634" s="38"/>
      <c r="V634" s="31">
        <v>23.72</v>
      </c>
      <c r="W634" s="35">
        <v>23.72</v>
      </c>
      <c r="X634" s="32">
        <f t="shared" si="99"/>
        <v>189.76</v>
      </c>
      <c r="Y634" s="32">
        <f t="shared" si="100"/>
        <v>189.76</v>
      </c>
      <c r="Z634" s="32">
        <f t="shared" si="101"/>
        <v>0</v>
      </c>
      <c r="AA634" s="38">
        <v>8</v>
      </c>
      <c r="AB634" s="37">
        <f>IFERROR(VLOOKUP(A634,'Tash Lookup'!A:E,3,FALSE),"")</f>
        <v>183.64</v>
      </c>
      <c r="AC634" s="6">
        <f t="shared" si="102"/>
        <v>0</v>
      </c>
      <c r="AD634" s="2" t="s">
        <v>6703</v>
      </c>
      <c r="AF634" s="56">
        <v>23.72</v>
      </c>
      <c r="AG634" s="56">
        <f>VLOOKUP(A634,Sheet1!$A$2:$C$1140,3,FALSE)</f>
        <v>24.19</v>
      </c>
      <c r="AH634" s="58">
        <v>24.19</v>
      </c>
      <c r="AI634" s="56" t="str">
        <f t="shared" si="103"/>
        <v>Increase</v>
      </c>
      <c r="AJ634" s="81">
        <f t="shared" si="107"/>
        <v>189.76</v>
      </c>
      <c r="AK634" s="81">
        <f t="shared" si="108"/>
        <v>193.52</v>
      </c>
      <c r="AL634" s="58" t="s">
        <v>7206</v>
      </c>
      <c r="AM634" s="58" t="s">
        <v>6703</v>
      </c>
      <c r="AN634" s="75">
        <v>2</v>
      </c>
      <c r="AO634" s="88">
        <v>24.19</v>
      </c>
      <c r="AP634" s="6" t="str">
        <f t="shared" si="104"/>
        <v>Increase</v>
      </c>
      <c r="AQ634" s="81">
        <f t="shared" si="105"/>
        <v>47.44</v>
      </c>
      <c r="AR634" s="81">
        <f t="shared" si="106"/>
        <v>48.38</v>
      </c>
      <c r="AS634" s="82">
        <f t="shared" si="109"/>
        <v>0.94000000000000483</v>
      </c>
    </row>
    <row r="635" spans="1:45" hidden="1" x14ac:dyDescent="0.3">
      <c r="A635">
        <v>6142695</v>
      </c>
      <c r="B635" s="15" t="s">
        <v>5971</v>
      </c>
      <c r="C635" s="16" t="s">
        <v>30</v>
      </c>
      <c r="D635" s="6" t="s">
        <v>31</v>
      </c>
      <c r="E635" t="s">
        <v>1137</v>
      </c>
      <c r="F635" t="s">
        <v>1137</v>
      </c>
      <c r="H635" s="11" t="s">
        <v>27</v>
      </c>
      <c r="I635" s="6" t="s">
        <v>28</v>
      </c>
      <c r="J635" s="6" t="s">
        <v>28</v>
      </c>
      <c r="K635" t="s">
        <v>32</v>
      </c>
      <c r="L635" s="35">
        <v>17.399999999999999</v>
      </c>
      <c r="M635" s="6" t="s">
        <v>29</v>
      </c>
      <c r="N635" s="6">
        <v>3105</v>
      </c>
      <c r="P635" s="18"/>
      <c r="Q635" s="17"/>
      <c r="R635" s="19">
        <v>0</v>
      </c>
      <c r="S635" s="19">
        <v>0</v>
      </c>
      <c r="T635" s="38">
        <v>8</v>
      </c>
      <c r="U635" s="38"/>
      <c r="V635" s="31">
        <v>17.399999999999999</v>
      </c>
      <c r="W635" s="35">
        <v>17.399999999999999</v>
      </c>
      <c r="X635" s="32">
        <f t="shared" si="99"/>
        <v>139.19999999999999</v>
      </c>
      <c r="Y635" s="32">
        <f t="shared" si="100"/>
        <v>139.19999999999999</v>
      </c>
      <c r="Z635" s="32">
        <f t="shared" si="101"/>
        <v>0</v>
      </c>
      <c r="AA635" s="38">
        <v>8</v>
      </c>
      <c r="AB635" s="37">
        <f>IFERROR(VLOOKUP(A635,'Tash Lookup'!A:E,3,FALSE),"")</f>
        <v>135.44</v>
      </c>
      <c r="AC635" s="6">
        <f t="shared" si="102"/>
        <v>0</v>
      </c>
      <c r="AD635" s="2" t="s">
        <v>6703</v>
      </c>
      <c r="AF635" s="56">
        <v>17.399999999999999</v>
      </c>
      <c r="AG635" s="56">
        <f>VLOOKUP(A635,Sheet1!$A$2:$C$1140,3,FALSE)</f>
        <v>17.399999999999999</v>
      </c>
      <c r="AH635" s="58">
        <v>17.399999999999999</v>
      </c>
      <c r="AI635" s="56" t="str">
        <f t="shared" si="103"/>
        <v>Same</v>
      </c>
      <c r="AJ635" s="81">
        <f t="shared" si="107"/>
        <v>139.19999999999999</v>
      </c>
      <c r="AK635" s="81">
        <f t="shared" si="108"/>
        <v>139.19999999999999</v>
      </c>
      <c r="AL635" s="58" t="s">
        <v>7206</v>
      </c>
      <c r="AM635" s="58" t="s">
        <v>6708</v>
      </c>
      <c r="AN635" s="75">
        <v>6</v>
      </c>
      <c r="AO635" s="88">
        <v>17.399999999999999</v>
      </c>
      <c r="AP635" s="6" t="str">
        <f t="shared" si="104"/>
        <v>Same</v>
      </c>
      <c r="AQ635" s="81">
        <f t="shared" si="105"/>
        <v>104.39999999999999</v>
      </c>
      <c r="AR635" s="81">
        <f t="shared" si="106"/>
        <v>104.39999999999999</v>
      </c>
      <c r="AS635" s="81">
        <f t="shared" si="109"/>
        <v>0</v>
      </c>
    </row>
    <row r="636" spans="1:45" hidden="1" x14ac:dyDescent="0.3">
      <c r="A636">
        <v>6142663</v>
      </c>
      <c r="B636" s="15" t="s">
        <v>5972</v>
      </c>
      <c r="C636" s="16" t="s">
        <v>30</v>
      </c>
      <c r="D636" s="6" t="s">
        <v>31</v>
      </c>
      <c r="E636" t="s">
        <v>1139</v>
      </c>
      <c r="F636" t="s">
        <v>1139</v>
      </c>
      <c r="H636" s="11" t="s">
        <v>27</v>
      </c>
      <c r="I636" s="6" t="s">
        <v>28</v>
      </c>
      <c r="J636" s="6" t="s">
        <v>28</v>
      </c>
      <c r="K636" t="s">
        <v>32</v>
      </c>
      <c r="L636" s="35">
        <v>26.3</v>
      </c>
      <c r="M636" s="6" t="s">
        <v>29</v>
      </c>
      <c r="N636" s="6">
        <v>3105</v>
      </c>
      <c r="P636" s="18"/>
      <c r="Q636" s="17"/>
      <c r="R636" s="19">
        <v>0</v>
      </c>
      <c r="S636" s="19">
        <v>0</v>
      </c>
      <c r="T636" s="38">
        <v>8</v>
      </c>
      <c r="U636" s="38"/>
      <c r="V636" s="31">
        <v>26.3</v>
      </c>
      <c r="W636" s="35">
        <v>26.3</v>
      </c>
      <c r="X636" s="32">
        <f t="shared" si="99"/>
        <v>210.4</v>
      </c>
      <c r="Y636" s="32">
        <f t="shared" si="100"/>
        <v>210.4</v>
      </c>
      <c r="Z636" s="32">
        <f t="shared" si="101"/>
        <v>0</v>
      </c>
      <c r="AA636" s="38">
        <v>8</v>
      </c>
      <c r="AB636" s="37">
        <f>IFERROR(VLOOKUP(A636,'Tash Lookup'!A:E,3,FALSE),"")</f>
        <v>207</v>
      </c>
      <c r="AC636" s="6">
        <f t="shared" si="102"/>
        <v>0</v>
      </c>
      <c r="AD636" s="2" t="s">
        <v>6703</v>
      </c>
      <c r="AF636" s="56">
        <v>24.99</v>
      </c>
      <c r="AG636" s="56">
        <f>VLOOKUP(A636,Sheet1!$A$2:$C$1140,3,FALSE)</f>
        <v>24.99</v>
      </c>
      <c r="AH636" s="58">
        <v>24.99</v>
      </c>
      <c r="AI636" s="56" t="str">
        <f t="shared" si="103"/>
        <v>Same</v>
      </c>
      <c r="AJ636" s="81">
        <f t="shared" si="107"/>
        <v>199.92</v>
      </c>
      <c r="AK636" s="81">
        <f t="shared" si="108"/>
        <v>199.92</v>
      </c>
      <c r="AL636" s="58" t="s">
        <v>7206</v>
      </c>
      <c r="AM636" s="58" t="s">
        <v>6708</v>
      </c>
      <c r="AN636" s="75">
        <v>5</v>
      </c>
      <c r="AO636" s="88">
        <v>24.99</v>
      </c>
      <c r="AP636" s="6" t="str">
        <f t="shared" si="104"/>
        <v>Same</v>
      </c>
      <c r="AQ636" s="81">
        <f t="shared" si="105"/>
        <v>124.94999999999999</v>
      </c>
      <c r="AR636" s="81">
        <f t="shared" si="106"/>
        <v>124.94999999999999</v>
      </c>
      <c r="AS636" s="81">
        <f t="shared" si="109"/>
        <v>0</v>
      </c>
    </row>
    <row r="637" spans="1:45" x14ac:dyDescent="0.3">
      <c r="A637">
        <v>5085912</v>
      </c>
      <c r="B637" s="15" t="s">
        <v>5973</v>
      </c>
      <c r="C637" s="16" t="s">
        <v>30</v>
      </c>
      <c r="D637" s="6" t="s">
        <v>31</v>
      </c>
      <c r="E637" t="s">
        <v>1170</v>
      </c>
      <c r="F637" t="s">
        <v>1170</v>
      </c>
      <c r="H637" s="11" t="s">
        <v>27</v>
      </c>
      <c r="I637" s="6" t="s">
        <v>28</v>
      </c>
      <c r="J637" s="6" t="s">
        <v>28</v>
      </c>
      <c r="K637" t="s">
        <v>32</v>
      </c>
      <c r="L637" s="35">
        <v>49.11</v>
      </c>
      <c r="M637" s="6" t="s">
        <v>29</v>
      </c>
      <c r="N637" s="6">
        <v>3105</v>
      </c>
      <c r="P637" s="18"/>
      <c r="Q637" s="17"/>
      <c r="R637" s="19">
        <v>49.11</v>
      </c>
      <c r="S637" s="19">
        <v>49.11</v>
      </c>
      <c r="T637" s="38">
        <v>8</v>
      </c>
      <c r="U637" s="38"/>
      <c r="V637" s="30">
        <v>49.11</v>
      </c>
      <c r="W637" s="35">
        <v>49.11</v>
      </c>
      <c r="X637" s="32">
        <f t="shared" si="99"/>
        <v>392.88</v>
      </c>
      <c r="Y637" s="32">
        <f t="shared" si="100"/>
        <v>392.88</v>
      </c>
      <c r="Z637" s="32">
        <f t="shared" si="101"/>
        <v>0</v>
      </c>
      <c r="AA637" s="38">
        <v>8</v>
      </c>
      <c r="AB637" s="37">
        <f>IFERROR(VLOOKUP(A637,'Tash Lookup'!A:E,3,FALSE),"")</f>
        <v>389.9</v>
      </c>
      <c r="AC637" s="6">
        <f t="shared" si="102"/>
        <v>0</v>
      </c>
      <c r="AD637" s="2" t="s">
        <v>6703</v>
      </c>
      <c r="AF637" s="56">
        <v>53.82</v>
      </c>
      <c r="AG637" s="56">
        <f>VLOOKUP(A637,Sheet1!$A$2:$C$1140,3,FALSE)</f>
        <v>53.82</v>
      </c>
      <c r="AH637" s="58">
        <v>53.82</v>
      </c>
      <c r="AI637" s="56" t="str">
        <f t="shared" si="103"/>
        <v>Same</v>
      </c>
      <c r="AJ637" s="81">
        <f t="shared" si="107"/>
        <v>430.56</v>
      </c>
      <c r="AK637" s="81">
        <f t="shared" si="108"/>
        <v>430.56</v>
      </c>
      <c r="AL637" s="58" t="s">
        <v>7206</v>
      </c>
      <c r="AM637" s="58" t="s">
        <v>6703</v>
      </c>
      <c r="AN637" s="75">
        <v>0</v>
      </c>
      <c r="AO637" s="88">
        <v>53.82</v>
      </c>
      <c r="AP637" s="6" t="str">
        <f t="shared" si="104"/>
        <v>Same</v>
      </c>
      <c r="AQ637" s="81">
        <f t="shared" si="105"/>
        <v>0</v>
      </c>
      <c r="AR637" s="81">
        <f t="shared" si="106"/>
        <v>0</v>
      </c>
      <c r="AS637" s="81">
        <f t="shared" si="109"/>
        <v>0</v>
      </c>
    </row>
    <row r="638" spans="1:45" hidden="1" x14ac:dyDescent="0.3">
      <c r="A638">
        <v>5321443</v>
      </c>
      <c r="B638" s="15" t="s">
        <v>5974</v>
      </c>
      <c r="C638" s="16" t="s">
        <v>30</v>
      </c>
      <c r="D638" s="6" t="s">
        <v>31</v>
      </c>
      <c r="E638" t="s">
        <v>1301</v>
      </c>
      <c r="F638" t="s">
        <v>1301</v>
      </c>
      <c r="H638" s="11" t="s">
        <v>27</v>
      </c>
      <c r="I638" s="6" t="s">
        <v>28</v>
      </c>
      <c r="J638" s="6" t="s">
        <v>28</v>
      </c>
      <c r="K638" t="s">
        <v>32</v>
      </c>
      <c r="L638" s="35">
        <v>38.97</v>
      </c>
      <c r="M638" s="6" t="s">
        <v>29</v>
      </c>
      <c r="N638" s="6">
        <v>3105</v>
      </c>
      <c r="P638" s="18"/>
      <c r="Q638" s="17"/>
      <c r="R638" s="19">
        <v>38.97</v>
      </c>
      <c r="S638" s="19">
        <v>38.97</v>
      </c>
      <c r="T638" s="38">
        <v>8</v>
      </c>
      <c r="U638" s="38"/>
      <c r="V638" s="30">
        <v>38.97</v>
      </c>
      <c r="W638" s="35">
        <v>38.97</v>
      </c>
      <c r="X638" s="32">
        <f t="shared" si="99"/>
        <v>311.76</v>
      </c>
      <c r="Y638" s="32">
        <f t="shared" si="100"/>
        <v>311.76</v>
      </c>
      <c r="Z638" s="32">
        <f t="shared" si="101"/>
        <v>0</v>
      </c>
      <c r="AA638" s="38">
        <v>8</v>
      </c>
      <c r="AB638" s="37">
        <f>IFERROR(VLOOKUP(A638,'Tash Lookup'!A:E,3,FALSE),"")</f>
        <v>306.72000000000003</v>
      </c>
      <c r="AC638" s="6">
        <f t="shared" si="102"/>
        <v>0</v>
      </c>
      <c r="AD638" s="2" t="s">
        <v>6703</v>
      </c>
      <c r="AF638" s="56">
        <v>43.43</v>
      </c>
      <c r="AG638" s="56">
        <f>VLOOKUP(A638,Sheet1!$A$2:$C$1140,3,FALSE)</f>
        <v>43.43</v>
      </c>
      <c r="AH638" s="58">
        <v>43.43</v>
      </c>
      <c r="AI638" s="56" t="str">
        <f t="shared" si="103"/>
        <v>Same</v>
      </c>
      <c r="AJ638" s="81">
        <f t="shared" si="107"/>
        <v>347.44</v>
      </c>
      <c r="AK638" s="81">
        <f t="shared" si="108"/>
        <v>347.44</v>
      </c>
      <c r="AL638" s="58" t="s">
        <v>7206</v>
      </c>
      <c r="AM638" s="58" t="s">
        <v>6703</v>
      </c>
      <c r="AN638" s="75">
        <v>4</v>
      </c>
      <c r="AO638" s="88">
        <v>43.43</v>
      </c>
      <c r="AP638" s="6" t="str">
        <f t="shared" si="104"/>
        <v>Same</v>
      </c>
      <c r="AQ638" s="81">
        <f t="shared" si="105"/>
        <v>173.72</v>
      </c>
      <c r="AR638" s="81">
        <f t="shared" si="106"/>
        <v>173.72</v>
      </c>
      <c r="AS638" s="81">
        <f t="shared" si="109"/>
        <v>0</v>
      </c>
    </row>
    <row r="639" spans="1:45" hidden="1" x14ac:dyDescent="0.3">
      <c r="A639">
        <v>6183931</v>
      </c>
      <c r="B639" s="15" t="s">
        <v>5975</v>
      </c>
      <c r="C639" s="16" t="s">
        <v>30</v>
      </c>
      <c r="D639" s="6" t="s">
        <v>31</v>
      </c>
      <c r="E639" t="s">
        <v>693</v>
      </c>
      <c r="F639" t="s">
        <v>693</v>
      </c>
      <c r="H639" s="11" t="s">
        <v>27</v>
      </c>
      <c r="I639" s="6" t="s">
        <v>28</v>
      </c>
      <c r="J639" s="6" t="s">
        <v>28</v>
      </c>
      <c r="K639" t="s">
        <v>32</v>
      </c>
      <c r="L639" s="35">
        <v>7.2</v>
      </c>
      <c r="M639" s="6" t="s">
        <v>29</v>
      </c>
      <c r="N639" s="6">
        <v>3105</v>
      </c>
      <c r="P639" s="18"/>
      <c r="Q639" s="17"/>
      <c r="R639" s="19">
        <v>7.2</v>
      </c>
      <c r="S639" s="19">
        <v>7.2</v>
      </c>
      <c r="T639" s="38">
        <v>8</v>
      </c>
      <c r="U639" s="38"/>
      <c r="V639" s="30">
        <v>7.2</v>
      </c>
      <c r="W639" s="35">
        <v>7.2</v>
      </c>
      <c r="X639" s="32">
        <f t="shared" si="99"/>
        <v>57.6</v>
      </c>
      <c r="Y639" s="32">
        <f t="shared" si="100"/>
        <v>57.6</v>
      </c>
      <c r="Z639" s="32">
        <f t="shared" si="101"/>
        <v>0</v>
      </c>
      <c r="AA639" s="38">
        <v>8</v>
      </c>
      <c r="AB639" s="37">
        <f>IFERROR(VLOOKUP(A639,'Tash Lookup'!A:E,3,FALSE),"")</f>
        <v>57.29</v>
      </c>
      <c r="AC639" s="6">
        <f t="shared" si="102"/>
        <v>0</v>
      </c>
      <c r="AD639" s="2" t="s">
        <v>6703</v>
      </c>
      <c r="AF639" s="56">
        <v>7.2</v>
      </c>
      <c r="AG639" s="56">
        <f>VLOOKUP(A639,Sheet1!$A$2:$C$1140,3,FALSE)</f>
        <v>7.34</v>
      </c>
      <c r="AH639" s="58">
        <v>7.34</v>
      </c>
      <c r="AI639" s="56" t="str">
        <f t="shared" si="103"/>
        <v>Increase</v>
      </c>
      <c r="AJ639" s="81">
        <f t="shared" si="107"/>
        <v>57.6</v>
      </c>
      <c r="AK639" s="81">
        <f t="shared" si="108"/>
        <v>58.72</v>
      </c>
      <c r="AL639" s="58" t="s">
        <v>7206</v>
      </c>
      <c r="AM639" s="58" t="s">
        <v>6703</v>
      </c>
      <c r="AN639" s="75">
        <v>1</v>
      </c>
      <c r="AO639" s="88">
        <v>7.34</v>
      </c>
      <c r="AP639" s="6" t="str">
        <f t="shared" si="104"/>
        <v>Increase</v>
      </c>
      <c r="AQ639" s="81">
        <f t="shared" si="105"/>
        <v>7.2</v>
      </c>
      <c r="AR639" s="81">
        <f t="shared" si="106"/>
        <v>7.34</v>
      </c>
      <c r="AS639" s="82">
        <f t="shared" si="109"/>
        <v>0.13999999999999968</v>
      </c>
    </row>
    <row r="640" spans="1:45" hidden="1" x14ac:dyDescent="0.3">
      <c r="A640">
        <v>6390519</v>
      </c>
      <c r="B640" s="15" t="s">
        <v>5976</v>
      </c>
      <c r="C640" s="16" t="s">
        <v>30</v>
      </c>
      <c r="D640" s="6" t="s">
        <v>31</v>
      </c>
      <c r="E640" t="s">
        <v>1211</v>
      </c>
      <c r="F640" t="s">
        <v>1211</v>
      </c>
      <c r="H640" s="11" t="s">
        <v>27</v>
      </c>
      <c r="I640" s="6" t="s">
        <v>28</v>
      </c>
      <c r="J640" s="6" t="s">
        <v>28</v>
      </c>
      <c r="K640" t="s">
        <v>32</v>
      </c>
      <c r="L640" s="35">
        <v>31.79</v>
      </c>
      <c r="M640" s="6" t="s">
        <v>29</v>
      </c>
      <c r="N640" s="6">
        <v>3105</v>
      </c>
      <c r="P640" s="18"/>
      <c r="Q640" s="17"/>
      <c r="R640" s="19">
        <v>30.21</v>
      </c>
      <c r="S640" s="19">
        <v>0</v>
      </c>
      <c r="T640" s="38">
        <v>8</v>
      </c>
      <c r="U640" s="38"/>
      <c r="V640" s="30">
        <v>30.21</v>
      </c>
      <c r="W640" s="35">
        <v>34.99</v>
      </c>
      <c r="X640" s="32">
        <f t="shared" si="99"/>
        <v>241.68</v>
      </c>
      <c r="Y640" s="32">
        <f t="shared" si="100"/>
        <v>254.32</v>
      </c>
      <c r="Z640" s="32">
        <f t="shared" si="101"/>
        <v>-12.639999999999986</v>
      </c>
      <c r="AA640" s="38">
        <v>8</v>
      </c>
      <c r="AB640" s="37">
        <f>IFERROR(VLOOKUP(A640,'Tash Lookup'!A:E,3,FALSE),"")</f>
        <v>250.37</v>
      </c>
      <c r="AC640" s="6">
        <f t="shared" si="102"/>
        <v>0</v>
      </c>
      <c r="AD640" s="2" t="s">
        <v>6703</v>
      </c>
      <c r="AF640" s="56">
        <v>30.21</v>
      </c>
      <c r="AG640" s="56">
        <f>VLOOKUP(A640,Sheet1!$A$2:$C$1140,3,FALSE)</f>
        <v>30.82</v>
      </c>
      <c r="AH640" s="58">
        <v>30.82</v>
      </c>
      <c r="AI640" s="56" t="str">
        <f t="shared" si="103"/>
        <v>Increase</v>
      </c>
      <c r="AJ640" s="81">
        <f t="shared" si="107"/>
        <v>241.68</v>
      </c>
      <c r="AK640" s="81">
        <f t="shared" si="108"/>
        <v>246.56</v>
      </c>
      <c r="AL640" s="58" t="s">
        <v>7206</v>
      </c>
      <c r="AM640" s="58" t="s">
        <v>6703</v>
      </c>
      <c r="AN640" s="75">
        <v>11</v>
      </c>
      <c r="AO640" s="88">
        <v>30.82</v>
      </c>
      <c r="AP640" s="6" t="str">
        <f t="shared" si="104"/>
        <v>Increase</v>
      </c>
      <c r="AQ640" s="81">
        <f t="shared" si="105"/>
        <v>332.31</v>
      </c>
      <c r="AR640" s="81">
        <f t="shared" si="106"/>
        <v>339.02</v>
      </c>
      <c r="AS640" s="82">
        <f t="shared" si="109"/>
        <v>6.7099999999999795</v>
      </c>
    </row>
    <row r="641" spans="1:45" hidden="1" x14ac:dyDescent="0.3">
      <c r="A641">
        <v>6360791</v>
      </c>
      <c r="B641" s="15" t="s">
        <v>5977</v>
      </c>
      <c r="C641" s="16" t="s">
        <v>30</v>
      </c>
      <c r="D641" s="6" t="s">
        <v>31</v>
      </c>
      <c r="E641" t="s">
        <v>745</v>
      </c>
      <c r="F641" t="s">
        <v>745</v>
      </c>
      <c r="H641" s="11" t="s">
        <v>27</v>
      </c>
      <c r="I641" s="6" t="s">
        <v>28</v>
      </c>
      <c r="J641" s="6" t="s">
        <v>28</v>
      </c>
      <c r="K641" t="s">
        <v>32</v>
      </c>
      <c r="L641" s="35">
        <v>34.99</v>
      </c>
      <c r="M641" s="6" t="s">
        <v>29</v>
      </c>
      <c r="N641" s="6">
        <v>3105</v>
      </c>
      <c r="P641" s="18"/>
      <c r="Q641" s="17"/>
      <c r="R641" s="19">
        <v>34.99</v>
      </c>
      <c r="S641" s="19">
        <v>34.99</v>
      </c>
      <c r="T641" s="38">
        <v>8</v>
      </c>
      <c r="U641" s="38"/>
      <c r="V641" s="30">
        <v>34.99</v>
      </c>
      <c r="W641" s="35">
        <v>19.82</v>
      </c>
      <c r="X641" s="32">
        <f t="shared" si="99"/>
        <v>279.92</v>
      </c>
      <c r="Y641" s="32">
        <f t="shared" si="100"/>
        <v>279.92</v>
      </c>
      <c r="Z641" s="32">
        <f t="shared" si="101"/>
        <v>0</v>
      </c>
      <c r="AA641" s="38">
        <v>8</v>
      </c>
      <c r="AB641" s="37">
        <f>IFERROR(VLOOKUP(A641,'Tash Lookup'!A:E,3,FALSE),"")</f>
        <v>279.93</v>
      </c>
      <c r="AC641" s="6">
        <f t="shared" si="102"/>
        <v>0</v>
      </c>
      <c r="AD641" s="2" t="s">
        <v>6703</v>
      </c>
      <c r="AF641" s="56">
        <v>36.39</v>
      </c>
      <c r="AG641" s="56">
        <f>VLOOKUP(A641,Sheet1!$A$2:$C$1140,3,FALSE)</f>
        <v>36.39</v>
      </c>
      <c r="AH641" s="58">
        <v>36.39</v>
      </c>
      <c r="AI641" s="56" t="str">
        <f t="shared" si="103"/>
        <v>Same</v>
      </c>
      <c r="AJ641" s="81">
        <f t="shared" si="107"/>
        <v>291.12</v>
      </c>
      <c r="AK641" s="81">
        <f t="shared" si="108"/>
        <v>291.12</v>
      </c>
      <c r="AL641" s="58" t="s">
        <v>7206</v>
      </c>
      <c r="AM641" s="58" t="s">
        <v>6703</v>
      </c>
      <c r="AN641" s="75">
        <v>3</v>
      </c>
      <c r="AO641" s="88">
        <v>36.39</v>
      </c>
      <c r="AP641" s="6" t="str">
        <f t="shared" si="104"/>
        <v>Same</v>
      </c>
      <c r="AQ641" s="81">
        <f t="shared" si="105"/>
        <v>109.17</v>
      </c>
      <c r="AR641" s="81">
        <f t="shared" si="106"/>
        <v>109.17</v>
      </c>
      <c r="AS641" s="81">
        <f t="shared" si="109"/>
        <v>0</v>
      </c>
    </row>
    <row r="642" spans="1:45" hidden="1" x14ac:dyDescent="0.3">
      <c r="A642">
        <v>5180253</v>
      </c>
      <c r="B642" s="15" t="s">
        <v>5978</v>
      </c>
      <c r="C642" s="16" t="s">
        <v>30</v>
      </c>
      <c r="D642" s="6" t="s">
        <v>31</v>
      </c>
      <c r="E642" t="s">
        <v>184</v>
      </c>
      <c r="F642" t="s">
        <v>184</v>
      </c>
      <c r="H642" s="11" t="s">
        <v>27</v>
      </c>
      <c r="I642" s="6" t="s">
        <v>28</v>
      </c>
      <c r="J642" s="6" t="s">
        <v>28</v>
      </c>
      <c r="K642" t="s">
        <v>32</v>
      </c>
      <c r="L642" s="35">
        <v>19.82</v>
      </c>
      <c r="M642" s="6" t="s">
        <v>29</v>
      </c>
      <c r="N642" s="6">
        <v>3105</v>
      </c>
      <c r="P642" s="18"/>
      <c r="Q642" s="17"/>
      <c r="R642" s="19">
        <v>19.82</v>
      </c>
      <c r="S642" s="19">
        <v>19.82</v>
      </c>
      <c r="T642" s="38">
        <v>8</v>
      </c>
      <c r="U642" s="38"/>
      <c r="V642" s="29">
        <v>19.82</v>
      </c>
      <c r="W642" s="44">
        <v>12.74</v>
      </c>
      <c r="X642" s="32">
        <f t="shared" si="99"/>
        <v>158.56</v>
      </c>
      <c r="Y642" s="32">
        <f t="shared" si="100"/>
        <v>158.56</v>
      </c>
      <c r="Z642" s="32">
        <f t="shared" si="101"/>
        <v>0</v>
      </c>
      <c r="AA642" s="38">
        <v>8</v>
      </c>
      <c r="AB642" s="37">
        <f>IFERROR(VLOOKUP(A642,'Tash Lookup'!A:E,3,FALSE),"")</f>
        <v>158.56</v>
      </c>
      <c r="AC642" s="6">
        <f t="shared" si="102"/>
        <v>0</v>
      </c>
      <c r="AD642" s="2" t="s">
        <v>6703</v>
      </c>
      <c r="AF642" s="56">
        <v>20.100000000000001</v>
      </c>
      <c r="AG642" s="56">
        <f>VLOOKUP(A642,Sheet1!$A$2:$C$1140,3,FALSE)</f>
        <v>20.100000000000001</v>
      </c>
      <c r="AH642" s="58">
        <v>20.100000000000001</v>
      </c>
      <c r="AI642" s="56" t="str">
        <f t="shared" si="103"/>
        <v>Same</v>
      </c>
      <c r="AJ642" s="81">
        <f t="shared" si="107"/>
        <v>160.80000000000001</v>
      </c>
      <c r="AK642" s="81">
        <f t="shared" si="108"/>
        <v>160.80000000000001</v>
      </c>
      <c r="AL642" s="58" t="s">
        <v>32</v>
      </c>
      <c r="AM642" s="58" t="s">
        <v>6703</v>
      </c>
      <c r="AN642" s="75">
        <v>3</v>
      </c>
      <c r="AO642" s="88">
        <v>20.100000000000001</v>
      </c>
      <c r="AP642" s="6" t="str">
        <f t="shared" si="104"/>
        <v>Same</v>
      </c>
      <c r="AQ642" s="81">
        <f t="shared" si="105"/>
        <v>60.300000000000004</v>
      </c>
      <c r="AR642" s="81">
        <f t="shared" si="106"/>
        <v>60.300000000000004</v>
      </c>
      <c r="AS642" s="81">
        <f t="shared" si="109"/>
        <v>0</v>
      </c>
    </row>
    <row r="643" spans="1:45" hidden="1" x14ac:dyDescent="0.3">
      <c r="A643">
        <v>5219309</v>
      </c>
      <c r="B643" s="15" t="s">
        <v>5979</v>
      </c>
      <c r="C643" s="16" t="s">
        <v>30</v>
      </c>
      <c r="D643" s="6" t="s">
        <v>31</v>
      </c>
      <c r="E643" t="s">
        <v>274</v>
      </c>
      <c r="F643" t="s">
        <v>274</v>
      </c>
      <c r="H643" s="11" t="s">
        <v>27</v>
      </c>
      <c r="I643" s="6" t="s">
        <v>28</v>
      </c>
      <c r="J643" s="6" t="s">
        <v>28</v>
      </c>
      <c r="K643" t="s">
        <v>32</v>
      </c>
      <c r="L643" s="29">
        <v>22.35</v>
      </c>
      <c r="M643" s="6" t="s">
        <v>29</v>
      </c>
      <c r="N643" s="6">
        <v>3105</v>
      </c>
      <c r="P643" s="18"/>
      <c r="Q643" s="17"/>
      <c r="R643" s="19">
        <v>22.35</v>
      </c>
      <c r="S643" s="19">
        <v>22.35</v>
      </c>
      <c r="T643" s="38">
        <v>8</v>
      </c>
      <c r="U643" s="38"/>
      <c r="V643" s="29">
        <v>22.35</v>
      </c>
      <c r="W643" s="35">
        <v>31.79</v>
      </c>
      <c r="X643" s="32">
        <f t="shared" si="99"/>
        <v>178.8</v>
      </c>
      <c r="Y643" s="32">
        <f t="shared" si="100"/>
        <v>178.8</v>
      </c>
      <c r="Z643" s="32">
        <f t="shared" si="101"/>
        <v>0</v>
      </c>
      <c r="AA643" s="38">
        <v>8</v>
      </c>
      <c r="AB643" s="37">
        <f>IFERROR(VLOOKUP(A643,'Tash Lookup'!A:E,3,FALSE),"")</f>
        <v>149.43</v>
      </c>
      <c r="AC643" s="6">
        <f t="shared" si="102"/>
        <v>0</v>
      </c>
      <c r="AD643" s="2" t="s">
        <v>6703</v>
      </c>
      <c r="AE643" s="54"/>
      <c r="AF643" s="56">
        <v>12.14</v>
      </c>
      <c r="AG643" s="56">
        <f>VLOOKUP(A643,Sheet1!$A$2:$C$1140,3,FALSE)</f>
        <v>12.51</v>
      </c>
      <c r="AH643" s="58">
        <v>12.51</v>
      </c>
      <c r="AI643" s="56" t="str">
        <f t="shared" si="103"/>
        <v>Increase</v>
      </c>
      <c r="AJ643" s="81">
        <f t="shared" si="107"/>
        <v>97.12</v>
      </c>
      <c r="AK643" s="81">
        <f t="shared" si="108"/>
        <v>100.08</v>
      </c>
      <c r="AL643" s="58" t="s">
        <v>32</v>
      </c>
      <c r="AM643" s="58" t="s">
        <v>6703</v>
      </c>
      <c r="AN643" s="75">
        <v>34</v>
      </c>
      <c r="AO643" s="88">
        <v>12.51</v>
      </c>
      <c r="AP643" s="6" t="str">
        <f t="shared" si="104"/>
        <v>Increase</v>
      </c>
      <c r="AQ643" s="81">
        <f t="shared" si="105"/>
        <v>412.76</v>
      </c>
      <c r="AR643" s="81">
        <f t="shared" si="106"/>
        <v>425.34</v>
      </c>
      <c r="AS643" s="82">
        <f t="shared" si="109"/>
        <v>12.579999999999984</v>
      </c>
    </row>
    <row r="644" spans="1:45" hidden="1" x14ac:dyDescent="0.3">
      <c r="A644">
        <v>6107916</v>
      </c>
      <c r="B644" s="15" t="s">
        <v>5980</v>
      </c>
      <c r="C644" s="16" t="s">
        <v>30</v>
      </c>
      <c r="D644" s="6" t="s">
        <v>31</v>
      </c>
      <c r="E644" t="s">
        <v>2958</v>
      </c>
      <c r="F644" t="s">
        <v>2958</v>
      </c>
      <c r="H644" s="11" t="s">
        <v>27</v>
      </c>
      <c r="I644" s="6" t="s">
        <v>28</v>
      </c>
      <c r="J644" s="6" t="s">
        <v>28</v>
      </c>
      <c r="K644" t="s">
        <v>32</v>
      </c>
      <c r="L644" s="35">
        <v>16.600000000000001</v>
      </c>
      <c r="M644" s="6" t="s">
        <v>29</v>
      </c>
      <c r="N644" s="6">
        <v>3105</v>
      </c>
      <c r="P644" s="18"/>
      <c r="Q644" s="17"/>
      <c r="R644" s="19">
        <v>0</v>
      </c>
      <c r="S644" s="19">
        <v>0</v>
      </c>
      <c r="T644" s="38">
        <v>7</v>
      </c>
      <c r="U644" s="38"/>
      <c r="V644" s="31">
        <v>16.600000000000001</v>
      </c>
      <c r="W644" s="35">
        <v>16.600000000000001</v>
      </c>
      <c r="X644" s="32">
        <f t="shared" si="99"/>
        <v>116.20000000000002</v>
      </c>
      <c r="Y644" s="32">
        <f t="shared" si="100"/>
        <v>116.20000000000002</v>
      </c>
      <c r="Z644" s="32">
        <f t="shared" si="101"/>
        <v>0</v>
      </c>
      <c r="AA644" s="38">
        <v>7</v>
      </c>
      <c r="AB644" s="37">
        <f>IFERROR(VLOOKUP(A644,'Tash Lookup'!A:E,3,FALSE),"")</f>
        <v>115.51</v>
      </c>
      <c r="AC644" s="6">
        <f t="shared" si="102"/>
        <v>0</v>
      </c>
      <c r="AD644" s="2" t="s">
        <v>6703</v>
      </c>
      <c r="AF644" s="56">
        <v>16.600000000000001</v>
      </c>
      <c r="AG644" s="56">
        <f>VLOOKUP(A644,Sheet1!$A$2:$C$1140,3,FALSE)</f>
        <v>16.93</v>
      </c>
      <c r="AH644" s="58">
        <v>16.93</v>
      </c>
      <c r="AI644" s="56" t="str">
        <f t="shared" si="103"/>
        <v>Increase</v>
      </c>
      <c r="AJ644" s="81">
        <f t="shared" si="107"/>
        <v>116.20000000000002</v>
      </c>
      <c r="AK644" s="81">
        <f t="shared" si="108"/>
        <v>118.50999999999999</v>
      </c>
      <c r="AL644" s="58" t="s">
        <v>7206</v>
      </c>
      <c r="AM644" s="58" t="s">
        <v>6703</v>
      </c>
      <c r="AN644" s="75">
        <v>6</v>
      </c>
      <c r="AO644" s="88">
        <v>16.93</v>
      </c>
      <c r="AP644" s="6" t="str">
        <f t="shared" si="104"/>
        <v>Increase</v>
      </c>
      <c r="AQ644" s="81">
        <f t="shared" si="105"/>
        <v>99.600000000000009</v>
      </c>
      <c r="AR644" s="81">
        <f t="shared" si="106"/>
        <v>101.58</v>
      </c>
      <c r="AS644" s="82">
        <f t="shared" si="109"/>
        <v>1.9799999999999898</v>
      </c>
    </row>
    <row r="645" spans="1:45" hidden="1" x14ac:dyDescent="0.3">
      <c r="A645">
        <v>6188874</v>
      </c>
      <c r="B645" s="15" t="s">
        <v>5981</v>
      </c>
      <c r="C645" s="16" t="s">
        <v>30</v>
      </c>
      <c r="D645" s="6" t="s">
        <v>31</v>
      </c>
      <c r="E645" t="s">
        <v>853</v>
      </c>
      <c r="F645" t="s">
        <v>853</v>
      </c>
      <c r="H645" s="11" t="s">
        <v>27</v>
      </c>
      <c r="I645" s="6" t="s">
        <v>28</v>
      </c>
      <c r="J645" s="6" t="s">
        <v>28</v>
      </c>
      <c r="K645" t="s">
        <v>32</v>
      </c>
      <c r="L645" s="35">
        <v>4.12</v>
      </c>
      <c r="M645" s="6" t="s">
        <v>29</v>
      </c>
      <c r="N645" s="6">
        <v>3105</v>
      </c>
      <c r="P645" s="18"/>
      <c r="Q645" s="17"/>
      <c r="R645" s="19">
        <v>4.12</v>
      </c>
      <c r="S645" s="19">
        <v>4.12</v>
      </c>
      <c r="T645" s="38">
        <v>7</v>
      </c>
      <c r="U645" s="38"/>
      <c r="V645" s="30">
        <v>4.12</v>
      </c>
      <c r="W645" s="35">
        <v>4.12</v>
      </c>
      <c r="X645" s="32">
        <f t="shared" si="99"/>
        <v>28.84</v>
      </c>
      <c r="Y645" s="32">
        <f t="shared" si="100"/>
        <v>28.84</v>
      </c>
      <c r="Z645" s="32">
        <f t="shared" si="101"/>
        <v>0</v>
      </c>
      <c r="AA645" s="38">
        <v>7</v>
      </c>
      <c r="AB645" s="37">
        <f>IFERROR(VLOOKUP(A645,'Tash Lookup'!A:E,3,FALSE),"")</f>
        <v>28.86</v>
      </c>
      <c r="AC645" s="6">
        <f t="shared" si="102"/>
        <v>0</v>
      </c>
      <c r="AD645" s="2" t="s">
        <v>6703</v>
      </c>
      <c r="AF645" s="56">
        <v>4.12</v>
      </c>
      <c r="AG645" s="56">
        <f>VLOOKUP(A645,Sheet1!$A$2:$C$1140,3,FALSE)</f>
        <v>4.2</v>
      </c>
      <c r="AH645" s="58">
        <v>4.2</v>
      </c>
      <c r="AI645" s="56" t="str">
        <f t="shared" si="103"/>
        <v>Increase</v>
      </c>
      <c r="AJ645" s="81">
        <f t="shared" si="107"/>
        <v>28.84</v>
      </c>
      <c r="AK645" s="81">
        <f t="shared" si="108"/>
        <v>29.400000000000002</v>
      </c>
      <c r="AL645" s="58" t="s">
        <v>7206</v>
      </c>
      <c r="AM645" s="58" t="s">
        <v>6703</v>
      </c>
      <c r="AN645" s="75">
        <v>0</v>
      </c>
      <c r="AO645" s="88">
        <v>4.2</v>
      </c>
      <c r="AP645" s="6" t="str">
        <f t="shared" si="104"/>
        <v>Increase</v>
      </c>
      <c r="AQ645" s="81">
        <f t="shared" si="105"/>
        <v>0</v>
      </c>
      <c r="AR645" s="81">
        <f t="shared" si="106"/>
        <v>0</v>
      </c>
      <c r="AS645" s="82">
        <f t="shared" si="109"/>
        <v>0</v>
      </c>
    </row>
    <row r="646" spans="1:45" hidden="1" x14ac:dyDescent="0.3">
      <c r="A646">
        <v>5183327</v>
      </c>
      <c r="B646" s="15" t="s">
        <v>5982</v>
      </c>
      <c r="C646" s="16" t="s">
        <v>30</v>
      </c>
      <c r="D646" s="6" t="s">
        <v>31</v>
      </c>
      <c r="E646" t="s">
        <v>472</v>
      </c>
      <c r="F646" t="s">
        <v>472</v>
      </c>
      <c r="H646" s="11" t="s">
        <v>27</v>
      </c>
      <c r="I646" s="6" t="s">
        <v>28</v>
      </c>
      <c r="J646" s="6" t="s">
        <v>28</v>
      </c>
      <c r="K646" t="s">
        <v>32</v>
      </c>
      <c r="L646" s="35">
        <v>22.72</v>
      </c>
      <c r="M646" s="6" t="s">
        <v>29</v>
      </c>
      <c r="N646" s="6">
        <v>3105</v>
      </c>
      <c r="P646" s="18"/>
      <c r="Q646" s="17"/>
      <c r="R646" s="19">
        <v>22.72</v>
      </c>
      <c r="S646" s="19">
        <v>22.72</v>
      </c>
      <c r="T646" s="38">
        <v>7</v>
      </c>
      <c r="U646" s="38"/>
      <c r="V646" s="29">
        <v>22.72</v>
      </c>
      <c r="W646" s="35">
        <v>22.72</v>
      </c>
      <c r="X646" s="32">
        <f t="shared" ref="X646:X709" si="110">SUM(V646*T646)</f>
        <v>159.04</v>
      </c>
      <c r="Y646" s="32">
        <f t="shared" ref="Y646:Y709" si="111">SUM(L646*T646)</f>
        <v>159.04</v>
      </c>
      <c r="Z646" s="32">
        <f t="shared" ref="Z646:Z709" si="112">SUM(X646-Y646)</f>
        <v>0</v>
      </c>
      <c r="AA646" s="38">
        <v>7</v>
      </c>
      <c r="AB646" s="37">
        <f>IFERROR(VLOOKUP(A646,'Tash Lookup'!A:E,3,FALSE),"")</f>
        <v>159.04</v>
      </c>
      <c r="AC646" s="6">
        <f t="shared" ref="AC646:AC709" si="113">IFERROR(AA646-T646,"")</f>
        <v>0</v>
      </c>
      <c r="AD646" s="2" t="s">
        <v>6703</v>
      </c>
      <c r="AF646" s="56">
        <v>24.49</v>
      </c>
      <c r="AG646" s="56">
        <f>VLOOKUP(A646,Sheet1!$A$2:$C$1140,3,FALSE)</f>
        <v>25.23</v>
      </c>
      <c r="AH646" s="58">
        <v>25.23</v>
      </c>
      <c r="AI646" s="56" t="str">
        <f t="shared" ref="AI646:AI709" si="114">IF(ISNA(AH646),"Delete",IF(AH646=AF646,"Same",IF(AH646&gt;AF646,"Increase","Decrease")))</f>
        <v>Increase</v>
      </c>
      <c r="AJ646" s="81">
        <f t="shared" si="107"/>
        <v>171.42999999999998</v>
      </c>
      <c r="AK646" s="81">
        <f t="shared" si="108"/>
        <v>176.61</v>
      </c>
      <c r="AL646" s="58" t="s">
        <v>32</v>
      </c>
      <c r="AM646" s="58" t="s">
        <v>6703</v>
      </c>
      <c r="AN646" s="75">
        <v>1</v>
      </c>
      <c r="AO646" s="88">
        <v>25.23</v>
      </c>
      <c r="AP646" s="6" t="str">
        <f t="shared" ref="AP646:AP709" si="115">IF(AM646="Delete","Delete",IF(AO646=AF646,"Same",IF(AO646&gt;AF646,"Increase","Decrease")))</f>
        <v>Increase</v>
      </c>
      <c r="AQ646" s="81">
        <f t="shared" ref="AQ646:AQ709" si="116">AN646*AF646</f>
        <v>24.49</v>
      </c>
      <c r="AR646" s="81">
        <f t="shared" ref="AR646:AR709" si="117">AN646*AO646</f>
        <v>25.23</v>
      </c>
      <c r="AS646" s="82">
        <f t="shared" si="109"/>
        <v>0.74000000000000199</v>
      </c>
    </row>
    <row r="647" spans="1:45" hidden="1" x14ac:dyDescent="0.3">
      <c r="A647">
        <v>5083625</v>
      </c>
      <c r="B647" s="15" t="s">
        <v>5983</v>
      </c>
      <c r="C647" s="16" t="s">
        <v>30</v>
      </c>
      <c r="D647" s="6" t="s">
        <v>31</v>
      </c>
      <c r="E647" t="s">
        <v>494</v>
      </c>
      <c r="F647" t="s">
        <v>494</v>
      </c>
      <c r="H647" s="11" t="s">
        <v>27</v>
      </c>
      <c r="I647" s="6" t="s">
        <v>28</v>
      </c>
      <c r="J647" s="6" t="s">
        <v>28</v>
      </c>
      <c r="K647" t="s">
        <v>32</v>
      </c>
      <c r="L647" s="35">
        <v>74.900000000000006</v>
      </c>
      <c r="M647" s="6" t="s">
        <v>29</v>
      </c>
      <c r="N647" s="6">
        <v>3105</v>
      </c>
      <c r="P647" s="18"/>
      <c r="Q647" s="17"/>
      <c r="R647" s="19">
        <v>74.900000000000006</v>
      </c>
      <c r="S647" s="19">
        <v>74.900000000000006</v>
      </c>
      <c r="T647" s="38">
        <v>7</v>
      </c>
      <c r="U647" s="38"/>
      <c r="V647" s="29">
        <v>74.900000000000006</v>
      </c>
      <c r="W647" s="35">
        <v>74.900000000000006</v>
      </c>
      <c r="X647" s="32">
        <f t="shared" si="110"/>
        <v>524.30000000000007</v>
      </c>
      <c r="Y647" s="32">
        <f t="shared" si="111"/>
        <v>524.30000000000007</v>
      </c>
      <c r="Z647" s="32">
        <f t="shared" si="112"/>
        <v>0</v>
      </c>
      <c r="AA647" s="38">
        <v>7</v>
      </c>
      <c r="AB647" s="37">
        <f>IFERROR(VLOOKUP(A647,'Tash Lookup'!A:E,3,FALSE),"")</f>
        <v>470.99</v>
      </c>
      <c r="AC647" s="6">
        <f t="shared" si="113"/>
        <v>0</v>
      </c>
      <c r="AD647" s="2" t="s">
        <v>6703</v>
      </c>
      <c r="AF647" s="56">
        <v>77.03</v>
      </c>
      <c r="AG647" s="56">
        <f>VLOOKUP(A647,Sheet1!$A$2:$C$1140,3,FALSE)</f>
        <v>79.34</v>
      </c>
      <c r="AH647" s="58">
        <v>79.34</v>
      </c>
      <c r="AI647" s="56" t="str">
        <f t="shared" si="114"/>
        <v>Increase</v>
      </c>
      <c r="AJ647" s="81">
        <f t="shared" ref="AJ647:AJ710" si="118">IFERROR(AA647*AF647,0)</f>
        <v>539.21</v>
      </c>
      <c r="AK647" s="81">
        <f t="shared" ref="AK647:AK710" si="119">IFERROR(AA647*AH647,0)</f>
        <v>555.38</v>
      </c>
      <c r="AL647" s="58" t="s">
        <v>32</v>
      </c>
      <c r="AM647" s="58" t="s">
        <v>6703</v>
      </c>
      <c r="AN647" s="75">
        <v>22</v>
      </c>
      <c r="AO647" s="88">
        <v>79.34</v>
      </c>
      <c r="AP647" s="6" t="str">
        <f t="shared" si="115"/>
        <v>Increase</v>
      </c>
      <c r="AQ647" s="81">
        <f t="shared" si="116"/>
        <v>1694.66</v>
      </c>
      <c r="AR647" s="81">
        <f t="shared" si="117"/>
        <v>1745.48</v>
      </c>
      <c r="AS647" s="82">
        <f t="shared" ref="AS647:AS710" si="120">AR647-AQ647</f>
        <v>50.819999999999936</v>
      </c>
    </row>
    <row r="648" spans="1:45" hidden="1" x14ac:dyDescent="0.3">
      <c r="A648">
        <v>5183270</v>
      </c>
      <c r="B648" s="15" t="s">
        <v>5984</v>
      </c>
      <c r="C648" s="16" t="s">
        <v>30</v>
      </c>
      <c r="D648" s="6" t="s">
        <v>31</v>
      </c>
      <c r="E648" t="s">
        <v>511</v>
      </c>
      <c r="F648" t="s">
        <v>511</v>
      </c>
      <c r="H648" s="11" t="s">
        <v>27</v>
      </c>
      <c r="I648" s="6" t="s">
        <v>28</v>
      </c>
      <c r="J648" s="6" t="s">
        <v>28</v>
      </c>
      <c r="K648" t="s">
        <v>32</v>
      </c>
      <c r="L648" s="35">
        <v>18.690000000000001</v>
      </c>
      <c r="M648" s="6" t="s">
        <v>29</v>
      </c>
      <c r="N648" s="6">
        <v>3105</v>
      </c>
      <c r="P648" s="18"/>
      <c r="Q648" s="17"/>
      <c r="R648" s="19">
        <v>18.690000000000001</v>
      </c>
      <c r="S648" s="19">
        <v>18.690000000000001</v>
      </c>
      <c r="T648" s="38">
        <v>7</v>
      </c>
      <c r="U648" s="38"/>
      <c r="V648" s="29">
        <v>18.690000000000001</v>
      </c>
      <c r="W648" s="35">
        <v>18.690000000000001</v>
      </c>
      <c r="X648" s="32">
        <f t="shared" si="110"/>
        <v>130.83000000000001</v>
      </c>
      <c r="Y648" s="32">
        <f t="shared" si="111"/>
        <v>130.83000000000001</v>
      </c>
      <c r="Z648" s="32">
        <f t="shared" si="112"/>
        <v>0</v>
      </c>
      <c r="AA648" s="38">
        <v>7</v>
      </c>
      <c r="AB648" s="37">
        <f>IFERROR(VLOOKUP(A648,'Tash Lookup'!A:E,3,FALSE),"")</f>
        <v>130.83000000000001</v>
      </c>
      <c r="AC648" s="6">
        <f t="shared" si="113"/>
        <v>0</v>
      </c>
      <c r="AD648" s="2" t="s">
        <v>6703</v>
      </c>
      <c r="AF648" s="56">
        <v>20.059999999999999</v>
      </c>
      <c r="AG648" s="56">
        <f>VLOOKUP(A648,Sheet1!$A$2:$C$1140,3,FALSE)</f>
        <v>20.66</v>
      </c>
      <c r="AH648" s="58">
        <v>20.66</v>
      </c>
      <c r="AI648" s="56" t="str">
        <f t="shared" si="114"/>
        <v>Increase</v>
      </c>
      <c r="AJ648" s="81">
        <f t="shared" si="118"/>
        <v>140.41999999999999</v>
      </c>
      <c r="AK648" s="81">
        <f t="shared" si="119"/>
        <v>144.62</v>
      </c>
      <c r="AL648" s="58" t="s">
        <v>32</v>
      </c>
      <c r="AM648" s="58" t="s">
        <v>6703</v>
      </c>
      <c r="AN648" s="75">
        <v>5</v>
      </c>
      <c r="AO648" s="88">
        <v>20.66</v>
      </c>
      <c r="AP648" s="6" t="str">
        <f t="shared" si="115"/>
        <v>Increase</v>
      </c>
      <c r="AQ648" s="81">
        <f t="shared" si="116"/>
        <v>100.3</v>
      </c>
      <c r="AR648" s="81">
        <f t="shared" si="117"/>
        <v>103.3</v>
      </c>
      <c r="AS648" s="82">
        <f t="shared" si="120"/>
        <v>3</v>
      </c>
    </row>
    <row r="649" spans="1:45" hidden="1" x14ac:dyDescent="0.3">
      <c r="A649">
        <v>5082933</v>
      </c>
      <c r="B649" s="15" t="s">
        <v>5985</v>
      </c>
      <c r="C649" s="16" t="s">
        <v>30</v>
      </c>
      <c r="D649" s="6" t="s">
        <v>31</v>
      </c>
      <c r="E649" t="s">
        <v>556</v>
      </c>
      <c r="F649" t="s">
        <v>556</v>
      </c>
      <c r="H649" s="11" t="s">
        <v>27</v>
      </c>
      <c r="I649" s="6" t="s">
        <v>28</v>
      </c>
      <c r="J649" s="6" t="s">
        <v>28</v>
      </c>
      <c r="K649" t="s">
        <v>32</v>
      </c>
      <c r="L649" s="35">
        <v>11.25</v>
      </c>
      <c r="M649" s="6" t="s">
        <v>29</v>
      </c>
      <c r="N649" s="6">
        <v>3105</v>
      </c>
      <c r="P649" s="18"/>
      <c r="Q649" s="17"/>
      <c r="R649" s="19">
        <v>11.25</v>
      </c>
      <c r="S649" s="19">
        <v>11.25</v>
      </c>
      <c r="T649" s="38">
        <v>7</v>
      </c>
      <c r="U649" s="38"/>
      <c r="V649" s="29">
        <v>11.25</v>
      </c>
      <c r="W649" s="35">
        <v>11.25</v>
      </c>
      <c r="X649" s="32">
        <f t="shared" si="110"/>
        <v>78.75</v>
      </c>
      <c r="Y649" s="32">
        <f t="shared" si="111"/>
        <v>78.75</v>
      </c>
      <c r="Z649" s="32">
        <f t="shared" si="112"/>
        <v>0</v>
      </c>
      <c r="AA649" s="38">
        <v>7</v>
      </c>
      <c r="AB649" s="37">
        <f>IFERROR(VLOOKUP(A649,'Tash Lookup'!A:E,3,FALSE),"")</f>
        <v>78.760000000000005</v>
      </c>
      <c r="AC649" s="6">
        <f t="shared" si="113"/>
        <v>0</v>
      </c>
      <c r="AD649" s="2" t="s">
        <v>6703</v>
      </c>
      <c r="AF649" s="56">
        <v>12.26</v>
      </c>
      <c r="AG649" s="56">
        <f>VLOOKUP(A649,Sheet1!$A$2:$C$1140,3,FALSE)</f>
        <v>12.63</v>
      </c>
      <c r="AH649" s="58">
        <v>12.63</v>
      </c>
      <c r="AI649" s="56" t="str">
        <f t="shared" si="114"/>
        <v>Increase</v>
      </c>
      <c r="AJ649" s="81">
        <f t="shared" si="118"/>
        <v>85.82</v>
      </c>
      <c r="AK649" s="81">
        <f t="shared" si="119"/>
        <v>88.410000000000011</v>
      </c>
      <c r="AL649" s="58" t="s">
        <v>32</v>
      </c>
      <c r="AM649" s="58" t="s">
        <v>6703</v>
      </c>
      <c r="AN649" s="75">
        <v>11</v>
      </c>
      <c r="AO649" s="88">
        <v>12.63</v>
      </c>
      <c r="AP649" s="6" t="str">
        <f t="shared" si="115"/>
        <v>Increase</v>
      </c>
      <c r="AQ649" s="81">
        <f t="shared" si="116"/>
        <v>134.85999999999999</v>
      </c>
      <c r="AR649" s="81">
        <f t="shared" si="117"/>
        <v>138.93</v>
      </c>
      <c r="AS649" s="82">
        <f t="shared" si="120"/>
        <v>4.0700000000000216</v>
      </c>
    </row>
    <row r="650" spans="1:45" hidden="1" x14ac:dyDescent="0.3">
      <c r="A650">
        <v>5091632</v>
      </c>
      <c r="B650" s="15" t="s">
        <v>5986</v>
      </c>
      <c r="C650" s="16" t="s">
        <v>30</v>
      </c>
      <c r="D650" s="6" t="s">
        <v>31</v>
      </c>
      <c r="E650" t="s">
        <v>562</v>
      </c>
      <c r="F650" t="s">
        <v>562</v>
      </c>
      <c r="H650" s="11" t="s">
        <v>27</v>
      </c>
      <c r="I650" s="6" t="s">
        <v>28</v>
      </c>
      <c r="J650" s="6" t="s">
        <v>28</v>
      </c>
      <c r="K650" t="s">
        <v>32</v>
      </c>
      <c r="L650" s="35">
        <v>28.76</v>
      </c>
      <c r="M650" s="6" t="s">
        <v>29</v>
      </c>
      <c r="N650" s="6">
        <v>3105</v>
      </c>
      <c r="P650" s="18"/>
      <c r="Q650" s="17"/>
      <c r="R650" s="19">
        <v>28.76</v>
      </c>
      <c r="S650" s="19">
        <v>28.76</v>
      </c>
      <c r="T650" s="38">
        <v>7</v>
      </c>
      <c r="U650" s="38"/>
      <c r="V650" s="29">
        <v>28.76</v>
      </c>
      <c r="W650" s="35">
        <v>28.76</v>
      </c>
      <c r="X650" s="32">
        <f t="shared" si="110"/>
        <v>201.32000000000002</v>
      </c>
      <c r="Y650" s="32">
        <f t="shared" si="111"/>
        <v>201.32000000000002</v>
      </c>
      <c r="Z650" s="32">
        <f t="shared" si="112"/>
        <v>0</v>
      </c>
      <c r="AA650" s="38">
        <v>7</v>
      </c>
      <c r="AB650" s="37">
        <f>IFERROR(VLOOKUP(A650,'Tash Lookup'!A:E,3,FALSE),"")</f>
        <v>201.32</v>
      </c>
      <c r="AC650" s="6">
        <f t="shared" si="113"/>
        <v>0</v>
      </c>
      <c r="AD650" s="2" t="s">
        <v>6703</v>
      </c>
      <c r="AF650" s="56">
        <v>29.86</v>
      </c>
      <c r="AG650" s="56">
        <f>VLOOKUP(A650,Sheet1!$A$2:$C$1140,3,FALSE)</f>
        <v>30.75</v>
      </c>
      <c r="AH650" s="58">
        <v>30.75</v>
      </c>
      <c r="AI650" s="56" t="str">
        <f t="shared" si="114"/>
        <v>Increase</v>
      </c>
      <c r="AJ650" s="81">
        <f t="shared" si="118"/>
        <v>209.01999999999998</v>
      </c>
      <c r="AK650" s="81">
        <f t="shared" si="119"/>
        <v>215.25</v>
      </c>
      <c r="AL650" s="58" t="s">
        <v>32</v>
      </c>
      <c r="AM650" s="58" t="s">
        <v>6703</v>
      </c>
      <c r="AN650" s="75">
        <v>7</v>
      </c>
      <c r="AO650" s="88">
        <v>30.75</v>
      </c>
      <c r="AP650" s="6" t="str">
        <f t="shared" si="115"/>
        <v>Increase</v>
      </c>
      <c r="AQ650" s="81">
        <f t="shared" si="116"/>
        <v>209.01999999999998</v>
      </c>
      <c r="AR650" s="81">
        <f t="shared" si="117"/>
        <v>215.25</v>
      </c>
      <c r="AS650" s="82">
        <f t="shared" si="120"/>
        <v>6.2300000000000182</v>
      </c>
    </row>
    <row r="651" spans="1:45" hidden="1" x14ac:dyDescent="0.3">
      <c r="A651">
        <v>5180254</v>
      </c>
      <c r="B651" s="15" t="s">
        <v>5987</v>
      </c>
      <c r="C651" s="16" t="s">
        <v>30</v>
      </c>
      <c r="D651" s="6" t="s">
        <v>31</v>
      </c>
      <c r="E651" t="s">
        <v>187</v>
      </c>
      <c r="F651" t="s">
        <v>187</v>
      </c>
      <c r="H651" s="11" t="s">
        <v>27</v>
      </c>
      <c r="I651" s="6" t="s">
        <v>28</v>
      </c>
      <c r="J651" s="6" t="s">
        <v>28</v>
      </c>
      <c r="K651" t="s">
        <v>32</v>
      </c>
      <c r="L651" s="35">
        <v>12.84</v>
      </c>
      <c r="M651" s="6" t="s">
        <v>29</v>
      </c>
      <c r="N651" s="6">
        <v>3105</v>
      </c>
      <c r="P651" s="18"/>
      <c r="Q651" s="17"/>
      <c r="R651" s="19">
        <v>12.84</v>
      </c>
      <c r="S651" s="19">
        <v>12.84</v>
      </c>
      <c r="T651" s="38">
        <v>7</v>
      </c>
      <c r="U651" s="38"/>
      <c r="V651" s="29">
        <v>12.84</v>
      </c>
      <c r="W651" s="35">
        <v>12.84</v>
      </c>
      <c r="X651" s="32">
        <f t="shared" si="110"/>
        <v>89.88</v>
      </c>
      <c r="Y651" s="32">
        <f t="shared" si="111"/>
        <v>89.88</v>
      </c>
      <c r="Z651" s="32">
        <f t="shared" si="112"/>
        <v>0</v>
      </c>
      <c r="AA651" s="38">
        <v>7</v>
      </c>
      <c r="AB651" s="37">
        <f>IFERROR(VLOOKUP(A651,'Tash Lookup'!A:E,3,FALSE),"")</f>
        <v>89.88</v>
      </c>
      <c r="AC651" s="6">
        <f t="shared" si="113"/>
        <v>0</v>
      </c>
      <c r="AD651" s="2" t="s">
        <v>6703</v>
      </c>
      <c r="AF651" s="56">
        <v>13.98</v>
      </c>
      <c r="AG651" s="56">
        <f>VLOOKUP(A651,Sheet1!$A$2:$C$1140,3,FALSE)</f>
        <v>13.98</v>
      </c>
      <c r="AH651" s="58">
        <v>13.98</v>
      </c>
      <c r="AI651" s="56" t="str">
        <f t="shared" si="114"/>
        <v>Same</v>
      </c>
      <c r="AJ651" s="81">
        <f t="shared" si="118"/>
        <v>97.86</v>
      </c>
      <c r="AK651" s="81">
        <f t="shared" si="119"/>
        <v>97.86</v>
      </c>
      <c r="AL651" s="58" t="s">
        <v>32</v>
      </c>
      <c r="AM651" s="58" t="s">
        <v>6703</v>
      </c>
      <c r="AN651" s="75">
        <v>3</v>
      </c>
      <c r="AO651" s="88">
        <v>13.98</v>
      </c>
      <c r="AP651" s="6" t="str">
        <f t="shared" si="115"/>
        <v>Same</v>
      </c>
      <c r="AQ651" s="81">
        <f t="shared" si="116"/>
        <v>41.94</v>
      </c>
      <c r="AR651" s="81">
        <f t="shared" si="117"/>
        <v>41.94</v>
      </c>
      <c r="AS651" s="81">
        <f t="shared" si="120"/>
        <v>0</v>
      </c>
    </row>
    <row r="652" spans="1:45" hidden="1" x14ac:dyDescent="0.3">
      <c r="A652">
        <v>5180256</v>
      </c>
      <c r="B652" s="15" t="s">
        <v>5988</v>
      </c>
      <c r="C652" s="16" t="s">
        <v>30</v>
      </c>
      <c r="D652" s="6" t="s">
        <v>31</v>
      </c>
      <c r="E652" t="s">
        <v>196</v>
      </c>
      <c r="F652" t="s">
        <v>196</v>
      </c>
      <c r="H652" s="11" t="s">
        <v>27</v>
      </c>
      <c r="I652" s="6" t="s">
        <v>28</v>
      </c>
      <c r="J652" s="6" t="s">
        <v>28</v>
      </c>
      <c r="K652" t="s">
        <v>32</v>
      </c>
      <c r="L652" s="35">
        <v>18.59</v>
      </c>
      <c r="M652" s="6" t="s">
        <v>29</v>
      </c>
      <c r="N652" s="6">
        <v>3105</v>
      </c>
      <c r="P652" s="18"/>
      <c r="Q652" s="17"/>
      <c r="R652" s="19">
        <v>18.59</v>
      </c>
      <c r="S652" s="19">
        <v>18.59</v>
      </c>
      <c r="T652" s="38">
        <v>7</v>
      </c>
      <c r="U652" s="38"/>
      <c r="V652" s="29">
        <v>18.59</v>
      </c>
      <c r="W652" s="35">
        <v>18.59</v>
      </c>
      <c r="X652" s="32">
        <f t="shared" si="110"/>
        <v>130.13</v>
      </c>
      <c r="Y652" s="32">
        <f t="shared" si="111"/>
        <v>130.13</v>
      </c>
      <c r="Z652" s="32">
        <f t="shared" si="112"/>
        <v>0</v>
      </c>
      <c r="AA652" s="38">
        <v>7</v>
      </c>
      <c r="AB652" s="37">
        <f>IFERROR(VLOOKUP(A652,'Tash Lookup'!A:E,3,FALSE),"")</f>
        <v>130.13</v>
      </c>
      <c r="AC652" s="6">
        <f t="shared" si="113"/>
        <v>0</v>
      </c>
      <c r="AD652" s="2" t="s">
        <v>6703</v>
      </c>
      <c r="AF652" s="56">
        <v>20.09</v>
      </c>
      <c r="AG652" s="56">
        <f>VLOOKUP(A652,Sheet1!$A$2:$C$1140,3,FALSE)</f>
        <v>20.09</v>
      </c>
      <c r="AH652" s="58">
        <v>20.09</v>
      </c>
      <c r="AI652" s="56" t="str">
        <f t="shared" si="114"/>
        <v>Same</v>
      </c>
      <c r="AJ652" s="81">
        <f t="shared" si="118"/>
        <v>140.63</v>
      </c>
      <c r="AK652" s="81">
        <f t="shared" si="119"/>
        <v>140.63</v>
      </c>
      <c r="AL652" s="58" t="s">
        <v>32</v>
      </c>
      <c r="AM652" s="58" t="s">
        <v>6703</v>
      </c>
      <c r="AN652" s="75">
        <v>2</v>
      </c>
      <c r="AO652" s="88">
        <v>20.09</v>
      </c>
      <c r="AP652" s="6" t="str">
        <f t="shared" si="115"/>
        <v>Same</v>
      </c>
      <c r="AQ652" s="81">
        <f t="shared" si="116"/>
        <v>40.18</v>
      </c>
      <c r="AR652" s="81">
        <f t="shared" si="117"/>
        <v>40.18</v>
      </c>
      <c r="AS652" s="81">
        <f t="shared" si="120"/>
        <v>0</v>
      </c>
    </row>
    <row r="653" spans="1:45" hidden="1" x14ac:dyDescent="0.3">
      <c r="A653">
        <v>6040542</v>
      </c>
      <c r="B653" s="15" t="s">
        <v>5989</v>
      </c>
      <c r="C653" s="16" t="s">
        <v>30</v>
      </c>
      <c r="D653" s="6" t="s">
        <v>31</v>
      </c>
      <c r="E653" t="s">
        <v>921</v>
      </c>
      <c r="F653" t="s">
        <v>921</v>
      </c>
      <c r="H653" s="11" t="s">
        <v>27</v>
      </c>
      <c r="I653" s="6" t="s">
        <v>28</v>
      </c>
      <c r="J653" s="6" t="s">
        <v>28</v>
      </c>
      <c r="K653" t="s">
        <v>32</v>
      </c>
      <c r="L653" s="35">
        <v>5.85</v>
      </c>
      <c r="M653" s="6" t="s">
        <v>29</v>
      </c>
      <c r="N653" s="6">
        <v>3105</v>
      </c>
      <c r="P653" s="18"/>
      <c r="Q653" s="17"/>
      <c r="R653" s="19">
        <v>0</v>
      </c>
      <c r="S653" s="19">
        <v>0</v>
      </c>
      <c r="T653" s="38">
        <v>7</v>
      </c>
      <c r="U653" s="38"/>
      <c r="V653" s="29">
        <v>5.85</v>
      </c>
      <c r="W653" s="35">
        <v>5.85</v>
      </c>
      <c r="X653" s="32">
        <f t="shared" si="110"/>
        <v>40.949999999999996</v>
      </c>
      <c r="Y653" s="32">
        <f t="shared" si="111"/>
        <v>40.949999999999996</v>
      </c>
      <c r="Z653" s="32">
        <f t="shared" si="112"/>
        <v>0</v>
      </c>
      <c r="AA653" s="38">
        <v>7</v>
      </c>
      <c r="AB653" s="37">
        <f>IFERROR(VLOOKUP(A653,'Tash Lookup'!A:E,3,FALSE),"")</f>
        <v>40.92</v>
      </c>
      <c r="AC653" s="6">
        <f t="shared" si="113"/>
        <v>0</v>
      </c>
      <c r="AD653" s="2" t="s">
        <v>6703</v>
      </c>
      <c r="AF653" s="56">
        <v>6.12</v>
      </c>
      <c r="AG653" s="56">
        <f>VLOOKUP(A653,Sheet1!$A$2:$C$1140,3,FALSE)</f>
        <v>6.24</v>
      </c>
      <c r="AH653" s="58">
        <v>6.24</v>
      </c>
      <c r="AI653" s="56" t="str">
        <f t="shared" si="114"/>
        <v>Increase</v>
      </c>
      <c r="AJ653" s="81">
        <f t="shared" si="118"/>
        <v>42.84</v>
      </c>
      <c r="AK653" s="81">
        <f t="shared" si="119"/>
        <v>43.68</v>
      </c>
      <c r="AL653" s="58" t="s">
        <v>7206</v>
      </c>
      <c r="AM653" s="58" t="s">
        <v>6703</v>
      </c>
      <c r="AN653" s="75">
        <v>0</v>
      </c>
      <c r="AO653" s="88">
        <v>6.24</v>
      </c>
      <c r="AP653" s="6" t="str">
        <f t="shared" si="115"/>
        <v>Increase</v>
      </c>
      <c r="AQ653" s="81">
        <f t="shared" si="116"/>
        <v>0</v>
      </c>
      <c r="AR653" s="81">
        <f t="shared" si="117"/>
        <v>0</v>
      </c>
      <c r="AS653" s="82">
        <f t="shared" si="120"/>
        <v>0</v>
      </c>
    </row>
    <row r="654" spans="1:45" x14ac:dyDescent="0.3">
      <c r="A654">
        <v>5085901</v>
      </c>
      <c r="B654" s="15" t="s">
        <v>5990</v>
      </c>
      <c r="C654" s="16" t="s">
        <v>30</v>
      </c>
      <c r="D654" s="6" t="s">
        <v>31</v>
      </c>
      <c r="E654" t="s">
        <v>1166</v>
      </c>
      <c r="F654" t="s">
        <v>1166</v>
      </c>
      <c r="H654" s="11" t="s">
        <v>27</v>
      </c>
      <c r="I654" s="6" t="s">
        <v>28</v>
      </c>
      <c r="J654" s="6" t="s">
        <v>28</v>
      </c>
      <c r="K654" t="s">
        <v>32</v>
      </c>
      <c r="L654" s="35">
        <v>49.11</v>
      </c>
      <c r="M654" s="6" t="s">
        <v>29</v>
      </c>
      <c r="N654" s="6">
        <v>3105</v>
      </c>
      <c r="P654" s="18"/>
      <c r="Q654" s="17"/>
      <c r="R654" s="19">
        <v>49.11</v>
      </c>
      <c r="S654" s="19">
        <v>49.11</v>
      </c>
      <c r="T654" s="38">
        <v>7</v>
      </c>
      <c r="U654" s="38"/>
      <c r="V654" s="30">
        <v>49.11</v>
      </c>
      <c r="W654" s="35">
        <v>49.11</v>
      </c>
      <c r="X654" s="32">
        <f t="shared" si="110"/>
        <v>343.77</v>
      </c>
      <c r="Y654" s="32">
        <f t="shared" si="111"/>
        <v>343.77</v>
      </c>
      <c r="Z654" s="32">
        <f t="shared" si="112"/>
        <v>0</v>
      </c>
      <c r="AA654" s="38">
        <v>7</v>
      </c>
      <c r="AB654" s="37">
        <f>IFERROR(VLOOKUP(A654,'Tash Lookup'!A:E,3,FALSE),"")</f>
        <v>337.79</v>
      </c>
      <c r="AC654" s="6">
        <f t="shared" si="113"/>
        <v>0</v>
      </c>
      <c r="AD654" s="2" t="s">
        <v>6703</v>
      </c>
      <c r="AF654" s="56">
        <v>53.82</v>
      </c>
      <c r="AG654" s="56">
        <f>VLOOKUP(A654,Sheet1!$A$2:$C$1140,3,FALSE)</f>
        <v>53.82</v>
      </c>
      <c r="AH654" s="58">
        <v>53.82</v>
      </c>
      <c r="AI654" s="56" t="str">
        <f t="shared" si="114"/>
        <v>Same</v>
      </c>
      <c r="AJ654" s="81">
        <f t="shared" si="118"/>
        <v>376.74</v>
      </c>
      <c r="AK654" s="81">
        <f t="shared" si="119"/>
        <v>376.74</v>
      </c>
      <c r="AL654" s="58" t="s">
        <v>7206</v>
      </c>
      <c r="AM654" s="58" t="s">
        <v>6703</v>
      </c>
      <c r="AN654" s="75">
        <v>0</v>
      </c>
      <c r="AO654" s="88">
        <v>53.82</v>
      </c>
      <c r="AP654" s="6" t="str">
        <f t="shared" si="115"/>
        <v>Same</v>
      </c>
      <c r="AQ654" s="81">
        <f t="shared" si="116"/>
        <v>0</v>
      </c>
      <c r="AR654" s="81">
        <f t="shared" si="117"/>
        <v>0</v>
      </c>
      <c r="AS654" s="81">
        <f t="shared" si="120"/>
        <v>0</v>
      </c>
    </row>
    <row r="655" spans="1:45" hidden="1" x14ac:dyDescent="0.3">
      <c r="A655">
        <v>5222332</v>
      </c>
      <c r="B655" s="15" t="s">
        <v>5991</v>
      </c>
      <c r="C655" s="16" t="s">
        <v>30</v>
      </c>
      <c r="D655" s="6" t="s">
        <v>31</v>
      </c>
      <c r="E655" t="s">
        <v>653</v>
      </c>
      <c r="F655" t="s">
        <v>653</v>
      </c>
      <c r="H655" s="11" t="s">
        <v>27</v>
      </c>
      <c r="I655" s="6" t="s">
        <v>28</v>
      </c>
      <c r="J655" s="6" t="s">
        <v>28</v>
      </c>
      <c r="K655" t="s">
        <v>32</v>
      </c>
      <c r="L655" s="35">
        <v>14.13</v>
      </c>
      <c r="M655" s="6" t="s">
        <v>29</v>
      </c>
      <c r="N655" s="6">
        <v>3105</v>
      </c>
      <c r="P655" s="18"/>
      <c r="Q655" s="17"/>
      <c r="R655" s="19">
        <v>14.13</v>
      </c>
      <c r="S655" s="19">
        <v>14.13</v>
      </c>
      <c r="T655" s="38">
        <v>7</v>
      </c>
      <c r="U655" s="38"/>
      <c r="V655" s="30">
        <v>14.13</v>
      </c>
      <c r="W655" s="35">
        <v>14.13</v>
      </c>
      <c r="X655" s="32">
        <f t="shared" si="110"/>
        <v>98.910000000000011</v>
      </c>
      <c r="Y655" s="32">
        <f t="shared" si="111"/>
        <v>98.910000000000011</v>
      </c>
      <c r="Z655" s="32">
        <f t="shared" si="112"/>
        <v>0</v>
      </c>
      <c r="AA655" s="38">
        <v>7</v>
      </c>
      <c r="AB655" s="37">
        <f>IFERROR(VLOOKUP(A655,'Tash Lookup'!A:E,3,FALSE),"")</f>
        <v>98.3</v>
      </c>
      <c r="AC655" s="6">
        <f t="shared" si="113"/>
        <v>0</v>
      </c>
      <c r="AD655" s="2" t="s">
        <v>6703</v>
      </c>
      <c r="AF655" s="56">
        <v>14.69</v>
      </c>
      <c r="AG655" s="56">
        <f>VLOOKUP(A655,Sheet1!$A$2:$C$1140,3,FALSE)</f>
        <v>14.69</v>
      </c>
      <c r="AH655" s="58">
        <v>14.69</v>
      </c>
      <c r="AI655" s="56" t="str">
        <f t="shared" si="114"/>
        <v>Same</v>
      </c>
      <c r="AJ655" s="81">
        <f t="shared" si="118"/>
        <v>102.83</v>
      </c>
      <c r="AK655" s="81">
        <f t="shared" si="119"/>
        <v>102.83</v>
      </c>
      <c r="AL655" s="58" t="s">
        <v>7206</v>
      </c>
      <c r="AM655" s="58" t="s">
        <v>6703</v>
      </c>
      <c r="AN655" s="75">
        <v>10</v>
      </c>
      <c r="AO655" s="88">
        <v>14.69</v>
      </c>
      <c r="AP655" s="6" t="str">
        <f t="shared" si="115"/>
        <v>Same</v>
      </c>
      <c r="AQ655" s="81">
        <f t="shared" si="116"/>
        <v>146.9</v>
      </c>
      <c r="AR655" s="81">
        <f t="shared" si="117"/>
        <v>146.9</v>
      </c>
      <c r="AS655" s="81">
        <f t="shared" si="120"/>
        <v>0</v>
      </c>
    </row>
    <row r="656" spans="1:45" hidden="1" x14ac:dyDescent="0.3">
      <c r="A656">
        <v>6183828</v>
      </c>
      <c r="B656" s="15" t="s">
        <v>5992</v>
      </c>
      <c r="C656" s="16" t="s">
        <v>30</v>
      </c>
      <c r="D656" s="6" t="s">
        <v>31</v>
      </c>
      <c r="E656" t="s">
        <v>700</v>
      </c>
      <c r="F656" t="s">
        <v>700</v>
      </c>
      <c r="H656" s="11" t="s">
        <v>27</v>
      </c>
      <c r="I656" s="6" t="s">
        <v>28</v>
      </c>
      <c r="J656" s="6" t="s">
        <v>28</v>
      </c>
      <c r="K656" t="s">
        <v>32</v>
      </c>
      <c r="L656" s="35">
        <v>10.029999999999999</v>
      </c>
      <c r="M656" s="6" t="s">
        <v>29</v>
      </c>
      <c r="N656" s="6">
        <v>3105</v>
      </c>
      <c r="P656" s="18"/>
      <c r="Q656" s="17"/>
      <c r="R656" s="19">
        <v>10.029999999999999</v>
      </c>
      <c r="S656" s="19">
        <v>10.029999999999999</v>
      </c>
      <c r="T656" s="38">
        <v>7</v>
      </c>
      <c r="U656" s="38"/>
      <c r="V656" s="30">
        <v>10.029999999999999</v>
      </c>
      <c r="W656" s="35">
        <v>10.029999999999999</v>
      </c>
      <c r="X656" s="32">
        <f t="shared" si="110"/>
        <v>70.209999999999994</v>
      </c>
      <c r="Y656" s="32">
        <f t="shared" si="111"/>
        <v>70.209999999999994</v>
      </c>
      <c r="Z656" s="32">
        <f t="shared" si="112"/>
        <v>0</v>
      </c>
      <c r="AA656" s="38">
        <v>7</v>
      </c>
      <c r="AB656" s="37">
        <f>IFERROR(VLOOKUP(A656,'Tash Lookup'!A:E,3,FALSE),"")</f>
        <v>69.78</v>
      </c>
      <c r="AC656" s="6">
        <f t="shared" si="113"/>
        <v>0</v>
      </c>
      <c r="AD656" s="2" t="s">
        <v>6703</v>
      </c>
      <c r="AF656" s="56">
        <v>10.029999999999999</v>
      </c>
      <c r="AG656" s="56">
        <f>VLOOKUP(A656,Sheet1!$A$2:$C$1140,3,FALSE)</f>
        <v>10.23</v>
      </c>
      <c r="AH656" s="58">
        <v>10.23</v>
      </c>
      <c r="AI656" s="56" t="str">
        <f t="shared" si="114"/>
        <v>Increase</v>
      </c>
      <c r="AJ656" s="81">
        <f t="shared" si="118"/>
        <v>70.209999999999994</v>
      </c>
      <c r="AK656" s="81">
        <f t="shared" si="119"/>
        <v>71.61</v>
      </c>
      <c r="AL656" s="58" t="s">
        <v>7206</v>
      </c>
      <c r="AM656" s="58" t="s">
        <v>6703</v>
      </c>
      <c r="AN656" s="75">
        <v>9</v>
      </c>
      <c r="AO656" s="88">
        <v>10.23</v>
      </c>
      <c r="AP656" s="6" t="str">
        <f t="shared" si="115"/>
        <v>Increase</v>
      </c>
      <c r="AQ656" s="81">
        <f t="shared" si="116"/>
        <v>90.27</v>
      </c>
      <c r="AR656" s="81">
        <f t="shared" si="117"/>
        <v>92.070000000000007</v>
      </c>
      <c r="AS656" s="82">
        <f t="shared" si="120"/>
        <v>1.8000000000000114</v>
      </c>
    </row>
    <row r="657" spans="1:45" hidden="1" x14ac:dyDescent="0.3">
      <c r="A657">
        <v>5085006</v>
      </c>
      <c r="B657" s="15" t="s">
        <v>5993</v>
      </c>
      <c r="C657" s="16" t="s">
        <v>30</v>
      </c>
      <c r="D657" s="6" t="s">
        <v>31</v>
      </c>
      <c r="E657" t="s">
        <v>1114</v>
      </c>
      <c r="F657" t="s">
        <v>1114</v>
      </c>
      <c r="H657" s="11" t="s">
        <v>27</v>
      </c>
      <c r="I657" s="6" t="s">
        <v>28</v>
      </c>
      <c r="J657" s="6" t="s">
        <v>28</v>
      </c>
      <c r="K657" t="s">
        <v>32</v>
      </c>
      <c r="L657" s="35">
        <v>22.69</v>
      </c>
      <c r="M657" s="6" t="s">
        <v>29</v>
      </c>
      <c r="N657" s="6">
        <v>3105</v>
      </c>
      <c r="P657" s="18"/>
      <c r="Q657" s="17"/>
      <c r="R657" s="19">
        <v>22.69</v>
      </c>
      <c r="S657" s="19">
        <v>22.69</v>
      </c>
      <c r="T657" s="38">
        <v>7</v>
      </c>
      <c r="U657" s="38"/>
      <c r="V657" s="30">
        <v>22.69</v>
      </c>
      <c r="W657" s="35">
        <v>22.69</v>
      </c>
      <c r="X657" s="32">
        <f t="shared" si="110"/>
        <v>158.83000000000001</v>
      </c>
      <c r="Y657" s="32">
        <f t="shared" si="111"/>
        <v>158.83000000000001</v>
      </c>
      <c r="Z657" s="32">
        <f t="shared" si="112"/>
        <v>0</v>
      </c>
      <c r="AA657" s="38">
        <v>7</v>
      </c>
      <c r="AB657" s="37">
        <f>IFERROR(VLOOKUP(A657,'Tash Lookup'!A:E,3,FALSE),"")</f>
        <v>157.47</v>
      </c>
      <c r="AC657" s="6">
        <f t="shared" si="113"/>
        <v>0</v>
      </c>
      <c r="AD657" s="2" t="s">
        <v>6703</v>
      </c>
      <c r="AF657" s="56">
        <v>25.87</v>
      </c>
      <c r="AG657" s="56">
        <f>VLOOKUP(A657,Sheet1!$A$2:$C$1140,3,FALSE)</f>
        <v>25.87</v>
      </c>
      <c r="AH657" s="58">
        <v>25.87</v>
      </c>
      <c r="AI657" s="56" t="str">
        <f t="shared" si="114"/>
        <v>Same</v>
      </c>
      <c r="AJ657" s="81">
        <f t="shared" si="118"/>
        <v>181.09</v>
      </c>
      <c r="AK657" s="81">
        <f t="shared" si="119"/>
        <v>181.09</v>
      </c>
      <c r="AL657" s="58" t="s">
        <v>7206</v>
      </c>
      <c r="AM657" s="58" t="s">
        <v>6703</v>
      </c>
      <c r="AN657" s="75">
        <v>7</v>
      </c>
      <c r="AO657" s="88">
        <v>25.87</v>
      </c>
      <c r="AP657" s="6" t="str">
        <f t="shared" si="115"/>
        <v>Same</v>
      </c>
      <c r="AQ657" s="81">
        <f t="shared" si="116"/>
        <v>181.09</v>
      </c>
      <c r="AR657" s="81">
        <f t="shared" si="117"/>
        <v>181.09</v>
      </c>
      <c r="AS657" s="81">
        <f t="shared" si="120"/>
        <v>0</v>
      </c>
    </row>
    <row r="658" spans="1:45" hidden="1" x14ac:dyDescent="0.3">
      <c r="A658">
        <v>5091368</v>
      </c>
      <c r="B658" s="15" t="s">
        <v>5994</v>
      </c>
      <c r="C658" s="16" t="s">
        <v>30</v>
      </c>
      <c r="D658" s="6" t="s">
        <v>31</v>
      </c>
      <c r="E658" t="s">
        <v>468</v>
      </c>
      <c r="F658" t="s">
        <v>468</v>
      </c>
      <c r="H658" s="11" t="s">
        <v>27</v>
      </c>
      <c r="I658" s="6" t="s">
        <v>28</v>
      </c>
      <c r="J658" s="6" t="s">
        <v>28</v>
      </c>
      <c r="K658" t="s">
        <v>32</v>
      </c>
      <c r="L658" s="35">
        <v>85.27</v>
      </c>
      <c r="M658" s="6" t="s">
        <v>29</v>
      </c>
      <c r="N658" s="6">
        <v>3105</v>
      </c>
      <c r="P658" s="18"/>
      <c r="Q658" s="17"/>
      <c r="R658" s="19">
        <v>85.27</v>
      </c>
      <c r="S658" s="19">
        <v>85.27</v>
      </c>
      <c r="T658" s="38">
        <v>7</v>
      </c>
      <c r="U658" s="38"/>
      <c r="V658" s="29">
        <v>85.27</v>
      </c>
      <c r="W658" s="35">
        <v>85.27</v>
      </c>
      <c r="X658" s="32">
        <f t="shared" si="110"/>
        <v>596.89</v>
      </c>
      <c r="Y658" s="32">
        <f t="shared" si="111"/>
        <v>596.89</v>
      </c>
      <c r="Z658" s="32">
        <f t="shared" si="112"/>
        <v>0</v>
      </c>
      <c r="AA658" s="38">
        <v>7</v>
      </c>
      <c r="AB658" s="37">
        <f>IFERROR(VLOOKUP(A658,'Tash Lookup'!A:E,3,FALSE),"")</f>
        <v>614.88</v>
      </c>
      <c r="AC658" s="6">
        <f t="shared" si="113"/>
        <v>0</v>
      </c>
      <c r="AD658" s="2" t="s">
        <v>6703</v>
      </c>
      <c r="AF658" s="56">
        <v>81.02</v>
      </c>
      <c r="AG658" s="56">
        <f>VLOOKUP(A658,Sheet1!$A$2:$C$1140,3,FALSE)</f>
        <v>83.45</v>
      </c>
      <c r="AH658" s="58">
        <v>83.45</v>
      </c>
      <c r="AI658" s="56" t="str">
        <f t="shared" si="114"/>
        <v>Increase</v>
      </c>
      <c r="AJ658" s="81">
        <f t="shared" si="118"/>
        <v>567.14</v>
      </c>
      <c r="AK658" s="81">
        <f t="shared" si="119"/>
        <v>584.15</v>
      </c>
      <c r="AL658" s="58" t="s">
        <v>32</v>
      </c>
      <c r="AM658" s="58" t="s">
        <v>6703</v>
      </c>
      <c r="AN658" s="75">
        <v>3</v>
      </c>
      <c r="AO658" s="88">
        <v>83.45</v>
      </c>
      <c r="AP658" s="6" t="str">
        <f t="shared" si="115"/>
        <v>Increase</v>
      </c>
      <c r="AQ658" s="81">
        <f t="shared" si="116"/>
        <v>243.06</v>
      </c>
      <c r="AR658" s="81">
        <f t="shared" si="117"/>
        <v>250.35000000000002</v>
      </c>
      <c r="AS658" s="82">
        <f t="shared" si="120"/>
        <v>7.2900000000000205</v>
      </c>
    </row>
    <row r="659" spans="1:45" hidden="1" x14ac:dyDescent="0.3">
      <c r="A659">
        <v>5090785</v>
      </c>
      <c r="B659" s="15" t="s">
        <v>5995</v>
      </c>
      <c r="C659" s="16" t="s">
        <v>30</v>
      </c>
      <c r="D659" s="6" t="s">
        <v>31</v>
      </c>
      <c r="E659" t="s">
        <v>470</v>
      </c>
      <c r="F659" t="s">
        <v>470</v>
      </c>
      <c r="H659" s="11" t="s">
        <v>27</v>
      </c>
      <c r="I659" s="6" t="s">
        <v>28</v>
      </c>
      <c r="J659" s="6" t="s">
        <v>28</v>
      </c>
      <c r="K659" t="s">
        <v>32</v>
      </c>
      <c r="L659" s="35">
        <v>50.58</v>
      </c>
      <c r="M659" s="6" t="s">
        <v>29</v>
      </c>
      <c r="N659" s="6">
        <v>3105</v>
      </c>
      <c r="P659" s="18"/>
      <c r="Q659" s="17"/>
      <c r="R659" s="19">
        <v>50.58</v>
      </c>
      <c r="S659" s="19">
        <v>50.58</v>
      </c>
      <c r="T659" s="38">
        <v>7</v>
      </c>
      <c r="U659" s="38"/>
      <c r="V659" s="29">
        <v>50.58</v>
      </c>
      <c r="W659" s="35">
        <v>50.58</v>
      </c>
      <c r="X659" s="32">
        <f t="shared" si="110"/>
        <v>354.06</v>
      </c>
      <c r="Y659" s="32">
        <f t="shared" si="111"/>
        <v>354.06</v>
      </c>
      <c r="Z659" s="32">
        <f t="shared" si="112"/>
        <v>0</v>
      </c>
      <c r="AA659" s="38">
        <v>7</v>
      </c>
      <c r="AB659" s="37">
        <f>IFERROR(VLOOKUP(A659,'Tash Lookup'!A:E,3,FALSE),"")</f>
        <v>377.88</v>
      </c>
      <c r="AC659" s="6">
        <f t="shared" si="113"/>
        <v>0</v>
      </c>
      <c r="AD659" s="2" t="s">
        <v>6703</v>
      </c>
      <c r="AF659" s="56">
        <v>53.42</v>
      </c>
      <c r="AG659" s="56">
        <f>VLOOKUP(A659,Sheet1!$A$2:$C$1140,3,FALSE)</f>
        <v>55.02</v>
      </c>
      <c r="AH659" s="58">
        <v>55.02</v>
      </c>
      <c r="AI659" s="56" t="str">
        <f t="shared" si="114"/>
        <v>Increase</v>
      </c>
      <c r="AJ659" s="81">
        <f t="shared" si="118"/>
        <v>373.94</v>
      </c>
      <c r="AK659" s="81">
        <f t="shared" si="119"/>
        <v>385.14000000000004</v>
      </c>
      <c r="AL659" s="58" t="s">
        <v>32</v>
      </c>
      <c r="AM659" s="58" t="s">
        <v>6703</v>
      </c>
      <c r="AN659" s="75">
        <v>24</v>
      </c>
      <c r="AO659" s="88">
        <v>55.02</v>
      </c>
      <c r="AP659" s="6" t="str">
        <f t="shared" si="115"/>
        <v>Increase</v>
      </c>
      <c r="AQ659" s="81">
        <f t="shared" si="116"/>
        <v>1282.08</v>
      </c>
      <c r="AR659" s="81">
        <f t="shared" si="117"/>
        <v>1320.48</v>
      </c>
      <c r="AS659" s="82">
        <f t="shared" si="120"/>
        <v>38.400000000000091</v>
      </c>
    </row>
    <row r="660" spans="1:45" hidden="1" x14ac:dyDescent="0.3">
      <c r="A660">
        <v>5090803</v>
      </c>
      <c r="B660" s="15" t="s">
        <v>5996</v>
      </c>
      <c r="C660" s="16" t="s">
        <v>30</v>
      </c>
      <c r="D660" s="6" t="s">
        <v>31</v>
      </c>
      <c r="E660" t="s">
        <v>202</v>
      </c>
      <c r="F660" t="s">
        <v>202</v>
      </c>
      <c r="H660" s="11" t="s">
        <v>27</v>
      </c>
      <c r="I660" s="6" t="s">
        <v>28</v>
      </c>
      <c r="J660" s="6" t="s">
        <v>28</v>
      </c>
      <c r="K660" t="s">
        <v>32</v>
      </c>
      <c r="L660" s="35">
        <v>30.27</v>
      </c>
      <c r="M660" s="6" t="s">
        <v>29</v>
      </c>
      <c r="N660" s="6">
        <v>3105</v>
      </c>
      <c r="P660" s="18"/>
      <c r="Q660" s="17"/>
      <c r="R660" s="19">
        <v>30.27</v>
      </c>
      <c r="S660" s="19">
        <v>30.27</v>
      </c>
      <c r="T660" s="38">
        <v>7</v>
      </c>
      <c r="U660" s="38"/>
      <c r="V660" s="29">
        <v>30.27</v>
      </c>
      <c r="W660" s="35">
        <v>30.27</v>
      </c>
      <c r="X660" s="32">
        <f t="shared" si="110"/>
        <v>211.89</v>
      </c>
      <c r="Y660" s="32">
        <f t="shared" si="111"/>
        <v>211.89</v>
      </c>
      <c r="Z660" s="32">
        <f t="shared" si="112"/>
        <v>0</v>
      </c>
      <c r="AA660" s="38">
        <v>7</v>
      </c>
      <c r="AB660" s="37">
        <f>IFERROR(VLOOKUP(A660,'Tash Lookup'!A:E,3,FALSE),"")</f>
        <v>211.88000000000002</v>
      </c>
      <c r="AC660" s="6">
        <f t="shared" si="113"/>
        <v>0</v>
      </c>
      <c r="AD660" s="2" t="s">
        <v>6703</v>
      </c>
      <c r="AF660" s="56">
        <v>30.27</v>
      </c>
      <c r="AG660" s="56">
        <f>VLOOKUP(A660,Sheet1!$A$2:$C$1140,3,FALSE)</f>
        <v>30.27</v>
      </c>
      <c r="AH660" s="58">
        <v>30.27</v>
      </c>
      <c r="AI660" s="56" t="str">
        <f t="shared" si="114"/>
        <v>Same</v>
      </c>
      <c r="AJ660" s="81">
        <f t="shared" si="118"/>
        <v>211.89</v>
      </c>
      <c r="AK660" s="81">
        <f t="shared" si="119"/>
        <v>211.89</v>
      </c>
      <c r="AL660" s="58" t="s">
        <v>32</v>
      </c>
      <c r="AM660" s="58" t="s">
        <v>6703</v>
      </c>
      <c r="AN660" s="75">
        <v>2</v>
      </c>
      <c r="AO660" s="88">
        <v>30.27</v>
      </c>
      <c r="AP660" s="6" t="str">
        <f t="shared" si="115"/>
        <v>Same</v>
      </c>
      <c r="AQ660" s="81">
        <f t="shared" si="116"/>
        <v>60.54</v>
      </c>
      <c r="AR660" s="81">
        <f t="shared" si="117"/>
        <v>60.54</v>
      </c>
      <c r="AS660" s="81">
        <f t="shared" si="120"/>
        <v>0</v>
      </c>
    </row>
    <row r="661" spans="1:45" hidden="1" x14ac:dyDescent="0.3">
      <c r="A661">
        <v>5218693</v>
      </c>
      <c r="B661" s="15" t="s">
        <v>5997</v>
      </c>
      <c r="C661" s="16" t="s">
        <v>30</v>
      </c>
      <c r="D661" s="6" t="s">
        <v>31</v>
      </c>
      <c r="E661" t="s">
        <v>299</v>
      </c>
      <c r="F661" t="s">
        <v>299</v>
      </c>
      <c r="H661" s="11" t="s">
        <v>27</v>
      </c>
      <c r="I661" s="6" t="s">
        <v>28</v>
      </c>
      <c r="J661" s="6" t="s">
        <v>28</v>
      </c>
      <c r="K661" t="s">
        <v>32</v>
      </c>
      <c r="L661" s="35">
        <v>17.96</v>
      </c>
      <c r="M661" s="6" t="s">
        <v>29</v>
      </c>
      <c r="N661" s="6">
        <v>3105</v>
      </c>
      <c r="P661" s="18"/>
      <c r="Q661" s="17"/>
      <c r="R661" s="19">
        <v>17.96</v>
      </c>
      <c r="S661" s="19">
        <v>17.96</v>
      </c>
      <c r="T661" s="38">
        <v>6</v>
      </c>
      <c r="U661" s="38"/>
      <c r="V661" s="29">
        <v>17.96</v>
      </c>
      <c r="W661" s="45">
        <v>12.83</v>
      </c>
      <c r="X661" s="32">
        <f t="shared" si="110"/>
        <v>107.76</v>
      </c>
      <c r="Y661" s="32">
        <f t="shared" si="111"/>
        <v>107.76</v>
      </c>
      <c r="Z661" s="32">
        <f t="shared" si="112"/>
        <v>0</v>
      </c>
      <c r="AA661" s="38">
        <v>6</v>
      </c>
      <c r="AB661" s="37">
        <f>IFERROR(VLOOKUP(A661,'Tash Lookup'!A:E,3,FALSE),"")</f>
        <v>107.78</v>
      </c>
      <c r="AC661" s="6">
        <f t="shared" si="113"/>
        <v>0</v>
      </c>
      <c r="AD661" s="2" t="s">
        <v>6703</v>
      </c>
      <c r="AF661" s="56">
        <v>20.059999999999999</v>
      </c>
      <c r="AG661" s="56">
        <f>VLOOKUP(A661,Sheet1!$A$2:$C$1140,3,FALSE)</f>
        <v>20.67</v>
      </c>
      <c r="AH661" s="58">
        <v>20.67</v>
      </c>
      <c r="AI661" s="56" t="str">
        <f t="shared" si="114"/>
        <v>Increase</v>
      </c>
      <c r="AJ661" s="81">
        <f t="shared" si="118"/>
        <v>120.35999999999999</v>
      </c>
      <c r="AK661" s="81">
        <f t="shared" si="119"/>
        <v>124.02000000000001</v>
      </c>
      <c r="AL661" s="58" t="s">
        <v>32</v>
      </c>
      <c r="AM661" s="58" t="s">
        <v>6703</v>
      </c>
      <c r="AN661" s="75">
        <v>1</v>
      </c>
      <c r="AO661" s="88">
        <v>20.67</v>
      </c>
      <c r="AP661" s="6" t="str">
        <f t="shared" si="115"/>
        <v>Increase</v>
      </c>
      <c r="AQ661" s="81">
        <f t="shared" si="116"/>
        <v>20.059999999999999</v>
      </c>
      <c r="AR661" s="81">
        <f t="shared" si="117"/>
        <v>20.67</v>
      </c>
      <c r="AS661" s="82">
        <f t="shared" si="120"/>
        <v>0.61000000000000298</v>
      </c>
    </row>
    <row r="662" spans="1:45" hidden="1" x14ac:dyDescent="0.3">
      <c r="A662">
        <v>5218694</v>
      </c>
      <c r="B662" s="15" t="s">
        <v>5998</v>
      </c>
      <c r="C662" s="16" t="s">
        <v>30</v>
      </c>
      <c r="D662" s="6" t="s">
        <v>31</v>
      </c>
      <c r="E662" t="s">
        <v>300</v>
      </c>
      <c r="F662" t="s">
        <v>300</v>
      </c>
      <c r="H662" s="11" t="s">
        <v>27</v>
      </c>
      <c r="I662" s="6" t="s">
        <v>28</v>
      </c>
      <c r="J662" s="6" t="s">
        <v>28</v>
      </c>
      <c r="K662" t="s">
        <v>32</v>
      </c>
      <c r="L662" s="35">
        <v>17.96</v>
      </c>
      <c r="M662" s="6" t="s">
        <v>29</v>
      </c>
      <c r="N662" s="6">
        <v>3105</v>
      </c>
      <c r="P662" s="18"/>
      <c r="Q662" s="17"/>
      <c r="R662" s="19">
        <v>17.96</v>
      </c>
      <c r="S662" s="19">
        <v>17.96</v>
      </c>
      <c r="T662" s="38">
        <v>6</v>
      </c>
      <c r="U662" s="38"/>
      <c r="V662" s="29">
        <v>17.96</v>
      </c>
      <c r="W662" s="45">
        <v>12.83</v>
      </c>
      <c r="X662" s="32">
        <f t="shared" si="110"/>
        <v>107.76</v>
      </c>
      <c r="Y662" s="32">
        <f t="shared" si="111"/>
        <v>107.76</v>
      </c>
      <c r="Z662" s="32">
        <f t="shared" si="112"/>
        <v>0</v>
      </c>
      <c r="AA662" s="38">
        <v>6</v>
      </c>
      <c r="AB662" s="37">
        <f>IFERROR(VLOOKUP(A662,'Tash Lookup'!A:E,3,FALSE),"")</f>
        <v>100.07</v>
      </c>
      <c r="AC662" s="6">
        <f t="shared" si="113"/>
        <v>0</v>
      </c>
      <c r="AD662" s="2" t="s">
        <v>6703</v>
      </c>
      <c r="AF662" s="56">
        <v>21.84</v>
      </c>
      <c r="AG662" s="56">
        <f>VLOOKUP(A662,Sheet1!$A$2:$C$1140,3,FALSE)</f>
        <v>22.5</v>
      </c>
      <c r="AH662" s="58">
        <v>22.5</v>
      </c>
      <c r="AI662" s="56" t="str">
        <f t="shared" si="114"/>
        <v>Increase</v>
      </c>
      <c r="AJ662" s="81">
        <f t="shared" si="118"/>
        <v>131.04</v>
      </c>
      <c r="AK662" s="81">
        <f t="shared" si="119"/>
        <v>135</v>
      </c>
      <c r="AL662" s="58" t="s">
        <v>32</v>
      </c>
      <c r="AM662" s="58" t="s">
        <v>6703</v>
      </c>
      <c r="AN662" s="75">
        <v>0</v>
      </c>
      <c r="AO662" s="88">
        <v>22.5</v>
      </c>
      <c r="AP662" s="6" t="str">
        <f t="shared" si="115"/>
        <v>Increase</v>
      </c>
      <c r="AQ662" s="81">
        <f t="shared" si="116"/>
        <v>0</v>
      </c>
      <c r="AR662" s="81">
        <f t="shared" si="117"/>
        <v>0</v>
      </c>
      <c r="AS662" s="82">
        <f t="shared" si="120"/>
        <v>0</v>
      </c>
    </row>
    <row r="663" spans="1:45" hidden="1" x14ac:dyDescent="0.3">
      <c r="A663">
        <v>5122407</v>
      </c>
      <c r="B663" s="15" t="s">
        <v>5999</v>
      </c>
      <c r="C663" s="16" t="s">
        <v>30</v>
      </c>
      <c r="D663" s="6" t="s">
        <v>31</v>
      </c>
      <c r="E663" t="s">
        <v>323</v>
      </c>
      <c r="F663" t="s">
        <v>323</v>
      </c>
      <c r="H663" s="11" t="s">
        <v>27</v>
      </c>
      <c r="I663" s="6" t="s">
        <v>28</v>
      </c>
      <c r="J663" s="6" t="s">
        <v>28</v>
      </c>
      <c r="K663" t="s">
        <v>32</v>
      </c>
      <c r="L663" s="35">
        <v>18.41</v>
      </c>
      <c r="M663" s="6" t="s">
        <v>29</v>
      </c>
      <c r="N663" s="6">
        <v>3105</v>
      </c>
      <c r="P663" s="18"/>
      <c r="Q663" s="17"/>
      <c r="R663" s="19">
        <v>18.41</v>
      </c>
      <c r="S663" s="19">
        <v>18.41</v>
      </c>
      <c r="T663" s="38">
        <v>6</v>
      </c>
      <c r="U663" s="38"/>
      <c r="V663" s="29">
        <v>18.41</v>
      </c>
      <c r="W663" s="35">
        <v>18.41</v>
      </c>
      <c r="X663" s="32">
        <f t="shared" si="110"/>
        <v>110.46000000000001</v>
      </c>
      <c r="Y663" s="32">
        <f t="shared" si="111"/>
        <v>110.46000000000001</v>
      </c>
      <c r="Z663" s="32">
        <f t="shared" si="112"/>
        <v>0</v>
      </c>
      <c r="AA663" s="38">
        <v>6</v>
      </c>
      <c r="AB663" s="37">
        <f>IFERROR(VLOOKUP(A663,'Tash Lookup'!A:E,3,FALSE),"")</f>
        <v>110.46</v>
      </c>
      <c r="AC663" s="6">
        <f t="shared" si="113"/>
        <v>0</v>
      </c>
      <c r="AD663" s="2" t="s">
        <v>6703</v>
      </c>
      <c r="AF663" s="56">
        <v>19.75</v>
      </c>
      <c r="AG663" s="56">
        <f>VLOOKUP(A663,Sheet1!$A$2:$C$1140,3,FALSE)</f>
        <v>20.34</v>
      </c>
      <c r="AH663" s="58">
        <v>20.34</v>
      </c>
      <c r="AI663" s="56" t="str">
        <f t="shared" si="114"/>
        <v>Increase</v>
      </c>
      <c r="AJ663" s="81">
        <f t="shared" si="118"/>
        <v>118.5</v>
      </c>
      <c r="AK663" s="81">
        <f t="shared" si="119"/>
        <v>122.03999999999999</v>
      </c>
      <c r="AL663" s="58" t="s">
        <v>32</v>
      </c>
      <c r="AM663" s="58" t="s">
        <v>6703</v>
      </c>
      <c r="AN663" s="75">
        <v>2</v>
      </c>
      <c r="AO663" s="88">
        <v>20.34</v>
      </c>
      <c r="AP663" s="6" t="str">
        <f t="shared" si="115"/>
        <v>Increase</v>
      </c>
      <c r="AQ663" s="81">
        <f t="shared" si="116"/>
        <v>39.5</v>
      </c>
      <c r="AR663" s="81">
        <f t="shared" si="117"/>
        <v>40.68</v>
      </c>
      <c r="AS663" s="82">
        <f t="shared" si="120"/>
        <v>1.1799999999999997</v>
      </c>
    </row>
    <row r="664" spans="1:45" hidden="1" x14ac:dyDescent="0.3">
      <c r="A664">
        <v>6189788</v>
      </c>
      <c r="B664" s="15" t="s">
        <v>6000</v>
      </c>
      <c r="C664" s="16" t="s">
        <v>30</v>
      </c>
      <c r="D664" s="6" t="s">
        <v>31</v>
      </c>
      <c r="E664" t="s">
        <v>875</v>
      </c>
      <c r="F664" t="s">
        <v>875</v>
      </c>
      <c r="H664" s="11" t="s">
        <v>27</v>
      </c>
      <c r="I664" s="6" t="s">
        <v>28</v>
      </c>
      <c r="J664" s="6" t="s">
        <v>28</v>
      </c>
      <c r="K664" t="s">
        <v>32</v>
      </c>
      <c r="L664" s="35">
        <v>8.23</v>
      </c>
      <c r="M664" s="6" t="s">
        <v>29</v>
      </c>
      <c r="N664" s="6">
        <v>3105</v>
      </c>
      <c r="P664" s="18"/>
      <c r="Q664" s="17"/>
      <c r="R664" s="19">
        <v>8.23</v>
      </c>
      <c r="S664" s="19">
        <v>8.23</v>
      </c>
      <c r="T664" s="38">
        <v>6</v>
      </c>
      <c r="U664" s="38"/>
      <c r="V664" s="30">
        <v>8.23</v>
      </c>
      <c r="W664" s="35">
        <v>8.23</v>
      </c>
      <c r="X664" s="32">
        <f t="shared" si="110"/>
        <v>49.38</v>
      </c>
      <c r="Y664" s="32">
        <f t="shared" si="111"/>
        <v>49.38</v>
      </c>
      <c r="Z664" s="32">
        <f t="shared" si="112"/>
        <v>0</v>
      </c>
      <c r="AA664" s="38">
        <v>6</v>
      </c>
      <c r="AB664" s="37">
        <f>IFERROR(VLOOKUP(A664,'Tash Lookup'!A:E,3,FALSE),"")</f>
        <v>49.35</v>
      </c>
      <c r="AC664" s="6">
        <f t="shared" si="113"/>
        <v>0</v>
      </c>
      <c r="AD664" s="2" t="s">
        <v>6703</v>
      </c>
      <c r="AF664" s="56">
        <v>8.23</v>
      </c>
      <c r="AG664" s="56">
        <f>VLOOKUP(A664,Sheet1!$A$2:$C$1140,3,FALSE)</f>
        <v>8.23</v>
      </c>
      <c r="AH664" s="58">
        <v>8.23</v>
      </c>
      <c r="AI664" s="56" t="str">
        <f t="shared" si="114"/>
        <v>Same</v>
      </c>
      <c r="AJ664" s="81">
        <f t="shared" si="118"/>
        <v>49.38</v>
      </c>
      <c r="AK664" s="81">
        <f t="shared" si="119"/>
        <v>49.38</v>
      </c>
      <c r="AL664" s="58" t="s">
        <v>7206</v>
      </c>
      <c r="AM664" s="58" t="s">
        <v>6703</v>
      </c>
      <c r="AN664" s="75">
        <v>0</v>
      </c>
      <c r="AO664" s="88">
        <v>8.23</v>
      </c>
      <c r="AP664" s="6" t="str">
        <f t="shared" si="115"/>
        <v>Same</v>
      </c>
      <c r="AQ664" s="81">
        <f t="shared" si="116"/>
        <v>0</v>
      </c>
      <c r="AR664" s="81">
        <f t="shared" si="117"/>
        <v>0</v>
      </c>
      <c r="AS664" s="81">
        <f t="shared" si="120"/>
        <v>0</v>
      </c>
    </row>
    <row r="665" spans="1:45" hidden="1" x14ac:dyDescent="0.3">
      <c r="A665">
        <v>5255624</v>
      </c>
      <c r="B665" s="15" t="s">
        <v>6001</v>
      </c>
      <c r="C665" s="16" t="s">
        <v>30</v>
      </c>
      <c r="D665" s="6" t="s">
        <v>31</v>
      </c>
      <c r="E665" t="s">
        <v>2968</v>
      </c>
      <c r="F665" t="s">
        <v>5207</v>
      </c>
      <c r="H665" s="11" t="s">
        <v>27</v>
      </c>
      <c r="I665" s="6" t="s">
        <v>28</v>
      </c>
      <c r="J665" s="6" t="s">
        <v>28</v>
      </c>
      <c r="K665" t="s">
        <v>32</v>
      </c>
      <c r="L665" s="35">
        <v>30.27</v>
      </c>
      <c r="M665" s="6" t="s">
        <v>29</v>
      </c>
      <c r="N665" s="6">
        <v>3105</v>
      </c>
      <c r="P665" s="18"/>
      <c r="Q665" s="17"/>
      <c r="R665" s="19">
        <v>30.27</v>
      </c>
      <c r="S665" s="19">
        <v>30.27</v>
      </c>
      <c r="T665" s="38">
        <v>6</v>
      </c>
      <c r="U665" s="38"/>
      <c r="V665" s="30">
        <v>30.27</v>
      </c>
      <c r="W665" s="35">
        <v>30.27</v>
      </c>
      <c r="X665" s="32">
        <f t="shared" si="110"/>
        <v>181.62</v>
      </c>
      <c r="Y665" s="32">
        <f t="shared" si="111"/>
        <v>181.62</v>
      </c>
      <c r="Z665" s="32">
        <f t="shared" si="112"/>
        <v>0</v>
      </c>
      <c r="AA665" s="38">
        <v>6</v>
      </c>
      <c r="AB665" s="37">
        <f>IFERROR(VLOOKUP(A665,'Tash Lookup'!A:E,3,FALSE),"")</f>
        <v>170.38</v>
      </c>
      <c r="AC665" s="6">
        <f t="shared" si="113"/>
        <v>0</v>
      </c>
      <c r="AD665" s="2" t="s">
        <v>6703</v>
      </c>
      <c r="AF665" s="56">
        <v>27.28</v>
      </c>
      <c r="AG665" s="56">
        <f>VLOOKUP(A665,Sheet1!$A$2:$C$1140,3,FALSE)</f>
        <v>28.1</v>
      </c>
      <c r="AH665" s="58">
        <v>28.1</v>
      </c>
      <c r="AI665" s="56" t="str">
        <f t="shared" si="114"/>
        <v>Increase</v>
      </c>
      <c r="AJ665" s="81">
        <f t="shared" si="118"/>
        <v>163.68</v>
      </c>
      <c r="AK665" s="81">
        <f t="shared" si="119"/>
        <v>168.60000000000002</v>
      </c>
      <c r="AL665" s="58" t="s">
        <v>32</v>
      </c>
      <c r="AM665" s="58" t="s">
        <v>6705</v>
      </c>
      <c r="AN665" s="75">
        <v>8</v>
      </c>
      <c r="AO665" s="88">
        <v>28.1</v>
      </c>
      <c r="AP665" s="6" t="str">
        <f t="shared" si="115"/>
        <v>Increase</v>
      </c>
      <c r="AQ665" s="81">
        <f t="shared" si="116"/>
        <v>218.24</v>
      </c>
      <c r="AR665" s="81">
        <f t="shared" si="117"/>
        <v>224.8</v>
      </c>
      <c r="AS665" s="82">
        <f t="shared" si="120"/>
        <v>6.5600000000000023</v>
      </c>
    </row>
    <row r="666" spans="1:45" hidden="1" x14ac:dyDescent="0.3">
      <c r="A666">
        <v>5183435</v>
      </c>
      <c r="B666" s="15" t="s">
        <v>6002</v>
      </c>
      <c r="C666" s="16" t="s">
        <v>30</v>
      </c>
      <c r="D666" s="6" t="s">
        <v>31</v>
      </c>
      <c r="E666" t="s">
        <v>440</v>
      </c>
      <c r="F666" t="s">
        <v>440</v>
      </c>
      <c r="H666" s="11" t="s">
        <v>27</v>
      </c>
      <c r="I666" s="6" t="s">
        <v>28</v>
      </c>
      <c r="J666" s="6" t="s">
        <v>28</v>
      </c>
      <c r="K666" t="s">
        <v>32</v>
      </c>
      <c r="L666" s="35">
        <v>47.11</v>
      </c>
      <c r="M666" s="6" t="s">
        <v>29</v>
      </c>
      <c r="N666" s="6">
        <v>3105</v>
      </c>
      <c r="P666" s="18"/>
      <c r="Q666" s="17"/>
      <c r="R666" s="19">
        <v>47.11</v>
      </c>
      <c r="S666" s="19">
        <v>47.11</v>
      </c>
      <c r="T666" s="38">
        <v>6</v>
      </c>
      <c r="U666" s="38"/>
      <c r="V666" s="30">
        <v>47.11</v>
      </c>
      <c r="W666" s="35">
        <v>47.11</v>
      </c>
      <c r="X666" s="32">
        <f t="shared" si="110"/>
        <v>282.65999999999997</v>
      </c>
      <c r="Y666" s="32">
        <f t="shared" si="111"/>
        <v>282.65999999999997</v>
      </c>
      <c r="Z666" s="32">
        <f t="shared" si="112"/>
        <v>0</v>
      </c>
      <c r="AA666" s="38">
        <v>6</v>
      </c>
      <c r="AB666" s="37">
        <f>IFERROR(VLOOKUP(A666,'Tash Lookup'!A:E,3,FALSE),"")</f>
        <v>282.64999999999998</v>
      </c>
      <c r="AC666" s="6">
        <f t="shared" si="113"/>
        <v>0</v>
      </c>
      <c r="AD666" s="2" t="s">
        <v>6703</v>
      </c>
      <c r="AF666" s="56">
        <v>49.82</v>
      </c>
      <c r="AG666" s="56">
        <f>VLOOKUP(A666,Sheet1!$A$2:$C$1140,3,FALSE)</f>
        <v>51.32</v>
      </c>
      <c r="AH666" s="58">
        <v>51.32</v>
      </c>
      <c r="AI666" s="56" t="str">
        <f t="shared" si="114"/>
        <v>Increase</v>
      </c>
      <c r="AJ666" s="81">
        <f t="shared" si="118"/>
        <v>298.92</v>
      </c>
      <c r="AK666" s="81">
        <f t="shared" si="119"/>
        <v>307.92</v>
      </c>
      <c r="AL666" s="58" t="s">
        <v>32</v>
      </c>
      <c r="AM666" s="58" t="s">
        <v>6708</v>
      </c>
      <c r="AN666" s="75">
        <v>0</v>
      </c>
      <c r="AO666" s="88">
        <v>51.32</v>
      </c>
      <c r="AP666" s="6" t="str">
        <f t="shared" si="115"/>
        <v>Increase</v>
      </c>
      <c r="AQ666" s="81">
        <f t="shared" si="116"/>
        <v>0</v>
      </c>
      <c r="AR666" s="81">
        <f t="shared" si="117"/>
        <v>0</v>
      </c>
      <c r="AS666" s="82">
        <f t="shared" si="120"/>
        <v>0</v>
      </c>
    </row>
    <row r="667" spans="1:45" hidden="1" x14ac:dyDescent="0.3">
      <c r="A667">
        <v>5091367</v>
      </c>
      <c r="B667" s="15" t="s">
        <v>6003</v>
      </c>
      <c r="C667" s="16" t="s">
        <v>30</v>
      </c>
      <c r="D667" s="6" t="s">
        <v>31</v>
      </c>
      <c r="E667" t="s">
        <v>465</v>
      </c>
      <c r="F667" t="s">
        <v>465</v>
      </c>
      <c r="H667" s="11" t="s">
        <v>27</v>
      </c>
      <c r="I667" s="6" t="s">
        <v>28</v>
      </c>
      <c r="J667" s="6" t="s">
        <v>28</v>
      </c>
      <c r="K667" t="s">
        <v>32</v>
      </c>
      <c r="L667" s="35">
        <v>85.27</v>
      </c>
      <c r="M667" s="6" t="s">
        <v>29</v>
      </c>
      <c r="N667" s="6">
        <v>3105</v>
      </c>
      <c r="P667" s="18"/>
      <c r="Q667" s="17"/>
      <c r="R667" s="19">
        <v>85.27</v>
      </c>
      <c r="S667" s="19">
        <v>85.27</v>
      </c>
      <c r="T667" s="38">
        <v>6</v>
      </c>
      <c r="U667" s="38"/>
      <c r="V667" s="29">
        <v>85.27</v>
      </c>
      <c r="W667" s="35">
        <v>85.27</v>
      </c>
      <c r="X667" s="32">
        <f t="shared" si="110"/>
        <v>511.62</v>
      </c>
      <c r="Y667" s="32">
        <f t="shared" si="111"/>
        <v>511.62</v>
      </c>
      <c r="Z667" s="32">
        <f t="shared" si="112"/>
        <v>0</v>
      </c>
      <c r="AA667" s="38">
        <v>6</v>
      </c>
      <c r="AB667" s="37">
        <f>IFERROR(VLOOKUP(A667,'Tash Lookup'!A:E,3,FALSE),"")</f>
        <v>529.63</v>
      </c>
      <c r="AC667" s="6">
        <f t="shared" si="113"/>
        <v>0</v>
      </c>
      <c r="AD667" s="2" t="s">
        <v>6703</v>
      </c>
      <c r="AF667" s="56">
        <v>81.02</v>
      </c>
      <c r="AG667" s="56">
        <f>VLOOKUP(A667,Sheet1!$A$2:$C$1140,3,FALSE)</f>
        <v>83.45</v>
      </c>
      <c r="AH667" s="58">
        <v>83.45</v>
      </c>
      <c r="AI667" s="56" t="str">
        <f t="shared" si="114"/>
        <v>Increase</v>
      </c>
      <c r="AJ667" s="81">
        <f t="shared" si="118"/>
        <v>486.12</v>
      </c>
      <c r="AK667" s="81">
        <f t="shared" si="119"/>
        <v>500.70000000000005</v>
      </c>
      <c r="AL667" s="58" t="s">
        <v>32</v>
      </c>
      <c r="AM667" s="58" t="s">
        <v>6703</v>
      </c>
      <c r="AN667" s="75">
        <v>2</v>
      </c>
      <c r="AO667" s="88">
        <v>83.45</v>
      </c>
      <c r="AP667" s="6" t="str">
        <f t="shared" si="115"/>
        <v>Increase</v>
      </c>
      <c r="AQ667" s="81">
        <f t="shared" si="116"/>
        <v>162.04</v>
      </c>
      <c r="AR667" s="81">
        <f t="shared" si="117"/>
        <v>166.9</v>
      </c>
      <c r="AS667" s="82">
        <f t="shared" si="120"/>
        <v>4.8600000000000136</v>
      </c>
    </row>
    <row r="668" spans="1:45" hidden="1" x14ac:dyDescent="0.3">
      <c r="A668">
        <v>5180478</v>
      </c>
      <c r="B668" s="15" t="s">
        <v>6004</v>
      </c>
      <c r="C668" s="16" t="s">
        <v>30</v>
      </c>
      <c r="D668" s="6" t="s">
        <v>31</v>
      </c>
      <c r="E668" t="s">
        <v>518</v>
      </c>
      <c r="F668" t="s">
        <v>518</v>
      </c>
      <c r="H668" s="11" t="s">
        <v>27</v>
      </c>
      <c r="I668" s="6" t="s">
        <v>28</v>
      </c>
      <c r="J668" s="6" t="s">
        <v>28</v>
      </c>
      <c r="K668" t="s">
        <v>32</v>
      </c>
      <c r="L668" s="35">
        <v>15.15</v>
      </c>
      <c r="M668" s="6" t="s">
        <v>29</v>
      </c>
      <c r="N668" s="6">
        <v>3105</v>
      </c>
      <c r="P668" s="18"/>
      <c r="Q668" s="17"/>
      <c r="R668" s="19">
        <v>15.15</v>
      </c>
      <c r="S668" s="19">
        <v>15.15</v>
      </c>
      <c r="T668" s="38">
        <v>6</v>
      </c>
      <c r="U668" s="38"/>
      <c r="V668" s="29">
        <v>15.15</v>
      </c>
      <c r="W668" s="35">
        <v>15.15</v>
      </c>
      <c r="X668" s="32">
        <f t="shared" si="110"/>
        <v>90.9</v>
      </c>
      <c r="Y668" s="32">
        <f t="shared" si="111"/>
        <v>90.9</v>
      </c>
      <c r="Z668" s="32">
        <f t="shared" si="112"/>
        <v>0</v>
      </c>
      <c r="AA668" s="38">
        <v>6</v>
      </c>
      <c r="AB668" s="37">
        <f>IFERROR(VLOOKUP(A668,'Tash Lookup'!A:E,3,FALSE),"")</f>
        <v>91.58</v>
      </c>
      <c r="AC668" s="6">
        <f t="shared" si="113"/>
        <v>0</v>
      </c>
      <c r="AD668" s="2" t="s">
        <v>6703</v>
      </c>
      <c r="AF668" s="56">
        <v>16.96</v>
      </c>
      <c r="AG668" s="56">
        <f>VLOOKUP(A668,Sheet1!$A$2:$C$1140,3,FALSE)</f>
        <v>17.47</v>
      </c>
      <c r="AH668" s="58">
        <v>17.47</v>
      </c>
      <c r="AI668" s="56" t="str">
        <f t="shared" si="114"/>
        <v>Increase</v>
      </c>
      <c r="AJ668" s="81">
        <f t="shared" si="118"/>
        <v>101.76</v>
      </c>
      <c r="AK668" s="81">
        <f t="shared" si="119"/>
        <v>104.82</v>
      </c>
      <c r="AL668" s="58" t="s">
        <v>32</v>
      </c>
      <c r="AM668" s="58" t="s">
        <v>6703</v>
      </c>
      <c r="AN668" s="75">
        <v>8</v>
      </c>
      <c r="AO668" s="88">
        <v>17.47</v>
      </c>
      <c r="AP668" s="6" t="str">
        <f t="shared" si="115"/>
        <v>Increase</v>
      </c>
      <c r="AQ668" s="81">
        <f t="shared" si="116"/>
        <v>135.68</v>
      </c>
      <c r="AR668" s="81">
        <f t="shared" si="117"/>
        <v>139.76</v>
      </c>
      <c r="AS668" s="82">
        <f t="shared" si="120"/>
        <v>4.0799999999999841</v>
      </c>
    </row>
    <row r="669" spans="1:45" hidden="1" x14ac:dyDescent="0.3">
      <c r="A669">
        <v>5183369</v>
      </c>
      <c r="B669" s="15" t="s">
        <v>6005</v>
      </c>
      <c r="C669" s="16" t="s">
        <v>30</v>
      </c>
      <c r="D669" s="6" t="s">
        <v>31</v>
      </c>
      <c r="E669" t="s">
        <v>572</v>
      </c>
      <c r="F669" t="s">
        <v>572</v>
      </c>
      <c r="H669" s="11" t="s">
        <v>27</v>
      </c>
      <c r="I669" s="6" t="s">
        <v>28</v>
      </c>
      <c r="J669" s="6" t="s">
        <v>28</v>
      </c>
      <c r="K669" t="s">
        <v>32</v>
      </c>
      <c r="L669" s="35">
        <v>29.98</v>
      </c>
      <c r="M669" s="6" t="s">
        <v>29</v>
      </c>
      <c r="N669" s="6">
        <v>3105</v>
      </c>
      <c r="P669" s="18"/>
      <c r="Q669" s="17"/>
      <c r="R669" s="19">
        <v>29.98</v>
      </c>
      <c r="S669" s="19">
        <v>29.98</v>
      </c>
      <c r="T669" s="38">
        <v>6</v>
      </c>
      <c r="U669" s="38"/>
      <c r="V669" s="29">
        <v>29.98</v>
      </c>
      <c r="W669" s="35">
        <v>29.98</v>
      </c>
      <c r="X669" s="32">
        <f t="shared" si="110"/>
        <v>179.88</v>
      </c>
      <c r="Y669" s="32">
        <f t="shared" si="111"/>
        <v>179.88</v>
      </c>
      <c r="Z669" s="32">
        <f t="shared" si="112"/>
        <v>0</v>
      </c>
      <c r="AA669" s="38">
        <v>6</v>
      </c>
      <c r="AB669" s="37">
        <f>IFERROR(VLOOKUP(A669,'Tash Lookup'!A:E,3,FALSE),"")</f>
        <v>179.88</v>
      </c>
      <c r="AC669" s="6">
        <f t="shared" si="113"/>
        <v>0</v>
      </c>
      <c r="AD669" s="2" t="s">
        <v>6707</v>
      </c>
      <c r="AF669" s="56">
        <v>28</v>
      </c>
      <c r="AG669" s="56" t="e">
        <f>VLOOKUP(A669,Sheet1!$A$2:$C$1140,3,FALSE)</f>
        <v>#N/A</v>
      </c>
      <c r="AH669" s="58" t="e">
        <v>#N/A</v>
      </c>
      <c r="AI669" s="56" t="str">
        <f t="shared" si="114"/>
        <v>Delete</v>
      </c>
      <c r="AJ669" s="81">
        <f t="shared" si="118"/>
        <v>168</v>
      </c>
      <c r="AK669" s="81">
        <f t="shared" si="119"/>
        <v>0</v>
      </c>
      <c r="AL669" s="58" t="s">
        <v>32</v>
      </c>
      <c r="AM669" s="58" t="s">
        <v>6708</v>
      </c>
      <c r="AN669" s="75">
        <v>0</v>
      </c>
      <c r="AO669" s="88">
        <v>28</v>
      </c>
      <c r="AP669" s="6" t="str">
        <f t="shared" si="115"/>
        <v>Same</v>
      </c>
      <c r="AQ669" s="81">
        <f t="shared" si="116"/>
        <v>0</v>
      </c>
      <c r="AR669" s="81">
        <f t="shared" si="117"/>
        <v>0</v>
      </c>
      <c r="AS669" s="81">
        <f t="shared" si="120"/>
        <v>0</v>
      </c>
    </row>
    <row r="670" spans="1:45" hidden="1" x14ac:dyDescent="0.3">
      <c r="A670">
        <v>5183261</v>
      </c>
      <c r="B670" s="15" t="s">
        <v>6006</v>
      </c>
      <c r="C670" s="16" t="s">
        <v>30</v>
      </c>
      <c r="D670" s="6" t="s">
        <v>31</v>
      </c>
      <c r="E670" t="s">
        <v>147</v>
      </c>
      <c r="F670" t="s">
        <v>147</v>
      </c>
      <c r="H670" s="11" t="s">
        <v>27</v>
      </c>
      <c r="I670" s="6" t="s">
        <v>28</v>
      </c>
      <c r="J670" s="6" t="s">
        <v>28</v>
      </c>
      <c r="K670" t="s">
        <v>32</v>
      </c>
      <c r="L670" s="35">
        <v>10.32</v>
      </c>
      <c r="M670" s="6" t="s">
        <v>29</v>
      </c>
      <c r="N670" s="6">
        <v>3105</v>
      </c>
      <c r="P670" s="18"/>
      <c r="Q670" s="17"/>
      <c r="R670" s="19">
        <v>10.32</v>
      </c>
      <c r="S670" s="19">
        <v>10.32</v>
      </c>
      <c r="T670" s="38">
        <v>6</v>
      </c>
      <c r="U670" s="38"/>
      <c r="V670" s="29">
        <v>10.32</v>
      </c>
      <c r="W670" s="35">
        <v>10.32</v>
      </c>
      <c r="X670" s="32">
        <f t="shared" si="110"/>
        <v>61.92</v>
      </c>
      <c r="Y670" s="32">
        <f t="shared" si="111"/>
        <v>61.92</v>
      </c>
      <c r="Z670" s="32">
        <f t="shared" si="112"/>
        <v>0</v>
      </c>
      <c r="AA670" s="38">
        <v>6</v>
      </c>
      <c r="AB670" s="37">
        <f>IFERROR(VLOOKUP(A670,'Tash Lookup'!A:E,3,FALSE),"")</f>
        <v>59.51</v>
      </c>
      <c r="AC670" s="6">
        <f t="shared" si="113"/>
        <v>0</v>
      </c>
      <c r="AD670" s="2" t="s">
        <v>6703</v>
      </c>
      <c r="AF670" s="56">
        <v>12.24</v>
      </c>
      <c r="AG670" s="56">
        <f>VLOOKUP(A670,Sheet1!$A$2:$C$1140,3,FALSE)</f>
        <v>12.24</v>
      </c>
      <c r="AH670" s="58">
        <v>12.24</v>
      </c>
      <c r="AI670" s="56" t="str">
        <f t="shared" si="114"/>
        <v>Same</v>
      </c>
      <c r="AJ670" s="81">
        <f t="shared" si="118"/>
        <v>73.44</v>
      </c>
      <c r="AK670" s="81">
        <f t="shared" si="119"/>
        <v>73.44</v>
      </c>
      <c r="AL670" s="58" t="s">
        <v>32</v>
      </c>
      <c r="AM670" s="58" t="s">
        <v>6703</v>
      </c>
      <c r="AN670" s="75">
        <v>6</v>
      </c>
      <c r="AO670" s="88">
        <v>12.24</v>
      </c>
      <c r="AP670" s="6" t="str">
        <f t="shared" si="115"/>
        <v>Same</v>
      </c>
      <c r="AQ670" s="81">
        <f t="shared" si="116"/>
        <v>73.44</v>
      </c>
      <c r="AR670" s="81">
        <f t="shared" si="117"/>
        <v>73.44</v>
      </c>
      <c r="AS670" s="81">
        <f t="shared" si="120"/>
        <v>0</v>
      </c>
    </row>
    <row r="671" spans="1:45" hidden="1" x14ac:dyDescent="0.3">
      <c r="A671">
        <v>5091640</v>
      </c>
      <c r="B671" s="15" t="s">
        <v>6007</v>
      </c>
      <c r="C671" s="16" t="s">
        <v>30</v>
      </c>
      <c r="D671" s="6" t="s">
        <v>31</v>
      </c>
      <c r="E671" t="s">
        <v>579</v>
      </c>
      <c r="F671" t="s">
        <v>579</v>
      </c>
      <c r="H671" s="11" t="s">
        <v>27</v>
      </c>
      <c r="I671" s="6" t="s">
        <v>28</v>
      </c>
      <c r="J671" s="6" t="s">
        <v>28</v>
      </c>
      <c r="K671" t="s">
        <v>32</v>
      </c>
      <c r="L671" s="35">
        <v>49.18</v>
      </c>
      <c r="M671" s="6" t="s">
        <v>29</v>
      </c>
      <c r="N671" s="6">
        <v>3105</v>
      </c>
      <c r="P671" s="18"/>
      <c r="Q671" s="17"/>
      <c r="R671" s="19">
        <v>49.18</v>
      </c>
      <c r="S671" s="19">
        <v>49.18</v>
      </c>
      <c r="T671" s="38">
        <v>6</v>
      </c>
      <c r="U671" s="38"/>
      <c r="V671" s="29">
        <v>49.18</v>
      </c>
      <c r="W671" s="35">
        <v>49.18</v>
      </c>
      <c r="X671" s="32">
        <f t="shared" si="110"/>
        <v>295.08</v>
      </c>
      <c r="Y671" s="32">
        <f t="shared" si="111"/>
        <v>295.08</v>
      </c>
      <c r="Z671" s="32">
        <f t="shared" si="112"/>
        <v>0</v>
      </c>
      <c r="AA671" s="38">
        <v>6</v>
      </c>
      <c r="AB671" s="37">
        <f>IFERROR(VLOOKUP(A671,'Tash Lookup'!A:E,3,FALSE),"")</f>
        <v>295.08</v>
      </c>
      <c r="AC671" s="6">
        <f t="shared" si="113"/>
        <v>0</v>
      </c>
      <c r="AD671" s="2" t="s">
        <v>6703</v>
      </c>
      <c r="AF671" s="56">
        <v>51.32</v>
      </c>
      <c r="AG671" s="56">
        <f>VLOOKUP(A671,Sheet1!$A$2:$C$1140,3,FALSE)</f>
        <v>52.86</v>
      </c>
      <c r="AH671" s="58">
        <v>52.86</v>
      </c>
      <c r="AI671" s="56" t="str">
        <f t="shared" si="114"/>
        <v>Increase</v>
      </c>
      <c r="AJ671" s="81">
        <f t="shared" si="118"/>
        <v>307.92</v>
      </c>
      <c r="AK671" s="81">
        <f t="shared" si="119"/>
        <v>317.15999999999997</v>
      </c>
      <c r="AL671" s="58" t="s">
        <v>32</v>
      </c>
      <c r="AM671" s="58" t="s">
        <v>6703</v>
      </c>
      <c r="AN671" s="75">
        <v>7</v>
      </c>
      <c r="AO671" s="88">
        <v>52.86</v>
      </c>
      <c r="AP671" s="6" t="str">
        <f t="shared" si="115"/>
        <v>Increase</v>
      </c>
      <c r="AQ671" s="81">
        <f t="shared" si="116"/>
        <v>359.24</v>
      </c>
      <c r="AR671" s="81">
        <f t="shared" si="117"/>
        <v>370.02</v>
      </c>
      <c r="AS671" s="82">
        <f t="shared" si="120"/>
        <v>10.779999999999973</v>
      </c>
    </row>
    <row r="672" spans="1:45" hidden="1" x14ac:dyDescent="0.3">
      <c r="A672">
        <v>5082982</v>
      </c>
      <c r="B672" s="15" t="s">
        <v>6008</v>
      </c>
      <c r="C672" s="16" t="s">
        <v>30</v>
      </c>
      <c r="D672" s="6" t="s">
        <v>31</v>
      </c>
      <c r="E672" t="s">
        <v>583</v>
      </c>
      <c r="F672" t="s">
        <v>583</v>
      </c>
      <c r="H672" s="11" t="s">
        <v>27</v>
      </c>
      <c r="I672" s="6" t="s">
        <v>28</v>
      </c>
      <c r="J672" s="6" t="s">
        <v>28</v>
      </c>
      <c r="K672" t="s">
        <v>32</v>
      </c>
      <c r="L672" s="35">
        <v>27.31</v>
      </c>
      <c r="M672" s="6" t="s">
        <v>29</v>
      </c>
      <c r="N672" s="6">
        <v>3105</v>
      </c>
      <c r="P672" s="18"/>
      <c r="Q672" s="17"/>
      <c r="R672" s="19">
        <v>27.31</v>
      </c>
      <c r="S672" s="19">
        <v>27.31</v>
      </c>
      <c r="T672" s="38">
        <v>6</v>
      </c>
      <c r="U672" s="38"/>
      <c r="V672" s="29">
        <v>27.31</v>
      </c>
      <c r="W672" s="35">
        <v>27.31</v>
      </c>
      <c r="X672" s="32">
        <f t="shared" si="110"/>
        <v>163.85999999999999</v>
      </c>
      <c r="Y672" s="32">
        <f t="shared" si="111"/>
        <v>163.85999999999999</v>
      </c>
      <c r="Z672" s="32">
        <f t="shared" si="112"/>
        <v>0</v>
      </c>
      <c r="AA672" s="38">
        <v>6</v>
      </c>
      <c r="AB672" s="37">
        <f>IFERROR(VLOOKUP(A672,'Tash Lookup'!A:E,3,FALSE),"")</f>
        <v>170.62</v>
      </c>
      <c r="AC672" s="6">
        <f t="shared" si="113"/>
        <v>0</v>
      </c>
      <c r="AD672" s="2" t="s">
        <v>6703</v>
      </c>
      <c r="AF672" s="56">
        <v>28.64</v>
      </c>
      <c r="AG672" s="56">
        <f>VLOOKUP(A672,Sheet1!$A$2:$C$1140,3,FALSE)</f>
        <v>29.5</v>
      </c>
      <c r="AH672" s="58">
        <v>29.5</v>
      </c>
      <c r="AI672" s="56" t="str">
        <f t="shared" si="114"/>
        <v>Increase</v>
      </c>
      <c r="AJ672" s="81">
        <f t="shared" si="118"/>
        <v>171.84</v>
      </c>
      <c r="AK672" s="81">
        <f t="shared" si="119"/>
        <v>177</v>
      </c>
      <c r="AL672" s="58" t="s">
        <v>32</v>
      </c>
      <c r="AM672" s="58" t="s">
        <v>6703</v>
      </c>
      <c r="AN672" s="75">
        <v>1</v>
      </c>
      <c r="AO672" s="88">
        <v>29.5</v>
      </c>
      <c r="AP672" s="6" t="str">
        <f t="shared" si="115"/>
        <v>Increase</v>
      </c>
      <c r="AQ672" s="81">
        <f t="shared" si="116"/>
        <v>28.64</v>
      </c>
      <c r="AR672" s="81">
        <f t="shared" si="117"/>
        <v>29.5</v>
      </c>
      <c r="AS672" s="82">
        <f t="shared" si="120"/>
        <v>0.85999999999999943</v>
      </c>
    </row>
    <row r="673" spans="1:45" hidden="1" x14ac:dyDescent="0.3">
      <c r="A673">
        <v>5180255</v>
      </c>
      <c r="B673" s="15" t="s">
        <v>6009</v>
      </c>
      <c r="C673" s="16" t="s">
        <v>30</v>
      </c>
      <c r="D673" s="6" t="s">
        <v>31</v>
      </c>
      <c r="E673" t="s">
        <v>193</v>
      </c>
      <c r="F673" t="s">
        <v>193</v>
      </c>
      <c r="H673" s="11" t="s">
        <v>27</v>
      </c>
      <c r="I673" s="6" t="s">
        <v>28</v>
      </c>
      <c r="J673" s="6" t="s">
        <v>28</v>
      </c>
      <c r="K673" t="s">
        <v>32</v>
      </c>
      <c r="L673" s="35">
        <v>12.89</v>
      </c>
      <c r="M673" s="6" t="s">
        <v>29</v>
      </c>
      <c r="N673" s="6">
        <v>3105</v>
      </c>
      <c r="P673" s="18"/>
      <c r="Q673" s="17"/>
      <c r="R673" s="19">
        <v>12.89</v>
      </c>
      <c r="S673" s="19">
        <v>12.89</v>
      </c>
      <c r="T673" s="38">
        <v>6</v>
      </c>
      <c r="U673" s="38"/>
      <c r="V673" s="29">
        <v>12.89</v>
      </c>
      <c r="W673" s="35">
        <v>12.89</v>
      </c>
      <c r="X673" s="32">
        <f t="shared" si="110"/>
        <v>77.34</v>
      </c>
      <c r="Y673" s="32">
        <f t="shared" si="111"/>
        <v>77.34</v>
      </c>
      <c r="Z673" s="32">
        <f t="shared" si="112"/>
        <v>0</v>
      </c>
      <c r="AA673" s="38">
        <v>6</v>
      </c>
      <c r="AB673" s="37">
        <f>IFERROR(VLOOKUP(A673,'Tash Lookup'!A:E,3,FALSE),"")</f>
        <v>77.319999999999993</v>
      </c>
      <c r="AC673" s="6">
        <f t="shared" si="113"/>
        <v>0</v>
      </c>
      <c r="AD673" s="2" t="s">
        <v>6703</v>
      </c>
      <c r="AF673" s="56">
        <v>13.99</v>
      </c>
      <c r="AG673" s="56">
        <f>VLOOKUP(A673,Sheet1!$A$2:$C$1140,3,FALSE)</f>
        <v>13.99</v>
      </c>
      <c r="AH673" s="58">
        <v>13.99</v>
      </c>
      <c r="AI673" s="56" t="str">
        <f t="shared" si="114"/>
        <v>Same</v>
      </c>
      <c r="AJ673" s="81">
        <f t="shared" si="118"/>
        <v>83.94</v>
      </c>
      <c r="AK673" s="81">
        <f t="shared" si="119"/>
        <v>83.94</v>
      </c>
      <c r="AL673" s="58" t="s">
        <v>32</v>
      </c>
      <c r="AM673" s="58" t="s">
        <v>6703</v>
      </c>
      <c r="AN673" s="75">
        <v>1</v>
      </c>
      <c r="AO673" s="88">
        <v>13.99</v>
      </c>
      <c r="AP673" s="6" t="str">
        <f t="shared" si="115"/>
        <v>Same</v>
      </c>
      <c r="AQ673" s="81">
        <f t="shared" si="116"/>
        <v>13.99</v>
      </c>
      <c r="AR673" s="81">
        <f t="shared" si="117"/>
        <v>13.99</v>
      </c>
      <c r="AS673" s="81">
        <f t="shared" si="120"/>
        <v>0</v>
      </c>
    </row>
    <row r="674" spans="1:45" hidden="1" x14ac:dyDescent="0.3">
      <c r="A674">
        <v>6416435</v>
      </c>
      <c r="B674" s="15" t="s">
        <v>6010</v>
      </c>
      <c r="C674" s="16" t="s">
        <v>30</v>
      </c>
      <c r="D674" s="6" t="s">
        <v>31</v>
      </c>
      <c r="E674" t="s">
        <v>2980</v>
      </c>
      <c r="F674" t="s">
        <v>2980</v>
      </c>
      <c r="H674" s="11" t="s">
        <v>27</v>
      </c>
      <c r="I674" s="6" t="s">
        <v>28</v>
      </c>
      <c r="J674" s="6" t="s">
        <v>28</v>
      </c>
      <c r="K674" t="s">
        <v>32</v>
      </c>
      <c r="L674" s="35">
        <v>8.8800000000000008</v>
      </c>
      <c r="M674" s="6" t="s">
        <v>29</v>
      </c>
      <c r="N674" s="6">
        <v>3105</v>
      </c>
      <c r="P674" s="18"/>
      <c r="Q674" s="17"/>
      <c r="R674" s="19">
        <v>8.8800000000000008</v>
      </c>
      <c r="S674" s="19">
        <v>8.8800000000000008</v>
      </c>
      <c r="T674" s="38">
        <v>6</v>
      </c>
      <c r="U674" s="38"/>
      <c r="V674" s="30">
        <v>8.8800000000000008</v>
      </c>
      <c r="W674" s="35">
        <v>8.8800000000000008</v>
      </c>
      <c r="X674" s="32">
        <f t="shared" si="110"/>
        <v>53.28</v>
      </c>
      <c r="Y674" s="32">
        <f t="shared" si="111"/>
        <v>53.28</v>
      </c>
      <c r="Z674" s="32">
        <f t="shared" si="112"/>
        <v>0</v>
      </c>
      <c r="AA674" s="38">
        <v>6</v>
      </c>
      <c r="AB674" s="37">
        <f>IFERROR(VLOOKUP(A674,'Tash Lookup'!A:E,3,FALSE),"")</f>
        <v>53.25</v>
      </c>
      <c r="AC674" s="6">
        <f t="shared" si="113"/>
        <v>0</v>
      </c>
      <c r="AD674" s="2" t="s">
        <v>6704</v>
      </c>
      <c r="AF674" s="56">
        <v>8.8800000000000008</v>
      </c>
      <c r="AG674" s="56" t="e">
        <f>VLOOKUP(A674,Sheet1!$A$2:$C$1140,3,FALSE)</f>
        <v>#N/A</v>
      </c>
      <c r="AH674" s="58" t="e">
        <v>#N/A</v>
      </c>
      <c r="AI674" s="56" t="str">
        <f t="shared" si="114"/>
        <v>Delete</v>
      </c>
      <c r="AJ674" s="81">
        <f t="shared" si="118"/>
        <v>53.28</v>
      </c>
      <c r="AK674" s="81">
        <f t="shared" si="119"/>
        <v>0</v>
      </c>
      <c r="AL674" s="58" t="s">
        <v>7206</v>
      </c>
      <c r="AM674" s="58" t="s">
        <v>6708</v>
      </c>
      <c r="AN674" s="75">
        <v>0</v>
      </c>
      <c r="AO674" s="88">
        <v>8.8800000000000008</v>
      </c>
      <c r="AP674" s="6" t="str">
        <f t="shared" si="115"/>
        <v>Same</v>
      </c>
      <c r="AQ674" s="81">
        <f t="shared" si="116"/>
        <v>0</v>
      </c>
      <c r="AR674" s="81">
        <f t="shared" si="117"/>
        <v>0</v>
      </c>
      <c r="AS674" s="81">
        <f t="shared" si="120"/>
        <v>0</v>
      </c>
    </row>
    <row r="675" spans="1:45" hidden="1" x14ac:dyDescent="0.3">
      <c r="A675">
        <v>6416430</v>
      </c>
      <c r="B675" s="15" t="s">
        <v>6011</v>
      </c>
      <c r="C675" s="16" t="s">
        <v>30</v>
      </c>
      <c r="D675" s="6" t="s">
        <v>31</v>
      </c>
      <c r="E675" t="s">
        <v>2981</v>
      </c>
      <c r="F675" t="s">
        <v>2981</v>
      </c>
      <c r="H675" s="11" t="s">
        <v>27</v>
      </c>
      <c r="I675" s="6" t="s">
        <v>28</v>
      </c>
      <c r="J675" s="6" t="s">
        <v>28</v>
      </c>
      <c r="K675" t="s">
        <v>32</v>
      </c>
      <c r="L675" s="35">
        <v>10.93</v>
      </c>
      <c r="M675" s="6" t="s">
        <v>29</v>
      </c>
      <c r="N675" s="6">
        <v>3105</v>
      </c>
      <c r="P675" s="18"/>
      <c r="Q675" s="17"/>
      <c r="R675" s="19">
        <v>10.93</v>
      </c>
      <c r="S675" s="19">
        <v>10.93</v>
      </c>
      <c r="T675" s="38">
        <v>6</v>
      </c>
      <c r="U675" s="38"/>
      <c r="V675" s="30">
        <v>10.93</v>
      </c>
      <c r="W675" s="35">
        <v>10.93</v>
      </c>
      <c r="X675" s="32">
        <f t="shared" si="110"/>
        <v>65.58</v>
      </c>
      <c r="Y675" s="32">
        <f t="shared" si="111"/>
        <v>65.58</v>
      </c>
      <c r="Z675" s="32">
        <f t="shared" si="112"/>
        <v>0</v>
      </c>
      <c r="AA675" s="38">
        <v>6</v>
      </c>
      <c r="AB675" s="37">
        <f>IFERROR(VLOOKUP(A675,'Tash Lookup'!A:E,3,FALSE),"")</f>
        <v>65.61</v>
      </c>
      <c r="AC675" s="6">
        <f t="shared" si="113"/>
        <v>0</v>
      </c>
      <c r="AD675" s="2" t="s">
        <v>6704</v>
      </c>
      <c r="AF675" s="56">
        <v>10.93</v>
      </c>
      <c r="AG675" s="56" t="e">
        <f>VLOOKUP(A675,Sheet1!$A$2:$C$1140,3,FALSE)</f>
        <v>#N/A</v>
      </c>
      <c r="AH675" s="58" t="e">
        <v>#N/A</v>
      </c>
      <c r="AI675" s="56" t="str">
        <f t="shared" si="114"/>
        <v>Delete</v>
      </c>
      <c r="AJ675" s="81">
        <f t="shared" si="118"/>
        <v>65.58</v>
      </c>
      <c r="AK675" s="81">
        <f t="shared" si="119"/>
        <v>0</v>
      </c>
      <c r="AL675" s="58" t="s">
        <v>7206</v>
      </c>
      <c r="AM675" s="58" t="s">
        <v>6708</v>
      </c>
      <c r="AN675" s="75">
        <v>0</v>
      </c>
      <c r="AO675" s="88">
        <v>10.93</v>
      </c>
      <c r="AP675" s="6" t="str">
        <f t="shared" si="115"/>
        <v>Same</v>
      </c>
      <c r="AQ675" s="81">
        <f t="shared" si="116"/>
        <v>0</v>
      </c>
      <c r="AR675" s="81">
        <f t="shared" si="117"/>
        <v>0</v>
      </c>
      <c r="AS675" s="81">
        <f t="shared" si="120"/>
        <v>0</v>
      </c>
    </row>
    <row r="676" spans="1:45" hidden="1" x14ac:dyDescent="0.3">
      <c r="A676">
        <v>5084867</v>
      </c>
      <c r="B676" s="15" t="s">
        <v>6012</v>
      </c>
      <c r="C676" s="16" t="s">
        <v>30</v>
      </c>
      <c r="D676" s="6" t="s">
        <v>31</v>
      </c>
      <c r="E676" t="s">
        <v>979</v>
      </c>
      <c r="F676" t="s">
        <v>979</v>
      </c>
      <c r="H676" s="11" t="s">
        <v>27</v>
      </c>
      <c r="I676" s="6" t="s">
        <v>28</v>
      </c>
      <c r="J676" s="6" t="s">
        <v>28</v>
      </c>
      <c r="K676" t="s">
        <v>32</v>
      </c>
      <c r="L676" s="35">
        <v>77.48</v>
      </c>
      <c r="M676" s="6" t="s">
        <v>29</v>
      </c>
      <c r="N676" s="6">
        <v>3105</v>
      </c>
      <c r="P676" s="18"/>
      <c r="Q676" s="17"/>
      <c r="R676" s="19">
        <v>77.48</v>
      </c>
      <c r="S676" s="19">
        <v>77.48</v>
      </c>
      <c r="T676" s="38">
        <v>6</v>
      </c>
      <c r="U676" s="38"/>
      <c r="V676" s="30">
        <v>77.48</v>
      </c>
      <c r="W676" s="35">
        <v>77.48</v>
      </c>
      <c r="X676" s="32">
        <f t="shared" si="110"/>
        <v>464.88</v>
      </c>
      <c r="Y676" s="32">
        <f t="shared" si="111"/>
        <v>464.88</v>
      </c>
      <c r="Z676" s="32">
        <f t="shared" si="112"/>
        <v>0</v>
      </c>
      <c r="AA676" s="38">
        <v>6</v>
      </c>
      <c r="AB676" s="37">
        <f>IFERROR(VLOOKUP(A676,'Tash Lookup'!A:E,3,FALSE),"")</f>
        <v>450.69</v>
      </c>
      <c r="AC676" s="6">
        <f t="shared" si="113"/>
        <v>0</v>
      </c>
      <c r="AD676" s="2" t="s">
        <v>6703</v>
      </c>
      <c r="AF676" s="56">
        <v>44.73</v>
      </c>
      <c r="AG676" s="56">
        <f>VLOOKUP(A676,Sheet1!$A$2:$C$1140,3,FALSE)</f>
        <v>44.73</v>
      </c>
      <c r="AH676" s="58">
        <v>44.73</v>
      </c>
      <c r="AI676" s="56" t="str">
        <f t="shared" si="114"/>
        <v>Same</v>
      </c>
      <c r="AJ676" s="81">
        <f t="shared" si="118"/>
        <v>268.38</v>
      </c>
      <c r="AK676" s="81">
        <f t="shared" si="119"/>
        <v>268.38</v>
      </c>
      <c r="AL676" s="58" t="s">
        <v>7206</v>
      </c>
      <c r="AM676" s="58" t="s">
        <v>6703</v>
      </c>
      <c r="AN676" s="75">
        <v>31</v>
      </c>
      <c r="AO676" s="88">
        <v>44.73</v>
      </c>
      <c r="AP676" s="6" t="str">
        <f t="shared" si="115"/>
        <v>Same</v>
      </c>
      <c r="AQ676" s="81">
        <f t="shared" si="116"/>
        <v>1386.6299999999999</v>
      </c>
      <c r="AR676" s="81">
        <f t="shared" si="117"/>
        <v>1386.6299999999999</v>
      </c>
      <c r="AS676" s="81">
        <f t="shared" si="120"/>
        <v>0</v>
      </c>
    </row>
    <row r="677" spans="1:45" hidden="1" x14ac:dyDescent="0.3">
      <c r="A677">
        <v>5084861</v>
      </c>
      <c r="B677" s="15" t="s">
        <v>6013</v>
      </c>
      <c r="C677" s="16" t="s">
        <v>30</v>
      </c>
      <c r="D677" s="6" t="s">
        <v>31</v>
      </c>
      <c r="E677" t="s">
        <v>987</v>
      </c>
      <c r="F677" t="s">
        <v>987</v>
      </c>
      <c r="H677" s="11" t="s">
        <v>27</v>
      </c>
      <c r="I677" s="6" t="s">
        <v>28</v>
      </c>
      <c r="J677" s="6" t="s">
        <v>28</v>
      </c>
      <c r="K677" t="s">
        <v>32</v>
      </c>
      <c r="L677" s="35">
        <v>77.48</v>
      </c>
      <c r="M677" s="6" t="s">
        <v>29</v>
      </c>
      <c r="N677" s="6">
        <v>3105</v>
      </c>
      <c r="P677" s="18"/>
      <c r="Q677" s="17"/>
      <c r="R677" s="19">
        <v>77.48</v>
      </c>
      <c r="S677" s="19">
        <v>77.48</v>
      </c>
      <c r="T677" s="38">
        <v>6</v>
      </c>
      <c r="U677" s="38"/>
      <c r="V677" s="30">
        <v>77.48</v>
      </c>
      <c r="W677" s="35">
        <v>77.48</v>
      </c>
      <c r="X677" s="32">
        <f t="shared" si="110"/>
        <v>464.88</v>
      </c>
      <c r="Y677" s="32">
        <f t="shared" si="111"/>
        <v>464.88</v>
      </c>
      <c r="Z677" s="32">
        <f t="shared" si="112"/>
        <v>0</v>
      </c>
      <c r="AA677" s="38">
        <v>6</v>
      </c>
      <c r="AB677" s="37">
        <f>IFERROR(VLOOKUP(A677,'Tash Lookup'!A:E,3,FALSE),"")</f>
        <v>464.9</v>
      </c>
      <c r="AC677" s="6">
        <f t="shared" si="113"/>
        <v>0</v>
      </c>
      <c r="AD677" s="2" t="s">
        <v>6703</v>
      </c>
      <c r="AF677" s="56">
        <v>44.73</v>
      </c>
      <c r="AG677" s="56">
        <f>VLOOKUP(A677,Sheet1!$A$2:$C$1140,3,FALSE)</f>
        <v>44.73</v>
      </c>
      <c r="AH677" s="58">
        <v>44.73</v>
      </c>
      <c r="AI677" s="56" t="str">
        <f t="shared" si="114"/>
        <v>Same</v>
      </c>
      <c r="AJ677" s="81">
        <f t="shared" si="118"/>
        <v>268.38</v>
      </c>
      <c r="AK677" s="81">
        <f t="shared" si="119"/>
        <v>268.38</v>
      </c>
      <c r="AL677" s="58" t="s">
        <v>7206</v>
      </c>
      <c r="AM677" s="58" t="s">
        <v>6703</v>
      </c>
      <c r="AN677" s="75">
        <v>26</v>
      </c>
      <c r="AO677" s="88">
        <v>44.73</v>
      </c>
      <c r="AP677" s="6" t="str">
        <f t="shared" si="115"/>
        <v>Same</v>
      </c>
      <c r="AQ677" s="81">
        <f t="shared" si="116"/>
        <v>1162.98</v>
      </c>
      <c r="AR677" s="81">
        <f t="shared" si="117"/>
        <v>1162.98</v>
      </c>
      <c r="AS677" s="81">
        <f t="shared" si="120"/>
        <v>0</v>
      </c>
    </row>
    <row r="678" spans="1:45" hidden="1" x14ac:dyDescent="0.3">
      <c r="A678">
        <v>6414042</v>
      </c>
      <c r="B678" s="15" t="s">
        <v>6014</v>
      </c>
      <c r="C678" s="16" t="s">
        <v>30</v>
      </c>
      <c r="D678" s="6" t="s">
        <v>31</v>
      </c>
      <c r="E678" t="s">
        <v>1047</v>
      </c>
      <c r="F678" t="s">
        <v>1047</v>
      </c>
      <c r="H678" s="11" t="s">
        <v>27</v>
      </c>
      <c r="I678" s="6" t="s">
        <v>28</v>
      </c>
      <c r="J678" s="6" t="s">
        <v>28</v>
      </c>
      <c r="K678" t="s">
        <v>32</v>
      </c>
      <c r="L678" s="35">
        <v>10.71</v>
      </c>
      <c r="M678" s="6" t="s">
        <v>29</v>
      </c>
      <c r="N678" s="6">
        <v>3105</v>
      </c>
      <c r="P678" s="18"/>
      <c r="Q678" s="17"/>
      <c r="R678" s="19">
        <v>0</v>
      </c>
      <c r="S678" s="19">
        <v>0</v>
      </c>
      <c r="T678" s="38">
        <v>6</v>
      </c>
      <c r="U678" s="38"/>
      <c r="V678" s="31">
        <v>10.71</v>
      </c>
      <c r="W678" s="35">
        <v>10.71</v>
      </c>
      <c r="X678" s="32">
        <f t="shared" si="110"/>
        <v>64.260000000000005</v>
      </c>
      <c r="Y678" s="32">
        <f t="shared" si="111"/>
        <v>64.260000000000005</v>
      </c>
      <c r="Z678" s="32">
        <f t="shared" si="112"/>
        <v>0</v>
      </c>
      <c r="AA678" s="38">
        <v>6</v>
      </c>
      <c r="AB678" s="37">
        <f>IFERROR(VLOOKUP(A678,'Tash Lookup'!A:E,3,FALSE),"")</f>
        <v>63.8</v>
      </c>
      <c r="AC678" s="6">
        <f t="shared" si="113"/>
        <v>0</v>
      </c>
      <c r="AD678" s="2" t="s">
        <v>6703</v>
      </c>
      <c r="AF678" s="56">
        <v>11</v>
      </c>
      <c r="AG678" s="56">
        <f>VLOOKUP(A678,Sheet1!$A$2:$C$1140,3,FALSE)</f>
        <v>11.22</v>
      </c>
      <c r="AH678" s="58">
        <v>11.22</v>
      </c>
      <c r="AI678" s="56" t="str">
        <f t="shared" si="114"/>
        <v>Increase</v>
      </c>
      <c r="AJ678" s="81">
        <f t="shared" si="118"/>
        <v>66</v>
      </c>
      <c r="AK678" s="81">
        <f t="shared" si="119"/>
        <v>67.320000000000007</v>
      </c>
      <c r="AL678" s="58" t="s">
        <v>7206</v>
      </c>
      <c r="AM678" s="58" t="s">
        <v>6703</v>
      </c>
      <c r="AN678" s="75">
        <v>6</v>
      </c>
      <c r="AO678" s="88">
        <v>11.22</v>
      </c>
      <c r="AP678" s="6" t="str">
        <f t="shared" si="115"/>
        <v>Increase</v>
      </c>
      <c r="AQ678" s="81">
        <f t="shared" si="116"/>
        <v>66</v>
      </c>
      <c r="AR678" s="81">
        <f t="shared" si="117"/>
        <v>67.320000000000007</v>
      </c>
      <c r="AS678" s="82">
        <f t="shared" si="120"/>
        <v>1.3200000000000074</v>
      </c>
    </row>
    <row r="679" spans="1:45" hidden="1" x14ac:dyDescent="0.3">
      <c r="A679">
        <v>6342500</v>
      </c>
      <c r="B679" s="15" t="s">
        <v>6015</v>
      </c>
      <c r="C679" s="16" t="s">
        <v>30</v>
      </c>
      <c r="D679" s="6" t="s">
        <v>31</v>
      </c>
      <c r="E679" t="s">
        <v>1121</v>
      </c>
      <c r="F679" t="s">
        <v>1121</v>
      </c>
      <c r="H679" s="11" t="s">
        <v>27</v>
      </c>
      <c r="I679" s="6" t="s">
        <v>28</v>
      </c>
      <c r="J679" s="6" t="s">
        <v>28</v>
      </c>
      <c r="K679" t="s">
        <v>32</v>
      </c>
      <c r="L679" s="35">
        <v>8.1</v>
      </c>
      <c r="M679" s="6" t="s">
        <v>29</v>
      </c>
      <c r="N679" s="6">
        <v>3105</v>
      </c>
      <c r="P679" s="18"/>
      <c r="Q679" s="17"/>
      <c r="R679" s="19">
        <v>0</v>
      </c>
      <c r="S679" s="19">
        <v>0</v>
      </c>
      <c r="T679" s="38">
        <v>6</v>
      </c>
      <c r="U679" s="38"/>
      <c r="V679" s="31">
        <v>8.1</v>
      </c>
      <c r="W679" s="35">
        <v>8.1</v>
      </c>
      <c r="X679" s="32">
        <f t="shared" si="110"/>
        <v>48.599999999999994</v>
      </c>
      <c r="Y679" s="32">
        <f t="shared" si="111"/>
        <v>48.599999999999994</v>
      </c>
      <c r="Z679" s="32">
        <f t="shared" si="112"/>
        <v>0</v>
      </c>
      <c r="AA679" s="38">
        <v>6</v>
      </c>
      <c r="AB679" s="37">
        <f>IFERROR(VLOOKUP(A679,'Tash Lookup'!A:E,3,FALSE),"")</f>
        <v>48.6</v>
      </c>
      <c r="AC679" s="6">
        <f t="shared" si="113"/>
        <v>0</v>
      </c>
      <c r="AD679" s="2" t="s">
        <v>6703</v>
      </c>
      <c r="AF679" s="56">
        <v>8.1</v>
      </c>
      <c r="AG679" s="56">
        <f>VLOOKUP(A679,Sheet1!$A$2:$C$1140,3,FALSE)</f>
        <v>8.26</v>
      </c>
      <c r="AH679" s="58">
        <v>8.26</v>
      </c>
      <c r="AI679" s="56" t="str">
        <f t="shared" si="114"/>
        <v>Increase</v>
      </c>
      <c r="AJ679" s="81">
        <f t="shared" si="118"/>
        <v>48.599999999999994</v>
      </c>
      <c r="AK679" s="81">
        <f t="shared" si="119"/>
        <v>49.56</v>
      </c>
      <c r="AL679" s="58" t="s">
        <v>7206</v>
      </c>
      <c r="AM679" s="58" t="s">
        <v>6703</v>
      </c>
      <c r="AN679" s="75">
        <v>8</v>
      </c>
      <c r="AO679" s="88">
        <v>8.26</v>
      </c>
      <c r="AP679" s="6" t="str">
        <f t="shared" si="115"/>
        <v>Increase</v>
      </c>
      <c r="AQ679" s="81">
        <f t="shared" si="116"/>
        <v>64.8</v>
      </c>
      <c r="AR679" s="81">
        <f t="shared" si="117"/>
        <v>66.08</v>
      </c>
      <c r="AS679" s="82">
        <f t="shared" si="120"/>
        <v>1.2800000000000011</v>
      </c>
    </row>
    <row r="680" spans="1:45" hidden="1" x14ac:dyDescent="0.3">
      <c r="A680">
        <v>6107956</v>
      </c>
      <c r="B680" s="15" t="s">
        <v>6016</v>
      </c>
      <c r="C680" s="16" t="s">
        <v>30</v>
      </c>
      <c r="D680" s="6" t="s">
        <v>31</v>
      </c>
      <c r="E680" t="s">
        <v>1133</v>
      </c>
      <c r="F680" t="s">
        <v>1133</v>
      </c>
      <c r="H680" s="11" t="s">
        <v>27</v>
      </c>
      <c r="I680" s="6" t="s">
        <v>28</v>
      </c>
      <c r="J680" s="6" t="s">
        <v>28</v>
      </c>
      <c r="K680" t="s">
        <v>32</v>
      </c>
      <c r="L680" s="35">
        <v>11.75</v>
      </c>
      <c r="M680" s="6" t="s">
        <v>29</v>
      </c>
      <c r="N680" s="6">
        <v>3105</v>
      </c>
      <c r="P680" s="18"/>
      <c r="Q680" s="17"/>
      <c r="R680" s="19">
        <v>0</v>
      </c>
      <c r="S680" s="19">
        <v>0</v>
      </c>
      <c r="T680" s="38">
        <v>6</v>
      </c>
      <c r="U680" s="38"/>
      <c r="V680" s="31">
        <v>11.75</v>
      </c>
      <c r="W680" s="35">
        <v>11.75</v>
      </c>
      <c r="X680" s="32">
        <f t="shared" si="110"/>
        <v>70.5</v>
      </c>
      <c r="Y680" s="32">
        <f t="shared" si="111"/>
        <v>70.5</v>
      </c>
      <c r="Z680" s="32">
        <f t="shared" si="112"/>
        <v>0</v>
      </c>
      <c r="AA680" s="38">
        <v>6</v>
      </c>
      <c r="AB680" s="37">
        <f>IFERROR(VLOOKUP(A680,'Tash Lookup'!A:E,3,FALSE),"")</f>
        <v>68.5</v>
      </c>
      <c r="AC680" s="6">
        <f t="shared" si="113"/>
        <v>0</v>
      </c>
      <c r="AD680" s="2" t="s">
        <v>6703</v>
      </c>
      <c r="AF680" s="56">
        <v>11.75</v>
      </c>
      <c r="AG680" s="56">
        <f>VLOOKUP(A680,Sheet1!$A$2:$C$1140,3,FALSE)</f>
        <v>11.99</v>
      </c>
      <c r="AH680" s="58">
        <v>11.99</v>
      </c>
      <c r="AI680" s="56" t="str">
        <f t="shared" si="114"/>
        <v>Increase</v>
      </c>
      <c r="AJ680" s="81">
        <f t="shared" si="118"/>
        <v>70.5</v>
      </c>
      <c r="AK680" s="81">
        <f t="shared" si="119"/>
        <v>71.94</v>
      </c>
      <c r="AL680" s="58" t="s">
        <v>7206</v>
      </c>
      <c r="AM680" s="58" t="s">
        <v>6703</v>
      </c>
      <c r="AN680" s="75">
        <v>3</v>
      </c>
      <c r="AO680" s="88">
        <v>11.99</v>
      </c>
      <c r="AP680" s="6" t="str">
        <f t="shared" si="115"/>
        <v>Increase</v>
      </c>
      <c r="AQ680" s="81">
        <f t="shared" si="116"/>
        <v>35.25</v>
      </c>
      <c r="AR680" s="81">
        <f t="shared" si="117"/>
        <v>35.97</v>
      </c>
      <c r="AS680" s="82">
        <f t="shared" si="120"/>
        <v>0.71999999999999886</v>
      </c>
    </row>
    <row r="681" spans="1:45" hidden="1" x14ac:dyDescent="0.3">
      <c r="A681">
        <v>6107977</v>
      </c>
      <c r="B681" s="15" t="s">
        <v>6017</v>
      </c>
      <c r="C681" s="16" t="s">
        <v>30</v>
      </c>
      <c r="D681" s="6" t="s">
        <v>31</v>
      </c>
      <c r="E681" t="s">
        <v>1146</v>
      </c>
      <c r="F681" t="s">
        <v>1146</v>
      </c>
      <c r="H681" s="11" t="s">
        <v>27</v>
      </c>
      <c r="I681" s="6" t="s">
        <v>28</v>
      </c>
      <c r="J681" s="6" t="s">
        <v>28</v>
      </c>
      <c r="K681" t="s">
        <v>32</v>
      </c>
      <c r="L681" s="35">
        <v>5.25</v>
      </c>
      <c r="M681" s="6" t="s">
        <v>29</v>
      </c>
      <c r="N681" s="6">
        <v>3105</v>
      </c>
      <c r="P681" s="18"/>
      <c r="Q681" s="17"/>
      <c r="R681" s="19">
        <v>0</v>
      </c>
      <c r="S681" s="19">
        <v>0</v>
      </c>
      <c r="T681" s="38">
        <v>6</v>
      </c>
      <c r="U681" s="38"/>
      <c r="V681" s="31">
        <v>5.25</v>
      </c>
      <c r="W681" s="35">
        <v>5.25</v>
      </c>
      <c r="X681" s="32">
        <f t="shared" si="110"/>
        <v>31.5</v>
      </c>
      <c r="Y681" s="32">
        <f t="shared" si="111"/>
        <v>31.5</v>
      </c>
      <c r="Z681" s="32">
        <f t="shared" si="112"/>
        <v>0</v>
      </c>
      <c r="AA681" s="38">
        <v>6</v>
      </c>
      <c r="AB681" s="37">
        <f>IFERROR(VLOOKUP(A681,'Tash Lookup'!A:E,3,FALSE),"")</f>
        <v>30.38</v>
      </c>
      <c r="AC681" s="6">
        <f t="shared" si="113"/>
        <v>0</v>
      </c>
      <c r="AD681" s="2" t="s">
        <v>6703</v>
      </c>
      <c r="AF681" s="56">
        <v>5.41</v>
      </c>
      <c r="AG681" s="56">
        <f>VLOOKUP(A681,Sheet1!$A$2:$C$1140,3,FALSE)</f>
        <v>5.52</v>
      </c>
      <c r="AH681" s="58">
        <v>5.52</v>
      </c>
      <c r="AI681" s="56" t="str">
        <f t="shared" si="114"/>
        <v>Increase</v>
      </c>
      <c r="AJ681" s="81">
        <f t="shared" si="118"/>
        <v>32.46</v>
      </c>
      <c r="AK681" s="81">
        <f t="shared" si="119"/>
        <v>33.119999999999997</v>
      </c>
      <c r="AL681" s="58" t="s">
        <v>7206</v>
      </c>
      <c r="AM681" s="58" t="s">
        <v>6703</v>
      </c>
      <c r="AN681" s="75">
        <v>0</v>
      </c>
      <c r="AO681" s="88">
        <v>5.52</v>
      </c>
      <c r="AP681" s="6" t="str">
        <f t="shared" si="115"/>
        <v>Increase</v>
      </c>
      <c r="AQ681" s="81">
        <f t="shared" si="116"/>
        <v>0</v>
      </c>
      <c r="AR681" s="81">
        <f t="shared" si="117"/>
        <v>0</v>
      </c>
      <c r="AS681" s="82">
        <f t="shared" si="120"/>
        <v>0</v>
      </c>
    </row>
    <row r="682" spans="1:45" hidden="1" x14ac:dyDescent="0.3">
      <c r="A682">
        <v>6386662</v>
      </c>
      <c r="B682" s="15" t="s">
        <v>6018</v>
      </c>
      <c r="C682" s="16" t="s">
        <v>30</v>
      </c>
      <c r="D682" s="6" t="s">
        <v>31</v>
      </c>
      <c r="E682" t="s">
        <v>635</v>
      </c>
      <c r="F682" t="s">
        <v>635</v>
      </c>
      <c r="H682" s="11" t="s">
        <v>27</v>
      </c>
      <c r="I682" s="6" t="s">
        <v>28</v>
      </c>
      <c r="J682" s="6" t="s">
        <v>28</v>
      </c>
      <c r="K682" t="s">
        <v>32</v>
      </c>
      <c r="L682" s="35">
        <v>21.96</v>
      </c>
      <c r="M682" s="6" t="s">
        <v>29</v>
      </c>
      <c r="N682" s="6">
        <v>3105</v>
      </c>
      <c r="P682" s="18"/>
      <c r="Q682" s="17"/>
      <c r="R682" s="19">
        <v>21.96</v>
      </c>
      <c r="S682" s="19">
        <v>21.96</v>
      </c>
      <c r="T682" s="38">
        <v>6</v>
      </c>
      <c r="U682" s="38"/>
      <c r="V682" s="30">
        <v>21.96</v>
      </c>
      <c r="W682" s="35">
        <v>21.96</v>
      </c>
      <c r="X682" s="32">
        <f t="shared" si="110"/>
        <v>131.76</v>
      </c>
      <c r="Y682" s="32">
        <f t="shared" si="111"/>
        <v>131.76</v>
      </c>
      <c r="Z682" s="32">
        <f t="shared" si="112"/>
        <v>0</v>
      </c>
      <c r="AA682" s="38">
        <v>6</v>
      </c>
      <c r="AB682" s="37">
        <f>IFERROR(VLOOKUP(A682,'Tash Lookup'!A:E,3,FALSE),"")</f>
        <v>128.97999999999999</v>
      </c>
      <c r="AC682" s="6">
        <f t="shared" si="113"/>
        <v>0</v>
      </c>
      <c r="AD682" s="2" t="s">
        <v>6707</v>
      </c>
      <c r="AF682" s="56">
        <v>21.96</v>
      </c>
      <c r="AG682" s="56" t="e">
        <f>VLOOKUP(A682,Sheet1!$A$2:$C$1140,3,FALSE)</f>
        <v>#N/A</v>
      </c>
      <c r="AH682" s="58" t="e">
        <v>#N/A</v>
      </c>
      <c r="AI682" s="56" t="str">
        <f t="shared" si="114"/>
        <v>Delete</v>
      </c>
      <c r="AJ682" s="81">
        <f t="shared" si="118"/>
        <v>131.76</v>
      </c>
      <c r="AK682" s="81">
        <f t="shared" si="119"/>
        <v>0</v>
      </c>
      <c r="AL682" s="58" t="s">
        <v>7206</v>
      </c>
      <c r="AM682" s="58" t="s">
        <v>6709</v>
      </c>
      <c r="AN682" s="75">
        <v>2</v>
      </c>
      <c r="AO682" s="88">
        <v>21.96</v>
      </c>
      <c r="AP682" s="6" t="str">
        <f t="shared" si="115"/>
        <v>Same</v>
      </c>
      <c r="AQ682" s="81">
        <f t="shared" si="116"/>
        <v>43.92</v>
      </c>
      <c r="AR682" s="81">
        <f t="shared" si="117"/>
        <v>43.92</v>
      </c>
      <c r="AS682" s="81">
        <f t="shared" si="120"/>
        <v>0</v>
      </c>
    </row>
    <row r="683" spans="1:45" hidden="1" x14ac:dyDescent="0.3">
      <c r="A683">
        <v>6373242</v>
      </c>
      <c r="B683" s="15" t="s">
        <v>6019</v>
      </c>
      <c r="C683" s="16" t="s">
        <v>30</v>
      </c>
      <c r="D683" s="6" t="s">
        <v>31</v>
      </c>
      <c r="E683" t="s">
        <v>1272</v>
      </c>
      <c r="F683" t="s">
        <v>1272</v>
      </c>
      <c r="H683" s="11" t="s">
        <v>27</v>
      </c>
      <c r="I683" s="6" t="s">
        <v>28</v>
      </c>
      <c r="J683" s="6" t="s">
        <v>28</v>
      </c>
      <c r="K683" t="s">
        <v>32</v>
      </c>
      <c r="L683" s="35">
        <v>69.849999999999994</v>
      </c>
      <c r="M683" s="6" t="s">
        <v>29</v>
      </c>
      <c r="N683" s="6">
        <v>3105</v>
      </c>
      <c r="P683" s="18"/>
      <c r="Q683" s="17"/>
      <c r="R683" s="19">
        <v>69.849999999999994</v>
      </c>
      <c r="S683" s="19">
        <v>69.849999999999994</v>
      </c>
      <c r="T683" s="38">
        <v>6</v>
      </c>
      <c r="U683" s="38"/>
      <c r="V683" s="30">
        <v>69.849999999999994</v>
      </c>
      <c r="W683" s="35">
        <v>69.849999999999994</v>
      </c>
      <c r="X683" s="32">
        <f t="shared" si="110"/>
        <v>419.09999999999997</v>
      </c>
      <c r="Y683" s="32">
        <f t="shared" si="111"/>
        <v>419.09999999999997</v>
      </c>
      <c r="Z683" s="32">
        <f t="shared" si="112"/>
        <v>0</v>
      </c>
      <c r="AA683" s="38">
        <v>6</v>
      </c>
      <c r="AB683" s="37">
        <f>IFERROR(VLOOKUP(A683,'Tash Lookup'!A:E,3,FALSE),"")</f>
        <v>404.03</v>
      </c>
      <c r="AC683" s="6">
        <f t="shared" si="113"/>
        <v>0</v>
      </c>
      <c r="AD683" s="2" t="s">
        <v>6703</v>
      </c>
      <c r="AF683" s="56">
        <v>73.34</v>
      </c>
      <c r="AG683" s="56">
        <f>VLOOKUP(A683,Sheet1!$A$2:$C$1140,3,FALSE)</f>
        <v>68.72</v>
      </c>
      <c r="AH683" s="58">
        <v>68.72</v>
      </c>
      <c r="AI683" s="56" t="str">
        <f t="shared" si="114"/>
        <v>Decrease</v>
      </c>
      <c r="AJ683" s="81">
        <f t="shared" si="118"/>
        <v>440.04</v>
      </c>
      <c r="AK683" s="81">
        <f t="shared" si="119"/>
        <v>412.32</v>
      </c>
      <c r="AL683" s="58" t="s">
        <v>7206</v>
      </c>
      <c r="AM683" s="58" t="s">
        <v>6703</v>
      </c>
      <c r="AN683" s="75">
        <v>1</v>
      </c>
      <c r="AO683" s="88">
        <v>68.72</v>
      </c>
      <c r="AP683" s="6" t="str">
        <f t="shared" si="115"/>
        <v>Decrease</v>
      </c>
      <c r="AQ683" s="81">
        <f t="shared" si="116"/>
        <v>73.34</v>
      </c>
      <c r="AR683" s="81">
        <f t="shared" si="117"/>
        <v>68.72</v>
      </c>
      <c r="AS683" s="83">
        <f t="shared" si="120"/>
        <v>-4.6200000000000045</v>
      </c>
    </row>
    <row r="684" spans="1:45" hidden="1" x14ac:dyDescent="0.3">
      <c r="A684">
        <v>5232513</v>
      </c>
      <c r="B684" s="15" t="s">
        <v>6020</v>
      </c>
      <c r="C684" s="16" t="s">
        <v>30</v>
      </c>
      <c r="D684" s="6" t="s">
        <v>31</v>
      </c>
      <c r="E684" t="s">
        <v>1276</v>
      </c>
      <c r="F684" t="s">
        <v>1276</v>
      </c>
      <c r="H684" s="11" t="s">
        <v>27</v>
      </c>
      <c r="I684" s="6" t="s">
        <v>28</v>
      </c>
      <c r="J684" s="6" t="s">
        <v>28</v>
      </c>
      <c r="K684" t="s">
        <v>32</v>
      </c>
      <c r="L684" s="35">
        <v>30.21</v>
      </c>
      <c r="M684" s="6" t="s">
        <v>29</v>
      </c>
      <c r="N684" s="6">
        <v>3105</v>
      </c>
      <c r="P684" s="18"/>
      <c r="Q684" s="17"/>
      <c r="R684" s="19">
        <v>30.21</v>
      </c>
      <c r="S684" s="19">
        <v>30.21</v>
      </c>
      <c r="T684" s="38">
        <v>6</v>
      </c>
      <c r="U684" s="38"/>
      <c r="V684" s="30">
        <v>30.21</v>
      </c>
      <c r="W684" s="35">
        <v>30.21</v>
      </c>
      <c r="X684" s="32">
        <f t="shared" si="110"/>
        <v>181.26</v>
      </c>
      <c r="Y684" s="32">
        <f t="shared" si="111"/>
        <v>181.26</v>
      </c>
      <c r="Z684" s="32">
        <f t="shared" si="112"/>
        <v>0</v>
      </c>
      <c r="AA684" s="38">
        <v>6</v>
      </c>
      <c r="AB684" s="37">
        <f>IFERROR(VLOOKUP(A684,'Tash Lookup'!A:E,3,FALSE),"")</f>
        <v>178.64</v>
      </c>
      <c r="AC684" s="6">
        <f t="shared" si="113"/>
        <v>0</v>
      </c>
      <c r="AD684" s="2" t="s">
        <v>6703</v>
      </c>
      <c r="AF684" s="56">
        <v>31.72</v>
      </c>
      <c r="AG684" s="56">
        <f>VLOOKUP(A684,Sheet1!$A$2:$C$1140,3,FALSE)</f>
        <v>31.72</v>
      </c>
      <c r="AH684" s="58">
        <v>31.72</v>
      </c>
      <c r="AI684" s="56" t="str">
        <f t="shared" si="114"/>
        <v>Same</v>
      </c>
      <c r="AJ684" s="81">
        <f t="shared" si="118"/>
        <v>190.32</v>
      </c>
      <c r="AK684" s="81">
        <f t="shared" si="119"/>
        <v>190.32</v>
      </c>
      <c r="AL684" s="58" t="s">
        <v>7206</v>
      </c>
      <c r="AM684" s="58" t="s">
        <v>6703</v>
      </c>
      <c r="AN684" s="75">
        <v>0</v>
      </c>
      <c r="AO684" s="88">
        <v>31.72</v>
      </c>
      <c r="AP684" s="6" t="str">
        <f t="shared" si="115"/>
        <v>Same</v>
      </c>
      <c r="AQ684" s="81">
        <f t="shared" si="116"/>
        <v>0</v>
      </c>
      <c r="AR684" s="81">
        <f t="shared" si="117"/>
        <v>0</v>
      </c>
      <c r="AS684" s="81">
        <f t="shared" si="120"/>
        <v>0</v>
      </c>
    </row>
    <row r="685" spans="1:45" hidden="1" x14ac:dyDescent="0.3">
      <c r="A685">
        <v>6345856</v>
      </c>
      <c r="B685" s="15" t="s">
        <v>6021</v>
      </c>
      <c r="C685" s="16" t="s">
        <v>30</v>
      </c>
      <c r="D685" s="6" t="s">
        <v>31</v>
      </c>
      <c r="E685" t="s">
        <v>1289</v>
      </c>
      <c r="F685" t="s">
        <v>1289</v>
      </c>
      <c r="H685" s="11" t="s">
        <v>27</v>
      </c>
      <c r="I685" s="6" t="s">
        <v>28</v>
      </c>
      <c r="J685" s="6" t="s">
        <v>28</v>
      </c>
      <c r="K685" t="s">
        <v>32</v>
      </c>
      <c r="L685" s="35">
        <v>62.57</v>
      </c>
      <c r="M685" s="6" t="s">
        <v>29</v>
      </c>
      <c r="N685" s="6">
        <v>3105</v>
      </c>
      <c r="P685" s="18"/>
      <c r="Q685" s="17"/>
      <c r="R685" s="19">
        <v>62.57</v>
      </c>
      <c r="S685" s="19">
        <v>62.57</v>
      </c>
      <c r="T685" s="38">
        <v>6</v>
      </c>
      <c r="U685" s="38"/>
      <c r="V685" s="30">
        <v>62.57</v>
      </c>
      <c r="W685" s="35">
        <v>62.57</v>
      </c>
      <c r="X685" s="32">
        <f t="shared" si="110"/>
        <v>375.42</v>
      </c>
      <c r="Y685" s="32">
        <f t="shared" si="111"/>
        <v>375.42</v>
      </c>
      <c r="Z685" s="32">
        <f t="shared" si="112"/>
        <v>0</v>
      </c>
      <c r="AA685" s="38">
        <v>6</v>
      </c>
      <c r="AB685" s="37">
        <f>IFERROR(VLOOKUP(A685,'Tash Lookup'!A:E,3,FALSE),"")</f>
        <v>375.44</v>
      </c>
      <c r="AC685" s="6">
        <f t="shared" si="113"/>
        <v>0</v>
      </c>
      <c r="AD685" s="2" t="s">
        <v>6703</v>
      </c>
      <c r="AF685" s="56">
        <v>69.73</v>
      </c>
      <c r="AG685" s="56">
        <f>VLOOKUP(A685,Sheet1!$A$2:$C$1140,3,FALSE)</f>
        <v>69.48</v>
      </c>
      <c r="AH685" s="58">
        <v>69.48</v>
      </c>
      <c r="AI685" s="56" t="str">
        <f t="shared" si="114"/>
        <v>Decrease</v>
      </c>
      <c r="AJ685" s="81">
        <f t="shared" si="118"/>
        <v>418.38</v>
      </c>
      <c r="AK685" s="81">
        <f t="shared" si="119"/>
        <v>416.88</v>
      </c>
      <c r="AL685" s="58" t="s">
        <v>7206</v>
      </c>
      <c r="AM685" s="58" t="s">
        <v>6703</v>
      </c>
      <c r="AN685" s="75">
        <v>1</v>
      </c>
      <c r="AO685" s="88">
        <v>69.48</v>
      </c>
      <c r="AP685" s="6" t="str">
        <f t="shared" si="115"/>
        <v>Decrease</v>
      </c>
      <c r="AQ685" s="81">
        <f t="shared" si="116"/>
        <v>69.73</v>
      </c>
      <c r="AR685" s="81">
        <f t="shared" si="117"/>
        <v>69.48</v>
      </c>
      <c r="AS685" s="83">
        <f t="shared" si="120"/>
        <v>-0.25</v>
      </c>
    </row>
    <row r="686" spans="1:45" hidden="1" x14ac:dyDescent="0.3">
      <c r="A686">
        <v>6345843</v>
      </c>
      <c r="B686" s="15" t="s">
        <v>6022</v>
      </c>
      <c r="C686" s="16" t="s">
        <v>30</v>
      </c>
      <c r="D686" s="6" t="s">
        <v>31</v>
      </c>
      <c r="E686" t="s">
        <v>1309</v>
      </c>
      <c r="F686" t="s">
        <v>1309</v>
      </c>
      <c r="H686" s="11" t="s">
        <v>27</v>
      </c>
      <c r="I686" s="6" t="s">
        <v>28</v>
      </c>
      <c r="J686" s="6" t="s">
        <v>28</v>
      </c>
      <c r="K686" t="s">
        <v>32</v>
      </c>
      <c r="L686" s="35">
        <v>34.18</v>
      </c>
      <c r="M686" s="6" t="s">
        <v>29</v>
      </c>
      <c r="N686" s="6">
        <v>3105</v>
      </c>
      <c r="P686" s="18"/>
      <c r="Q686" s="17"/>
      <c r="R686" s="19">
        <v>34.18</v>
      </c>
      <c r="S686" s="19">
        <v>34.18</v>
      </c>
      <c r="T686" s="38">
        <v>6</v>
      </c>
      <c r="U686" s="38"/>
      <c r="V686" s="30">
        <v>34.18</v>
      </c>
      <c r="W686" s="35">
        <v>34.18</v>
      </c>
      <c r="X686" s="32">
        <f t="shared" si="110"/>
        <v>205.07999999999998</v>
      </c>
      <c r="Y686" s="32">
        <f t="shared" si="111"/>
        <v>205.07999999999998</v>
      </c>
      <c r="Z686" s="32">
        <f t="shared" si="112"/>
        <v>0</v>
      </c>
      <c r="AA686" s="38">
        <v>6</v>
      </c>
      <c r="AB686" s="37">
        <f>IFERROR(VLOOKUP(A686,'Tash Lookup'!A:E,3,FALSE),"")</f>
        <v>205.08</v>
      </c>
      <c r="AC686" s="6">
        <f t="shared" si="113"/>
        <v>0</v>
      </c>
      <c r="AD686" s="2" t="s">
        <v>6703</v>
      </c>
      <c r="AF686" s="56">
        <v>38.090000000000003</v>
      </c>
      <c r="AG686" s="56">
        <f>VLOOKUP(A686,Sheet1!$A$2:$C$1140,3,FALSE)</f>
        <v>38.090000000000003</v>
      </c>
      <c r="AH686" s="58">
        <v>38.090000000000003</v>
      </c>
      <c r="AI686" s="56" t="str">
        <f t="shared" si="114"/>
        <v>Same</v>
      </c>
      <c r="AJ686" s="81">
        <f t="shared" si="118"/>
        <v>228.54000000000002</v>
      </c>
      <c r="AK686" s="81">
        <f t="shared" si="119"/>
        <v>228.54000000000002</v>
      </c>
      <c r="AL686" s="58" t="s">
        <v>7206</v>
      </c>
      <c r="AM686" s="58" t="s">
        <v>6703</v>
      </c>
      <c r="AN686" s="75">
        <v>1</v>
      </c>
      <c r="AO686" s="88">
        <v>38.090000000000003</v>
      </c>
      <c r="AP686" s="6" t="str">
        <f t="shared" si="115"/>
        <v>Same</v>
      </c>
      <c r="AQ686" s="81">
        <f t="shared" si="116"/>
        <v>38.090000000000003</v>
      </c>
      <c r="AR686" s="81">
        <f t="shared" si="117"/>
        <v>38.090000000000003</v>
      </c>
      <c r="AS686" s="81">
        <f t="shared" si="120"/>
        <v>0</v>
      </c>
    </row>
    <row r="687" spans="1:45" hidden="1" x14ac:dyDescent="0.3">
      <c r="A687">
        <v>6103932</v>
      </c>
      <c r="B687" s="15" t="s">
        <v>6023</v>
      </c>
      <c r="C687" s="16" t="s">
        <v>30</v>
      </c>
      <c r="D687" s="6" t="s">
        <v>31</v>
      </c>
      <c r="E687" t="s">
        <v>671</v>
      </c>
      <c r="F687" t="s">
        <v>671</v>
      </c>
      <c r="H687" s="11" t="s">
        <v>27</v>
      </c>
      <c r="I687" s="6" t="s">
        <v>28</v>
      </c>
      <c r="J687" s="6" t="s">
        <v>28</v>
      </c>
      <c r="K687" t="s">
        <v>32</v>
      </c>
      <c r="L687" s="35">
        <v>4.66</v>
      </c>
      <c r="M687" s="6" t="s">
        <v>29</v>
      </c>
      <c r="N687" s="6">
        <v>3105</v>
      </c>
      <c r="P687" s="18"/>
      <c r="Q687" s="17"/>
      <c r="R687" s="19">
        <v>4.66</v>
      </c>
      <c r="S687" s="19">
        <v>4.66</v>
      </c>
      <c r="T687" s="38">
        <v>6</v>
      </c>
      <c r="U687" s="38"/>
      <c r="V687" s="30">
        <v>4.66</v>
      </c>
      <c r="W687" s="35">
        <v>4.66</v>
      </c>
      <c r="X687" s="32">
        <f t="shared" si="110"/>
        <v>27.96</v>
      </c>
      <c r="Y687" s="32">
        <f t="shared" si="111"/>
        <v>27.96</v>
      </c>
      <c r="Z687" s="32">
        <f t="shared" si="112"/>
        <v>0</v>
      </c>
      <c r="AA687" s="38">
        <v>6</v>
      </c>
      <c r="AB687" s="37">
        <f>IFERROR(VLOOKUP(A687,'Tash Lookup'!A:E,3,FALSE),"")</f>
        <v>27.97</v>
      </c>
      <c r="AC687" s="6">
        <f t="shared" si="113"/>
        <v>0</v>
      </c>
      <c r="AD687" s="2" t="s">
        <v>6703</v>
      </c>
      <c r="AF687" s="56">
        <v>4.66</v>
      </c>
      <c r="AG687" s="56">
        <f>VLOOKUP(A687,Sheet1!$A$2:$C$1140,3,FALSE)</f>
        <v>4.76</v>
      </c>
      <c r="AH687" s="58">
        <v>4.76</v>
      </c>
      <c r="AI687" s="56" t="str">
        <f t="shared" si="114"/>
        <v>Increase</v>
      </c>
      <c r="AJ687" s="81">
        <f t="shared" si="118"/>
        <v>27.96</v>
      </c>
      <c r="AK687" s="81">
        <f t="shared" si="119"/>
        <v>28.56</v>
      </c>
      <c r="AL687" s="58" t="s">
        <v>7206</v>
      </c>
      <c r="AM687" s="58" t="s">
        <v>6703</v>
      </c>
      <c r="AN687" s="75">
        <v>10</v>
      </c>
      <c r="AO687" s="88">
        <v>4.76</v>
      </c>
      <c r="AP687" s="6" t="str">
        <f t="shared" si="115"/>
        <v>Increase</v>
      </c>
      <c r="AQ687" s="81">
        <f t="shared" si="116"/>
        <v>46.6</v>
      </c>
      <c r="AR687" s="81">
        <f t="shared" si="117"/>
        <v>47.599999999999994</v>
      </c>
      <c r="AS687" s="82">
        <f t="shared" si="120"/>
        <v>0.99999999999999289</v>
      </c>
    </row>
    <row r="688" spans="1:45" hidden="1" x14ac:dyDescent="0.3">
      <c r="A688">
        <v>5082976</v>
      </c>
      <c r="B688" s="15" t="s">
        <v>6024</v>
      </c>
      <c r="C688" s="16" t="s">
        <v>30</v>
      </c>
      <c r="D688" s="6" t="s">
        <v>31</v>
      </c>
      <c r="E688" t="s">
        <v>110</v>
      </c>
      <c r="F688" t="s">
        <v>110</v>
      </c>
      <c r="H688" s="11" t="s">
        <v>27</v>
      </c>
      <c r="I688" s="6" t="s">
        <v>28</v>
      </c>
      <c r="J688" s="6" t="s">
        <v>28</v>
      </c>
      <c r="K688" t="s">
        <v>32</v>
      </c>
      <c r="L688" s="35">
        <v>8.7200000000000006</v>
      </c>
      <c r="M688" s="6" t="s">
        <v>29</v>
      </c>
      <c r="N688" s="6">
        <v>3105</v>
      </c>
      <c r="P688" s="18"/>
      <c r="Q688" s="17"/>
      <c r="R688" s="19">
        <v>8.7200000000000006</v>
      </c>
      <c r="S688" s="19">
        <v>8.7200000000000006</v>
      </c>
      <c r="T688" s="38">
        <v>6</v>
      </c>
      <c r="U688" s="38"/>
      <c r="V688" s="29">
        <v>8.7200000000000006</v>
      </c>
      <c r="W688" s="35">
        <v>8.7200000000000006</v>
      </c>
      <c r="X688" s="32">
        <f t="shared" si="110"/>
        <v>52.320000000000007</v>
      </c>
      <c r="Y688" s="32">
        <f t="shared" si="111"/>
        <v>52.320000000000007</v>
      </c>
      <c r="Z688" s="32">
        <f t="shared" si="112"/>
        <v>0</v>
      </c>
      <c r="AA688" s="38">
        <v>6</v>
      </c>
      <c r="AB688" s="37">
        <f>IFERROR(VLOOKUP(A688,'Tash Lookup'!A:E,3,FALSE),"")</f>
        <v>50.84</v>
      </c>
      <c r="AC688" s="6">
        <f t="shared" si="113"/>
        <v>0</v>
      </c>
      <c r="AD688" s="2" t="s">
        <v>6703</v>
      </c>
      <c r="AF688" s="56">
        <v>9.17</v>
      </c>
      <c r="AG688" s="56">
        <f>VLOOKUP(A688,Sheet1!$A$2:$C$1140,3,FALSE)</f>
        <v>9.17</v>
      </c>
      <c r="AH688" s="58">
        <v>9.17</v>
      </c>
      <c r="AI688" s="56" t="str">
        <f t="shared" si="114"/>
        <v>Same</v>
      </c>
      <c r="AJ688" s="81">
        <f t="shared" si="118"/>
        <v>55.019999999999996</v>
      </c>
      <c r="AK688" s="81">
        <f t="shared" si="119"/>
        <v>55.019999999999996</v>
      </c>
      <c r="AL688" s="58" t="s">
        <v>32</v>
      </c>
      <c r="AM688" s="58" t="s">
        <v>6703</v>
      </c>
      <c r="AN688" s="75">
        <v>5</v>
      </c>
      <c r="AO688" s="88">
        <v>9.17</v>
      </c>
      <c r="AP688" s="6" t="str">
        <f t="shared" si="115"/>
        <v>Same</v>
      </c>
      <c r="AQ688" s="81">
        <f t="shared" si="116"/>
        <v>45.85</v>
      </c>
      <c r="AR688" s="81">
        <f t="shared" si="117"/>
        <v>45.85</v>
      </c>
      <c r="AS688" s="81">
        <f t="shared" si="120"/>
        <v>0</v>
      </c>
    </row>
    <row r="689" spans="1:45" hidden="1" x14ac:dyDescent="0.3">
      <c r="A689">
        <v>5218602</v>
      </c>
      <c r="B689" s="15" t="s">
        <v>6025</v>
      </c>
      <c r="C689" s="16" t="s">
        <v>30</v>
      </c>
      <c r="D689" s="6" t="s">
        <v>31</v>
      </c>
      <c r="E689" t="s">
        <v>282</v>
      </c>
      <c r="F689" t="s">
        <v>282</v>
      </c>
      <c r="H689" s="11" t="s">
        <v>27</v>
      </c>
      <c r="I689" s="6" t="s">
        <v>28</v>
      </c>
      <c r="J689" s="6" t="s">
        <v>28</v>
      </c>
      <c r="K689" t="s">
        <v>32</v>
      </c>
      <c r="L689" s="35">
        <v>27.37</v>
      </c>
      <c r="M689" s="6" t="s">
        <v>29</v>
      </c>
      <c r="N689" s="6">
        <v>3105</v>
      </c>
      <c r="P689" s="18"/>
      <c r="Q689" s="17"/>
      <c r="R689" s="19">
        <v>27.37</v>
      </c>
      <c r="S689" s="19">
        <v>27.37</v>
      </c>
      <c r="T689" s="38">
        <v>6</v>
      </c>
      <c r="U689" s="38"/>
      <c r="V689" s="29">
        <v>27.37</v>
      </c>
      <c r="W689" s="45">
        <v>26.62</v>
      </c>
      <c r="X689" s="32">
        <f t="shared" si="110"/>
        <v>164.22</v>
      </c>
      <c r="Y689" s="32">
        <f t="shared" si="111"/>
        <v>164.22</v>
      </c>
      <c r="Z689" s="32">
        <f t="shared" si="112"/>
        <v>0</v>
      </c>
      <c r="AA689" s="38">
        <v>6</v>
      </c>
      <c r="AB689" s="37">
        <f>IFERROR(VLOOKUP(A689,'Tash Lookup'!A:E,3,FALSE),"")</f>
        <v>146.79</v>
      </c>
      <c r="AC689" s="6">
        <f t="shared" si="113"/>
        <v>0</v>
      </c>
      <c r="AD689" s="2" t="s">
        <v>6703</v>
      </c>
      <c r="AF689" s="56">
        <v>25.41</v>
      </c>
      <c r="AG689" s="56">
        <f>VLOOKUP(A689,Sheet1!$A$2:$C$1140,3,FALSE)</f>
        <v>26.17</v>
      </c>
      <c r="AH689" s="58">
        <v>26.17</v>
      </c>
      <c r="AI689" s="56" t="str">
        <f t="shared" si="114"/>
        <v>Increase</v>
      </c>
      <c r="AJ689" s="81">
        <f t="shared" si="118"/>
        <v>152.46</v>
      </c>
      <c r="AK689" s="81">
        <f t="shared" si="119"/>
        <v>157.02000000000001</v>
      </c>
      <c r="AL689" s="58" t="s">
        <v>32</v>
      </c>
      <c r="AM689" s="58" t="s">
        <v>6703</v>
      </c>
      <c r="AN689" s="75">
        <v>17</v>
      </c>
      <c r="AO689" s="88">
        <v>26.17</v>
      </c>
      <c r="AP689" s="6" t="str">
        <f t="shared" si="115"/>
        <v>Increase</v>
      </c>
      <c r="AQ689" s="81">
        <f t="shared" si="116"/>
        <v>431.97</v>
      </c>
      <c r="AR689" s="81">
        <f t="shared" si="117"/>
        <v>444.89000000000004</v>
      </c>
      <c r="AS689" s="82">
        <f t="shared" si="120"/>
        <v>12.920000000000016</v>
      </c>
    </row>
    <row r="690" spans="1:45" hidden="1" x14ac:dyDescent="0.3">
      <c r="A690">
        <v>5218685</v>
      </c>
      <c r="B690" s="15" t="s">
        <v>6026</v>
      </c>
      <c r="C690" s="16" t="s">
        <v>30</v>
      </c>
      <c r="D690" s="6" t="s">
        <v>31</v>
      </c>
      <c r="E690" t="s">
        <v>293</v>
      </c>
      <c r="F690" t="s">
        <v>293</v>
      </c>
      <c r="H690" s="11" t="s">
        <v>27</v>
      </c>
      <c r="I690" s="6" t="s">
        <v>28</v>
      </c>
      <c r="J690" s="6" t="s">
        <v>28</v>
      </c>
      <c r="K690" t="s">
        <v>32</v>
      </c>
      <c r="L690" s="35">
        <v>33.479999999999997</v>
      </c>
      <c r="M690" s="6" t="s">
        <v>29</v>
      </c>
      <c r="N690" s="6">
        <v>3105</v>
      </c>
      <c r="P690" s="18"/>
      <c r="Q690" s="17"/>
      <c r="R690" s="19">
        <v>33.479999999999997</v>
      </c>
      <c r="S690" s="19">
        <v>33.479999999999997</v>
      </c>
      <c r="T690" s="38">
        <v>5</v>
      </c>
      <c r="U690" s="38"/>
      <c r="V690" s="29">
        <v>33.479999999999997</v>
      </c>
      <c r="W690" s="45">
        <v>24.36</v>
      </c>
      <c r="X690" s="32">
        <f t="shared" si="110"/>
        <v>167.39999999999998</v>
      </c>
      <c r="Y690" s="32">
        <f t="shared" si="111"/>
        <v>167.39999999999998</v>
      </c>
      <c r="Z690" s="32">
        <f t="shared" si="112"/>
        <v>0</v>
      </c>
      <c r="AA690" s="38">
        <v>5</v>
      </c>
      <c r="AB690" s="37">
        <f>IFERROR(VLOOKUP(A690,'Tash Lookup'!A:E,3,FALSE),"")</f>
        <v>146.13</v>
      </c>
      <c r="AC690" s="6">
        <f t="shared" si="113"/>
        <v>0</v>
      </c>
      <c r="AD690" s="2" t="s">
        <v>6703</v>
      </c>
      <c r="AF690" s="56">
        <v>37.42</v>
      </c>
      <c r="AG690" s="56">
        <f>VLOOKUP(A690,Sheet1!$A$2:$C$1140,3,FALSE)</f>
        <v>38.54</v>
      </c>
      <c r="AH690" s="58">
        <v>38.54</v>
      </c>
      <c r="AI690" s="56" t="str">
        <f t="shared" si="114"/>
        <v>Increase</v>
      </c>
      <c r="AJ690" s="81">
        <f t="shared" si="118"/>
        <v>187.10000000000002</v>
      </c>
      <c r="AK690" s="81">
        <f t="shared" si="119"/>
        <v>192.7</v>
      </c>
      <c r="AL690" s="58" t="s">
        <v>32</v>
      </c>
      <c r="AM690" s="58" t="s">
        <v>6703</v>
      </c>
      <c r="AN690" s="75">
        <v>0</v>
      </c>
      <c r="AO690" s="88">
        <v>38.54</v>
      </c>
      <c r="AP690" s="6" t="str">
        <f t="shared" si="115"/>
        <v>Increase</v>
      </c>
      <c r="AQ690" s="81">
        <f t="shared" si="116"/>
        <v>0</v>
      </c>
      <c r="AR690" s="81">
        <f t="shared" si="117"/>
        <v>0</v>
      </c>
      <c r="AS690" s="82">
        <f t="shared" si="120"/>
        <v>0</v>
      </c>
    </row>
    <row r="691" spans="1:45" hidden="1" x14ac:dyDescent="0.3">
      <c r="A691">
        <v>6183854</v>
      </c>
      <c r="B691" s="15" t="s">
        <v>6027</v>
      </c>
      <c r="C691" s="16" t="s">
        <v>30</v>
      </c>
      <c r="D691" s="6" t="s">
        <v>31</v>
      </c>
      <c r="E691" t="s">
        <v>865</v>
      </c>
      <c r="F691" t="s">
        <v>865</v>
      </c>
      <c r="H691" s="11" t="s">
        <v>27</v>
      </c>
      <c r="I691" s="6" t="s">
        <v>28</v>
      </c>
      <c r="J691" s="6" t="s">
        <v>28</v>
      </c>
      <c r="K691" t="s">
        <v>32</v>
      </c>
      <c r="L691" s="35">
        <v>4.4400000000000004</v>
      </c>
      <c r="M691" s="6" t="s">
        <v>29</v>
      </c>
      <c r="N691" s="6">
        <v>3105</v>
      </c>
      <c r="P691" s="18"/>
      <c r="Q691" s="17"/>
      <c r="R691" s="19">
        <v>6.57</v>
      </c>
      <c r="S691" s="19">
        <v>6.57</v>
      </c>
      <c r="T691" s="38">
        <v>5</v>
      </c>
      <c r="U691" s="38"/>
      <c r="V691" s="30">
        <v>6.57</v>
      </c>
      <c r="W691" s="35">
        <v>4.4400000000000004</v>
      </c>
      <c r="X691" s="32">
        <f t="shared" si="110"/>
        <v>32.85</v>
      </c>
      <c r="Y691" s="32">
        <f t="shared" si="111"/>
        <v>22.200000000000003</v>
      </c>
      <c r="Z691" s="32">
        <f t="shared" si="112"/>
        <v>10.649999999999999</v>
      </c>
      <c r="AA691" s="38">
        <v>5</v>
      </c>
      <c r="AB691" s="37">
        <f>IFERROR(VLOOKUP(A691,'Tash Lookup'!A:E,3,FALSE),"")</f>
        <v>22.2</v>
      </c>
      <c r="AC691" s="6">
        <f t="shared" si="113"/>
        <v>0</v>
      </c>
      <c r="AD691" s="2" t="s">
        <v>6703</v>
      </c>
      <c r="AF691" s="56">
        <v>3.99</v>
      </c>
      <c r="AG691" s="56">
        <f>VLOOKUP(A691,Sheet1!$A$2:$C$1140,3,FALSE)</f>
        <v>4.07</v>
      </c>
      <c r="AH691" s="58">
        <v>4.07</v>
      </c>
      <c r="AI691" s="56" t="str">
        <f t="shared" si="114"/>
        <v>Increase</v>
      </c>
      <c r="AJ691" s="81">
        <f t="shared" si="118"/>
        <v>19.950000000000003</v>
      </c>
      <c r="AK691" s="81">
        <f t="shared" si="119"/>
        <v>20.350000000000001</v>
      </c>
      <c r="AL691" s="58" t="s">
        <v>7206</v>
      </c>
      <c r="AM691" s="58" t="s">
        <v>6703</v>
      </c>
      <c r="AN691" s="75">
        <v>4</v>
      </c>
      <c r="AO691" s="88">
        <v>4.07</v>
      </c>
      <c r="AP691" s="6" t="str">
        <f t="shared" si="115"/>
        <v>Increase</v>
      </c>
      <c r="AQ691" s="81">
        <f t="shared" si="116"/>
        <v>15.96</v>
      </c>
      <c r="AR691" s="81">
        <f t="shared" si="117"/>
        <v>16.28</v>
      </c>
      <c r="AS691" s="81">
        <f t="shared" si="120"/>
        <v>0.32000000000000028</v>
      </c>
    </row>
    <row r="692" spans="1:45" hidden="1" x14ac:dyDescent="0.3">
      <c r="A692">
        <v>5223738</v>
      </c>
      <c r="B692" s="15" t="s">
        <v>6028</v>
      </c>
      <c r="C692" s="16" t="s">
        <v>30</v>
      </c>
      <c r="D692" s="6" t="s">
        <v>31</v>
      </c>
      <c r="E692" t="s">
        <v>769</v>
      </c>
      <c r="F692" t="s">
        <v>769</v>
      </c>
      <c r="H692" s="11" t="s">
        <v>27</v>
      </c>
      <c r="I692" s="6" t="s">
        <v>28</v>
      </c>
      <c r="J692" s="6" t="s">
        <v>28</v>
      </c>
      <c r="K692" t="s">
        <v>32</v>
      </c>
      <c r="L692" s="35">
        <v>13.3</v>
      </c>
      <c r="M692" s="6" t="s">
        <v>29</v>
      </c>
      <c r="N692" s="6">
        <v>3105</v>
      </c>
      <c r="P692" s="18"/>
      <c r="Q692" s="17"/>
      <c r="R692" s="19">
        <v>13.3</v>
      </c>
      <c r="S692" s="19">
        <v>13.3</v>
      </c>
      <c r="T692" s="38">
        <v>5</v>
      </c>
      <c r="U692" s="38"/>
      <c r="V692" s="30">
        <v>13.3</v>
      </c>
      <c r="W692" s="35">
        <v>13.3</v>
      </c>
      <c r="X692" s="32">
        <f t="shared" si="110"/>
        <v>66.5</v>
      </c>
      <c r="Y692" s="32">
        <f t="shared" si="111"/>
        <v>66.5</v>
      </c>
      <c r="Z692" s="32">
        <f t="shared" si="112"/>
        <v>0</v>
      </c>
      <c r="AA692" s="38">
        <v>5</v>
      </c>
      <c r="AB692" s="37">
        <f>IFERROR(VLOOKUP(A692,'Tash Lookup'!A:E,3,FALSE),"")</f>
        <v>66.5</v>
      </c>
      <c r="AC692" s="6">
        <f t="shared" si="113"/>
        <v>0</v>
      </c>
      <c r="AD692" s="2" t="s">
        <v>6703</v>
      </c>
      <c r="AF692" s="56">
        <v>13.82</v>
      </c>
      <c r="AG692" s="56">
        <f>VLOOKUP(A692,Sheet1!$A$2:$C$1140,3,FALSE)</f>
        <v>14.09</v>
      </c>
      <c r="AH692" s="58">
        <v>14.09</v>
      </c>
      <c r="AI692" s="56" t="str">
        <f t="shared" si="114"/>
        <v>Increase</v>
      </c>
      <c r="AJ692" s="81">
        <f t="shared" si="118"/>
        <v>69.099999999999994</v>
      </c>
      <c r="AK692" s="81">
        <f t="shared" si="119"/>
        <v>70.45</v>
      </c>
      <c r="AL692" s="58" t="s">
        <v>7206</v>
      </c>
      <c r="AM692" s="58" t="s">
        <v>6703</v>
      </c>
      <c r="AN692" s="75">
        <v>0</v>
      </c>
      <c r="AO692" s="88">
        <v>14.09</v>
      </c>
      <c r="AP692" s="6" t="str">
        <f t="shared" si="115"/>
        <v>Increase</v>
      </c>
      <c r="AQ692" s="81">
        <f t="shared" si="116"/>
        <v>0</v>
      </c>
      <c r="AR692" s="81">
        <f t="shared" si="117"/>
        <v>0</v>
      </c>
      <c r="AS692" s="82">
        <f t="shared" si="120"/>
        <v>0</v>
      </c>
    </row>
    <row r="693" spans="1:45" hidden="1" x14ac:dyDescent="0.3">
      <c r="A693">
        <v>6183930</v>
      </c>
      <c r="B693" s="15" t="s">
        <v>6029</v>
      </c>
      <c r="C693" s="16" t="s">
        <v>30</v>
      </c>
      <c r="D693" s="6" t="s">
        <v>31</v>
      </c>
      <c r="E693" t="s">
        <v>894</v>
      </c>
      <c r="F693" t="s">
        <v>894</v>
      </c>
      <c r="H693" s="11" t="s">
        <v>27</v>
      </c>
      <c r="I693" s="6" t="s">
        <v>28</v>
      </c>
      <c r="J693" s="6" t="s">
        <v>28</v>
      </c>
      <c r="K693" t="s">
        <v>32</v>
      </c>
      <c r="L693" s="35">
        <v>5.87</v>
      </c>
      <c r="M693" s="6" t="s">
        <v>29</v>
      </c>
      <c r="N693" s="6">
        <v>3105</v>
      </c>
      <c r="P693" s="18"/>
      <c r="Q693" s="17"/>
      <c r="R693" s="19">
        <v>5.87</v>
      </c>
      <c r="S693" s="19">
        <v>5.87</v>
      </c>
      <c r="T693" s="38">
        <v>5</v>
      </c>
      <c r="U693" s="38"/>
      <c r="V693" s="30">
        <v>5.87</v>
      </c>
      <c r="W693" s="35">
        <v>5.87</v>
      </c>
      <c r="X693" s="32">
        <f t="shared" si="110"/>
        <v>29.35</v>
      </c>
      <c r="Y693" s="32">
        <f t="shared" si="111"/>
        <v>29.35</v>
      </c>
      <c r="Z693" s="32">
        <f t="shared" si="112"/>
        <v>0</v>
      </c>
      <c r="AA693" s="38">
        <v>5</v>
      </c>
      <c r="AB693" s="37">
        <f>IFERROR(VLOOKUP(A693,'Tash Lookup'!A:E,3,FALSE),"")</f>
        <v>29.36</v>
      </c>
      <c r="AC693" s="6">
        <f t="shared" si="113"/>
        <v>0</v>
      </c>
      <c r="AD693" s="2" t="s">
        <v>6703</v>
      </c>
      <c r="AF693" s="56">
        <v>5.87</v>
      </c>
      <c r="AG693" s="56">
        <f>VLOOKUP(A693,Sheet1!$A$2:$C$1140,3,FALSE)</f>
        <v>5.99</v>
      </c>
      <c r="AH693" s="58">
        <v>5.99</v>
      </c>
      <c r="AI693" s="56" t="str">
        <f t="shared" si="114"/>
        <v>Increase</v>
      </c>
      <c r="AJ693" s="81">
        <f t="shared" si="118"/>
        <v>29.35</v>
      </c>
      <c r="AK693" s="81">
        <f t="shared" si="119"/>
        <v>29.950000000000003</v>
      </c>
      <c r="AL693" s="58" t="s">
        <v>7206</v>
      </c>
      <c r="AM693" s="58" t="s">
        <v>6703</v>
      </c>
      <c r="AN693" s="75">
        <v>0</v>
      </c>
      <c r="AO693" s="88">
        <v>5.99</v>
      </c>
      <c r="AP693" s="6" t="str">
        <f t="shared" si="115"/>
        <v>Increase</v>
      </c>
      <c r="AQ693" s="81">
        <f t="shared" si="116"/>
        <v>0</v>
      </c>
      <c r="AR693" s="81">
        <f t="shared" si="117"/>
        <v>0</v>
      </c>
      <c r="AS693" s="82">
        <f t="shared" si="120"/>
        <v>0</v>
      </c>
    </row>
    <row r="694" spans="1:45" hidden="1" x14ac:dyDescent="0.3">
      <c r="A694">
        <v>5184008</v>
      </c>
      <c r="B694" s="15" t="s">
        <v>6030</v>
      </c>
      <c r="C694" s="16" t="s">
        <v>30</v>
      </c>
      <c r="D694" s="6" t="s">
        <v>31</v>
      </c>
      <c r="E694" t="s">
        <v>480</v>
      </c>
      <c r="F694" t="s">
        <v>480</v>
      </c>
      <c r="H694" s="11" t="s">
        <v>27</v>
      </c>
      <c r="I694" s="6" t="s">
        <v>28</v>
      </c>
      <c r="J694" s="6" t="s">
        <v>28</v>
      </c>
      <c r="K694" t="s">
        <v>32</v>
      </c>
      <c r="L694" s="35">
        <v>40.98</v>
      </c>
      <c r="M694" s="6" t="s">
        <v>29</v>
      </c>
      <c r="N694" s="6">
        <v>3105</v>
      </c>
      <c r="P694" s="18"/>
      <c r="Q694" s="17"/>
      <c r="R694" s="19">
        <v>40.98</v>
      </c>
      <c r="S694" s="19">
        <v>40.98</v>
      </c>
      <c r="T694" s="38">
        <v>5</v>
      </c>
      <c r="U694" s="38"/>
      <c r="V694" s="29">
        <v>40.98</v>
      </c>
      <c r="W694" s="35">
        <v>40.98</v>
      </c>
      <c r="X694" s="32">
        <f t="shared" si="110"/>
        <v>204.89999999999998</v>
      </c>
      <c r="Y694" s="32">
        <f t="shared" si="111"/>
        <v>204.89999999999998</v>
      </c>
      <c r="Z694" s="32">
        <f t="shared" si="112"/>
        <v>0</v>
      </c>
      <c r="AA694" s="38">
        <v>5</v>
      </c>
      <c r="AB694" s="37">
        <f>IFERROR(VLOOKUP(A694,'Tash Lookup'!A:E,3,FALSE),"")</f>
        <v>204.88</v>
      </c>
      <c r="AC694" s="6">
        <f t="shared" si="113"/>
        <v>0</v>
      </c>
      <c r="AD694" s="2" t="s">
        <v>6703</v>
      </c>
      <c r="AF694" s="56">
        <v>42.78</v>
      </c>
      <c r="AG694" s="56">
        <f>VLOOKUP(A694,Sheet1!$A$2:$C$1140,3,FALSE)</f>
        <v>44.06</v>
      </c>
      <c r="AH694" s="58">
        <v>44.06</v>
      </c>
      <c r="AI694" s="56" t="str">
        <f t="shared" si="114"/>
        <v>Increase</v>
      </c>
      <c r="AJ694" s="81">
        <f t="shared" si="118"/>
        <v>213.9</v>
      </c>
      <c r="AK694" s="81">
        <f t="shared" si="119"/>
        <v>220.3</v>
      </c>
      <c r="AL694" s="58" t="s">
        <v>32</v>
      </c>
      <c r="AM694" s="58" t="s">
        <v>6703</v>
      </c>
      <c r="AN694" s="75">
        <v>0</v>
      </c>
      <c r="AO694" s="88">
        <v>44.06</v>
      </c>
      <c r="AP694" s="6" t="str">
        <f t="shared" si="115"/>
        <v>Increase</v>
      </c>
      <c r="AQ694" s="81">
        <f t="shared" si="116"/>
        <v>0</v>
      </c>
      <c r="AR694" s="81">
        <f t="shared" si="117"/>
        <v>0</v>
      </c>
      <c r="AS694" s="82">
        <f t="shared" si="120"/>
        <v>0</v>
      </c>
    </row>
    <row r="695" spans="1:45" hidden="1" x14ac:dyDescent="0.3">
      <c r="A695">
        <v>5180489</v>
      </c>
      <c r="B695" s="15" t="s">
        <v>6031</v>
      </c>
      <c r="C695" s="16" t="s">
        <v>30</v>
      </c>
      <c r="D695" s="6" t="s">
        <v>31</v>
      </c>
      <c r="E695" t="s">
        <v>520</v>
      </c>
      <c r="F695" t="s">
        <v>520</v>
      </c>
      <c r="H695" s="11" t="s">
        <v>27</v>
      </c>
      <c r="I695" s="6" t="s">
        <v>28</v>
      </c>
      <c r="J695" s="6" t="s">
        <v>28</v>
      </c>
      <c r="K695" t="s">
        <v>32</v>
      </c>
      <c r="L695" s="35">
        <v>53.91</v>
      </c>
      <c r="M695" s="6" t="s">
        <v>29</v>
      </c>
      <c r="N695" s="6">
        <v>3105</v>
      </c>
      <c r="P695" s="18"/>
      <c r="Q695" s="17"/>
      <c r="R695" s="19">
        <v>53.91</v>
      </c>
      <c r="S695" s="19">
        <v>53.91</v>
      </c>
      <c r="T695" s="38">
        <v>5</v>
      </c>
      <c r="U695" s="38"/>
      <c r="V695" s="29">
        <v>53.91</v>
      </c>
      <c r="W695" s="35">
        <v>53.91</v>
      </c>
      <c r="X695" s="32">
        <f t="shared" si="110"/>
        <v>269.54999999999995</v>
      </c>
      <c r="Y695" s="32">
        <f t="shared" si="111"/>
        <v>269.54999999999995</v>
      </c>
      <c r="Z695" s="32">
        <f t="shared" si="112"/>
        <v>0</v>
      </c>
      <c r="AA695" s="38">
        <v>5</v>
      </c>
      <c r="AB695" s="37">
        <f>IFERROR(VLOOKUP(A695,'Tash Lookup'!A:E,3,FALSE),"")</f>
        <v>269.55</v>
      </c>
      <c r="AC695" s="6">
        <f t="shared" si="113"/>
        <v>0</v>
      </c>
      <c r="AD695" s="2" t="s">
        <v>6703</v>
      </c>
      <c r="AF695" s="56">
        <v>53.89</v>
      </c>
      <c r="AG695" s="56">
        <f>VLOOKUP(A695,Sheet1!$A$2:$C$1140,3,FALSE)</f>
        <v>55.5</v>
      </c>
      <c r="AH695" s="58">
        <v>55.5</v>
      </c>
      <c r="AI695" s="56" t="str">
        <f t="shared" si="114"/>
        <v>Increase</v>
      </c>
      <c r="AJ695" s="81">
        <f t="shared" si="118"/>
        <v>269.45</v>
      </c>
      <c r="AK695" s="81">
        <f t="shared" si="119"/>
        <v>277.5</v>
      </c>
      <c r="AL695" s="58" t="s">
        <v>32</v>
      </c>
      <c r="AM695" s="58" t="s">
        <v>6703</v>
      </c>
      <c r="AN695" s="75">
        <v>3</v>
      </c>
      <c r="AO695" s="88">
        <v>55.5</v>
      </c>
      <c r="AP695" s="6" t="str">
        <f t="shared" si="115"/>
        <v>Increase</v>
      </c>
      <c r="AQ695" s="81">
        <f t="shared" si="116"/>
        <v>161.67000000000002</v>
      </c>
      <c r="AR695" s="81">
        <f t="shared" si="117"/>
        <v>166.5</v>
      </c>
      <c r="AS695" s="82">
        <f t="shared" si="120"/>
        <v>4.8299999999999841</v>
      </c>
    </row>
    <row r="696" spans="1:45" hidden="1" x14ac:dyDescent="0.3">
      <c r="A696">
        <v>5180479</v>
      </c>
      <c r="B696" s="15" t="s">
        <v>6032</v>
      </c>
      <c r="C696" s="16" t="s">
        <v>30</v>
      </c>
      <c r="D696" s="6" t="s">
        <v>31</v>
      </c>
      <c r="E696" t="s">
        <v>522</v>
      </c>
      <c r="F696" t="s">
        <v>522</v>
      </c>
      <c r="H696" s="11" t="s">
        <v>27</v>
      </c>
      <c r="I696" s="6" t="s">
        <v>28</v>
      </c>
      <c r="J696" s="6" t="s">
        <v>28</v>
      </c>
      <c r="K696" t="s">
        <v>32</v>
      </c>
      <c r="L696" s="35">
        <v>15.15</v>
      </c>
      <c r="M696" s="6" t="s">
        <v>29</v>
      </c>
      <c r="N696" s="6">
        <v>3105</v>
      </c>
      <c r="P696" s="18"/>
      <c r="Q696" s="17"/>
      <c r="R696" s="19">
        <v>15.15</v>
      </c>
      <c r="S696" s="19">
        <v>15.15</v>
      </c>
      <c r="T696" s="38">
        <v>5</v>
      </c>
      <c r="U696" s="38"/>
      <c r="V696" s="29">
        <v>15.15</v>
      </c>
      <c r="W696" s="35">
        <v>15.15</v>
      </c>
      <c r="X696" s="32">
        <f t="shared" si="110"/>
        <v>75.75</v>
      </c>
      <c r="Y696" s="32">
        <f t="shared" si="111"/>
        <v>75.75</v>
      </c>
      <c r="Z696" s="32">
        <f t="shared" si="112"/>
        <v>0</v>
      </c>
      <c r="AA696" s="38">
        <v>5</v>
      </c>
      <c r="AB696" s="37">
        <f>IFERROR(VLOOKUP(A696,'Tash Lookup'!A:E,3,FALSE),"")</f>
        <v>77.11</v>
      </c>
      <c r="AC696" s="6">
        <f t="shared" si="113"/>
        <v>0</v>
      </c>
      <c r="AD696" s="2" t="s">
        <v>6703</v>
      </c>
      <c r="AF696" s="56">
        <v>16.96</v>
      </c>
      <c r="AG696" s="56">
        <f>VLOOKUP(A696,Sheet1!$A$2:$C$1140,3,FALSE)</f>
        <v>17.47</v>
      </c>
      <c r="AH696" s="58">
        <v>17.47</v>
      </c>
      <c r="AI696" s="56" t="str">
        <f t="shared" si="114"/>
        <v>Increase</v>
      </c>
      <c r="AJ696" s="81">
        <f t="shared" si="118"/>
        <v>84.800000000000011</v>
      </c>
      <c r="AK696" s="81">
        <f t="shared" si="119"/>
        <v>87.35</v>
      </c>
      <c r="AL696" s="58" t="s">
        <v>32</v>
      </c>
      <c r="AM696" s="58" t="s">
        <v>6703</v>
      </c>
      <c r="AN696" s="75">
        <v>3</v>
      </c>
      <c r="AO696" s="88">
        <v>17.47</v>
      </c>
      <c r="AP696" s="6" t="str">
        <f t="shared" si="115"/>
        <v>Increase</v>
      </c>
      <c r="AQ696" s="81">
        <f t="shared" si="116"/>
        <v>50.88</v>
      </c>
      <c r="AR696" s="81">
        <f t="shared" si="117"/>
        <v>52.41</v>
      </c>
      <c r="AS696" s="82">
        <f t="shared" si="120"/>
        <v>1.529999999999994</v>
      </c>
    </row>
    <row r="697" spans="1:45" hidden="1" x14ac:dyDescent="0.3">
      <c r="A697">
        <v>5220150</v>
      </c>
      <c r="B697" s="15" t="s">
        <v>6033</v>
      </c>
      <c r="C697" s="16" t="s">
        <v>30</v>
      </c>
      <c r="D697" s="6" t="s">
        <v>31</v>
      </c>
      <c r="E697" t="s">
        <v>132</v>
      </c>
      <c r="F697" t="s">
        <v>132</v>
      </c>
      <c r="H697" s="11" t="s">
        <v>27</v>
      </c>
      <c r="I697" s="6" t="s">
        <v>28</v>
      </c>
      <c r="J697" s="6" t="s">
        <v>28</v>
      </c>
      <c r="K697" t="s">
        <v>32</v>
      </c>
      <c r="L697" s="35">
        <v>9.3000000000000007</v>
      </c>
      <c r="M697" s="6" t="s">
        <v>29</v>
      </c>
      <c r="N697" s="6">
        <v>3105</v>
      </c>
      <c r="P697" s="18"/>
      <c r="Q697" s="17"/>
      <c r="R697" s="19">
        <v>9.3000000000000007</v>
      </c>
      <c r="S697" s="19">
        <v>9.3000000000000007</v>
      </c>
      <c r="T697" s="38">
        <v>5</v>
      </c>
      <c r="U697" s="38"/>
      <c r="V697" s="29">
        <v>9.3000000000000007</v>
      </c>
      <c r="W697" s="35">
        <v>9.3000000000000007</v>
      </c>
      <c r="X697" s="32">
        <f t="shared" si="110"/>
        <v>46.5</v>
      </c>
      <c r="Y697" s="32">
        <f t="shared" si="111"/>
        <v>46.5</v>
      </c>
      <c r="Z697" s="32">
        <f t="shared" si="112"/>
        <v>0</v>
      </c>
      <c r="AA697" s="38">
        <v>5</v>
      </c>
      <c r="AB697" s="37">
        <f>IFERROR(VLOOKUP(A697,'Tash Lookup'!A:E,3,FALSE),"")</f>
        <v>45.28</v>
      </c>
      <c r="AC697" s="6">
        <f t="shared" si="113"/>
        <v>0</v>
      </c>
      <c r="AD697" s="2" t="s">
        <v>6703</v>
      </c>
      <c r="AF697" s="56">
        <v>9.4600000000000009</v>
      </c>
      <c r="AG697" s="56">
        <f>VLOOKUP(A697,Sheet1!$A$2:$C$1140,3,FALSE)</f>
        <v>9.4600000000000009</v>
      </c>
      <c r="AH697" s="58">
        <v>9.4600000000000009</v>
      </c>
      <c r="AI697" s="56" t="str">
        <f t="shared" si="114"/>
        <v>Same</v>
      </c>
      <c r="AJ697" s="81">
        <f t="shared" si="118"/>
        <v>47.300000000000004</v>
      </c>
      <c r="AK697" s="81">
        <f t="shared" si="119"/>
        <v>47.300000000000004</v>
      </c>
      <c r="AL697" s="58" t="s">
        <v>32</v>
      </c>
      <c r="AM697" s="58" t="s">
        <v>6703</v>
      </c>
      <c r="AN697" s="75">
        <v>24</v>
      </c>
      <c r="AO697" s="88">
        <v>9.4600000000000009</v>
      </c>
      <c r="AP697" s="6" t="str">
        <f t="shared" si="115"/>
        <v>Same</v>
      </c>
      <c r="AQ697" s="81">
        <f t="shared" si="116"/>
        <v>227.04000000000002</v>
      </c>
      <c r="AR697" s="81">
        <f t="shared" si="117"/>
        <v>227.04000000000002</v>
      </c>
      <c r="AS697" s="81">
        <f t="shared" si="120"/>
        <v>0</v>
      </c>
    </row>
    <row r="698" spans="1:45" hidden="1" x14ac:dyDescent="0.3">
      <c r="A698">
        <v>5183995</v>
      </c>
      <c r="B698" s="15" t="s">
        <v>6034</v>
      </c>
      <c r="C698" s="16" t="s">
        <v>30</v>
      </c>
      <c r="D698" s="6" t="s">
        <v>31</v>
      </c>
      <c r="E698" t="s">
        <v>628</v>
      </c>
      <c r="F698" t="s">
        <v>628</v>
      </c>
      <c r="H698" s="11" t="s">
        <v>27</v>
      </c>
      <c r="I698" s="6" t="s">
        <v>28</v>
      </c>
      <c r="J698" s="6" t="s">
        <v>28</v>
      </c>
      <c r="K698" t="s">
        <v>32</v>
      </c>
      <c r="L698" s="35">
        <v>41.3</v>
      </c>
      <c r="M698" s="6" t="s">
        <v>29</v>
      </c>
      <c r="N698" s="6">
        <v>3105</v>
      </c>
      <c r="P698" s="18"/>
      <c r="Q698" s="17"/>
      <c r="R698" s="19">
        <v>41.3</v>
      </c>
      <c r="S698" s="19">
        <v>41.3</v>
      </c>
      <c r="T698" s="38">
        <v>5</v>
      </c>
      <c r="U698" s="38"/>
      <c r="V698" s="29">
        <v>41.3</v>
      </c>
      <c r="W698" s="35">
        <v>41.3</v>
      </c>
      <c r="X698" s="32">
        <f t="shared" si="110"/>
        <v>206.5</v>
      </c>
      <c r="Y698" s="32">
        <f t="shared" si="111"/>
        <v>206.5</v>
      </c>
      <c r="Z698" s="32">
        <f t="shared" si="112"/>
        <v>0</v>
      </c>
      <c r="AA698" s="38">
        <v>5</v>
      </c>
      <c r="AB698" s="37">
        <f>IFERROR(VLOOKUP(A698,'Tash Lookup'!A:E,3,FALSE),"")</f>
        <v>255.58</v>
      </c>
      <c r="AC698" s="6">
        <f t="shared" si="113"/>
        <v>0</v>
      </c>
      <c r="AD698" s="2" t="s">
        <v>6703</v>
      </c>
      <c r="AF698" s="56">
        <v>45.01</v>
      </c>
      <c r="AG698" s="56">
        <f>VLOOKUP(A698,Sheet1!$A$2:$C$1140,3,FALSE)</f>
        <v>46.36</v>
      </c>
      <c r="AH698" s="58">
        <v>46.36</v>
      </c>
      <c r="AI698" s="56" t="str">
        <f t="shared" si="114"/>
        <v>Increase</v>
      </c>
      <c r="AJ698" s="81">
        <f t="shared" si="118"/>
        <v>225.04999999999998</v>
      </c>
      <c r="AK698" s="81">
        <f t="shared" si="119"/>
        <v>231.8</v>
      </c>
      <c r="AL698" s="58" t="s">
        <v>32</v>
      </c>
      <c r="AM698" s="58" t="s">
        <v>6703</v>
      </c>
      <c r="AN698" s="75">
        <v>4</v>
      </c>
      <c r="AO698" s="88">
        <v>46.36</v>
      </c>
      <c r="AP698" s="6" t="str">
        <f t="shared" si="115"/>
        <v>Increase</v>
      </c>
      <c r="AQ698" s="81">
        <f t="shared" si="116"/>
        <v>180.04</v>
      </c>
      <c r="AR698" s="81">
        <f t="shared" si="117"/>
        <v>185.44</v>
      </c>
      <c r="AS698" s="82">
        <f t="shared" si="120"/>
        <v>5.4000000000000057</v>
      </c>
    </row>
    <row r="699" spans="1:45" hidden="1" x14ac:dyDescent="0.3">
      <c r="A699">
        <v>6392199</v>
      </c>
      <c r="B699" s="15" t="s">
        <v>6035</v>
      </c>
      <c r="C699" s="16" t="s">
        <v>30</v>
      </c>
      <c r="D699" s="6" t="s">
        <v>31</v>
      </c>
      <c r="E699" t="s">
        <v>2549</v>
      </c>
      <c r="F699" t="s">
        <v>2549</v>
      </c>
      <c r="H699" s="11" t="s">
        <v>27</v>
      </c>
      <c r="I699" s="6" t="s">
        <v>28</v>
      </c>
      <c r="J699" s="6" t="s">
        <v>28</v>
      </c>
      <c r="K699" t="s">
        <v>32</v>
      </c>
      <c r="L699" s="35">
        <v>4.24</v>
      </c>
      <c r="M699" s="6" t="s">
        <v>29</v>
      </c>
      <c r="N699" s="6">
        <v>3105</v>
      </c>
      <c r="P699" s="18"/>
      <c r="Q699" s="17"/>
      <c r="R699" s="19">
        <v>4.24</v>
      </c>
      <c r="S699" s="19">
        <v>4.24</v>
      </c>
      <c r="T699" s="38">
        <v>5</v>
      </c>
      <c r="U699" s="38"/>
      <c r="V699" s="30">
        <v>4.24</v>
      </c>
      <c r="W699" s="35">
        <v>4.24</v>
      </c>
      <c r="X699" s="32">
        <f t="shared" si="110"/>
        <v>21.200000000000003</v>
      </c>
      <c r="Y699" s="32">
        <f t="shared" si="111"/>
        <v>21.200000000000003</v>
      </c>
      <c r="Z699" s="32">
        <f t="shared" si="112"/>
        <v>0</v>
      </c>
      <c r="AA699" s="38">
        <v>5</v>
      </c>
      <c r="AB699" s="37">
        <f>IFERROR(VLOOKUP(A699,'Tash Lookup'!A:E,3,FALSE),"")</f>
        <v>20.46</v>
      </c>
      <c r="AC699" s="6">
        <f t="shared" si="113"/>
        <v>0</v>
      </c>
      <c r="AD699" s="2" t="s">
        <v>6703</v>
      </c>
      <c r="AF699" s="56">
        <v>4.03</v>
      </c>
      <c r="AG699" s="56">
        <f>VLOOKUP(A699,Sheet1!$A$2:$C$1140,3,FALSE)</f>
        <v>4.1100000000000003</v>
      </c>
      <c r="AH699" s="58">
        <v>4.1100000000000003</v>
      </c>
      <c r="AI699" s="56" t="str">
        <f t="shared" si="114"/>
        <v>Increase</v>
      </c>
      <c r="AJ699" s="81">
        <f t="shared" si="118"/>
        <v>20.150000000000002</v>
      </c>
      <c r="AK699" s="81">
        <f t="shared" si="119"/>
        <v>20.55</v>
      </c>
      <c r="AL699" s="58" t="s">
        <v>7206</v>
      </c>
      <c r="AM699" s="58" t="s">
        <v>6703</v>
      </c>
      <c r="AN699" s="75">
        <v>3</v>
      </c>
      <c r="AO699" s="88">
        <v>4.1100000000000003</v>
      </c>
      <c r="AP699" s="6" t="str">
        <f t="shared" si="115"/>
        <v>Increase</v>
      </c>
      <c r="AQ699" s="81">
        <f t="shared" si="116"/>
        <v>12.09</v>
      </c>
      <c r="AR699" s="81">
        <f t="shared" si="117"/>
        <v>12.330000000000002</v>
      </c>
      <c r="AS699" s="81">
        <f t="shared" si="120"/>
        <v>0.24000000000000199</v>
      </c>
    </row>
    <row r="700" spans="1:45" hidden="1" x14ac:dyDescent="0.3">
      <c r="A700">
        <v>6416438</v>
      </c>
      <c r="B700" s="15" t="s">
        <v>6036</v>
      </c>
      <c r="C700" s="16" t="s">
        <v>30</v>
      </c>
      <c r="D700" s="6" t="s">
        <v>31</v>
      </c>
      <c r="E700" t="s">
        <v>2985</v>
      </c>
      <c r="F700" t="s">
        <v>2985</v>
      </c>
      <c r="H700" s="11" t="s">
        <v>27</v>
      </c>
      <c r="I700" s="6" t="s">
        <v>28</v>
      </c>
      <c r="J700" s="6" t="s">
        <v>28</v>
      </c>
      <c r="K700" t="s">
        <v>32</v>
      </c>
      <c r="L700" s="35">
        <v>10.09</v>
      </c>
      <c r="M700" s="6" t="s">
        <v>29</v>
      </c>
      <c r="N700" s="6">
        <v>3105</v>
      </c>
      <c r="P700" s="18"/>
      <c r="Q700" s="17"/>
      <c r="R700" s="19">
        <v>10.09</v>
      </c>
      <c r="S700" s="19">
        <v>10.09</v>
      </c>
      <c r="T700" s="38">
        <v>5</v>
      </c>
      <c r="U700" s="38"/>
      <c r="V700" s="30">
        <v>10.09</v>
      </c>
      <c r="W700" s="35">
        <v>10.09</v>
      </c>
      <c r="X700" s="32">
        <f t="shared" si="110"/>
        <v>50.45</v>
      </c>
      <c r="Y700" s="32">
        <f t="shared" si="111"/>
        <v>50.45</v>
      </c>
      <c r="Z700" s="32">
        <f t="shared" si="112"/>
        <v>0</v>
      </c>
      <c r="AA700" s="38">
        <v>5</v>
      </c>
      <c r="AB700" s="37">
        <f>IFERROR(VLOOKUP(A700,'Tash Lookup'!A:E,3,FALSE),"")</f>
        <v>49.6</v>
      </c>
      <c r="AC700" s="6">
        <f t="shared" si="113"/>
        <v>0</v>
      </c>
      <c r="AD700" s="2" t="s">
        <v>6704</v>
      </c>
      <c r="AF700" s="56">
        <v>10.09</v>
      </c>
      <c r="AG700" s="56" t="e">
        <f>VLOOKUP(A700,Sheet1!$A$2:$C$1140,3,FALSE)</f>
        <v>#N/A</v>
      </c>
      <c r="AH700" s="58" t="e">
        <v>#N/A</v>
      </c>
      <c r="AI700" s="56" t="str">
        <f t="shared" si="114"/>
        <v>Delete</v>
      </c>
      <c r="AJ700" s="81">
        <f t="shared" si="118"/>
        <v>50.45</v>
      </c>
      <c r="AK700" s="81">
        <f t="shared" si="119"/>
        <v>0</v>
      </c>
      <c r="AL700" s="58" t="s">
        <v>7206</v>
      </c>
      <c r="AM700" s="58" t="s">
        <v>6708</v>
      </c>
      <c r="AN700" s="75">
        <v>0</v>
      </c>
      <c r="AO700" s="88">
        <v>10.09</v>
      </c>
      <c r="AP700" s="6" t="str">
        <f t="shared" si="115"/>
        <v>Same</v>
      </c>
      <c r="AQ700" s="81">
        <f t="shared" si="116"/>
        <v>0</v>
      </c>
      <c r="AR700" s="81">
        <f t="shared" si="117"/>
        <v>0</v>
      </c>
      <c r="AS700" s="81">
        <f t="shared" si="120"/>
        <v>0</v>
      </c>
    </row>
    <row r="701" spans="1:45" hidden="1" x14ac:dyDescent="0.3">
      <c r="A701">
        <v>5084920</v>
      </c>
      <c r="B701" s="15" t="s">
        <v>6037</v>
      </c>
      <c r="C701" s="16" t="s">
        <v>30</v>
      </c>
      <c r="D701" s="6" t="s">
        <v>31</v>
      </c>
      <c r="E701" t="s">
        <v>992</v>
      </c>
      <c r="F701" t="s">
        <v>992</v>
      </c>
      <c r="H701" s="11" t="s">
        <v>27</v>
      </c>
      <c r="I701" s="6" t="s">
        <v>28</v>
      </c>
      <c r="J701" s="6" t="s">
        <v>28</v>
      </c>
      <c r="K701" t="s">
        <v>32</v>
      </c>
      <c r="L701" s="35">
        <v>13.6</v>
      </c>
      <c r="M701" s="6" t="s">
        <v>29</v>
      </c>
      <c r="N701" s="6">
        <v>3105</v>
      </c>
      <c r="P701" s="18"/>
      <c r="Q701" s="17"/>
      <c r="R701" s="19">
        <v>13.6</v>
      </c>
      <c r="S701" s="19">
        <v>13.6</v>
      </c>
      <c r="T701" s="38">
        <v>5</v>
      </c>
      <c r="U701" s="38"/>
      <c r="V701" s="30">
        <v>13.6</v>
      </c>
      <c r="W701" s="35">
        <v>13.6</v>
      </c>
      <c r="X701" s="32">
        <f t="shared" si="110"/>
        <v>68</v>
      </c>
      <c r="Y701" s="32">
        <f t="shared" si="111"/>
        <v>68</v>
      </c>
      <c r="Z701" s="32">
        <f t="shared" si="112"/>
        <v>0</v>
      </c>
      <c r="AA701" s="38">
        <v>5</v>
      </c>
      <c r="AB701" s="37">
        <f>IFERROR(VLOOKUP(A701,'Tash Lookup'!A:E,3,FALSE),"")</f>
        <v>67.17</v>
      </c>
      <c r="AC701" s="6">
        <f t="shared" si="113"/>
        <v>0</v>
      </c>
      <c r="AD701" s="2" t="s">
        <v>6703</v>
      </c>
      <c r="AF701" s="56">
        <v>10.18</v>
      </c>
      <c r="AG701" s="56">
        <f>VLOOKUP(A701,Sheet1!$A$2:$C$1140,3,FALSE)</f>
        <v>10.18</v>
      </c>
      <c r="AH701" s="58">
        <v>10.18</v>
      </c>
      <c r="AI701" s="56" t="str">
        <f t="shared" si="114"/>
        <v>Same</v>
      </c>
      <c r="AJ701" s="81">
        <f t="shared" si="118"/>
        <v>50.9</v>
      </c>
      <c r="AK701" s="81">
        <f t="shared" si="119"/>
        <v>50.9</v>
      </c>
      <c r="AL701" s="58" t="s">
        <v>7206</v>
      </c>
      <c r="AM701" s="58" t="s">
        <v>6703</v>
      </c>
      <c r="AN701" s="75">
        <v>7</v>
      </c>
      <c r="AO701" s="88">
        <v>10.18</v>
      </c>
      <c r="AP701" s="6" t="str">
        <f t="shared" si="115"/>
        <v>Same</v>
      </c>
      <c r="AQ701" s="81">
        <f t="shared" si="116"/>
        <v>71.259999999999991</v>
      </c>
      <c r="AR701" s="81">
        <f t="shared" si="117"/>
        <v>71.259999999999991</v>
      </c>
      <c r="AS701" s="81">
        <f t="shared" si="120"/>
        <v>0</v>
      </c>
    </row>
    <row r="702" spans="1:45" hidden="1" x14ac:dyDescent="0.3">
      <c r="A702">
        <v>6045948</v>
      </c>
      <c r="B702" s="15" t="s">
        <v>6038</v>
      </c>
      <c r="C702" s="16" t="s">
        <v>30</v>
      </c>
      <c r="D702" s="6" t="s">
        <v>31</v>
      </c>
      <c r="E702" t="s">
        <v>1011</v>
      </c>
      <c r="F702" t="s">
        <v>1011</v>
      </c>
      <c r="H702" s="11" t="s">
        <v>27</v>
      </c>
      <c r="I702" s="6" t="s">
        <v>28</v>
      </c>
      <c r="J702" s="6" t="s">
        <v>28</v>
      </c>
      <c r="K702" t="s">
        <v>32</v>
      </c>
      <c r="L702" s="35">
        <v>4.78</v>
      </c>
      <c r="M702" s="6" t="s">
        <v>29</v>
      </c>
      <c r="N702" s="6">
        <v>3105</v>
      </c>
      <c r="P702" s="18"/>
      <c r="Q702" s="17"/>
      <c r="R702" s="19">
        <v>4.78</v>
      </c>
      <c r="S702" s="19">
        <v>4.78</v>
      </c>
      <c r="T702" s="38">
        <v>5</v>
      </c>
      <c r="U702" s="38"/>
      <c r="V702" s="30">
        <v>4.78</v>
      </c>
      <c r="W702" s="35">
        <v>4.78</v>
      </c>
      <c r="X702" s="32">
        <f t="shared" si="110"/>
        <v>23.900000000000002</v>
      </c>
      <c r="Y702" s="32">
        <f t="shared" si="111"/>
        <v>23.900000000000002</v>
      </c>
      <c r="Z702" s="32">
        <f t="shared" si="112"/>
        <v>0</v>
      </c>
      <c r="AA702" s="38">
        <v>5</v>
      </c>
      <c r="AB702" s="37">
        <f>IFERROR(VLOOKUP(A702,'Tash Lookup'!A:E,3,FALSE),"")</f>
        <v>19.32</v>
      </c>
      <c r="AC702" s="6">
        <f t="shared" si="113"/>
        <v>0</v>
      </c>
      <c r="AD702" s="2" t="s">
        <v>6708</v>
      </c>
      <c r="AF702" s="56">
        <v>4.78</v>
      </c>
      <c r="AG702" s="56" t="e">
        <f>VLOOKUP(A702,Sheet1!$A$2:$C$1140,3,FALSE)</f>
        <v>#N/A</v>
      </c>
      <c r="AH702" s="58" t="e">
        <v>#N/A</v>
      </c>
      <c r="AI702" s="56" t="str">
        <f t="shared" si="114"/>
        <v>Delete</v>
      </c>
      <c r="AJ702" s="81">
        <f t="shared" si="118"/>
        <v>23.900000000000002</v>
      </c>
      <c r="AK702" s="81">
        <f t="shared" si="119"/>
        <v>0</v>
      </c>
      <c r="AL702" s="58" t="s">
        <v>7206</v>
      </c>
      <c r="AM702" s="58" t="s">
        <v>6708</v>
      </c>
      <c r="AN702" s="75">
        <v>1</v>
      </c>
      <c r="AO702" s="88">
        <v>4.78</v>
      </c>
      <c r="AP702" s="6" t="str">
        <f t="shared" si="115"/>
        <v>Same</v>
      </c>
      <c r="AQ702" s="81">
        <f t="shared" si="116"/>
        <v>4.78</v>
      </c>
      <c r="AR702" s="81">
        <f t="shared" si="117"/>
        <v>4.78</v>
      </c>
      <c r="AS702" s="81">
        <f t="shared" si="120"/>
        <v>0</v>
      </c>
    </row>
    <row r="703" spans="1:45" hidden="1" x14ac:dyDescent="0.3">
      <c r="A703">
        <v>6141007</v>
      </c>
      <c r="B703" s="15" t="s">
        <v>6039</v>
      </c>
      <c r="C703" s="16" t="s">
        <v>30</v>
      </c>
      <c r="D703" s="6" t="s">
        <v>31</v>
      </c>
      <c r="E703" t="s">
        <v>1073</v>
      </c>
      <c r="F703" t="s">
        <v>1073</v>
      </c>
      <c r="H703" s="11" t="s">
        <v>27</v>
      </c>
      <c r="I703" s="6" t="s">
        <v>28</v>
      </c>
      <c r="J703" s="6" t="s">
        <v>28</v>
      </c>
      <c r="K703" t="s">
        <v>32</v>
      </c>
      <c r="L703" s="35">
        <v>24.33</v>
      </c>
      <c r="M703" s="6" t="s">
        <v>29</v>
      </c>
      <c r="N703" s="6">
        <v>3105</v>
      </c>
      <c r="P703" s="18"/>
      <c r="Q703" s="17"/>
      <c r="R703" s="19">
        <v>0</v>
      </c>
      <c r="S703" s="19">
        <v>0</v>
      </c>
      <c r="T703" s="38">
        <v>5</v>
      </c>
      <c r="U703" s="38"/>
      <c r="V703" s="31">
        <v>24.33</v>
      </c>
      <c r="W703" s="35">
        <v>24.33</v>
      </c>
      <c r="X703" s="32">
        <f t="shared" si="110"/>
        <v>121.64999999999999</v>
      </c>
      <c r="Y703" s="32">
        <f t="shared" si="111"/>
        <v>121.64999999999999</v>
      </c>
      <c r="Z703" s="32">
        <f t="shared" si="112"/>
        <v>0</v>
      </c>
      <c r="AA703" s="38">
        <v>5</v>
      </c>
      <c r="AB703" s="37">
        <f>IFERROR(VLOOKUP(A703,'Tash Lookup'!A:E,3,FALSE),"")</f>
        <v>121.63</v>
      </c>
      <c r="AC703" s="6">
        <f t="shared" si="113"/>
        <v>0</v>
      </c>
      <c r="AD703" s="2" t="s">
        <v>6703</v>
      </c>
      <c r="AF703" s="56">
        <v>24.33</v>
      </c>
      <c r="AG703" s="56">
        <f>VLOOKUP(A703,Sheet1!$A$2:$C$1140,3,FALSE)</f>
        <v>24.82</v>
      </c>
      <c r="AH703" s="58">
        <v>24.82</v>
      </c>
      <c r="AI703" s="56" t="str">
        <f t="shared" si="114"/>
        <v>Increase</v>
      </c>
      <c r="AJ703" s="81">
        <f t="shared" si="118"/>
        <v>121.64999999999999</v>
      </c>
      <c r="AK703" s="81">
        <f t="shared" si="119"/>
        <v>124.1</v>
      </c>
      <c r="AL703" s="58" t="s">
        <v>7206</v>
      </c>
      <c r="AM703" s="58" t="s">
        <v>6703</v>
      </c>
      <c r="AN703" s="75">
        <v>10</v>
      </c>
      <c r="AO703" s="88">
        <v>24.82</v>
      </c>
      <c r="AP703" s="6" t="str">
        <f t="shared" si="115"/>
        <v>Increase</v>
      </c>
      <c r="AQ703" s="81">
        <f t="shared" si="116"/>
        <v>243.29999999999998</v>
      </c>
      <c r="AR703" s="81">
        <f t="shared" si="117"/>
        <v>248.2</v>
      </c>
      <c r="AS703" s="82">
        <f t="shared" si="120"/>
        <v>4.9000000000000057</v>
      </c>
    </row>
    <row r="704" spans="1:45" x14ac:dyDescent="0.3">
      <c r="A704">
        <v>5085940</v>
      </c>
      <c r="B704" s="15" t="s">
        <v>6040</v>
      </c>
      <c r="C704" s="16" t="s">
        <v>30</v>
      </c>
      <c r="D704" s="6" t="s">
        <v>31</v>
      </c>
      <c r="E704" t="s">
        <v>1179</v>
      </c>
      <c r="F704" t="s">
        <v>1179</v>
      </c>
      <c r="H704" s="11" t="s">
        <v>27</v>
      </c>
      <c r="I704" s="6" t="s">
        <v>28</v>
      </c>
      <c r="J704" s="6" t="s">
        <v>28</v>
      </c>
      <c r="K704" t="s">
        <v>32</v>
      </c>
      <c r="L704" s="35">
        <v>39.03</v>
      </c>
      <c r="M704" s="6" t="s">
        <v>29</v>
      </c>
      <c r="N704" s="6">
        <v>3105</v>
      </c>
      <c r="P704" s="18"/>
      <c r="Q704" s="17"/>
      <c r="R704" s="19">
        <v>39.03</v>
      </c>
      <c r="S704" s="19">
        <v>39.03</v>
      </c>
      <c r="T704" s="38">
        <v>5</v>
      </c>
      <c r="U704" s="38"/>
      <c r="V704" s="30">
        <v>39.03</v>
      </c>
      <c r="W704" s="35">
        <v>39.03</v>
      </c>
      <c r="X704" s="32">
        <f t="shared" si="110"/>
        <v>195.15</v>
      </c>
      <c r="Y704" s="32">
        <f t="shared" si="111"/>
        <v>195.15</v>
      </c>
      <c r="Z704" s="32">
        <f t="shared" si="112"/>
        <v>0</v>
      </c>
      <c r="AA704" s="38">
        <v>5</v>
      </c>
      <c r="AB704" s="37">
        <f>IFERROR(VLOOKUP(A704,'Tash Lookup'!A:E,3,FALSE),"")</f>
        <v>195.16</v>
      </c>
      <c r="AC704" s="6">
        <f t="shared" si="113"/>
        <v>0</v>
      </c>
      <c r="AD704" s="2" t="s">
        <v>6703</v>
      </c>
      <c r="AF704" s="56">
        <v>43.04</v>
      </c>
      <c r="AG704" s="56">
        <f>VLOOKUP(A704,Sheet1!$A$2:$C$1140,3,FALSE)</f>
        <v>43.04</v>
      </c>
      <c r="AH704" s="58">
        <v>43.04</v>
      </c>
      <c r="AI704" s="56" t="str">
        <f t="shared" si="114"/>
        <v>Same</v>
      </c>
      <c r="AJ704" s="81">
        <f t="shared" si="118"/>
        <v>215.2</v>
      </c>
      <c r="AK704" s="81">
        <f t="shared" si="119"/>
        <v>215.2</v>
      </c>
      <c r="AL704" s="58" t="s">
        <v>7206</v>
      </c>
      <c r="AM704" s="58" t="s">
        <v>6703</v>
      </c>
      <c r="AN704" s="75">
        <v>2</v>
      </c>
      <c r="AO704" s="88">
        <v>43.04</v>
      </c>
      <c r="AP704" s="6" t="str">
        <f t="shared" si="115"/>
        <v>Same</v>
      </c>
      <c r="AQ704" s="81">
        <f t="shared" si="116"/>
        <v>86.08</v>
      </c>
      <c r="AR704" s="81">
        <f t="shared" si="117"/>
        <v>86.08</v>
      </c>
      <c r="AS704" s="81">
        <f t="shared" si="120"/>
        <v>0</v>
      </c>
    </row>
    <row r="705" spans="1:45" hidden="1" x14ac:dyDescent="0.3">
      <c r="A705">
        <v>6352807</v>
      </c>
      <c r="B705" s="15" t="s">
        <v>6041</v>
      </c>
      <c r="C705" s="16" t="s">
        <v>30</v>
      </c>
      <c r="D705" s="6" t="s">
        <v>31</v>
      </c>
      <c r="E705" t="s">
        <v>1246</v>
      </c>
      <c r="F705" t="s">
        <v>1246</v>
      </c>
      <c r="H705" s="11" t="s">
        <v>27</v>
      </c>
      <c r="I705" s="6" t="s">
        <v>28</v>
      </c>
      <c r="J705" s="6" t="s">
        <v>28</v>
      </c>
      <c r="K705" t="s">
        <v>32</v>
      </c>
      <c r="L705" s="35">
        <v>18.95</v>
      </c>
      <c r="M705" s="6" t="s">
        <v>29</v>
      </c>
      <c r="N705" s="6">
        <v>3105</v>
      </c>
      <c r="P705" s="18"/>
      <c r="Q705" s="17"/>
      <c r="R705" s="19">
        <v>18.95</v>
      </c>
      <c r="S705" s="19">
        <v>18.95</v>
      </c>
      <c r="T705" s="38">
        <v>5</v>
      </c>
      <c r="U705" s="38"/>
      <c r="V705" s="30">
        <v>18.95</v>
      </c>
      <c r="W705" s="35">
        <v>18.95</v>
      </c>
      <c r="X705" s="32">
        <f t="shared" si="110"/>
        <v>94.75</v>
      </c>
      <c r="Y705" s="32">
        <f t="shared" si="111"/>
        <v>94.75</v>
      </c>
      <c r="Z705" s="32">
        <f t="shared" si="112"/>
        <v>0</v>
      </c>
      <c r="AA705" s="38">
        <v>5</v>
      </c>
      <c r="AB705" s="37">
        <f>IFERROR(VLOOKUP(A705,'Tash Lookup'!A:E,3,FALSE),"")</f>
        <v>92.29</v>
      </c>
      <c r="AC705" s="6">
        <f t="shared" si="113"/>
        <v>0</v>
      </c>
      <c r="AD705" s="2" t="s">
        <v>6711</v>
      </c>
      <c r="AE705" s="2" t="s">
        <v>6701</v>
      </c>
      <c r="AF705" s="56">
        <v>18.95</v>
      </c>
      <c r="AG705" s="56" t="e">
        <f>VLOOKUP(A705,Sheet1!$A$2:$C$1140,3,FALSE)</f>
        <v>#N/A</v>
      </c>
      <c r="AH705" s="58" t="e">
        <v>#N/A</v>
      </c>
      <c r="AI705" s="56" t="str">
        <f t="shared" si="114"/>
        <v>Delete</v>
      </c>
      <c r="AJ705" s="81">
        <f t="shared" si="118"/>
        <v>94.75</v>
      </c>
      <c r="AK705" s="81">
        <f t="shared" si="119"/>
        <v>0</v>
      </c>
      <c r="AL705" s="58" t="s">
        <v>7206</v>
      </c>
      <c r="AM705" s="58" t="s">
        <v>6711</v>
      </c>
      <c r="AN705" s="75">
        <v>1</v>
      </c>
      <c r="AO705" s="88">
        <v>18.95</v>
      </c>
      <c r="AP705" s="6" t="str">
        <f t="shared" si="115"/>
        <v>Delete</v>
      </c>
      <c r="AQ705" s="81">
        <f t="shared" si="116"/>
        <v>18.95</v>
      </c>
      <c r="AR705" s="81">
        <f t="shared" si="117"/>
        <v>18.95</v>
      </c>
      <c r="AS705" s="81">
        <f t="shared" si="120"/>
        <v>0</v>
      </c>
    </row>
    <row r="706" spans="1:45" hidden="1" x14ac:dyDescent="0.3">
      <c r="A706">
        <v>6377088</v>
      </c>
      <c r="B706" s="15" t="s">
        <v>6042</v>
      </c>
      <c r="C706" s="16" t="s">
        <v>30</v>
      </c>
      <c r="D706" s="6" t="s">
        <v>31</v>
      </c>
      <c r="E706" t="s">
        <v>1261</v>
      </c>
      <c r="F706" t="s">
        <v>1261</v>
      </c>
      <c r="H706" s="11" t="s">
        <v>27</v>
      </c>
      <c r="I706" s="6" t="s">
        <v>28</v>
      </c>
      <c r="J706" s="6" t="s">
        <v>28</v>
      </c>
      <c r="K706" t="s">
        <v>32</v>
      </c>
      <c r="L706" s="35">
        <v>15.81</v>
      </c>
      <c r="M706" s="6" t="s">
        <v>29</v>
      </c>
      <c r="N706" s="6">
        <v>3105</v>
      </c>
      <c r="P706" s="18"/>
      <c r="Q706" s="17"/>
      <c r="R706" s="19">
        <v>15.81</v>
      </c>
      <c r="S706" s="19">
        <v>15.81</v>
      </c>
      <c r="T706" s="38">
        <v>5</v>
      </c>
      <c r="U706" s="38"/>
      <c r="V706" s="30">
        <v>15.81</v>
      </c>
      <c r="W706" s="35">
        <v>15.81</v>
      </c>
      <c r="X706" s="32">
        <f t="shared" si="110"/>
        <v>79.05</v>
      </c>
      <c r="Y706" s="32">
        <f t="shared" si="111"/>
        <v>79.05</v>
      </c>
      <c r="Z706" s="32">
        <f t="shared" si="112"/>
        <v>0</v>
      </c>
      <c r="AA706" s="38">
        <v>5</v>
      </c>
      <c r="AB706" s="37">
        <f>IFERROR(VLOOKUP(A706,'Tash Lookup'!A:E,3,FALSE),"")</f>
        <v>75.67</v>
      </c>
      <c r="AC706" s="6">
        <f t="shared" si="113"/>
        <v>0</v>
      </c>
      <c r="AD706" s="2" t="s">
        <v>6704</v>
      </c>
      <c r="AF706" s="56">
        <v>15.81</v>
      </c>
      <c r="AG706" s="56" t="e">
        <f>VLOOKUP(A706,Sheet1!$A$2:$C$1140,3,FALSE)</f>
        <v>#N/A</v>
      </c>
      <c r="AH706" s="58" t="e">
        <v>#N/A</v>
      </c>
      <c r="AI706" s="56" t="str">
        <f t="shared" si="114"/>
        <v>Delete</v>
      </c>
      <c r="AJ706" s="81">
        <f t="shared" si="118"/>
        <v>79.05</v>
      </c>
      <c r="AK706" s="81">
        <f t="shared" si="119"/>
        <v>0</v>
      </c>
      <c r="AL706" s="58" t="s">
        <v>7206</v>
      </c>
      <c r="AM706" s="58" t="s">
        <v>6708</v>
      </c>
      <c r="AN706" s="75">
        <v>0</v>
      </c>
      <c r="AO706" s="88">
        <v>15.81</v>
      </c>
      <c r="AP706" s="6" t="str">
        <f t="shared" si="115"/>
        <v>Same</v>
      </c>
      <c r="AQ706" s="81">
        <f t="shared" si="116"/>
        <v>0</v>
      </c>
      <c r="AR706" s="81">
        <f t="shared" si="117"/>
        <v>0</v>
      </c>
      <c r="AS706" s="81">
        <f t="shared" si="120"/>
        <v>0</v>
      </c>
    </row>
    <row r="707" spans="1:45" hidden="1" x14ac:dyDescent="0.3">
      <c r="A707">
        <v>6394214</v>
      </c>
      <c r="B707" s="15" t="s">
        <v>6043</v>
      </c>
      <c r="C707" s="16" t="s">
        <v>30</v>
      </c>
      <c r="D707" s="6" t="s">
        <v>31</v>
      </c>
      <c r="E707" t="s">
        <v>1290</v>
      </c>
      <c r="F707" t="s">
        <v>1290</v>
      </c>
      <c r="H707" s="11" t="s">
        <v>27</v>
      </c>
      <c r="I707" s="6" t="s">
        <v>28</v>
      </c>
      <c r="J707" s="6" t="s">
        <v>28</v>
      </c>
      <c r="K707" t="s">
        <v>32</v>
      </c>
      <c r="L707" s="35">
        <v>25.63</v>
      </c>
      <c r="M707" s="6" t="s">
        <v>29</v>
      </c>
      <c r="N707" s="6">
        <v>3105</v>
      </c>
      <c r="P707" s="18"/>
      <c r="Q707" s="17"/>
      <c r="R707" s="19">
        <v>25.63</v>
      </c>
      <c r="S707" s="19">
        <v>25.63</v>
      </c>
      <c r="T707" s="38">
        <v>5</v>
      </c>
      <c r="U707" s="38"/>
      <c r="V707" s="30">
        <v>25.63</v>
      </c>
      <c r="W707" s="35">
        <v>25.63</v>
      </c>
      <c r="X707" s="32">
        <f t="shared" si="110"/>
        <v>128.15</v>
      </c>
      <c r="Y707" s="32">
        <f t="shared" si="111"/>
        <v>128.15</v>
      </c>
      <c r="Z707" s="32">
        <f t="shared" si="112"/>
        <v>0</v>
      </c>
      <c r="AA707" s="38">
        <v>5</v>
      </c>
      <c r="AB707" s="37">
        <f>IFERROR(VLOOKUP(A707,'Tash Lookup'!A:E,3,FALSE),"")</f>
        <v>128.13999999999999</v>
      </c>
      <c r="AC707" s="6">
        <f t="shared" si="113"/>
        <v>0</v>
      </c>
      <c r="AD707" s="2" t="s">
        <v>6703</v>
      </c>
      <c r="AF707" s="56">
        <v>28.55</v>
      </c>
      <c r="AG707" s="56">
        <f>VLOOKUP(A707,Sheet1!$A$2:$C$1140,3,FALSE)</f>
        <v>28.55</v>
      </c>
      <c r="AH707" s="58">
        <v>28.55</v>
      </c>
      <c r="AI707" s="56" t="str">
        <f t="shared" si="114"/>
        <v>Same</v>
      </c>
      <c r="AJ707" s="81">
        <f t="shared" si="118"/>
        <v>142.75</v>
      </c>
      <c r="AK707" s="81">
        <f t="shared" si="119"/>
        <v>142.75</v>
      </c>
      <c r="AL707" s="58" t="s">
        <v>7206</v>
      </c>
      <c r="AM707" s="58" t="s">
        <v>6703</v>
      </c>
      <c r="AN707" s="75">
        <v>0</v>
      </c>
      <c r="AO707" s="88">
        <v>28.55</v>
      </c>
      <c r="AP707" s="6" t="str">
        <f t="shared" si="115"/>
        <v>Same</v>
      </c>
      <c r="AQ707" s="81">
        <f t="shared" si="116"/>
        <v>0</v>
      </c>
      <c r="AR707" s="81">
        <f t="shared" si="117"/>
        <v>0</v>
      </c>
      <c r="AS707" s="81">
        <f t="shared" si="120"/>
        <v>0</v>
      </c>
    </row>
    <row r="708" spans="1:45" hidden="1" x14ac:dyDescent="0.3">
      <c r="A708">
        <v>6394164</v>
      </c>
      <c r="B708" s="15" t="s">
        <v>6044</v>
      </c>
      <c r="C708" s="16" t="s">
        <v>30</v>
      </c>
      <c r="D708" s="6" t="s">
        <v>31</v>
      </c>
      <c r="E708" t="s">
        <v>1298</v>
      </c>
      <c r="F708" t="s">
        <v>1298</v>
      </c>
      <c r="H708" s="11" t="s">
        <v>27</v>
      </c>
      <c r="I708" s="6" t="s">
        <v>28</v>
      </c>
      <c r="J708" s="6" t="s">
        <v>28</v>
      </c>
      <c r="K708" t="s">
        <v>32</v>
      </c>
      <c r="L708" s="35">
        <v>15.19</v>
      </c>
      <c r="M708" s="6" t="s">
        <v>29</v>
      </c>
      <c r="N708" s="6">
        <v>3105</v>
      </c>
      <c r="P708" s="18"/>
      <c r="Q708" s="17"/>
      <c r="R708" s="19">
        <v>15.19</v>
      </c>
      <c r="S708" s="19">
        <v>15.19</v>
      </c>
      <c r="T708" s="38">
        <v>5</v>
      </c>
      <c r="U708" s="38"/>
      <c r="V708" s="30">
        <v>15.19</v>
      </c>
      <c r="W708" s="35">
        <v>15.19</v>
      </c>
      <c r="X708" s="32">
        <f t="shared" si="110"/>
        <v>75.95</v>
      </c>
      <c r="Y708" s="32">
        <f t="shared" si="111"/>
        <v>75.95</v>
      </c>
      <c r="Z708" s="32">
        <f t="shared" si="112"/>
        <v>0</v>
      </c>
      <c r="AA708" s="38">
        <v>5</v>
      </c>
      <c r="AB708" s="37">
        <f>IFERROR(VLOOKUP(A708,'Tash Lookup'!A:E,3,FALSE),"")</f>
        <v>75.95</v>
      </c>
      <c r="AC708" s="6">
        <f t="shared" si="113"/>
        <v>0</v>
      </c>
      <c r="AD708" s="2" t="s">
        <v>6703</v>
      </c>
      <c r="AF708" s="56">
        <v>16.93</v>
      </c>
      <c r="AG708" s="56">
        <f>VLOOKUP(A708,Sheet1!$A$2:$C$1140,3,FALSE)</f>
        <v>16.93</v>
      </c>
      <c r="AH708" s="58">
        <v>16.93</v>
      </c>
      <c r="AI708" s="56" t="str">
        <f t="shared" si="114"/>
        <v>Same</v>
      </c>
      <c r="AJ708" s="81">
        <f t="shared" si="118"/>
        <v>84.65</v>
      </c>
      <c r="AK708" s="81">
        <f t="shared" si="119"/>
        <v>84.65</v>
      </c>
      <c r="AL708" s="58" t="s">
        <v>7206</v>
      </c>
      <c r="AM708" s="58" t="s">
        <v>6703</v>
      </c>
      <c r="AN708" s="75">
        <v>0</v>
      </c>
      <c r="AO708" s="88">
        <v>16.93</v>
      </c>
      <c r="AP708" s="6" t="str">
        <f t="shared" si="115"/>
        <v>Same</v>
      </c>
      <c r="AQ708" s="81">
        <f t="shared" si="116"/>
        <v>0</v>
      </c>
      <c r="AR708" s="81">
        <f t="shared" si="117"/>
        <v>0</v>
      </c>
      <c r="AS708" s="81">
        <f t="shared" si="120"/>
        <v>0</v>
      </c>
    </row>
    <row r="709" spans="1:45" hidden="1" x14ac:dyDescent="0.3">
      <c r="A709">
        <v>5321442</v>
      </c>
      <c r="B709" s="15" t="s">
        <v>6045</v>
      </c>
      <c r="C709" s="16" t="s">
        <v>30</v>
      </c>
      <c r="D709" s="6" t="s">
        <v>31</v>
      </c>
      <c r="E709" t="s">
        <v>1302</v>
      </c>
      <c r="F709" t="s">
        <v>1302</v>
      </c>
      <c r="H709" s="11" t="s">
        <v>27</v>
      </c>
      <c r="I709" s="6" t="s">
        <v>28</v>
      </c>
      <c r="J709" s="6" t="s">
        <v>28</v>
      </c>
      <c r="K709" t="s">
        <v>32</v>
      </c>
      <c r="L709" s="35">
        <v>76.540000000000006</v>
      </c>
      <c r="M709" s="6" t="s">
        <v>29</v>
      </c>
      <c r="N709" s="6">
        <v>3105</v>
      </c>
      <c r="P709" s="18"/>
      <c r="Q709" s="17"/>
      <c r="R709" s="19">
        <v>76.540000000000006</v>
      </c>
      <c r="S709" s="19">
        <v>76.540000000000006</v>
      </c>
      <c r="T709" s="38">
        <v>5</v>
      </c>
      <c r="U709" s="38"/>
      <c r="V709" s="30">
        <v>76.540000000000006</v>
      </c>
      <c r="W709" s="35">
        <v>76.540000000000006</v>
      </c>
      <c r="X709" s="32">
        <f t="shared" si="110"/>
        <v>382.70000000000005</v>
      </c>
      <c r="Y709" s="32">
        <f t="shared" si="111"/>
        <v>382.70000000000005</v>
      </c>
      <c r="Z709" s="32">
        <f t="shared" si="112"/>
        <v>0</v>
      </c>
      <c r="AA709" s="38">
        <v>5</v>
      </c>
      <c r="AB709" s="37">
        <f>IFERROR(VLOOKUP(A709,'Tash Lookup'!A:E,3,FALSE),"")</f>
        <v>379.4</v>
      </c>
      <c r="AC709" s="6">
        <f t="shared" si="113"/>
        <v>0</v>
      </c>
      <c r="AD709" s="2" t="s">
        <v>6703</v>
      </c>
      <c r="AF709" s="56">
        <v>85.28</v>
      </c>
      <c r="AG709" s="56">
        <f>VLOOKUP(A709,Sheet1!$A$2:$C$1140,3,FALSE)</f>
        <v>85.28</v>
      </c>
      <c r="AH709" s="58">
        <v>85.28</v>
      </c>
      <c r="AI709" s="56" t="str">
        <f t="shared" si="114"/>
        <v>Same</v>
      </c>
      <c r="AJ709" s="81">
        <f t="shared" si="118"/>
        <v>426.4</v>
      </c>
      <c r="AK709" s="81">
        <f t="shared" si="119"/>
        <v>426.4</v>
      </c>
      <c r="AL709" s="58" t="s">
        <v>7206</v>
      </c>
      <c r="AM709" s="58" t="s">
        <v>6703</v>
      </c>
      <c r="AN709" s="75">
        <v>2</v>
      </c>
      <c r="AO709" s="88">
        <v>85.28</v>
      </c>
      <c r="AP709" s="6" t="str">
        <f t="shared" si="115"/>
        <v>Same</v>
      </c>
      <c r="AQ709" s="81">
        <f t="shared" si="116"/>
        <v>170.56</v>
      </c>
      <c r="AR709" s="81">
        <f t="shared" si="117"/>
        <v>170.56</v>
      </c>
      <c r="AS709" s="81">
        <f t="shared" si="120"/>
        <v>0</v>
      </c>
    </row>
    <row r="710" spans="1:45" hidden="1" x14ac:dyDescent="0.3">
      <c r="A710">
        <v>6108953</v>
      </c>
      <c r="B710" s="15" t="s">
        <v>6046</v>
      </c>
      <c r="C710" s="16" t="s">
        <v>30</v>
      </c>
      <c r="D710" s="6" t="s">
        <v>31</v>
      </c>
      <c r="E710" t="s">
        <v>661</v>
      </c>
      <c r="F710" t="s">
        <v>661</v>
      </c>
      <c r="H710" s="11" t="s">
        <v>27</v>
      </c>
      <c r="I710" s="6" t="s">
        <v>28</v>
      </c>
      <c r="J710" s="6" t="s">
        <v>28</v>
      </c>
      <c r="K710" t="s">
        <v>32</v>
      </c>
      <c r="L710" s="35">
        <v>6.27</v>
      </c>
      <c r="M710" s="6" t="s">
        <v>29</v>
      </c>
      <c r="N710" s="6">
        <v>3105</v>
      </c>
      <c r="P710" s="18"/>
      <c r="Q710" s="17"/>
      <c r="R710" s="19">
        <v>6.27</v>
      </c>
      <c r="S710" s="19">
        <v>6.27</v>
      </c>
      <c r="T710" s="38">
        <v>5</v>
      </c>
      <c r="U710" s="38"/>
      <c r="V710" s="30">
        <v>6.27</v>
      </c>
      <c r="W710" s="35">
        <v>6.27</v>
      </c>
      <c r="X710" s="32">
        <f t="shared" ref="X710:X773" si="121">SUM(V710*T710)</f>
        <v>31.349999999999998</v>
      </c>
      <c r="Y710" s="32">
        <f t="shared" ref="Y710:Y773" si="122">SUM(L710*T710)</f>
        <v>31.349999999999998</v>
      </c>
      <c r="Z710" s="32">
        <f t="shared" ref="Z710:Z773" si="123">SUM(X710-Y710)</f>
        <v>0</v>
      </c>
      <c r="AA710" s="38">
        <v>5</v>
      </c>
      <c r="AB710" s="37">
        <f>IFERROR(VLOOKUP(A710,'Tash Lookup'!A:E,3,FALSE),"")</f>
        <v>31.36</v>
      </c>
      <c r="AC710" s="6">
        <f t="shared" ref="AC710:AC773" si="124">IFERROR(AA710-T710,"")</f>
        <v>0</v>
      </c>
      <c r="AD710" s="2" t="s">
        <v>6703</v>
      </c>
      <c r="AF710" s="56">
        <v>6.27</v>
      </c>
      <c r="AG710" s="56">
        <f>VLOOKUP(A710,Sheet1!$A$2:$C$1140,3,FALSE)</f>
        <v>6.27</v>
      </c>
      <c r="AH710" s="58">
        <v>6.27</v>
      </c>
      <c r="AI710" s="56" t="str">
        <f t="shared" ref="AI710:AI773" si="125">IF(ISNA(AH710),"Delete",IF(AH710=AF710,"Same",IF(AH710&gt;AF710,"Increase","Decrease")))</f>
        <v>Same</v>
      </c>
      <c r="AJ710" s="81">
        <f t="shared" si="118"/>
        <v>31.349999999999998</v>
      </c>
      <c r="AK710" s="81">
        <f t="shared" si="119"/>
        <v>31.349999999999998</v>
      </c>
      <c r="AL710" s="58" t="s">
        <v>7206</v>
      </c>
      <c r="AM710" s="58" t="s">
        <v>6703</v>
      </c>
      <c r="AN710" s="75">
        <v>70</v>
      </c>
      <c r="AO710" s="88">
        <v>6.27</v>
      </c>
      <c r="AP710" s="6" t="str">
        <f t="shared" ref="AP710:AP773" si="126">IF(AM710="Delete","Delete",IF(AO710=AF710,"Same",IF(AO710&gt;AF710,"Increase","Decrease")))</f>
        <v>Same</v>
      </c>
      <c r="AQ710" s="81">
        <f t="shared" ref="AQ710:AQ773" si="127">AN710*AF710</f>
        <v>438.9</v>
      </c>
      <c r="AR710" s="81">
        <f t="shared" ref="AR710:AR773" si="128">AN710*AO710</f>
        <v>438.9</v>
      </c>
      <c r="AS710" s="81">
        <f t="shared" si="120"/>
        <v>0</v>
      </c>
    </row>
    <row r="711" spans="1:45" hidden="1" x14ac:dyDescent="0.3">
      <c r="A711">
        <v>6393689</v>
      </c>
      <c r="B711" s="15" t="s">
        <v>6047</v>
      </c>
      <c r="C711" s="16" t="s">
        <v>30</v>
      </c>
      <c r="D711" s="6" t="s">
        <v>31</v>
      </c>
      <c r="E711" t="s">
        <v>664</v>
      </c>
      <c r="F711" t="s">
        <v>664</v>
      </c>
      <c r="H711" s="11" t="s">
        <v>27</v>
      </c>
      <c r="I711" s="6" t="s">
        <v>28</v>
      </c>
      <c r="J711" s="6" t="s">
        <v>28</v>
      </c>
      <c r="K711" t="s">
        <v>32</v>
      </c>
      <c r="L711" s="35">
        <v>8.1300000000000008</v>
      </c>
      <c r="M711" s="6" t="s">
        <v>29</v>
      </c>
      <c r="N711" s="6">
        <v>3105</v>
      </c>
      <c r="P711" s="18"/>
      <c r="Q711" s="17"/>
      <c r="R711" s="19">
        <v>8.1300000000000008</v>
      </c>
      <c r="S711" s="19">
        <v>8.1300000000000008</v>
      </c>
      <c r="T711" s="38">
        <v>5</v>
      </c>
      <c r="U711" s="38"/>
      <c r="V711" s="30">
        <v>8.1300000000000008</v>
      </c>
      <c r="W711" s="35">
        <v>8.1300000000000008</v>
      </c>
      <c r="X711" s="32">
        <f t="shared" si="121"/>
        <v>40.650000000000006</v>
      </c>
      <c r="Y711" s="32">
        <f t="shared" si="122"/>
        <v>40.650000000000006</v>
      </c>
      <c r="Z711" s="32">
        <f t="shared" si="123"/>
        <v>0</v>
      </c>
      <c r="AA711" s="38">
        <v>5</v>
      </c>
      <c r="AB711" s="37">
        <f>IFERROR(VLOOKUP(A711,'Tash Lookup'!A:E,3,FALSE),"")</f>
        <v>40.67</v>
      </c>
      <c r="AC711" s="6">
        <f t="shared" si="124"/>
        <v>0</v>
      </c>
      <c r="AD711" s="2" t="s">
        <v>6703</v>
      </c>
      <c r="AF711" s="56">
        <v>8.3800000000000008</v>
      </c>
      <c r="AG711" s="56">
        <f>VLOOKUP(A711,Sheet1!$A$2:$C$1140,3,FALSE)</f>
        <v>8.5500000000000007</v>
      </c>
      <c r="AH711" s="58">
        <v>8.5500000000000007</v>
      </c>
      <c r="AI711" s="56" t="str">
        <f t="shared" si="125"/>
        <v>Increase</v>
      </c>
      <c r="AJ711" s="81">
        <f t="shared" ref="AJ711:AJ774" si="129">IFERROR(AA711*AF711,0)</f>
        <v>41.900000000000006</v>
      </c>
      <c r="AK711" s="81">
        <f t="shared" ref="AK711:AK774" si="130">IFERROR(AA711*AH711,0)</f>
        <v>42.75</v>
      </c>
      <c r="AL711" s="58" t="s">
        <v>7206</v>
      </c>
      <c r="AM711" s="58" t="s">
        <v>6703</v>
      </c>
      <c r="AN711" s="75">
        <v>5</v>
      </c>
      <c r="AO711" s="88">
        <v>8.5500000000000007</v>
      </c>
      <c r="AP711" s="6" t="str">
        <f t="shared" si="126"/>
        <v>Increase</v>
      </c>
      <c r="AQ711" s="81">
        <f t="shared" si="127"/>
        <v>41.900000000000006</v>
      </c>
      <c r="AR711" s="81">
        <f t="shared" si="128"/>
        <v>42.75</v>
      </c>
      <c r="AS711" s="82">
        <f t="shared" ref="AS711:AS774" si="131">AR711-AQ711</f>
        <v>0.84999999999999432</v>
      </c>
    </row>
    <row r="712" spans="1:45" hidden="1" x14ac:dyDescent="0.3">
      <c r="A712">
        <v>5218588</v>
      </c>
      <c r="B712" s="15" t="s">
        <v>6048</v>
      </c>
      <c r="C712" s="16" t="s">
        <v>30</v>
      </c>
      <c r="D712" s="6" t="s">
        <v>31</v>
      </c>
      <c r="E712" t="s">
        <v>84</v>
      </c>
      <c r="F712" t="s">
        <v>84</v>
      </c>
      <c r="H712" s="11" t="s">
        <v>27</v>
      </c>
      <c r="I712" s="6" t="s">
        <v>28</v>
      </c>
      <c r="J712" s="6" t="s">
        <v>28</v>
      </c>
      <c r="K712" t="s">
        <v>32</v>
      </c>
      <c r="L712" s="35">
        <v>19.760000000000002</v>
      </c>
      <c r="M712" s="6" t="s">
        <v>29</v>
      </c>
      <c r="N712" s="6">
        <v>3105</v>
      </c>
      <c r="P712" s="18"/>
      <c r="Q712" s="17"/>
      <c r="R712" s="19">
        <v>18.79</v>
      </c>
      <c r="S712" s="19">
        <v>18.79</v>
      </c>
      <c r="T712" s="38">
        <v>5</v>
      </c>
      <c r="U712" s="38"/>
      <c r="V712" s="29">
        <v>17.850499999999997</v>
      </c>
      <c r="W712" s="35">
        <v>15.36</v>
      </c>
      <c r="X712" s="32">
        <f t="shared" si="121"/>
        <v>89.252499999999984</v>
      </c>
      <c r="Y712" s="32">
        <f t="shared" si="122"/>
        <v>98.800000000000011</v>
      </c>
      <c r="Z712" s="32">
        <f t="shared" si="123"/>
        <v>-9.5475000000000279</v>
      </c>
      <c r="AA712" s="38">
        <v>5</v>
      </c>
      <c r="AB712" s="37">
        <f>IFERROR(VLOOKUP(A712,'Tash Lookup'!A:E,3,FALSE),"")</f>
        <v>96.86</v>
      </c>
      <c r="AC712" s="6">
        <f t="shared" si="124"/>
        <v>0</v>
      </c>
      <c r="AD712" s="2" t="s">
        <v>6703</v>
      </c>
      <c r="AF712" s="56">
        <v>20.9</v>
      </c>
      <c r="AG712" s="56">
        <f>VLOOKUP(A712,Sheet1!$A$2:$C$1140,3,FALSE)</f>
        <v>20.9</v>
      </c>
      <c r="AH712" s="58">
        <v>20.9</v>
      </c>
      <c r="AI712" s="56" t="str">
        <f t="shared" si="125"/>
        <v>Same</v>
      </c>
      <c r="AJ712" s="81">
        <f t="shared" si="129"/>
        <v>104.5</v>
      </c>
      <c r="AK712" s="81">
        <f t="shared" si="130"/>
        <v>104.5</v>
      </c>
      <c r="AL712" s="58" t="s">
        <v>32</v>
      </c>
      <c r="AM712" s="58" t="s">
        <v>6703</v>
      </c>
      <c r="AN712" s="75">
        <v>4</v>
      </c>
      <c r="AO712" s="88">
        <v>20.9</v>
      </c>
      <c r="AP712" s="6" t="str">
        <f t="shared" si="126"/>
        <v>Same</v>
      </c>
      <c r="AQ712" s="81">
        <f t="shared" si="127"/>
        <v>83.6</v>
      </c>
      <c r="AR712" s="81">
        <f t="shared" si="128"/>
        <v>83.6</v>
      </c>
      <c r="AS712" s="81">
        <f t="shared" si="131"/>
        <v>0</v>
      </c>
    </row>
    <row r="713" spans="1:45" hidden="1" x14ac:dyDescent="0.3">
      <c r="A713">
        <v>5092218</v>
      </c>
      <c r="B713" s="15" t="s">
        <v>6049</v>
      </c>
      <c r="C713" s="16" t="s">
        <v>30</v>
      </c>
      <c r="D713" s="6" t="s">
        <v>31</v>
      </c>
      <c r="E713" t="s">
        <v>551</v>
      </c>
      <c r="F713" t="s">
        <v>551</v>
      </c>
      <c r="H713" s="11" t="s">
        <v>27</v>
      </c>
      <c r="I713" s="6" t="s">
        <v>28</v>
      </c>
      <c r="J713" s="6" t="s">
        <v>28</v>
      </c>
      <c r="K713" t="s">
        <v>32</v>
      </c>
      <c r="L713" s="35">
        <v>15.36</v>
      </c>
      <c r="M713" s="6" t="s">
        <v>29</v>
      </c>
      <c r="N713" s="6">
        <v>3105</v>
      </c>
      <c r="P713" s="18"/>
      <c r="Q713" s="17"/>
      <c r="R713" s="19">
        <v>15.36</v>
      </c>
      <c r="S713" s="19">
        <v>15.36</v>
      </c>
      <c r="T713" s="38">
        <v>5</v>
      </c>
      <c r="U713" s="38"/>
      <c r="V713" s="29">
        <v>15.36</v>
      </c>
      <c r="W713" s="35">
        <v>23.82</v>
      </c>
      <c r="X713" s="32">
        <f t="shared" si="121"/>
        <v>76.8</v>
      </c>
      <c r="Y713" s="32">
        <f t="shared" si="122"/>
        <v>76.8</v>
      </c>
      <c r="Z713" s="32">
        <f t="shared" si="123"/>
        <v>0</v>
      </c>
      <c r="AA713" s="38">
        <v>5</v>
      </c>
      <c r="AB713" s="37">
        <f>IFERROR(VLOOKUP(A713,'Tash Lookup'!A:E,3,FALSE),"")</f>
        <v>77.739999999999995</v>
      </c>
      <c r="AC713" s="6">
        <f t="shared" si="124"/>
        <v>0</v>
      </c>
      <c r="AD713" s="2" t="s">
        <v>6703</v>
      </c>
      <c r="AF713" s="56">
        <v>16.95</v>
      </c>
      <c r="AG713" s="56">
        <f>VLOOKUP(A713,Sheet1!$A$2:$C$1140,3,FALSE)</f>
        <v>17.46</v>
      </c>
      <c r="AH713" s="58">
        <v>17.46</v>
      </c>
      <c r="AI713" s="56" t="str">
        <f t="shared" si="125"/>
        <v>Increase</v>
      </c>
      <c r="AJ713" s="81">
        <f t="shared" si="129"/>
        <v>84.75</v>
      </c>
      <c r="AK713" s="81">
        <f t="shared" si="130"/>
        <v>87.300000000000011</v>
      </c>
      <c r="AL713" s="58" t="s">
        <v>32</v>
      </c>
      <c r="AM713" s="58" t="s">
        <v>6703</v>
      </c>
      <c r="AN713" s="75">
        <v>11</v>
      </c>
      <c r="AO713" s="88">
        <v>17.46</v>
      </c>
      <c r="AP713" s="6" t="str">
        <f t="shared" si="126"/>
        <v>Increase</v>
      </c>
      <c r="AQ713" s="81">
        <f t="shared" si="127"/>
        <v>186.45</v>
      </c>
      <c r="AR713" s="81">
        <f t="shared" si="128"/>
        <v>192.06</v>
      </c>
      <c r="AS713" s="82">
        <f t="shared" si="131"/>
        <v>5.6100000000000136</v>
      </c>
    </row>
    <row r="714" spans="1:45" hidden="1" x14ac:dyDescent="0.3">
      <c r="A714">
        <v>6364869</v>
      </c>
      <c r="B714" s="15" t="s">
        <v>6050</v>
      </c>
      <c r="C714" s="16" t="s">
        <v>30</v>
      </c>
      <c r="D714" s="6" t="s">
        <v>31</v>
      </c>
      <c r="E714" t="s">
        <v>2563</v>
      </c>
      <c r="F714" t="s">
        <v>2563</v>
      </c>
      <c r="H714" s="11" t="s">
        <v>27</v>
      </c>
      <c r="I714" s="6" t="s">
        <v>28</v>
      </c>
      <c r="J714" s="6" t="s">
        <v>28</v>
      </c>
      <c r="K714" t="s">
        <v>32</v>
      </c>
      <c r="L714" s="35">
        <v>23.82</v>
      </c>
      <c r="M714" s="6" t="s">
        <v>29</v>
      </c>
      <c r="N714" s="6">
        <v>3105</v>
      </c>
      <c r="P714" s="18"/>
      <c r="Q714" s="17"/>
      <c r="R714" s="19">
        <v>0</v>
      </c>
      <c r="S714" s="19">
        <v>0</v>
      </c>
      <c r="T714" s="38">
        <v>5</v>
      </c>
      <c r="U714" s="38"/>
      <c r="V714" s="29">
        <v>23.82</v>
      </c>
      <c r="W714" s="35">
        <v>6.57</v>
      </c>
      <c r="X714" s="32">
        <f t="shared" si="121"/>
        <v>119.1</v>
      </c>
      <c r="Y714" s="32">
        <f t="shared" si="122"/>
        <v>119.1</v>
      </c>
      <c r="Z714" s="32">
        <f t="shared" si="123"/>
        <v>0</v>
      </c>
      <c r="AA714" s="38">
        <v>5</v>
      </c>
      <c r="AB714" s="37">
        <f>IFERROR(VLOOKUP(A714,'Tash Lookup'!A:E,3,FALSE),"")</f>
        <v>119.1</v>
      </c>
      <c r="AC714" s="6">
        <f t="shared" si="124"/>
        <v>0</v>
      </c>
      <c r="AD714" s="2" t="s">
        <v>6703</v>
      </c>
      <c r="AF714" s="56">
        <v>23.82</v>
      </c>
      <c r="AG714" s="56">
        <f>VLOOKUP(A714,Sheet1!$A$2:$C$1140,3,FALSE)</f>
        <v>24.86</v>
      </c>
      <c r="AH714" s="58">
        <v>24.86</v>
      </c>
      <c r="AI714" s="56" t="str">
        <f t="shared" si="125"/>
        <v>Increase</v>
      </c>
      <c r="AJ714" s="81">
        <f t="shared" si="129"/>
        <v>119.1</v>
      </c>
      <c r="AK714" s="81">
        <f t="shared" si="130"/>
        <v>124.3</v>
      </c>
      <c r="AL714" s="58" t="s">
        <v>7206</v>
      </c>
      <c r="AM714" s="58" t="s">
        <v>6703</v>
      </c>
      <c r="AN714" s="75">
        <v>8</v>
      </c>
      <c r="AO714" s="88">
        <v>24.86</v>
      </c>
      <c r="AP714" s="6" t="str">
        <f t="shared" si="126"/>
        <v>Increase</v>
      </c>
      <c r="AQ714" s="81">
        <f t="shared" si="127"/>
        <v>190.56</v>
      </c>
      <c r="AR714" s="81">
        <f t="shared" si="128"/>
        <v>198.88</v>
      </c>
      <c r="AS714" s="82">
        <f t="shared" si="131"/>
        <v>8.3199999999999932</v>
      </c>
    </row>
    <row r="715" spans="1:45" hidden="1" x14ac:dyDescent="0.3">
      <c r="A715">
        <v>6183959</v>
      </c>
      <c r="B715" s="15" t="s">
        <v>6051</v>
      </c>
      <c r="C715" s="16" t="s">
        <v>30</v>
      </c>
      <c r="D715" s="6" t="s">
        <v>31</v>
      </c>
      <c r="E715" t="s">
        <v>816</v>
      </c>
      <c r="F715" t="s">
        <v>816</v>
      </c>
      <c r="H715" s="11" t="s">
        <v>27</v>
      </c>
      <c r="I715" s="6" t="s">
        <v>28</v>
      </c>
      <c r="J715" s="6" t="s">
        <v>28</v>
      </c>
      <c r="K715" t="s">
        <v>32</v>
      </c>
      <c r="L715" s="35">
        <v>6.57</v>
      </c>
      <c r="M715" s="6" t="s">
        <v>29</v>
      </c>
      <c r="N715" s="6">
        <v>3105</v>
      </c>
      <c r="P715" s="18"/>
      <c r="Q715" s="17"/>
      <c r="R715" s="19">
        <v>6.57</v>
      </c>
      <c r="S715" s="19">
        <v>6.57</v>
      </c>
      <c r="T715" s="38">
        <v>5</v>
      </c>
      <c r="U715" s="38"/>
      <c r="V715" s="30">
        <v>6.57</v>
      </c>
      <c r="W715" s="35">
        <v>14.32</v>
      </c>
      <c r="X715" s="32">
        <f t="shared" si="121"/>
        <v>32.85</v>
      </c>
      <c r="Y715" s="32">
        <f t="shared" si="122"/>
        <v>32.85</v>
      </c>
      <c r="Z715" s="32">
        <f t="shared" si="123"/>
        <v>0</v>
      </c>
      <c r="AA715" s="38">
        <v>5</v>
      </c>
      <c r="AB715" s="37">
        <f>IFERROR(VLOOKUP(A715,'Tash Lookup'!A:E,3,FALSE),"")</f>
        <v>32.31</v>
      </c>
      <c r="AC715" s="6">
        <f t="shared" si="124"/>
        <v>0</v>
      </c>
      <c r="AD715" s="2" t="s">
        <v>6703</v>
      </c>
      <c r="AF715" s="56">
        <v>6.57</v>
      </c>
      <c r="AG715" s="56" t="e">
        <f>VLOOKUP(A715,Sheet1!$A$2:$C$1140,3,FALSE)</f>
        <v>#N/A</v>
      </c>
      <c r="AH715" s="58" t="e">
        <v>#N/A</v>
      </c>
      <c r="AI715" s="56" t="str">
        <f t="shared" si="125"/>
        <v>Delete</v>
      </c>
      <c r="AJ715" s="81">
        <f t="shared" si="129"/>
        <v>32.85</v>
      </c>
      <c r="AK715" s="81">
        <f t="shared" si="130"/>
        <v>0</v>
      </c>
      <c r="AL715" s="58" t="s">
        <v>7206</v>
      </c>
      <c r="AM715" s="58" t="s">
        <v>6708</v>
      </c>
      <c r="AN715" s="75">
        <v>1</v>
      </c>
      <c r="AO715" s="88">
        <v>6.57</v>
      </c>
      <c r="AP715" s="6" t="str">
        <f t="shared" si="126"/>
        <v>Same</v>
      </c>
      <c r="AQ715" s="81">
        <f t="shared" si="127"/>
        <v>6.57</v>
      </c>
      <c r="AR715" s="81">
        <f t="shared" si="128"/>
        <v>6.57</v>
      </c>
      <c r="AS715" s="81">
        <f t="shared" si="131"/>
        <v>0</v>
      </c>
    </row>
    <row r="716" spans="1:45" hidden="1" x14ac:dyDescent="0.3">
      <c r="A716">
        <v>5313745</v>
      </c>
      <c r="B716" s="15" t="s">
        <v>6052</v>
      </c>
      <c r="C716" s="16" t="s">
        <v>30</v>
      </c>
      <c r="D716" s="6" t="s">
        <v>31</v>
      </c>
      <c r="E716" t="s">
        <v>391</v>
      </c>
      <c r="F716" t="s">
        <v>391</v>
      </c>
      <c r="H716" s="11" t="s">
        <v>27</v>
      </c>
      <c r="I716" s="6" t="s">
        <v>28</v>
      </c>
      <c r="J716" s="6" t="s">
        <v>28</v>
      </c>
      <c r="K716" t="s">
        <v>32</v>
      </c>
      <c r="L716" s="35">
        <v>14.32</v>
      </c>
      <c r="M716" s="6" t="s">
        <v>29</v>
      </c>
      <c r="N716" s="6">
        <v>3105</v>
      </c>
      <c r="P716" s="18"/>
      <c r="Q716" s="17"/>
      <c r="R716" s="19">
        <v>14.32</v>
      </c>
      <c r="S716" s="19">
        <v>14.32</v>
      </c>
      <c r="T716" s="38">
        <v>5</v>
      </c>
      <c r="U716" s="38"/>
      <c r="V716" s="30">
        <v>14.32</v>
      </c>
      <c r="W716" s="45">
        <v>19.760000000000002</v>
      </c>
      <c r="X716" s="32">
        <f t="shared" si="121"/>
        <v>71.599999999999994</v>
      </c>
      <c r="Y716" s="32">
        <f t="shared" si="122"/>
        <v>71.599999999999994</v>
      </c>
      <c r="Z716" s="32">
        <f t="shared" si="123"/>
        <v>0</v>
      </c>
      <c r="AA716" s="38">
        <v>5</v>
      </c>
      <c r="AB716" s="37">
        <f>IFERROR(VLOOKUP(A716,'Tash Lookup'!A:E,3,FALSE),"")</f>
        <v>71.58</v>
      </c>
      <c r="AC716" s="6">
        <f t="shared" si="124"/>
        <v>0</v>
      </c>
      <c r="AD716" s="2" t="s">
        <v>6703</v>
      </c>
      <c r="AF716" s="56">
        <v>15.08</v>
      </c>
      <c r="AG716" s="56">
        <f>VLOOKUP(A716,Sheet1!$A$2:$C$1140,3,FALSE)</f>
        <v>15.53</v>
      </c>
      <c r="AH716" s="58">
        <v>15.53</v>
      </c>
      <c r="AI716" s="56" t="str">
        <f t="shared" si="125"/>
        <v>Increase</v>
      </c>
      <c r="AJ716" s="81">
        <f t="shared" si="129"/>
        <v>75.400000000000006</v>
      </c>
      <c r="AK716" s="81">
        <f t="shared" si="130"/>
        <v>77.649999999999991</v>
      </c>
      <c r="AL716" s="58" t="s">
        <v>32</v>
      </c>
      <c r="AM716" s="58" t="s">
        <v>6703</v>
      </c>
      <c r="AN716" s="75">
        <v>35</v>
      </c>
      <c r="AO716" s="88">
        <v>15.53</v>
      </c>
      <c r="AP716" s="6" t="str">
        <f t="shared" si="126"/>
        <v>Increase</v>
      </c>
      <c r="AQ716" s="81">
        <f t="shared" si="127"/>
        <v>527.79999999999995</v>
      </c>
      <c r="AR716" s="81">
        <f t="shared" si="128"/>
        <v>543.54999999999995</v>
      </c>
      <c r="AS716" s="82">
        <f t="shared" si="131"/>
        <v>15.75</v>
      </c>
    </row>
    <row r="717" spans="1:45" hidden="1" x14ac:dyDescent="0.3">
      <c r="A717">
        <v>5091096</v>
      </c>
      <c r="B717" s="15" t="s">
        <v>6053</v>
      </c>
      <c r="C717" s="16" t="s">
        <v>30</v>
      </c>
      <c r="D717" s="6" t="s">
        <v>31</v>
      </c>
      <c r="E717" t="s">
        <v>2537</v>
      </c>
      <c r="F717" t="s">
        <v>2537</v>
      </c>
      <c r="H717" s="11" t="s">
        <v>27</v>
      </c>
      <c r="I717" s="6" t="s">
        <v>28</v>
      </c>
      <c r="J717" s="6" t="s">
        <v>28</v>
      </c>
      <c r="K717" t="s">
        <v>32</v>
      </c>
      <c r="L717" s="35">
        <v>24.96</v>
      </c>
      <c r="M717" s="6" t="s">
        <v>29</v>
      </c>
      <c r="N717" s="6">
        <v>3105</v>
      </c>
      <c r="P717" s="18"/>
      <c r="Q717" s="17"/>
      <c r="R717" s="19">
        <v>24.96</v>
      </c>
      <c r="S717" s="19">
        <v>24.96</v>
      </c>
      <c r="T717" s="38">
        <v>4</v>
      </c>
      <c r="U717" s="38"/>
      <c r="V717" s="29" t="e">
        <v>#N/A</v>
      </c>
      <c r="W717" s="35">
        <v>24.96</v>
      </c>
      <c r="X717" s="32" t="e">
        <f t="shared" si="121"/>
        <v>#N/A</v>
      </c>
      <c r="Y717" s="32">
        <f t="shared" si="122"/>
        <v>99.84</v>
      </c>
      <c r="Z717" s="32" t="e">
        <f t="shared" si="123"/>
        <v>#N/A</v>
      </c>
      <c r="AA717" s="38">
        <v>4</v>
      </c>
      <c r="AB717" s="37">
        <f>IFERROR(VLOOKUP(A717,'Tash Lookup'!A:E,3,FALSE),"")</f>
        <v>99.85</v>
      </c>
      <c r="AC717" s="6">
        <f t="shared" si="124"/>
        <v>0</v>
      </c>
      <c r="AD717" s="2" t="s">
        <v>6703</v>
      </c>
      <c r="AF717" s="56">
        <v>20.56</v>
      </c>
      <c r="AG717" s="56">
        <f>VLOOKUP(A717,Sheet1!$A$2:$C$1140,3,FALSE)</f>
        <v>20.56</v>
      </c>
      <c r="AH717" s="58">
        <v>20.56</v>
      </c>
      <c r="AI717" s="56" t="str">
        <f t="shared" si="125"/>
        <v>Same</v>
      </c>
      <c r="AJ717" s="81">
        <f t="shared" si="129"/>
        <v>82.24</v>
      </c>
      <c r="AK717" s="81">
        <f t="shared" si="130"/>
        <v>82.24</v>
      </c>
      <c r="AL717" s="58" t="s">
        <v>7206</v>
      </c>
      <c r="AM717" s="58" t="s">
        <v>6703</v>
      </c>
      <c r="AN717" s="75">
        <v>0</v>
      </c>
      <c r="AO717" s="88">
        <v>20.56</v>
      </c>
      <c r="AP717" s="6" t="str">
        <f t="shared" si="126"/>
        <v>Same</v>
      </c>
      <c r="AQ717" s="81">
        <f t="shared" si="127"/>
        <v>0</v>
      </c>
      <c r="AR717" s="81">
        <f t="shared" si="128"/>
        <v>0</v>
      </c>
      <c r="AS717" s="81">
        <f t="shared" si="131"/>
        <v>0</v>
      </c>
    </row>
    <row r="718" spans="1:45" hidden="1" x14ac:dyDescent="0.3">
      <c r="A718">
        <v>5218686</v>
      </c>
      <c r="B718" s="15" t="s">
        <v>6054</v>
      </c>
      <c r="C718" s="16" t="s">
        <v>30</v>
      </c>
      <c r="D718" s="6" t="s">
        <v>31</v>
      </c>
      <c r="E718" t="s">
        <v>294</v>
      </c>
      <c r="F718" t="s">
        <v>294</v>
      </c>
      <c r="H718" s="11" t="s">
        <v>27</v>
      </c>
      <c r="I718" s="6" t="s">
        <v>28</v>
      </c>
      <c r="J718" s="6" t="s">
        <v>28</v>
      </c>
      <c r="K718" t="s">
        <v>32</v>
      </c>
      <c r="L718" s="35">
        <v>19.2</v>
      </c>
      <c r="M718" s="6" t="s">
        <v>29</v>
      </c>
      <c r="N718" s="6">
        <v>3105</v>
      </c>
      <c r="P718" s="18"/>
      <c r="Q718" s="17"/>
      <c r="R718" s="19">
        <v>19.2</v>
      </c>
      <c r="S718" s="19">
        <v>19.2</v>
      </c>
      <c r="T718" s="38">
        <v>4</v>
      </c>
      <c r="U718" s="38"/>
      <c r="V718" s="29">
        <v>19.2</v>
      </c>
      <c r="W718" s="45">
        <v>12.83</v>
      </c>
      <c r="X718" s="32">
        <f t="shared" si="121"/>
        <v>76.8</v>
      </c>
      <c r="Y718" s="32">
        <f t="shared" si="122"/>
        <v>76.8</v>
      </c>
      <c r="Z718" s="32">
        <f t="shared" si="123"/>
        <v>0</v>
      </c>
      <c r="AA718" s="38">
        <v>4</v>
      </c>
      <c r="AB718" s="37">
        <f>IFERROR(VLOOKUP(A718,'Tash Lookup'!A:E,3,FALSE),"")</f>
        <v>60.58</v>
      </c>
      <c r="AC718" s="6">
        <f t="shared" si="124"/>
        <v>0</v>
      </c>
      <c r="AD718" s="2" t="s">
        <v>6703</v>
      </c>
      <c r="AF718" s="56">
        <v>21.84</v>
      </c>
      <c r="AG718" s="56">
        <f>VLOOKUP(A718,Sheet1!$A$2:$C$1140,3,FALSE)</f>
        <v>22.5</v>
      </c>
      <c r="AH718" s="58">
        <v>22.5</v>
      </c>
      <c r="AI718" s="56" t="str">
        <f t="shared" si="125"/>
        <v>Increase</v>
      </c>
      <c r="AJ718" s="81">
        <f t="shared" si="129"/>
        <v>87.36</v>
      </c>
      <c r="AK718" s="81">
        <f t="shared" si="130"/>
        <v>90</v>
      </c>
      <c r="AL718" s="58" t="s">
        <v>32</v>
      </c>
      <c r="AM718" s="58" t="s">
        <v>6703</v>
      </c>
      <c r="AN718" s="75">
        <v>0</v>
      </c>
      <c r="AO718" s="88">
        <v>22.5</v>
      </c>
      <c r="AP718" s="6" t="str">
        <f t="shared" si="126"/>
        <v>Increase</v>
      </c>
      <c r="AQ718" s="81">
        <f t="shared" si="127"/>
        <v>0</v>
      </c>
      <c r="AR718" s="81">
        <f t="shared" si="128"/>
        <v>0</v>
      </c>
      <c r="AS718" s="82">
        <f t="shared" si="131"/>
        <v>0</v>
      </c>
    </row>
    <row r="719" spans="1:45" hidden="1" x14ac:dyDescent="0.3">
      <c r="A719">
        <v>5236668</v>
      </c>
      <c r="B719" s="15" t="s">
        <v>6055</v>
      </c>
      <c r="C719" s="16" t="s">
        <v>30</v>
      </c>
      <c r="D719" s="6" t="s">
        <v>31</v>
      </c>
      <c r="E719" t="s">
        <v>33</v>
      </c>
      <c r="F719" t="s">
        <v>33</v>
      </c>
      <c r="H719" s="11" t="s">
        <v>27</v>
      </c>
      <c r="I719" s="6" t="s">
        <v>28</v>
      </c>
      <c r="J719" s="6" t="s">
        <v>28</v>
      </c>
      <c r="K719" t="s">
        <v>32</v>
      </c>
      <c r="L719" s="35">
        <v>12.87</v>
      </c>
      <c r="M719" s="6" t="s">
        <v>29</v>
      </c>
      <c r="N719" s="6">
        <v>3105</v>
      </c>
      <c r="P719" s="18"/>
      <c r="Q719" s="17"/>
      <c r="R719" s="19">
        <v>12.87</v>
      </c>
      <c r="S719" s="19">
        <v>12.87</v>
      </c>
      <c r="T719" s="38">
        <v>4</v>
      </c>
      <c r="U719" s="38"/>
      <c r="V719" s="29">
        <v>12.87</v>
      </c>
      <c r="W719" s="45">
        <v>7.6</v>
      </c>
      <c r="X719" s="32">
        <f t="shared" si="121"/>
        <v>51.48</v>
      </c>
      <c r="Y719" s="32">
        <f t="shared" si="122"/>
        <v>51.48</v>
      </c>
      <c r="Z719" s="32">
        <f t="shared" si="123"/>
        <v>0</v>
      </c>
      <c r="AA719" s="38">
        <v>4</v>
      </c>
      <c r="AB719" s="37">
        <f>IFERROR(VLOOKUP(A719,'Tash Lookup'!A:E,3,FALSE),"")</f>
        <v>48.27</v>
      </c>
      <c r="AC719" s="6">
        <f t="shared" si="124"/>
        <v>0</v>
      </c>
      <c r="AD719" s="2" t="s">
        <v>6703</v>
      </c>
      <c r="AF719" s="56">
        <v>13.27</v>
      </c>
      <c r="AG719" s="56">
        <f>VLOOKUP(A719,Sheet1!$A$2:$C$1140,3,FALSE)</f>
        <v>13.27</v>
      </c>
      <c r="AH719" s="58">
        <v>13.27</v>
      </c>
      <c r="AI719" s="56" t="str">
        <f t="shared" si="125"/>
        <v>Same</v>
      </c>
      <c r="AJ719" s="81">
        <f t="shared" si="129"/>
        <v>53.08</v>
      </c>
      <c r="AK719" s="81">
        <f t="shared" si="130"/>
        <v>53.08</v>
      </c>
      <c r="AL719" s="58" t="s">
        <v>32</v>
      </c>
      <c r="AM719" s="58" t="s">
        <v>6703</v>
      </c>
      <c r="AN719" s="75">
        <v>3</v>
      </c>
      <c r="AO719" s="88">
        <v>13.27</v>
      </c>
      <c r="AP719" s="6" t="str">
        <f t="shared" si="126"/>
        <v>Same</v>
      </c>
      <c r="AQ719" s="81">
        <f t="shared" si="127"/>
        <v>39.81</v>
      </c>
      <c r="AR719" s="81">
        <f t="shared" si="128"/>
        <v>39.81</v>
      </c>
      <c r="AS719" s="81">
        <f t="shared" si="131"/>
        <v>0</v>
      </c>
    </row>
    <row r="720" spans="1:45" hidden="1" x14ac:dyDescent="0.3">
      <c r="A720">
        <v>5254525</v>
      </c>
      <c r="B720" s="15" t="s">
        <v>6056</v>
      </c>
      <c r="C720" s="16" t="s">
        <v>30</v>
      </c>
      <c r="D720" s="6" t="s">
        <v>31</v>
      </c>
      <c r="E720" t="s">
        <v>278</v>
      </c>
      <c r="F720" t="s">
        <v>278</v>
      </c>
      <c r="H720" s="11" t="s">
        <v>27</v>
      </c>
      <c r="I720" s="6" t="s">
        <v>28</v>
      </c>
      <c r="J720" s="6" t="s">
        <v>28</v>
      </c>
      <c r="K720" t="s">
        <v>32</v>
      </c>
      <c r="L720" s="35">
        <v>16.86</v>
      </c>
      <c r="M720" s="6" t="s">
        <v>29</v>
      </c>
      <c r="N720" s="6">
        <v>3105</v>
      </c>
      <c r="P720" s="18"/>
      <c r="Q720" s="17"/>
      <c r="R720" s="19">
        <v>16.86</v>
      </c>
      <c r="S720" s="19">
        <v>16.86</v>
      </c>
      <c r="T720" s="38">
        <v>4</v>
      </c>
      <c r="U720" s="38"/>
      <c r="V720" s="29">
        <v>16.86</v>
      </c>
      <c r="W720" s="45">
        <v>12.14</v>
      </c>
      <c r="X720" s="32">
        <f t="shared" si="121"/>
        <v>67.44</v>
      </c>
      <c r="Y720" s="32">
        <f t="shared" si="122"/>
        <v>67.44</v>
      </c>
      <c r="Z720" s="32">
        <f t="shared" si="123"/>
        <v>0</v>
      </c>
      <c r="AA720" s="38">
        <v>4</v>
      </c>
      <c r="AB720" s="37">
        <f>IFERROR(VLOOKUP(A720,'Tash Lookup'!A:E,3,FALSE),"")</f>
        <v>54.78</v>
      </c>
      <c r="AC720" s="6">
        <f t="shared" si="124"/>
        <v>0</v>
      </c>
      <c r="AD720" s="2" t="s">
        <v>6703</v>
      </c>
      <c r="AF720" s="56">
        <v>17.05</v>
      </c>
      <c r="AG720" s="56">
        <f>VLOOKUP(A720,Sheet1!$A$2:$C$1140,3,FALSE)</f>
        <v>17.57</v>
      </c>
      <c r="AH720" s="58">
        <v>17.57</v>
      </c>
      <c r="AI720" s="56" t="str">
        <f t="shared" si="125"/>
        <v>Increase</v>
      </c>
      <c r="AJ720" s="81">
        <f t="shared" si="129"/>
        <v>68.2</v>
      </c>
      <c r="AK720" s="81">
        <f t="shared" si="130"/>
        <v>70.28</v>
      </c>
      <c r="AL720" s="58" t="s">
        <v>32</v>
      </c>
      <c r="AM720" s="58" t="s">
        <v>6703</v>
      </c>
      <c r="AN720" s="75">
        <v>12</v>
      </c>
      <c r="AO720" s="88">
        <v>17.57</v>
      </c>
      <c r="AP720" s="6" t="str">
        <f t="shared" si="126"/>
        <v>Increase</v>
      </c>
      <c r="AQ720" s="81">
        <f t="shared" si="127"/>
        <v>204.60000000000002</v>
      </c>
      <c r="AR720" s="81">
        <f t="shared" si="128"/>
        <v>210.84</v>
      </c>
      <c r="AS720" s="82">
        <f t="shared" si="131"/>
        <v>6.2399999999999807</v>
      </c>
    </row>
    <row r="721" spans="1:45" hidden="1" x14ac:dyDescent="0.3">
      <c r="A721">
        <v>5236702</v>
      </c>
      <c r="B721" s="15" t="s">
        <v>6057</v>
      </c>
      <c r="C721" s="16" t="s">
        <v>30</v>
      </c>
      <c r="D721" s="6" t="s">
        <v>31</v>
      </c>
      <c r="E721" t="s">
        <v>96</v>
      </c>
      <c r="F721" t="s">
        <v>96</v>
      </c>
      <c r="H721" s="11" t="s">
        <v>27</v>
      </c>
      <c r="I721" s="6" t="s">
        <v>28</v>
      </c>
      <c r="J721" s="6" t="s">
        <v>28</v>
      </c>
      <c r="K721" t="s">
        <v>32</v>
      </c>
      <c r="L721" s="35">
        <v>9.08</v>
      </c>
      <c r="M721" s="6" t="s">
        <v>29</v>
      </c>
      <c r="N721" s="6">
        <v>3105</v>
      </c>
      <c r="P721" s="18"/>
      <c r="Q721" s="17"/>
      <c r="R721" s="19">
        <v>9.08</v>
      </c>
      <c r="S721" s="19">
        <v>9.08</v>
      </c>
      <c r="T721" s="38">
        <v>4</v>
      </c>
      <c r="U721" s="38"/>
      <c r="V721" s="29">
        <v>9.08</v>
      </c>
      <c r="W721" s="45">
        <v>5.26</v>
      </c>
      <c r="X721" s="32">
        <f t="shared" si="121"/>
        <v>36.32</v>
      </c>
      <c r="Y721" s="32">
        <f t="shared" si="122"/>
        <v>36.32</v>
      </c>
      <c r="Z721" s="32">
        <f t="shared" si="123"/>
        <v>0</v>
      </c>
      <c r="AA721" s="38">
        <v>4</v>
      </c>
      <c r="AB721" s="37">
        <f>IFERROR(VLOOKUP(A721,'Tash Lookup'!A:E,3,FALSE),"")</f>
        <v>26.18</v>
      </c>
      <c r="AC721" s="6">
        <f t="shared" si="124"/>
        <v>0</v>
      </c>
      <c r="AD721" s="2" t="s">
        <v>6703</v>
      </c>
      <c r="AF721" s="56">
        <v>9.3699999999999992</v>
      </c>
      <c r="AG721" s="56">
        <f>VLOOKUP(A721,Sheet1!$A$2:$C$1140,3,FALSE)</f>
        <v>9.3699999999999992</v>
      </c>
      <c r="AH721" s="58">
        <v>9.3699999999999992</v>
      </c>
      <c r="AI721" s="56" t="str">
        <f t="shared" si="125"/>
        <v>Same</v>
      </c>
      <c r="AJ721" s="81">
        <f t="shared" si="129"/>
        <v>37.479999999999997</v>
      </c>
      <c r="AK721" s="81">
        <f t="shared" si="130"/>
        <v>37.479999999999997</v>
      </c>
      <c r="AL721" s="58" t="s">
        <v>32</v>
      </c>
      <c r="AM721" s="58" t="s">
        <v>6703</v>
      </c>
      <c r="AN721" s="75">
        <v>0</v>
      </c>
      <c r="AO721" s="88">
        <v>9.3699999999999992</v>
      </c>
      <c r="AP721" s="6" t="str">
        <f t="shared" si="126"/>
        <v>Same</v>
      </c>
      <c r="AQ721" s="81">
        <f t="shared" si="127"/>
        <v>0</v>
      </c>
      <c r="AR721" s="81">
        <f t="shared" si="128"/>
        <v>0</v>
      </c>
      <c r="AS721" s="81">
        <f t="shared" si="131"/>
        <v>0</v>
      </c>
    </row>
    <row r="722" spans="1:45" hidden="1" x14ac:dyDescent="0.3">
      <c r="A722">
        <v>6188843</v>
      </c>
      <c r="B722" s="15" t="s">
        <v>6058</v>
      </c>
      <c r="C722" s="16" t="s">
        <v>30</v>
      </c>
      <c r="D722" s="6" t="s">
        <v>31</v>
      </c>
      <c r="E722" t="s">
        <v>791</v>
      </c>
      <c r="F722" t="s">
        <v>791</v>
      </c>
      <c r="H722" s="11" t="s">
        <v>27</v>
      </c>
      <c r="I722" s="6" t="s">
        <v>28</v>
      </c>
      <c r="J722" s="6" t="s">
        <v>28</v>
      </c>
      <c r="K722" t="s">
        <v>32</v>
      </c>
      <c r="L722" s="35">
        <v>1.42</v>
      </c>
      <c r="M722" s="6" t="s">
        <v>29</v>
      </c>
      <c r="N722" s="6">
        <v>3105</v>
      </c>
      <c r="P722" s="18"/>
      <c r="Q722" s="17"/>
      <c r="R722" s="19">
        <v>1.6</v>
      </c>
      <c r="S722" s="19">
        <v>0</v>
      </c>
      <c r="T722" s="38">
        <v>4</v>
      </c>
      <c r="U722" s="38"/>
      <c r="V722" s="30">
        <v>1.6</v>
      </c>
      <c r="W722" s="35">
        <v>1.42</v>
      </c>
      <c r="X722" s="32">
        <f t="shared" si="121"/>
        <v>6.4</v>
      </c>
      <c r="Y722" s="32">
        <f t="shared" si="122"/>
        <v>5.68</v>
      </c>
      <c r="Z722" s="32">
        <f t="shared" si="123"/>
        <v>0.72000000000000064</v>
      </c>
      <c r="AA722" s="38">
        <v>4</v>
      </c>
      <c r="AB722" s="37">
        <f>IFERROR(VLOOKUP(A722,'Tash Lookup'!A:E,3,FALSE),"")</f>
        <v>6.03</v>
      </c>
      <c r="AC722" s="6">
        <f t="shared" si="124"/>
        <v>0</v>
      </c>
      <c r="AD722" s="2" t="s">
        <v>6703</v>
      </c>
      <c r="AF722" s="56">
        <v>1.6</v>
      </c>
      <c r="AG722" s="56">
        <f>VLOOKUP(A722,Sheet1!$A$2:$C$1140,3,FALSE)</f>
        <v>1.63</v>
      </c>
      <c r="AH722" s="58">
        <v>1.63</v>
      </c>
      <c r="AI722" s="56" t="str">
        <f t="shared" si="125"/>
        <v>Increase</v>
      </c>
      <c r="AJ722" s="81">
        <f t="shared" si="129"/>
        <v>6.4</v>
      </c>
      <c r="AK722" s="81">
        <f t="shared" si="130"/>
        <v>6.52</v>
      </c>
      <c r="AL722" s="58" t="s">
        <v>7206</v>
      </c>
      <c r="AM722" s="58" t="s">
        <v>6703</v>
      </c>
      <c r="AN722" s="75">
        <v>0</v>
      </c>
      <c r="AO722" s="88">
        <v>1.63</v>
      </c>
      <c r="AP722" s="6" t="str">
        <f t="shared" si="126"/>
        <v>Increase</v>
      </c>
      <c r="AQ722" s="81">
        <f t="shared" si="127"/>
        <v>0</v>
      </c>
      <c r="AR722" s="81">
        <f t="shared" si="128"/>
        <v>0</v>
      </c>
      <c r="AS722" s="81">
        <f t="shared" si="131"/>
        <v>0</v>
      </c>
    </row>
    <row r="723" spans="1:45" hidden="1" x14ac:dyDescent="0.3">
      <c r="A723">
        <v>6107326</v>
      </c>
      <c r="B723" s="15" t="s">
        <v>6059</v>
      </c>
      <c r="C723" s="16" t="s">
        <v>30</v>
      </c>
      <c r="D723" s="6" t="s">
        <v>31</v>
      </c>
      <c r="E723" t="s">
        <v>708</v>
      </c>
      <c r="F723" t="s">
        <v>708</v>
      </c>
      <c r="H723" s="11" t="s">
        <v>27</v>
      </c>
      <c r="I723" s="6" t="s">
        <v>28</v>
      </c>
      <c r="J723" s="6" t="s">
        <v>28</v>
      </c>
      <c r="K723" t="s">
        <v>32</v>
      </c>
      <c r="L723" s="35">
        <v>8.6</v>
      </c>
      <c r="M723" s="6" t="s">
        <v>29</v>
      </c>
      <c r="N723" s="6">
        <v>3105</v>
      </c>
      <c r="P723" s="18"/>
      <c r="Q723" s="17"/>
      <c r="R723" s="19">
        <v>0</v>
      </c>
      <c r="S723" s="19">
        <v>0</v>
      </c>
      <c r="T723" s="38">
        <v>4</v>
      </c>
      <c r="U723" s="38"/>
      <c r="V723" s="31">
        <v>8.6</v>
      </c>
      <c r="W723" s="35">
        <v>8.6</v>
      </c>
      <c r="X723" s="32">
        <f t="shared" si="121"/>
        <v>34.4</v>
      </c>
      <c r="Y723" s="32">
        <f t="shared" si="122"/>
        <v>34.4</v>
      </c>
      <c r="Z723" s="32">
        <f t="shared" si="123"/>
        <v>0</v>
      </c>
      <c r="AA723" s="38">
        <v>4</v>
      </c>
      <c r="AB723" s="37">
        <f>IFERROR(VLOOKUP(A723,'Tash Lookup'!A:E,3,FALSE),"")</f>
        <v>32.909999999999997</v>
      </c>
      <c r="AC723" s="6">
        <f t="shared" si="124"/>
        <v>0</v>
      </c>
      <c r="AD723" s="2" t="s">
        <v>6703</v>
      </c>
      <c r="AF723" s="56">
        <v>8.86</v>
      </c>
      <c r="AG723" s="56">
        <f>VLOOKUP(A723,Sheet1!$A$2:$C$1140,3,FALSE)</f>
        <v>9.0399999999999991</v>
      </c>
      <c r="AH723" s="58">
        <v>9.0399999999999991</v>
      </c>
      <c r="AI723" s="56" t="str">
        <f t="shared" si="125"/>
        <v>Increase</v>
      </c>
      <c r="AJ723" s="81">
        <f t="shared" si="129"/>
        <v>35.44</v>
      </c>
      <c r="AK723" s="81">
        <f t="shared" si="130"/>
        <v>36.159999999999997</v>
      </c>
      <c r="AL723" s="58" t="s">
        <v>7206</v>
      </c>
      <c r="AM723" s="58" t="s">
        <v>6703</v>
      </c>
      <c r="AN723" s="75">
        <v>2</v>
      </c>
      <c r="AO723" s="88">
        <v>9.0399999999999991</v>
      </c>
      <c r="AP723" s="6" t="str">
        <f t="shared" si="126"/>
        <v>Increase</v>
      </c>
      <c r="AQ723" s="81">
        <f t="shared" si="127"/>
        <v>17.72</v>
      </c>
      <c r="AR723" s="81">
        <f t="shared" si="128"/>
        <v>18.079999999999998</v>
      </c>
      <c r="AS723" s="82">
        <f t="shared" si="131"/>
        <v>0.35999999999999943</v>
      </c>
    </row>
    <row r="724" spans="1:45" hidden="1" x14ac:dyDescent="0.3">
      <c r="A724">
        <v>6421425</v>
      </c>
      <c r="B724" s="15" t="s">
        <v>6060</v>
      </c>
      <c r="C724" s="16" t="s">
        <v>30</v>
      </c>
      <c r="D724" s="6" t="s">
        <v>31</v>
      </c>
      <c r="E724" t="s">
        <v>763</v>
      </c>
      <c r="F724" t="s">
        <v>763</v>
      </c>
      <c r="H724" s="11" t="s">
        <v>27</v>
      </c>
      <c r="I724" s="6" t="s">
        <v>28</v>
      </c>
      <c r="J724" s="6" t="s">
        <v>28</v>
      </c>
      <c r="K724" t="s">
        <v>32</v>
      </c>
      <c r="L724" s="35">
        <v>55.15</v>
      </c>
      <c r="M724" s="6" t="s">
        <v>29</v>
      </c>
      <c r="N724" s="6">
        <v>3105</v>
      </c>
      <c r="P724" s="18"/>
      <c r="Q724" s="17"/>
      <c r="R724" s="19">
        <v>0</v>
      </c>
      <c r="S724" s="19">
        <v>0</v>
      </c>
      <c r="T724" s="38">
        <v>4</v>
      </c>
      <c r="U724" s="38"/>
      <c r="V724" s="31">
        <v>55.15</v>
      </c>
      <c r="W724" s="35">
        <v>55.15</v>
      </c>
      <c r="X724" s="32">
        <f t="shared" si="121"/>
        <v>220.6</v>
      </c>
      <c r="Y724" s="32">
        <f t="shared" si="122"/>
        <v>220.6</v>
      </c>
      <c r="Z724" s="32">
        <f t="shared" si="123"/>
        <v>0</v>
      </c>
      <c r="AA724" s="38">
        <v>4</v>
      </c>
      <c r="AB724" s="37">
        <f>IFERROR(VLOOKUP(A724,'Tash Lookup'!A:E,3,FALSE),"")</f>
        <v>220.6</v>
      </c>
      <c r="AC724" s="6">
        <f t="shared" si="124"/>
        <v>0</v>
      </c>
      <c r="AD724" s="2" t="s">
        <v>6703</v>
      </c>
      <c r="AF724" s="56">
        <v>55.15</v>
      </c>
      <c r="AG724" s="56">
        <f>VLOOKUP(A724,Sheet1!$A$2:$C$1140,3,FALSE)</f>
        <v>56.25</v>
      </c>
      <c r="AH724" s="58">
        <v>56.25</v>
      </c>
      <c r="AI724" s="56" t="str">
        <f t="shared" si="125"/>
        <v>Increase</v>
      </c>
      <c r="AJ724" s="81">
        <f t="shared" si="129"/>
        <v>220.6</v>
      </c>
      <c r="AK724" s="81">
        <f t="shared" si="130"/>
        <v>225</v>
      </c>
      <c r="AL724" s="58" t="s">
        <v>7206</v>
      </c>
      <c r="AM724" s="58" t="s">
        <v>6703</v>
      </c>
      <c r="AN724" s="75">
        <v>3</v>
      </c>
      <c r="AO724" s="88">
        <v>56.25</v>
      </c>
      <c r="AP724" s="6" t="str">
        <f t="shared" si="126"/>
        <v>Increase</v>
      </c>
      <c r="AQ724" s="81">
        <f t="shared" si="127"/>
        <v>165.45</v>
      </c>
      <c r="AR724" s="81">
        <f t="shared" si="128"/>
        <v>168.75</v>
      </c>
      <c r="AS724" s="82">
        <f t="shared" si="131"/>
        <v>3.3000000000000114</v>
      </c>
    </row>
    <row r="725" spans="1:45" hidden="1" x14ac:dyDescent="0.3">
      <c r="A725">
        <v>5223746</v>
      </c>
      <c r="B725" s="15" t="s">
        <v>6061</v>
      </c>
      <c r="C725" s="16" t="s">
        <v>30</v>
      </c>
      <c r="D725" s="6" t="s">
        <v>31</v>
      </c>
      <c r="E725" t="s">
        <v>766</v>
      </c>
      <c r="F725" t="s">
        <v>766</v>
      </c>
      <c r="H725" s="11" t="s">
        <v>27</v>
      </c>
      <c r="I725" s="6" t="s">
        <v>28</v>
      </c>
      <c r="J725" s="6" t="s">
        <v>28</v>
      </c>
      <c r="K725" t="s">
        <v>32</v>
      </c>
      <c r="L725" s="35">
        <v>14.71</v>
      </c>
      <c r="M725" s="6" t="s">
        <v>29</v>
      </c>
      <c r="N725" s="6">
        <v>3105</v>
      </c>
      <c r="P725" s="18"/>
      <c r="Q725" s="17"/>
      <c r="R725" s="19">
        <v>14.71</v>
      </c>
      <c r="S725" s="19">
        <v>14.71</v>
      </c>
      <c r="T725" s="38">
        <v>4</v>
      </c>
      <c r="U725" s="38"/>
      <c r="V725" s="30">
        <v>14.71</v>
      </c>
      <c r="W725" s="35">
        <v>14.71</v>
      </c>
      <c r="X725" s="32">
        <f t="shared" si="121"/>
        <v>58.84</v>
      </c>
      <c r="Y725" s="32">
        <f t="shared" si="122"/>
        <v>58.84</v>
      </c>
      <c r="Z725" s="32">
        <f t="shared" si="123"/>
        <v>0</v>
      </c>
      <c r="AA725" s="38">
        <v>4</v>
      </c>
      <c r="AB725" s="37">
        <f>IFERROR(VLOOKUP(A725,'Tash Lookup'!A:E,3,FALSE),"")</f>
        <v>58.84</v>
      </c>
      <c r="AC725" s="6">
        <f t="shared" si="124"/>
        <v>0</v>
      </c>
      <c r="AD725" s="2" t="s">
        <v>6703</v>
      </c>
      <c r="AF725" s="56">
        <v>15.28</v>
      </c>
      <c r="AG725" s="56">
        <f>VLOOKUP(A725,Sheet1!$A$2:$C$1140,3,FALSE)</f>
        <v>15.59</v>
      </c>
      <c r="AH725" s="58">
        <v>15.59</v>
      </c>
      <c r="AI725" s="56" t="str">
        <f t="shared" si="125"/>
        <v>Increase</v>
      </c>
      <c r="AJ725" s="81">
        <f t="shared" si="129"/>
        <v>61.12</v>
      </c>
      <c r="AK725" s="81">
        <f t="shared" si="130"/>
        <v>62.36</v>
      </c>
      <c r="AL725" s="58" t="s">
        <v>7206</v>
      </c>
      <c r="AM725" s="58" t="s">
        <v>6703</v>
      </c>
      <c r="AN725" s="75">
        <v>0</v>
      </c>
      <c r="AO725" s="88">
        <v>15.59</v>
      </c>
      <c r="AP725" s="6" t="str">
        <f t="shared" si="126"/>
        <v>Increase</v>
      </c>
      <c r="AQ725" s="81">
        <f t="shared" si="127"/>
        <v>0</v>
      </c>
      <c r="AR725" s="81">
        <f t="shared" si="128"/>
        <v>0</v>
      </c>
      <c r="AS725" s="82">
        <f t="shared" si="131"/>
        <v>0</v>
      </c>
    </row>
    <row r="726" spans="1:45" hidden="1" x14ac:dyDescent="0.3">
      <c r="A726">
        <v>5223744</v>
      </c>
      <c r="B726" s="15" t="s">
        <v>6062</v>
      </c>
      <c r="C726" s="16" t="s">
        <v>30</v>
      </c>
      <c r="D726" s="6" t="s">
        <v>31</v>
      </c>
      <c r="E726" t="s">
        <v>771</v>
      </c>
      <c r="F726" t="s">
        <v>771</v>
      </c>
      <c r="H726" s="11" t="s">
        <v>27</v>
      </c>
      <c r="I726" s="6" t="s">
        <v>28</v>
      </c>
      <c r="J726" s="6" t="s">
        <v>28</v>
      </c>
      <c r="K726" t="s">
        <v>32</v>
      </c>
      <c r="L726" s="35">
        <v>24.3</v>
      </c>
      <c r="M726" s="6" t="s">
        <v>29</v>
      </c>
      <c r="N726" s="6">
        <v>3105</v>
      </c>
      <c r="P726" s="18"/>
      <c r="Q726" s="17"/>
      <c r="R726" s="19">
        <v>24.3</v>
      </c>
      <c r="S726" s="19">
        <v>24.3</v>
      </c>
      <c r="T726" s="38">
        <v>4</v>
      </c>
      <c r="U726" s="38"/>
      <c r="V726" s="30">
        <v>24.3</v>
      </c>
      <c r="W726" s="35">
        <v>24.3</v>
      </c>
      <c r="X726" s="32">
        <f t="shared" si="121"/>
        <v>97.2</v>
      </c>
      <c r="Y726" s="32">
        <f t="shared" si="122"/>
        <v>97.2</v>
      </c>
      <c r="Z726" s="32">
        <f t="shared" si="123"/>
        <v>0</v>
      </c>
      <c r="AA726" s="38">
        <v>4</v>
      </c>
      <c r="AB726" s="37">
        <f>IFERROR(VLOOKUP(A726,'Tash Lookup'!A:E,3,FALSE),"")</f>
        <v>93.05</v>
      </c>
      <c r="AC726" s="6">
        <f t="shared" si="124"/>
        <v>0</v>
      </c>
      <c r="AD726" s="2" t="s">
        <v>6703</v>
      </c>
      <c r="AF726" s="56">
        <v>25.24</v>
      </c>
      <c r="AG726" s="56">
        <f>VLOOKUP(A726,Sheet1!$A$2:$C$1140,3,FALSE)</f>
        <v>25.75</v>
      </c>
      <c r="AH726" s="58">
        <v>25.75</v>
      </c>
      <c r="AI726" s="56" t="str">
        <f t="shared" si="125"/>
        <v>Increase</v>
      </c>
      <c r="AJ726" s="81">
        <f t="shared" si="129"/>
        <v>100.96</v>
      </c>
      <c r="AK726" s="81">
        <f t="shared" si="130"/>
        <v>103</v>
      </c>
      <c r="AL726" s="58" t="s">
        <v>7206</v>
      </c>
      <c r="AM726" s="58" t="s">
        <v>6703</v>
      </c>
      <c r="AN726" s="75">
        <v>2</v>
      </c>
      <c r="AO726" s="88">
        <v>25.75</v>
      </c>
      <c r="AP726" s="6" t="str">
        <f t="shared" si="126"/>
        <v>Increase</v>
      </c>
      <c r="AQ726" s="81">
        <f t="shared" si="127"/>
        <v>50.48</v>
      </c>
      <c r="AR726" s="81">
        <f t="shared" si="128"/>
        <v>51.5</v>
      </c>
      <c r="AS726" s="82">
        <f t="shared" si="131"/>
        <v>1.0200000000000031</v>
      </c>
    </row>
    <row r="727" spans="1:45" hidden="1" x14ac:dyDescent="0.3">
      <c r="A727">
        <v>5092479</v>
      </c>
      <c r="B727" s="15" t="s">
        <v>6063</v>
      </c>
      <c r="C727" s="16" t="s">
        <v>30</v>
      </c>
      <c r="D727" s="6" t="s">
        <v>31</v>
      </c>
      <c r="E727" t="s">
        <v>306</v>
      </c>
      <c r="F727" t="s">
        <v>306</v>
      </c>
      <c r="H727" s="11" t="s">
        <v>27</v>
      </c>
      <c r="I727" s="6" t="s">
        <v>28</v>
      </c>
      <c r="J727" s="6" t="s">
        <v>28</v>
      </c>
      <c r="K727" t="s">
        <v>32</v>
      </c>
      <c r="L727" s="35">
        <v>5.9</v>
      </c>
      <c r="M727" s="6" t="s">
        <v>29</v>
      </c>
      <c r="N727" s="6">
        <v>3105</v>
      </c>
      <c r="P727" s="18"/>
      <c r="Q727" s="17"/>
      <c r="R727" s="19">
        <v>5.9</v>
      </c>
      <c r="S727" s="19">
        <v>5.9</v>
      </c>
      <c r="T727" s="38">
        <v>4</v>
      </c>
      <c r="U727" s="38"/>
      <c r="V727" s="29">
        <v>5.9</v>
      </c>
      <c r="W727" s="35">
        <v>5.9</v>
      </c>
      <c r="X727" s="32">
        <f t="shared" si="121"/>
        <v>23.6</v>
      </c>
      <c r="Y727" s="32">
        <f t="shared" si="122"/>
        <v>23.6</v>
      </c>
      <c r="Z727" s="32">
        <f t="shared" si="123"/>
        <v>0</v>
      </c>
      <c r="AA727" s="38">
        <v>4</v>
      </c>
      <c r="AB727" s="37">
        <f>IFERROR(VLOOKUP(A727,'Tash Lookup'!A:E,3,FALSE),"")</f>
        <v>23.58</v>
      </c>
      <c r="AC727" s="6">
        <f t="shared" si="124"/>
        <v>0</v>
      </c>
      <c r="AD727" s="2" t="s">
        <v>6708</v>
      </c>
      <c r="AF727" s="56">
        <v>6.24</v>
      </c>
      <c r="AG727" s="56">
        <f>VLOOKUP(A727,Sheet1!$A$2:$C$1140,3,FALSE)</f>
        <v>6.24</v>
      </c>
      <c r="AH727" s="58">
        <v>6.24</v>
      </c>
      <c r="AI727" s="56" t="str">
        <f t="shared" si="125"/>
        <v>Same</v>
      </c>
      <c r="AJ727" s="81">
        <f t="shared" si="129"/>
        <v>24.96</v>
      </c>
      <c r="AK727" s="81">
        <f t="shared" si="130"/>
        <v>24.96</v>
      </c>
      <c r="AL727" s="58" t="s">
        <v>32</v>
      </c>
      <c r="AM727" s="58" t="s">
        <v>6708</v>
      </c>
      <c r="AN727" s="75">
        <v>0</v>
      </c>
      <c r="AO727" s="88">
        <v>6.24</v>
      </c>
      <c r="AP727" s="6" t="str">
        <f t="shared" si="126"/>
        <v>Same</v>
      </c>
      <c r="AQ727" s="81">
        <f t="shared" si="127"/>
        <v>0</v>
      </c>
      <c r="AR727" s="81">
        <f t="shared" si="128"/>
        <v>0</v>
      </c>
      <c r="AS727" s="81">
        <f t="shared" si="131"/>
        <v>0</v>
      </c>
    </row>
    <row r="728" spans="1:45" hidden="1" x14ac:dyDescent="0.3">
      <c r="A728">
        <v>6392936</v>
      </c>
      <c r="B728" s="15" t="s">
        <v>6064</v>
      </c>
      <c r="C728" s="16" t="s">
        <v>30</v>
      </c>
      <c r="D728" s="6" t="s">
        <v>31</v>
      </c>
      <c r="E728" t="s">
        <v>2961</v>
      </c>
      <c r="F728" t="s">
        <v>2961</v>
      </c>
      <c r="H728" s="11" t="s">
        <v>27</v>
      </c>
      <c r="I728" s="6" t="s">
        <v>28</v>
      </c>
      <c r="J728" s="6" t="s">
        <v>28</v>
      </c>
      <c r="K728" t="s">
        <v>32</v>
      </c>
      <c r="L728" s="35">
        <v>11.02</v>
      </c>
      <c r="M728" s="6" t="s">
        <v>29</v>
      </c>
      <c r="N728" s="6">
        <v>3105</v>
      </c>
      <c r="P728" s="18"/>
      <c r="Q728" s="17"/>
      <c r="R728" s="19">
        <v>11.02</v>
      </c>
      <c r="S728" s="19">
        <v>11.02</v>
      </c>
      <c r="T728" s="38">
        <v>4</v>
      </c>
      <c r="U728" s="38"/>
      <c r="V728" s="30">
        <v>11.02</v>
      </c>
      <c r="W728" s="35">
        <v>11.02</v>
      </c>
      <c r="X728" s="32">
        <f t="shared" si="121"/>
        <v>44.08</v>
      </c>
      <c r="Y728" s="32">
        <f t="shared" si="122"/>
        <v>44.08</v>
      </c>
      <c r="Z728" s="32">
        <f t="shared" si="123"/>
        <v>0</v>
      </c>
      <c r="AA728" s="38">
        <v>4</v>
      </c>
      <c r="AB728" s="37">
        <f>IFERROR(VLOOKUP(A728,'Tash Lookup'!A:E,3,FALSE),"")</f>
        <v>44.08</v>
      </c>
      <c r="AC728" s="6">
        <f t="shared" si="124"/>
        <v>0</v>
      </c>
      <c r="AD728" s="2" t="s">
        <v>6708</v>
      </c>
      <c r="AF728" s="56">
        <v>11.02</v>
      </c>
      <c r="AG728" s="56" t="e">
        <f>VLOOKUP(A728,Sheet1!$A$2:$C$1140,3,FALSE)</f>
        <v>#N/A</v>
      </c>
      <c r="AH728" s="58" t="e">
        <v>#N/A</v>
      </c>
      <c r="AI728" s="56" t="str">
        <f t="shared" si="125"/>
        <v>Delete</v>
      </c>
      <c r="AJ728" s="81">
        <f t="shared" si="129"/>
        <v>44.08</v>
      </c>
      <c r="AK728" s="81">
        <f t="shared" si="130"/>
        <v>0</v>
      </c>
      <c r="AL728" s="58" t="s">
        <v>7206</v>
      </c>
      <c r="AM728" s="58" t="s">
        <v>6708</v>
      </c>
      <c r="AN728" s="75">
        <v>0</v>
      </c>
      <c r="AO728" s="88">
        <v>11.02</v>
      </c>
      <c r="AP728" s="6" t="str">
        <f t="shared" si="126"/>
        <v>Same</v>
      </c>
      <c r="AQ728" s="81">
        <f t="shared" si="127"/>
        <v>0</v>
      </c>
      <c r="AR728" s="81">
        <f t="shared" si="128"/>
        <v>0</v>
      </c>
      <c r="AS728" s="81">
        <f t="shared" si="131"/>
        <v>0</v>
      </c>
    </row>
    <row r="729" spans="1:45" hidden="1" x14ac:dyDescent="0.3">
      <c r="A729">
        <v>6183874</v>
      </c>
      <c r="B729" s="15" t="s">
        <v>6065</v>
      </c>
      <c r="C729" s="16" t="s">
        <v>30</v>
      </c>
      <c r="D729" s="6" t="s">
        <v>31</v>
      </c>
      <c r="E729" t="s">
        <v>886</v>
      </c>
      <c r="F729" t="s">
        <v>886</v>
      </c>
      <c r="H729" s="11" t="s">
        <v>27</v>
      </c>
      <c r="I729" s="6" t="s">
        <v>28</v>
      </c>
      <c r="J729" s="6" t="s">
        <v>28</v>
      </c>
      <c r="K729" t="s">
        <v>32</v>
      </c>
      <c r="L729" s="35">
        <v>5.81</v>
      </c>
      <c r="M729" s="6" t="s">
        <v>29</v>
      </c>
      <c r="N729" s="6">
        <v>3105</v>
      </c>
      <c r="P729" s="18"/>
      <c r="Q729" s="17"/>
      <c r="R729" s="19">
        <v>5.81</v>
      </c>
      <c r="S729" s="19">
        <v>5.81</v>
      </c>
      <c r="T729" s="38">
        <v>4</v>
      </c>
      <c r="U729" s="38"/>
      <c r="V729" s="30">
        <v>5.81</v>
      </c>
      <c r="W729" s="35">
        <v>5.81</v>
      </c>
      <c r="X729" s="32">
        <f t="shared" si="121"/>
        <v>23.24</v>
      </c>
      <c r="Y729" s="32">
        <f t="shared" si="122"/>
        <v>23.24</v>
      </c>
      <c r="Z729" s="32">
        <f t="shared" si="123"/>
        <v>0</v>
      </c>
      <c r="AA729" s="38">
        <v>4</v>
      </c>
      <c r="AB729" s="37">
        <f>IFERROR(VLOOKUP(A729,'Tash Lookup'!A:E,3,FALSE),"")</f>
        <v>23.24</v>
      </c>
      <c r="AC729" s="6">
        <f t="shared" si="124"/>
        <v>0</v>
      </c>
      <c r="AD729" s="2" t="s">
        <v>6703</v>
      </c>
      <c r="AF729" s="56">
        <v>4.88</v>
      </c>
      <c r="AG729" s="56">
        <f>VLOOKUP(A729,Sheet1!$A$2:$C$1140,3,FALSE)</f>
        <v>4.97</v>
      </c>
      <c r="AH729" s="58">
        <v>4.97</v>
      </c>
      <c r="AI729" s="56" t="str">
        <f t="shared" si="125"/>
        <v>Increase</v>
      </c>
      <c r="AJ729" s="81">
        <f t="shared" si="129"/>
        <v>19.52</v>
      </c>
      <c r="AK729" s="81">
        <f t="shared" si="130"/>
        <v>19.88</v>
      </c>
      <c r="AL729" s="58" t="s">
        <v>7206</v>
      </c>
      <c r="AM729" s="58" t="s">
        <v>6703</v>
      </c>
      <c r="AN729" s="75">
        <v>0</v>
      </c>
      <c r="AO729" s="88">
        <v>4.97</v>
      </c>
      <c r="AP729" s="6" t="str">
        <f t="shared" si="126"/>
        <v>Increase</v>
      </c>
      <c r="AQ729" s="81">
        <f t="shared" si="127"/>
        <v>0</v>
      </c>
      <c r="AR729" s="81">
        <f t="shared" si="128"/>
        <v>0</v>
      </c>
      <c r="AS729" s="81">
        <f t="shared" si="131"/>
        <v>0</v>
      </c>
    </row>
    <row r="730" spans="1:45" hidden="1" x14ac:dyDescent="0.3">
      <c r="A730">
        <v>6352921</v>
      </c>
      <c r="B730" s="15" t="s">
        <v>6066</v>
      </c>
      <c r="C730" s="16" t="s">
        <v>30</v>
      </c>
      <c r="D730" s="6" t="s">
        <v>31</v>
      </c>
      <c r="E730" t="s">
        <v>900</v>
      </c>
      <c r="F730" t="s">
        <v>900</v>
      </c>
      <c r="H730" s="11" t="s">
        <v>27</v>
      </c>
      <c r="I730" s="6" t="s">
        <v>28</v>
      </c>
      <c r="J730" s="6" t="s">
        <v>28</v>
      </c>
      <c r="K730" t="s">
        <v>32</v>
      </c>
      <c r="L730" s="35">
        <v>21.92</v>
      </c>
      <c r="M730" s="6" t="s">
        <v>29</v>
      </c>
      <c r="N730" s="6">
        <v>3105</v>
      </c>
      <c r="P730" s="18"/>
      <c r="Q730" s="17"/>
      <c r="R730" s="19">
        <v>21.92</v>
      </c>
      <c r="S730" s="19">
        <v>21.92</v>
      </c>
      <c r="T730" s="38">
        <v>4</v>
      </c>
      <c r="U730" s="38"/>
      <c r="V730" s="30">
        <v>21.92</v>
      </c>
      <c r="W730" s="35">
        <v>21.92</v>
      </c>
      <c r="X730" s="32">
        <f t="shared" si="121"/>
        <v>87.68</v>
      </c>
      <c r="Y730" s="32">
        <f t="shared" si="122"/>
        <v>87.68</v>
      </c>
      <c r="Z730" s="32">
        <f t="shared" si="123"/>
        <v>0</v>
      </c>
      <c r="AA730" s="38">
        <v>4</v>
      </c>
      <c r="AB730" s="37">
        <f>IFERROR(VLOOKUP(A730,'Tash Lookup'!A:E,3,FALSE),"")</f>
        <v>87.68</v>
      </c>
      <c r="AC730" s="6">
        <f t="shared" si="124"/>
        <v>0</v>
      </c>
      <c r="AD730" s="2" t="s">
        <v>6711</v>
      </c>
      <c r="AE730" s="2" t="s">
        <v>6701</v>
      </c>
      <c r="AF730" s="56">
        <v>21.92</v>
      </c>
      <c r="AG730" s="56" t="e">
        <f>VLOOKUP(A730,Sheet1!$A$2:$C$1140,3,FALSE)</f>
        <v>#N/A</v>
      </c>
      <c r="AH730" s="58" t="e">
        <v>#N/A</v>
      </c>
      <c r="AI730" s="56" t="str">
        <f t="shared" si="125"/>
        <v>Delete</v>
      </c>
      <c r="AJ730" s="81">
        <f t="shared" si="129"/>
        <v>87.68</v>
      </c>
      <c r="AK730" s="81">
        <f t="shared" si="130"/>
        <v>0</v>
      </c>
      <c r="AL730" s="58" t="s">
        <v>7206</v>
      </c>
      <c r="AM730" s="58" t="s">
        <v>6711</v>
      </c>
      <c r="AN730" s="75">
        <v>0</v>
      </c>
      <c r="AO730" s="88">
        <v>21.92</v>
      </c>
      <c r="AP730" s="6" t="str">
        <f t="shared" si="126"/>
        <v>Delete</v>
      </c>
      <c r="AQ730" s="81">
        <f t="shared" si="127"/>
        <v>0</v>
      </c>
      <c r="AR730" s="81">
        <f t="shared" si="128"/>
        <v>0</v>
      </c>
      <c r="AS730" s="81">
        <f t="shared" si="131"/>
        <v>0</v>
      </c>
    </row>
    <row r="731" spans="1:45" hidden="1" x14ac:dyDescent="0.3">
      <c r="A731">
        <v>5330419</v>
      </c>
      <c r="B731" s="15" t="s">
        <v>6067</v>
      </c>
      <c r="C731" s="16" t="s">
        <v>30</v>
      </c>
      <c r="D731" s="6" t="s">
        <v>31</v>
      </c>
      <c r="E731" t="s">
        <v>428</v>
      </c>
      <c r="F731" t="s">
        <v>5218</v>
      </c>
      <c r="H731" s="11" t="s">
        <v>27</v>
      </c>
      <c r="I731" s="6" t="s">
        <v>28</v>
      </c>
      <c r="J731" s="6" t="s">
        <v>28</v>
      </c>
      <c r="K731" t="s">
        <v>32</v>
      </c>
      <c r="L731" s="35">
        <v>9.0399999999999991</v>
      </c>
      <c r="M731" s="6" t="s">
        <v>29</v>
      </c>
      <c r="N731" s="6">
        <v>3105</v>
      </c>
      <c r="P731" s="18"/>
      <c r="Q731" s="17"/>
      <c r="R731" s="19">
        <v>9.0399999999999991</v>
      </c>
      <c r="S731" s="19">
        <v>9.0399999999999991</v>
      </c>
      <c r="T731" s="38">
        <v>4</v>
      </c>
      <c r="U731" s="38"/>
      <c r="V731" s="29">
        <v>9.0399999999999991</v>
      </c>
      <c r="W731" s="35">
        <v>9.0399999999999991</v>
      </c>
      <c r="X731" s="32">
        <f t="shared" si="121"/>
        <v>36.159999999999997</v>
      </c>
      <c r="Y731" s="32">
        <f t="shared" si="122"/>
        <v>36.159999999999997</v>
      </c>
      <c r="Z731" s="32">
        <f t="shared" si="123"/>
        <v>0</v>
      </c>
      <c r="AA731" s="38">
        <v>4</v>
      </c>
      <c r="AB731" s="37">
        <f>IFERROR(VLOOKUP(A731,'Tash Lookup'!A:E,3,FALSE),"")</f>
        <v>37.92</v>
      </c>
      <c r="AC731" s="6">
        <f t="shared" si="124"/>
        <v>0</v>
      </c>
      <c r="AD731" s="2" t="s">
        <v>6703</v>
      </c>
      <c r="AF731" s="56">
        <v>10.35</v>
      </c>
      <c r="AG731" s="56">
        <f>VLOOKUP(A731,Sheet1!$A$2:$C$1140,3,FALSE)</f>
        <v>10.66</v>
      </c>
      <c r="AH731" s="58">
        <v>10.66</v>
      </c>
      <c r="AI731" s="56" t="str">
        <f t="shared" si="125"/>
        <v>Increase</v>
      </c>
      <c r="AJ731" s="81">
        <f t="shared" si="129"/>
        <v>41.4</v>
      </c>
      <c r="AK731" s="81">
        <f t="shared" si="130"/>
        <v>42.64</v>
      </c>
      <c r="AL731" s="58" t="s">
        <v>32</v>
      </c>
      <c r="AM731" s="58" t="s">
        <v>6703</v>
      </c>
      <c r="AN731" s="75">
        <v>3</v>
      </c>
      <c r="AO731" s="88">
        <v>10.66</v>
      </c>
      <c r="AP731" s="6" t="str">
        <f t="shared" si="126"/>
        <v>Increase</v>
      </c>
      <c r="AQ731" s="81">
        <f t="shared" si="127"/>
        <v>31.049999999999997</v>
      </c>
      <c r="AR731" s="81">
        <f t="shared" si="128"/>
        <v>31.98</v>
      </c>
      <c r="AS731" s="82">
        <f t="shared" si="131"/>
        <v>0.93000000000000327</v>
      </c>
    </row>
    <row r="732" spans="1:45" hidden="1" x14ac:dyDescent="0.3">
      <c r="A732">
        <v>5183440</v>
      </c>
      <c r="B732" s="15" t="s">
        <v>6068</v>
      </c>
      <c r="C732" s="16" t="s">
        <v>30</v>
      </c>
      <c r="D732" s="6" t="s">
        <v>31</v>
      </c>
      <c r="E732" t="s">
        <v>443</v>
      </c>
      <c r="F732" t="s">
        <v>443</v>
      </c>
      <c r="H732" s="11" t="s">
        <v>27</v>
      </c>
      <c r="I732" s="6" t="s">
        <v>28</v>
      </c>
      <c r="J732" s="6" t="s">
        <v>28</v>
      </c>
      <c r="K732" t="s">
        <v>32</v>
      </c>
      <c r="L732" s="35">
        <v>52.32</v>
      </c>
      <c r="M732" s="6" t="s">
        <v>29</v>
      </c>
      <c r="N732" s="6">
        <v>3105</v>
      </c>
      <c r="P732" s="18"/>
      <c r="Q732" s="17"/>
      <c r="R732" s="19">
        <v>52.32</v>
      </c>
      <c r="S732" s="19">
        <v>52.32</v>
      </c>
      <c r="T732" s="38">
        <v>4</v>
      </c>
      <c r="U732" s="38"/>
      <c r="V732" s="30">
        <v>52.32</v>
      </c>
      <c r="W732" s="35">
        <v>52.32</v>
      </c>
      <c r="X732" s="32">
        <f t="shared" si="121"/>
        <v>209.28</v>
      </c>
      <c r="Y732" s="32">
        <f t="shared" si="122"/>
        <v>209.28</v>
      </c>
      <c r="Z732" s="32">
        <f t="shared" si="123"/>
        <v>0</v>
      </c>
      <c r="AA732" s="38">
        <v>4</v>
      </c>
      <c r="AB732" s="37">
        <f>IFERROR(VLOOKUP(A732,'Tash Lookup'!A:E,3,FALSE),"")</f>
        <v>209.26</v>
      </c>
      <c r="AC732" s="6">
        <f t="shared" si="124"/>
        <v>0</v>
      </c>
      <c r="AD732" s="2" t="s">
        <v>6703</v>
      </c>
      <c r="AF732" s="56">
        <v>51.11</v>
      </c>
      <c r="AG732" s="56">
        <f>VLOOKUP(A732,Sheet1!$A$2:$C$1140,3,FALSE)</f>
        <v>52.65</v>
      </c>
      <c r="AH732" s="58">
        <v>52.65</v>
      </c>
      <c r="AI732" s="56" t="str">
        <f t="shared" si="125"/>
        <v>Increase</v>
      </c>
      <c r="AJ732" s="81">
        <f t="shared" si="129"/>
        <v>204.44</v>
      </c>
      <c r="AK732" s="81">
        <f t="shared" si="130"/>
        <v>210.6</v>
      </c>
      <c r="AL732" s="58" t="s">
        <v>32</v>
      </c>
      <c r="AM732" s="58" t="s">
        <v>6703</v>
      </c>
      <c r="AN732" s="75">
        <v>1</v>
      </c>
      <c r="AO732" s="88">
        <v>52.65</v>
      </c>
      <c r="AP732" s="6" t="str">
        <f t="shared" si="126"/>
        <v>Increase</v>
      </c>
      <c r="AQ732" s="81">
        <f t="shared" si="127"/>
        <v>51.11</v>
      </c>
      <c r="AR732" s="81">
        <f t="shared" si="128"/>
        <v>52.65</v>
      </c>
      <c r="AS732" s="82">
        <f t="shared" si="131"/>
        <v>1.5399999999999991</v>
      </c>
    </row>
    <row r="733" spans="1:45" hidden="1" x14ac:dyDescent="0.3">
      <c r="A733">
        <v>5183326</v>
      </c>
      <c r="B733" s="15" t="s">
        <v>6069</v>
      </c>
      <c r="C733" s="16" t="s">
        <v>30</v>
      </c>
      <c r="D733" s="6" t="s">
        <v>31</v>
      </c>
      <c r="E733" t="s">
        <v>477</v>
      </c>
      <c r="F733" t="s">
        <v>477</v>
      </c>
      <c r="H733" s="11" t="s">
        <v>27</v>
      </c>
      <c r="I733" s="6" t="s">
        <v>28</v>
      </c>
      <c r="J733" s="6" t="s">
        <v>28</v>
      </c>
      <c r="K733" t="s">
        <v>32</v>
      </c>
      <c r="L733" s="35">
        <v>19.12</v>
      </c>
      <c r="M733" s="6" t="s">
        <v>29</v>
      </c>
      <c r="N733" s="6">
        <v>3105</v>
      </c>
      <c r="P733" s="18"/>
      <c r="Q733" s="17"/>
      <c r="R733" s="19">
        <v>19.12</v>
      </c>
      <c r="S733" s="19">
        <v>19.12</v>
      </c>
      <c r="T733" s="38">
        <v>4</v>
      </c>
      <c r="U733" s="38"/>
      <c r="V733" s="29">
        <v>19.12</v>
      </c>
      <c r="W733" s="35">
        <v>19.12</v>
      </c>
      <c r="X733" s="32">
        <f t="shared" si="121"/>
        <v>76.48</v>
      </c>
      <c r="Y733" s="32">
        <f t="shared" si="122"/>
        <v>76.48</v>
      </c>
      <c r="Z733" s="32">
        <f t="shared" si="123"/>
        <v>0</v>
      </c>
      <c r="AA733" s="38">
        <v>4</v>
      </c>
      <c r="AB733" s="37">
        <f>IFERROR(VLOOKUP(A733,'Tash Lookup'!A:E,3,FALSE),"")</f>
        <v>76.48</v>
      </c>
      <c r="AC733" s="6">
        <f t="shared" si="124"/>
        <v>0</v>
      </c>
      <c r="AD733" s="2" t="s">
        <v>6703</v>
      </c>
      <c r="AF733" s="56">
        <v>22.3</v>
      </c>
      <c r="AG733" s="56">
        <f>VLOOKUP(A733,Sheet1!$A$2:$C$1140,3,FALSE)</f>
        <v>22.97</v>
      </c>
      <c r="AH733" s="58">
        <v>22.97</v>
      </c>
      <c r="AI733" s="56" t="str">
        <f t="shared" si="125"/>
        <v>Increase</v>
      </c>
      <c r="AJ733" s="81">
        <f t="shared" si="129"/>
        <v>89.2</v>
      </c>
      <c r="AK733" s="81">
        <f t="shared" si="130"/>
        <v>91.88</v>
      </c>
      <c r="AL733" s="58" t="s">
        <v>32</v>
      </c>
      <c r="AM733" s="58" t="s">
        <v>6703</v>
      </c>
      <c r="AN733" s="75">
        <v>7</v>
      </c>
      <c r="AO733" s="88">
        <v>22.97</v>
      </c>
      <c r="AP733" s="6" t="str">
        <f t="shared" si="126"/>
        <v>Increase</v>
      </c>
      <c r="AQ733" s="81">
        <f t="shared" si="127"/>
        <v>156.1</v>
      </c>
      <c r="AR733" s="81">
        <f t="shared" si="128"/>
        <v>160.79</v>
      </c>
      <c r="AS733" s="82">
        <f t="shared" si="131"/>
        <v>4.6899999999999977</v>
      </c>
    </row>
    <row r="734" spans="1:45" hidden="1" x14ac:dyDescent="0.3">
      <c r="A734">
        <v>5180488</v>
      </c>
      <c r="B734" s="15" t="s">
        <v>6070</v>
      </c>
      <c r="C734" s="16" t="s">
        <v>30</v>
      </c>
      <c r="D734" s="6" t="s">
        <v>31</v>
      </c>
      <c r="E734" t="s">
        <v>524</v>
      </c>
      <c r="F734" t="s">
        <v>524</v>
      </c>
      <c r="H734" s="11" t="s">
        <v>27</v>
      </c>
      <c r="I734" s="6" t="s">
        <v>28</v>
      </c>
      <c r="J734" s="6" t="s">
        <v>28</v>
      </c>
      <c r="K734" t="s">
        <v>32</v>
      </c>
      <c r="L734" s="35">
        <v>53.91</v>
      </c>
      <c r="M734" s="6" t="s">
        <v>29</v>
      </c>
      <c r="N734" s="6">
        <v>3105</v>
      </c>
      <c r="P734" s="18"/>
      <c r="Q734" s="17"/>
      <c r="R734" s="19">
        <v>53.91</v>
      </c>
      <c r="S734" s="19">
        <v>53.91</v>
      </c>
      <c r="T734" s="38">
        <v>4</v>
      </c>
      <c r="U734" s="38"/>
      <c r="V734" s="29">
        <v>53.91</v>
      </c>
      <c r="W734" s="35">
        <v>53.91</v>
      </c>
      <c r="X734" s="32">
        <f t="shared" si="121"/>
        <v>215.64</v>
      </c>
      <c r="Y734" s="32">
        <f t="shared" si="122"/>
        <v>215.64</v>
      </c>
      <c r="Z734" s="32">
        <f t="shared" si="123"/>
        <v>0</v>
      </c>
      <c r="AA734" s="38">
        <v>4</v>
      </c>
      <c r="AB734" s="37">
        <f>IFERROR(VLOOKUP(A734,'Tash Lookup'!A:E,3,FALSE),"")</f>
        <v>215.64</v>
      </c>
      <c r="AC734" s="6">
        <f t="shared" si="124"/>
        <v>0</v>
      </c>
      <c r="AD734" s="2" t="s">
        <v>6703</v>
      </c>
      <c r="AF734" s="56">
        <v>53.89</v>
      </c>
      <c r="AG734" s="56">
        <f>VLOOKUP(A734,Sheet1!$A$2:$C$1140,3,FALSE)</f>
        <v>55.5</v>
      </c>
      <c r="AH734" s="58">
        <v>55.5</v>
      </c>
      <c r="AI734" s="56" t="str">
        <f t="shared" si="125"/>
        <v>Increase</v>
      </c>
      <c r="AJ734" s="81">
        <f t="shared" si="129"/>
        <v>215.56</v>
      </c>
      <c r="AK734" s="81">
        <f t="shared" si="130"/>
        <v>222</v>
      </c>
      <c r="AL734" s="58" t="s">
        <v>32</v>
      </c>
      <c r="AM734" s="58" t="s">
        <v>6703</v>
      </c>
      <c r="AN734" s="75">
        <v>2</v>
      </c>
      <c r="AO734" s="88">
        <v>55.5</v>
      </c>
      <c r="AP734" s="6" t="str">
        <f t="shared" si="126"/>
        <v>Increase</v>
      </c>
      <c r="AQ734" s="81">
        <f t="shared" si="127"/>
        <v>107.78</v>
      </c>
      <c r="AR734" s="81">
        <f t="shared" si="128"/>
        <v>111</v>
      </c>
      <c r="AS734" s="82">
        <f t="shared" si="131"/>
        <v>3.2199999999999989</v>
      </c>
    </row>
    <row r="735" spans="1:45" hidden="1" x14ac:dyDescent="0.3">
      <c r="A735">
        <v>5183285</v>
      </c>
      <c r="B735" s="15" t="s">
        <v>6071</v>
      </c>
      <c r="C735" s="16" t="s">
        <v>30</v>
      </c>
      <c r="D735" s="6" t="s">
        <v>31</v>
      </c>
      <c r="E735" t="s">
        <v>574</v>
      </c>
      <c r="F735" t="s">
        <v>574</v>
      </c>
      <c r="H735" s="11" t="s">
        <v>27</v>
      </c>
      <c r="I735" s="6" t="s">
        <v>28</v>
      </c>
      <c r="J735" s="6" t="s">
        <v>28</v>
      </c>
      <c r="K735" t="s">
        <v>32</v>
      </c>
      <c r="L735" s="35">
        <v>14.11</v>
      </c>
      <c r="M735" s="6" t="s">
        <v>29</v>
      </c>
      <c r="N735" s="6">
        <v>3105</v>
      </c>
      <c r="P735" s="18"/>
      <c r="Q735" s="17"/>
      <c r="R735" s="19">
        <v>14.11</v>
      </c>
      <c r="S735" s="19">
        <v>14.11</v>
      </c>
      <c r="T735" s="38">
        <v>4</v>
      </c>
      <c r="U735" s="38"/>
      <c r="V735" s="29">
        <v>14.11</v>
      </c>
      <c r="W735" s="35">
        <v>14.11</v>
      </c>
      <c r="X735" s="32">
        <f t="shared" si="121"/>
        <v>56.44</v>
      </c>
      <c r="Y735" s="32">
        <f t="shared" si="122"/>
        <v>56.44</v>
      </c>
      <c r="Z735" s="32">
        <f t="shared" si="123"/>
        <v>0</v>
      </c>
      <c r="AA735" s="38">
        <v>4</v>
      </c>
      <c r="AB735" s="37">
        <f>IFERROR(VLOOKUP(A735,'Tash Lookup'!A:E,3,FALSE),"")</f>
        <v>56.44</v>
      </c>
      <c r="AC735" s="6">
        <f t="shared" si="124"/>
        <v>0</v>
      </c>
      <c r="AD735" s="2" t="s">
        <v>6703</v>
      </c>
      <c r="AF735" s="56">
        <v>17.07</v>
      </c>
      <c r="AG735" s="56">
        <f>VLOOKUP(A735,Sheet1!$A$2:$C$1140,3,FALSE)</f>
        <v>17.07</v>
      </c>
      <c r="AH735" s="58">
        <v>17.07</v>
      </c>
      <c r="AI735" s="56" t="str">
        <f t="shared" si="125"/>
        <v>Same</v>
      </c>
      <c r="AJ735" s="81">
        <f t="shared" si="129"/>
        <v>68.28</v>
      </c>
      <c r="AK735" s="81">
        <f t="shared" si="130"/>
        <v>68.28</v>
      </c>
      <c r="AL735" s="58" t="s">
        <v>32</v>
      </c>
      <c r="AM735" s="58" t="s">
        <v>6708</v>
      </c>
      <c r="AN735" s="75">
        <v>3</v>
      </c>
      <c r="AO735" s="88">
        <v>17.07</v>
      </c>
      <c r="AP735" s="6" t="str">
        <f t="shared" si="126"/>
        <v>Same</v>
      </c>
      <c r="AQ735" s="81">
        <f t="shared" si="127"/>
        <v>51.21</v>
      </c>
      <c r="AR735" s="81">
        <f t="shared" si="128"/>
        <v>51.21</v>
      </c>
      <c r="AS735" s="81">
        <f t="shared" si="131"/>
        <v>0</v>
      </c>
    </row>
    <row r="736" spans="1:45" hidden="1" x14ac:dyDescent="0.3">
      <c r="A736">
        <v>5091634</v>
      </c>
      <c r="B736" s="15" t="s">
        <v>6072</v>
      </c>
      <c r="C736" s="16" t="s">
        <v>30</v>
      </c>
      <c r="D736" s="6" t="s">
        <v>31</v>
      </c>
      <c r="E736" t="s">
        <v>589</v>
      </c>
      <c r="F736" t="s">
        <v>589</v>
      </c>
      <c r="H736" s="11" t="s">
        <v>27</v>
      </c>
      <c r="I736" s="6" t="s">
        <v>28</v>
      </c>
      <c r="J736" s="6" t="s">
        <v>28</v>
      </c>
      <c r="K736" t="s">
        <v>32</v>
      </c>
      <c r="L736" s="35">
        <v>25.36</v>
      </c>
      <c r="M736" s="6" t="s">
        <v>29</v>
      </c>
      <c r="N736" s="6">
        <v>3105</v>
      </c>
      <c r="P736" s="18"/>
      <c r="Q736" s="17"/>
      <c r="R736" s="19">
        <v>25.36</v>
      </c>
      <c r="S736" s="19">
        <v>25.36</v>
      </c>
      <c r="T736" s="38">
        <v>4</v>
      </c>
      <c r="U736" s="38"/>
      <c r="V736" s="29">
        <v>25.36</v>
      </c>
      <c r="W736" s="35">
        <v>25.36</v>
      </c>
      <c r="X736" s="32">
        <f t="shared" si="121"/>
        <v>101.44</v>
      </c>
      <c r="Y736" s="32">
        <f t="shared" si="122"/>
        <v>101.44</v>
      </c>
      <c r="Z736" s="32">
        <f t="shared" si="123"/>
        <v>0</v>
      </c>
      <c r="AA736" s="38">
        <v>4</v>
      </c>
      <c r="AB736" s="37">
        <f>IFERROR(VLOOKUP(A736,'Tash Lookup'!A:E,3,FALSE),"")</f>
        <v>101.44</v>
      </c>
      <c r="AC736" s="6">
        <f t="shared" si="124"/>
        <v>0</v>
      </c>
      <c r="AD736" s="2" t="s">
        <v>6703</v>
      </c>
      <c r="AF736" s="56">
        <v>26.62</v>
      </c>
      <c r="AG736" s="56">
        <f>VLOOKUP(A736,Sheet1!$A$2:$C$1140,3,FALSE)</f>
        <v>27.42</v>
      </c>
      <c r="AH736" s="58">
        <v>27.42</v>
      </c>
      <c r="AI736" s="56" t="str">
        <f t="shared" si="125"/>
        <v>Increase</v>
      </c>
      <c r="AJ736" s="81">
        <f t="shared" si="129"/>
        <v>106.48</v>
      </c>
      <c r="AK736" s="81">
        <f t="shared" si="130"/>
        <v>109.68</v>
      </c>
      <c r="AL736" s="58" t="s">
        <v>32</v>
      </c>
      <c r="AM736" s="58" t="s">
        <v>6703</v>
      </c>
      <c r="AN736" s="75">
        <v>10</v>
      </c>
      <c r="AO736" s="88">
        <v>27.42</v>
      </c>
      <c r="AP736" s="6" t="str">
        <f t="shared" si="126"/>
        <v>Increase</v>
      </c>
      <c r="AQ736" s="81">
        <f t="shared" si="127"/>
        <v>266.2</v>
      </c>
      <c r="AR736" s="81">
        <f t="shared" si="128"/>
        <v>274.20000000000005</v>
      </c>
      <c r="AS736" s="82">
        <f t="shared" si="131"/>
        <v>8.0000000000000568</v>
      </c>
    </row>
    <row r="737" spans="1:45" hidden="1" x14ac:dyDescent="0.3">
      <c r="A737">
        <v>5183359</v>
      </c>
      <c r="B737" s="15" t="s">
        <v>6073</v>
      </c>
      <c r="C737" s="16" t="s">
        <v>30</v>
      </c>
      <c r="D737" s="6" t="s">
        <v>31</v>
      </c>
      <c r="E737" t="s">
        <v>611</v>
      </c>
      <c r="F737" t="s">
        <v>611</v>
      </c>
      <c r="H737" s="11" t="s">
        <v>27</v>
      </c>
      <c r="I737" s="6" t="s">
        <v>28</v>
      </c>
      <c r="J737" s="6" t="s">
        <v>28</v>
      </c>
      <c r="K737" t="s">
        <v>32</v>
      </c>
      <c r="L737" s="35">
        <v>14.66</v>
      </c>
      <c r="M737" s="6" t="s">
        <v>29</v>
      </c>
      <c r="N737" s="6">
        <v>3105</v>
      </c>
      <c r="P737" s="18"/>
      <c r="Q737" s="17"/>
      <c r="R737" s="19">
        <v>14.66</v>
      </c>
      <c r="S737" s="19">
        <v>14.66</v>
      </c>
      <c r="T737" s="38">
        <v>4</v>
      </c>
      <c r="U737" s="38"/>
      <c r="V737" s="29">
        <v>14.66</v>
      </c>
      <c r="W737" s="35">
        <v>14.66</v>
      </c>
      <c r="X737" s="32">
        <f t="shared" si="121"/>
        <v>58.64</v>
      </c>
      <c r="Y737" s="32">
        <f t="shared" si="122"/>
        <v>58.64</v>
      </c>
      <c r="Z737" s="32">
        <f t="shared" si="123"/>
        <v>0</v>
      </c>
      <c r="AA737" s="38">
        <v>4</v>
      </c>
      <c r="AB737" s="37">
        <f>IFERROR(VLOOKUP(A737,'Tash Lookup'!A:E,3,FALSE),"")</f>
        <v>59.31</v>
      </c>
      <c r="AC737" s="6">
        <f t="shared" si="124"/>
        <v>0</v>
      </c>
      <c r="AD737" s="2" t="s">
        <v>6703</v>
      </c>
      <c r="AF737" s="56">
        <v>14.72</v>
      </c>
      <c r="AG737" s="56">
        <f>VLOOKUP(A737,Sheet1!$A$2:$C$1140,3,FALSE)</f>
        <v>15.16</v>
      </c>
      <c r="AH737" s="58">
        <v>15.16</v>
      </c>
      <c r="AI737" s="56" t="str">
        <f t="shared" si="125"/>
        <v>Increase</v>
      </c>
      <c r="AJ737" s="81">
        <f t="shared" si="129"/>
        <v>58.88</v>
      </c>
      <c r="AK737" s="81">
        <f t="shared" si="130"/>
        <v>60.64</v>
      </c>
      <c r="AL737" s="58" t="s">
        <v>32</v>
      </c>
      <c r="AM737" s="58" t="s">
        <v>6703</v>
      </c>
      <c r="AN737" s="75">
        <v>5</v>
      </c>
      <c r="AO737" s="88">
        <v>15.16</v>
      </c>
      <c r="AP737" s="6" t="str">
        <f t="shared" si="126"/>
        <v>Increase</v>
      </c>
      <c r="AQ737" s="81">
        <f t="shared" si="127"/>
        <v>73.600000000000009</v>
      </c>
      <c r="AR737" s="81">
        <f t="shared" si="128"/>
        <v>75.8</v>
      </c>
      <c r="AS737" s="82">
        <f t="shared" si="131"/>
        <v>2.1999999999999886</v>
      </c>
    </row>
    <row r="738" spans="1:45" hidden="1" x14ac:dyDescent="0.3">
      <c r="A738">
        <v>5183384</v>
      </c>
      <c r="B738" s="15" t="s">
        <v>6074</v>
      </c>
      <c r="C738" s="16" t="s">
        <v>30</v>
      </c>
      <c r="D738" s="6" t="s">
        <v>31</v>
      </c>
      <c r="E738" t="s">
        <v>627</v>
      </c>
      <c r="F738" t="s">
        <v>627</v>
      </c>
      <c r="H738" s="11" t="s">
        <v>27</v>
      </c>
      <c r="I738" s="6" t="s">
        <v>28</v>
      </c>
      <c r="J738" s="6" t="s">
        <v>28</v>
      </c>
      <c r="K738" t="s">
        <v>32</v>
      </c>
      <c r="L738" s="35">
        <v>25.61</v>
      </c>
      <c r="M738" s="6" t="s">
        <v>29</v>
      </c>
      <c r="N738" s="6">
        <v>3105</v>
      </c>
      <c r="P738" s="18"/>
      <c r="Q738" s="17"/>
      <c r="R738" s="19">
        <v>25.61</v>
      </c>
      <c r="S738" s="19">
        <v>25.61</v>
      </c>
      <c r="T738" s="38">
        <v>4</v>
      </c>
      <c r="U738" s="38"/>
      <c r="V738" s="29">
        <v>25.61</v>
      </c>
      <c r="W738" s="35">
        <v>25.61</v>
      </c>
      <c r="X738" s="32">
        <f t="shared" si="121"/>
        <v>102.44</v>
      </c>
      <c r="Y738" s="32">
        <f t="shared" si="122"/>
        <v>102.44</v>
      </c>
      <c r="Z738" s="32">
        <f t="shared" si="123"/>
        <v>0</v>
      </c>
      <c r="AA738" s="38">
        <v>4</v>
      </c>
      <c r="AB738" s="37">
        <f>IFERROR(VLOOKUP(A738,'Tash Lookup'!A:E,3,FALSE),"")</f>
        <v>108.97</v>
      </c>
      <c r="AC738" s="6">
        <f t="shared" si="124"/>
        <v>0</v>
      </c>
      <c r="AD738" s="2" t="s">
        <v>6703</v>
      </c>
      <c r="AF738" s="56">
        <v>27.11</v>
      </c>
      <c r="AG738" s="56">
        <f>VLOOKUP(A738,Sheet1!$A$2:$C$1140,3,FALSE)</f>
        <v>27.92</v>
      </c>
      <c r="AH738" s="58">
        <v>27.92</v>
      </c>
      <c r="AI738" s="56" t="str">
        <f t="shared" si="125"/>
        <v>Increase</v>
      </c>
      <c r="AJ738" s="81">
        <f t="shared" si="129"/>
        <v>108.44</v>
      </c>
      <c r="AK738" s="81">
        <f t="shared" si="130"/>
        <v>111.68</v>
      </c>
      <c r="AL738" s="58" t="s">
        <v>32</v>
      </c>
      <c r="AM738" s="58" t="s">
        <v>6703</v>
      </c>
      <c r="AN738" s="75">
        <v>2</v>
      </c>
      <c r="AO738" s="88">
        <v>27.92</v>
      </c>
      <c r="AP738" s="6" t="str">
        <f t="shared" si="126"/>
        <v>Increase</v>
      </c>
      <c r="AQ738" s="81">
        <f t="shared" si="127"/>
        <v>54.22</v>
      </c>
      <c r="AR738" s="81">
        <f t="shared" si="128"/>
        <v>55.84</v>
      </c>
      <c r="AS738" s="82">
        <f t="shared" si="131"/>
        <v>1.6200000000000045</v>
      </c>
    </row>
    <row r="739" spans="1:45" hidden="1" x14ac:dyDescent="0.3">
      <c r="A739">
        <v>5084897</v>
      </c>
      <c r="B739" s="15" t="s">
        <v>6075</v>
      </c>
      <c r="C739" s="16" t="s">
        <v>30</v>
      </c>
      <c r="D739" s="6" t="s">
        <v>31</v>
      </c>
      <c r="E739" t="s">
        <v>983</v>
      </c>
      <c r="F739" t="s">
        <v>983</v>
      </c>
      <c r="H739" s="11" t="s">
        <v>27</v>
      </c>
      <c r="I739" s="6" t="s">
        <v>28</v>
      </c>
      <c r="J739" s="6" t="s">
        <v>28</v>
      </c>
      <c r="K739" t="s">
        <v>32</v>
      </c>
      <c r="L739" s="35">
        <v>50.08</v>
      </c>
      <c r="M739" s="6" t="s">
        <v>29</v>
      </c>
      <c r="N739" s="6">
        <v>3105</v>
      </c>
      <c r="P739" s="18"/>
      <c r="Q739" s="17"/>
      <c r="R739" s="19">
        <v>50.08</v>
      </c>
      <c r="S739" s="19">
        <v>50.08</v>
      </c>
      <c r="T739" s="38">
        <v>4</v>
      </c>
      <c r="U739" s="38"/>
      <c r="V739" s="30">
        <v>50.08</v>
      </c>
      <c r="W739" s="35">
        <v>50.08</v>
      </c>
      <c r="X739" s="32">
        <f t="shared" si="121"/>
        <v>200.32</v>
      </c>
      <c r="Y739" s="32">
        <f t="shared" si="122"/>
        <v>200.32</v>
      </c>
      <c r="Z739" s="32">
        <f t="shared" si="123"/>
        <v>0</v>
      </c>
      <c r="AA739" s="38">
        <v>4</v>
      </c>
      <c r="AB739" s="37">
        <f>IFERROR(VLOOKUP(A739,'Tash Lookup'!A:E,3,FALSE),"")</f>
        <v>200.32</v>
      </c>
      <c r="AC739" s="6">
        <f t="shared" si="124"/>
        <v>0</v>
      </c>
      <c r="AD739" s="2" t="s">
        <v>6703</v>
      </c>
      <c r="AF739" s="56">
        <v>34.549999999999997</v>
      </c>
      <c r="AG739" s="56">
        <f>VLOOKUP(A739,Sheet1!$A$2:$C$1140,3,FALSE)</f>
        <v>34.549999999999997</v>
      </c>
      <c r="AH739" s="58">
        <v>34.549999999999997</v>
      </c>
      <c r="AI739" s="56" t="str">
        <f t="shared" si="125"/>
        <v>Same</v>
      </c>
      <c r="AJ739" s="81">
        <f t="shared" si="129"/>
        <v>138.19999999999999</v>
      </c>
      <c r="AK739" s="81">
        <f t="shared" si="130"/>
        <v>138.19999999999999</v>
      </c>
      <c r="AL739" s="58" t="s">
        <v>7206</v>
      </c>
      <c r="AM739" s="58" t="s">
        <v>6703</v>
      </c>
      <c r="AN739" s="75">
        <v>7</v>
      </c>
      <c r="AO739" s="88">
        <v>34.549999999999997</v>
      </c>
      <c r="AP739" s="6" t="str">
        <f t="shared" si="126"/>
        <v>Same</v>
      </c>
      <c r="AQ739" s="81">
        <f t="shared" si="127"/>
        <v>241.84999999999997</v>
      </c>
      <c r="AR739" s="81">
        <f t="shared" si="128"/>
        <v>241.84999999999997</v>
      </c>
      <c r="AS739" s="81">
        <f t="shared" si="131"/>
        <v>0</v>
      </c>
    </row>
    <row r="740" spans="1:45" hidden="1" x14ac:dyDescent="0.3">
      <c r="A740">
        <v>5084860</v>
      </c>
      <c r="B740" s="15" t="s">
        <v>6076</v>
      </c>
      <c r="C740" s="16" t="s">
        <v>30</v>
      </c>
      <c r="D740" s="6" t="s">
        <v>31</v>
      </c>
      <c r="E740" t="s">
        <v>986</v>
      </c>
      <c r="F740" t="s">
        <v>986</v>
      </c>
      <c r="H740" s="11" t="s">
        <v>27</v>
      </c>
      <c r="I740" s="6" t="s">
        <v>28</v>
      </c>
      <c r="J740" s="6" t="s">
        <v>28</v>
      </c>
      <c r="K740" t="s">
        <v>32</v>
      </c>
      <c r="L740" s="35">
        <v>50.08</v>
      </c>
      <c r="M740" s="6" t="s">
        <v>29</v>
      </c>
      <c r="N740" s="6">
        <v>3105</v>
      </c>
      <c r="P740" s="18"/>
      <c r="Q740" s="17"/>
      <c r="R740" s="19">
        <v>50.08</v>
      </c>
      <c r="S740" s="19">
        <v>50.08</v>
      </c>
      <c r="T740" s="38">
        <v>4</v>
      </c>
      <c r="U740" s="38"/>
      <c r="V740" s="30">
        <v>50.08</v>
      </c>
      <c r="W740" s="35">
        <v>50.08</v>
      </c>
      <c r="X740" s="32">
        <f t="shared" si="121"/>
        <v>200.32</v>
      </c>
      <c r="Y740" s="32">
        <f t="shared" si="122"/>
        <v>200.32</v>
      </c>
      <c r="Z740" s="32">
        <f t="shared" si="123"/>
        <v>0</v>
      </c>
      <c r="AA740" s="38">
        <v>4</v>
      </c>
      <c r="AB740" s="37">
        <f>IFERROR(VLOOKUP(A740,'Tash Lookup'!A:E,3,FALSE),"")</f>
        <v>197.26</v>
      </c>
      <c r="AC740" s="6">
        <f t="shared" si="124"/>
        <v>0</v>
      </c>
      <c r="AD740" s="2" t="s">
        <v>6703</v>
      </c>
      <c r="AF740" s="56">
        <v>28.89</v>
      </c>
      <c r="AG740" s="56">
        <f>VLOOKUP(A740,Sheet1!$A$2:$C$1140,3,FALSE)</f>
        <v>28.89</v>
      </c>
      <c r="AH740" s="58">
        <v>28.89</v>
      </c>
      <c r="AI740" s="56" t="str">
        <f t="shared" si="125"/>
        <v>Same</v>
      </c>
      <c r="AJ740" s="81">
        <f t="shared" si="129"/>
        <v>115.56</v>
      </c>
      <c r="AK740" s="81">
        <f t="shared" si="130"/>
        <v>115.56</v>
      </c>
      <c r="AL740" s="58" t="s">
        <v>7206</v>
      </c>
      <c r="AM740" s="58" t="s">
        <v>6703</v>
      </c>
      <c r="AN740" s="75">
        <v>0</v>
      </c>
      <c r="AO740" s="88">
        <v>28.89</v>
      </c>
      <c r="AP740" s="6" t="str">
        <f t="shared" si="126"/>
        <v>Same</v>
      </c>
      <c r="AQ740" s="81">
        <f t="shared" si="127"/>
        <v>0</v>
      </c>
      <c r="AR740" s="81">
        <f t="shared" si="128"/>
        <v>0</v>
      </c>
      <c r="AS740" s="81">
        <f t="shared" si="131"/>
        <v>0</v>
      </c>
    </row>
    <row r="741" spans="1:45" hidden="1" x14ac:dyDescent="0.3">
      <c r="A741">
        <v>5084782</v>
      </c>
      <c r="B741" s="15" t="s">
        <v>6077</v>
      </c>
      <c r="C741" s="16" t="s">
        <v>30</v>
      </c>
      <c r="D741" s="6" t="s">
        <v>31</v>
      </c>
      <c r="E741" t="s">
        <v>989</v>
      </c>
      <c r="F741" t="s">
        <v>989</v>
      </c>
      <c r="H741" s="11" t="s">
        <v>27</v>
      </c>
      <c r="I741" s="6" t="s">
        <v>28</v>
      </c>
      <c r="J741" s="6" t="s">
        <v>28</v>
      </c>
      <c r="K741" t="s">
        <v>32</v>
      </c>
      <c r="L741" s="35">
        <v>9.6300000000000008</v>
      </c>
      <c r="M741" s="6" t="s">
        <v>29</v>
      </c>
      <c r="N741" s="6">
        <v>3105</v>
      </c>
      <c r="P741" s="18"/>
      <c r="Q741" s="17"/>
      <c r="R741" s="19">
        <v>9.6300000000000008</v>
      </c>
      <c r="S741" s="19">
        <v>9.6300000000000008</v>
      </c>
      <c r="T741" s="38">
        <v>4</v>
      </c>
      <c r="U741" s="38"/>
      <c r="V741" s="30">
        <v>9.6300000000000008</v>
      </c>
      <c r="W741" s="35">
        <v>9.6300000000000008</v>
      </c>
      <c r="X741" s="32">
        <f t="shared" si="121"/>
        <v>38.520000000000003</v>
      </c>
      <c r="Y741" s="32">
        <f t="shared" si="122"/>
        <v>38.520000000000003</v>
      </c>
      <c r="Z741" s="32">
        <f t="shared" si="123"/>
        <v>0</v>
      </c>
      <c r="AA741" s="38">
        <v>4</v>
      </c>
      <c r="AB741" s="37">
        <f>IFERROR(VLOOKUP(A741,'Tash Lookup'!A:E,3,FALSE),"")</f>
        <v>38.520000000000003</v>
      </c>
      <c r="AC741" s="6">
        <f t="shared" si="124"/>
        <v>0</v>
      </c>
      <c r="AD741" s="2" t="s">
        <v>6703</v>
      </c>
      <c r="AF741" s="56">
        <v>9.64</v>
      </c>
      <c r="AG741" s="56">
        <f>VLOOKUP(A741,Sheet1!$A$2:$C$1140,3,FALSE)</f>
        <v>9.64</v>
      </c>
      <c r="AH741" s="58">
        <v>9.64</v>
      </c>
      <c r="AI741" s="56" t="str">
        <f t="shared" si="125"/>
        <v>Same</v>
      </c>
      <c r="AJ741" s="81">
        <f t="shared" si="129"/>
        <v>38.56</v>
      </c>
      <c r="AK741" s="81">
        <f t="shared" si="130"/>
        <v>38.56</v>
      </c>
      <c r="AL741" s="58" t="s">
        <v>7206</v>
      </c>
      <c r="AM741" s="58" t="s">
        <v>6703</v>
      </c>
      <c r="AN741" s="75">
        <v>2</v>
      </c>
      <c r="AO741" s="88">
        <v>9.64</v>
      </c>
      <c r="AP741" s="6" t="str">
        <f t="shared" si="126"/>
        <v>Same</v>
      </c>
      <c r="AQ741" s="81">
        <f t="shared" si="127"/>
        <v>19.28</v>
      </c>
      <c r="AR741" s="81">
        <f t="shared" si="128"/>
        <v>19.28</v>
      </c>
      <c r="AS741" s="81">
        <f t="shared" si="131"/>
        <v>0</v>
      </c>
    </row>
    <row r="742" spans="1:45" hidden="1" x14ac:dyDescent="0.3">
      <c r="A742">
        <v>6038910</v>
      </c>
      <c r="B742" s="15" t="s">
        <v>6078</v>
      </c>
      <c r="C742" s="16" t="s">
        <v>30</v>
      </c>
      <c r="D742" s="6" t="s">
        <v>31</v>
      </c>
      <c r="E742" t="s">
        <v>1031</v>
      </c>
      <c r="F742" t="s">
        <v>1031</v>
      </c>
      <c r="H742" s="11" t="s">
        <v>27</v>
      </c>
      <c r="I742" s="6" t="s">
        <v>28</v>
      </c>
      <c r="J742" s="6" t="s">
        <v>28</v>
      </c>
      <c r="K742" t="s">
        <v>32</v>
      </c>
      <c r="L742" s="35">
        <v>14.25</v>
      </c>
      <c r="M742" s="6" t="s">
        <v>29</v>
      </c>
      <c r="N742" s="6">
        <v>3105</v>
      </c>
      <c r="P742" s="18"/>
      <c r="Q742" s="17"/>
      <c r="R742" s="19">
        <v>0</v>
      </c>
      <c r="S742" s="19">
        <v>0</v>
      </c>
      <c r="T742" s="38">
        <v>4</v>
      </c>
      <c r="U742" s="38"/>
      <c r="V742" s="31">
        <v>14.25</v>
      </c>
      <c r="W742" s="35">
        <v>14.25</v>
      </c>
      <c r="X742" s="32">
        <f t="shared" si="121"/>
        <v>57</v>
      </c>
      <c r="Y742" s="32">
        <f t="shared" si="122"/>
        <v>57</v>
      </c>
      <c r="Z742" s="32">
        <f t="shared" si="123"/>
        <v>0</v>
      </c>
      <c r="AA742" s="38">
        <v>4</v>
      </c>
      <c r="AB742" s="37">
        <f>IFERROR(VLOOKUP(A742,'Tash Lookup'!A:E,3,FALSE),"")</f>
        <v>56.52</v>
      </c>
      <c r="AC742" s="6">
        <f t="shared" si="124"/>
        <v>0</v>
      </c>
      <c r="AD742" s="2" t="s">
        <v>6703</v>
      </c>
      <c r="AF742" s="56">
        <v>14.61</v>
      </c>
      <c r="AG742" s="56">
        <f>VLOOKUP(A742,Sheet1!$A$2:$C$1140,3,FALSE)</f>
        <v>14.9</v>
      </c>
      <c r="AH742" s="58">
        <v>14.9</v>
      </c>
      <c r="AI742" s="56" t="str">
        <f t="shared" si="125"/>
        <v>Increase</v>
      </c>
      <c r="AJ742" s="81">
        <f t="shared" si="129"/>
        <v>58.44</v>
      </c>
      <c r="AK742" s="81">
        <f t="shared" si="130"/>
        <v>59.6</v>
      </c>
      <c r="AL742" s="58" t="s">
        <v>7206</v>
      </c>
      <c r="AM742" s="58" t="s">
        <v>6703</v>
      </c>
      <c r="AN742" s="75">
        <v>3</v>
      </c>
      <c r="AO742" s="88">
        <v>14.9</v>
      </c>
      <c r="AP742" s="6" t="str">
        <f t="shared" si="126"/>
        <v>Increase</v>
      </c>
      <c r="AQ742" s="81">
        <f t="shared" si="127"/>
        <v>43.83</v>
      </c>
      <c r="AR742" s="81">
        <f t="shared" si="128"/>
        <v>44.7</v>
      </c>
      <c r="AS742" s="82">
        <f t="shared" si="131"/>
        <v>0.87000000000000455</v>
      </c>
    </row>
    <row r="743" spans="1:45" hidden="1" x14ac:dyDescent="0.3">
      <c r="A743">
        <v>6020476</v>
      </c>
      <c r="B743" s="15" t="s">
        <v>6079</v>
      </c>
      <c r="C743" s="16" t="s">
        <v>30</v>
      </c>
      <c r="D743" s="6" t="s">
        <v>31</v>
      </c>
      <c r="E743" t="s">
        <v>1032</v>
      </c>
      <c r="F743" t="s">
        <v>1032</v>
      </c>
      <c r="H743" s="11" t="s">
        <v>27</v>
      </c>
      <c r="I743" s="6" t="s">
        <v>28</v>
      </c>
      <c r="J743" s="6" t="s">
        <v>28</v>
      </c>
      <c r="K743" t="s">
        <v>32</v>
      </c>
      <c r="L743" s="35">
        <v>40.799999999999997</v>
      </c>
      <c r="M743" s="6" t="s">
        <v>29</v>
      </c>
      <c r="N743" s="6">
        <v>3105</v>
      </c>
      <c r="P743" s="18"/>
      <c r="Q743" s="17"/>
      <c r="R743" s="19">
        <v>0</v>
      </c>
      <c r="S743" s="19">
        <v>0</v>
      </c>
      <c r="T743" s="38">
        <v>4</v>
      </c>
      <c r="U743" s="38"/>
      <c r="V743" s="31">
        <v>40.799999999999997</v>
      </c>
      <c r="W743" s="35">
        <v>40.799999999999997</v>
      </c>
      <c r="X743" s="32">
        <f t="shared" si="121"/>
        <v>163.19999999999999</v>
      </c>
      <c r="Y743" s="32">
        <f t="shared" si="122"/>
        <v>163.19999999999999</v>
      </c>
      <c r="Z743" s="32">
        <f t="shared" si="123"/>
        <v>0</v>
      </c>
      <c r="AA743" s="38">
        <v>4</v>
      </c>
      <c r="AB743" s="37">
        <f>IFERROR(VLOOKUP(A743,'Tash Lookup'!A:E,3,FALSE),"")</f>
        <v>150.26</v>
      </c>
      <c r="AC743" s="6">
        <f t="shared" si="124"/>
        <v>0</v>
      </c>
      <c r="AD743" s="2" t="s">
        <v>6703</v>
      </c>
      <c r="AF743" s="56">
        <v>41.86</v>
      </c>
      <c r="AG743" s="56">
        <f>VLOOKUP(A743,Sheet1!$A$2:$C$1140,3,FALSE)</f>
        <v>42.69</v>
      </c>
      <c r="AH743" s="58">
        <v>42.69</v>
      </c>
      <c r="AI743" s="56" t="str">
        <f t="shared" si="125"/>
        <v>Increase</v>
      </c>
      <c r="AJ743" s="81">
        <f t="shared" si="129"/>
        <v>167.44</v>
      </c>
      <c r="AK743" s="81">
        <f t="shared" si="130"/>
        <v>170.76</v>
      </c>
      <c r="AL743" s="58" t="s">
        <v>7206</v>
      </c>
      <c r="AM743" s="58" t="s">
        <v>6703</v>
      </c>
      <c r="AN743" s="75">
        <v>3</v>
      </c>
      <c r="AO743" s="88">
        <v>42.69</v>
      </c>
      <c r="AP743" s="6" t="str">
        <f t="shared" si="126"/>
        <v>Increase</v>
      </c>
      <c r="AQ743" s="81">
        <f t="shared" si="127"/>
        <v>125.58</v>
      </c>
      <c r="AR743" s="81">
        <f t="shared" si="128"/>
        <v>128.07</v>
      </c>
      <c r="AS743" s="82">
        <f t="shared" si="131"/>
        <v>2.4899999999999949</v>
      </c>
    </row>
    <row r="744" spans="1:45" hidden="1" x14ac:dyDescent="0.3">
      <c r="A744">
        <v>6020477</v>
      </c>
      <c r="B744" s="15" t="s">
        <v>6080</v>
      </c>
      <c r="C744" s="16" t="s">
        <v>30</v>
      </c>
      <c r="D744" s="6" t="s">
        <v>31</v>
      </c>
      <c r="E744" t="s">
        <v>1036</v>
      </c>
      <c r="F744" t="s">
        <v>1036</v>
      </c>
      <c r="H744" s="11" t="s">
        <v>27</v>
      </c>
      <c r="I744" s="6" t="s">
        <v>28</v>
      </c>
      <c r="J744" s="6" t="s">
        <v>28</v>
      </c>
      <c r="K744" t="s">
        <v>32</v>
      </c>
      <c r="L744" s="35">
        <v>40.799999999999997</v>
      </c>
      <c r="M744" s="6" t="s">
        <v>29</v>
      </c>
      <c r="N744" s="6">
        <v>3105</v>
      </c>
      <c r="P744" s="18"/>
      <c r="Q744" s="17"/>
      <c r="R744" s="19">
        <v>0</v>
      </c>
      <c r="S744" s="19">
        <v>0</v>
      </c>
      <c r="T744" s="38">
        <v>4</v>
      </c>
      <c r="U744" s="38"/>
      <c r="V744" s="31">
        <v>40.799999999999997</v>
      </c>
      <c r="W744" s="35">
        <v>40.799999999999997</v>
      </c>
      <c r="X744" s="32">
        <f t="shared" si="121"/>
        <v>163.19999999999999</v>
      </c>
      <c r="Y744" s="32">
        <f t="shared" si="122"/>
        <v>163.19999999999999</v>
      </c>
      <c r="Z744" s="32">
        <f t="shared" si="123"/>
        <v>0</v>
      </c>
      <c r="AA744" s="38">
        <v>4</v>
      </c>
      <c r="AB744" s="37">
        <f>IFERROR(VLOOKUP(A744,'Tash Lookup'!A:E,3,FALSE),"")</f>
        <v>160.54</v>
      </c>
      <c r="AC744" s="6">
        <f t="shared" si="124"/>
        <v>0</v>
      </c>
      <c r="AD744" s="2" t="s">
        <v>6703</v>
      </c>
      <c r="AF744" s="56">
        <v>43.11</v>
      </c>
      <c r="AG744" s="56">
        <f>VLOOKUP(A744,Sheet1!$A$2:$C$1140,3,FALSE)</f>
        <v>43.98</v>
      </c>
      <c r="AH744" s="58">
        <v>43.98</v>
      </c>
      <c r="AI744" s="56" t="str">
        <f t="shared" si="125"/>
        <v>Increase</v>
      </c>
      <c r="AJ744" s="81">
        <f t="shared" si="129"/>
        <v>172.44</v>
      </c>
      <c r="AK744" s="81">
        <f t="shared" si="130"/>
        <v>175.92</v>
      </c>
      <c r="AL744" s="58" t="s">
        <v>7206</v>
      </c>
      <c r="AM744" s="58" t="s">
        <v>6703</v>
      </c>
      <c r="AN744" s="75">
        <v>1</v>
      </c>
      <c r="AO744" s="88">
        <v>43.98</v>
      </c>
      <c r="AP744" s="6" t="str">
        <f t="shared" si="126"/>
        <v>Increase</v>
      </c>
      <c r="AQ744" s="81">
        <f t="shared" si="127"/>
        <v>43.11</v>
      </c>
      <c r="AR744" s="81">
        <f t="shared" si="128"/>
        <v>43.98</v>
      </c>
      <c r="AS744" s="82">
        <f t="shared" si="131"/>
        <v>0.86999999999999744</v>
      </c>
    </row>
    <row r="745" spans="1:45" hidden="1" x14ac:dyDescent="0.3">
      <c r="A745">
        <v>6396799</v>
      </c>
      <c r="B745" s="15" t="s">
        <v>6081</v>
      </c>
      <c r="C745" s="16" t="s">
        <v>30</v>
      </c>
      <c r="D745" s="6" t="s">
        <v>31</v>
      </c>
      <c r="E745" t="s">
        <v>1067</v>
      </c>
      <c r="F745" t="s">
        <v>1067</v>
      </c>
      <c r="H745" s="11" t="s">
        <v>27</v>
      </c>
      <c r="I745" s="6" t="s">
        <v>28</v>
      </c>
      <c r="J745" s="6" t="s">
        <v>28</v>
      </c>
      <c r="K745" t="s">
        <v>32</v>
      </c>
      <c r="L745" s="35">
        <v>7.34</v>
      </c>
      <c r="M745" s="6" t="s">
        <v>29</v>
      </c>
      <c r="N745" s="6">
        <v>3105</v>
      </c>
      <c r="P745" s="18"/>
      <c r="Q745" s="17"/>
      <c r="R745" s="19">
        <v>0</v>
      </c>
      <c r="S745" s="19">
        <v>0</v>
      </c>
      <c r="T745" s="38">
        <v>4</v>
      </c>
      <c r="U745" s="38"/>
      <c r="V745" s="31">
        <v>7.34</v>
      </c>
      <c r="W745" s="35">
        <v>7.34</v>
      </c>
      <c r="X745" s="32">
        <f t="shared" si="121"/>
        <v>29.36</v>
      </c>
      <c r="Y745" s="32">
        <f t="shared" si="122"/>
        <v>29.36</v>
      </c>
      <c r="Z745" s="32">
        <f t="shared" si="123"/>
        <v>0</v>
      </c>
      <c r="AA745" s="38">
        <v>4</v>
      </c>
      <c r="AB745" s="37">
        <f>IFERROR(VLOOKUP(A745,'Tash Lookup'!A:E,3,FALSE),"")</f>
        <v>35.67</v>
      </c>
      <c r="AC745" s="6">
        <f t="shared" si="124"/>
        <v>0</v>
      </c>
      <c r="AD745" s="2" t="s">
        <v>6709</v>
      </c>
      <c r="AF745" s="56">
        <v>7.34</v>
      </c>
      <c r="AG745" s="56">
        <f>VLOOKUP(A745,Sheet1!$A$2:$C$1140,3,FALSE)</f>
        <v>7.49</v>
      </c>
      <c r="AH745" s="58">
        <v>7.49</v>
      </c>
      <c r="AI745" s="56" t="str">
        <f t="shared" si="125"/>
        <v>Increase</v>
      </c>
      <c r="AJ745" s="81">
        <f t="shared" si="129"/>
        <v>29.36</v>
      </c>
      <c r="AK745" s="81">
        <f t="shared" si="130"/>
        <v>29.96</v>
      </c>
      <c r="AL745" s="58" t="s">
        <v>7206</v>
      </c>
      <c r="AM745" s="58" t="s">
        <v>6703</v>
      </c>
      <c r="AN745" s="75">
        <v>3</v>
      </c>
      <c r="AO745" s="88">
        <v>7.49</v>
      </c>
      <c r="AP745" s="6" t="str">
        <f t="shared" si="126"/>
        <v>Increase</v>
      </c>
      <c r="AQ745" s="81">
        <f t="shared" si="127"/>
        <v>22.02</v>
      </c>
      <c r="AR745" s="81">
        <f t="shared" si="128"/>
        <v>22.47</v>
      </c>
      <c r="AS745" s="82">
        <f t="shared" si="131"/>
        <v>0.44999999999999929</v>
      </c>
    </row>
    <row r="746" spans="1:45" hidden="1" x14ac:dyDescent="0.3">
      <c r="A746">
        <v>6396957</v>
      </c>
      <c r="B746" s="15" t="s">
        <v>6082</v>
      </c>
      <c r="C746" s="16" t="s">
        <v>30</v>
      </c>
      <c r="D746" s="6" t="s">
        <v>31</v>
      </c>
      <c r="E746" t="s">
        <v>1076</v>
      </c>
      <c r="F746" t="s">
        <v>1076</v>
      </c>
      <c r="H746" s="11" t="s">
        <v>27</v>
      </c>
      <c r="I746" s="6" t="s">
        <v>28</v>
      </c>
      <c r="J746" s="6" t="s">
        <v>28</v>
      </c>
      <c r="K746" t="s">
        <v>32</v>
      </c>
      <c r="L746" s="35">
        <v>58.98</v>
      </c>
      <c r="M746" s="6" t="s">
        <v>29</v>
      </c>
      <c r="N746" s="6">
        <v>3105</v>
      </c>
      <c r="P746" s="18"/>
      <c r="Q746" s="17"/>
      <c r="R746" s="19">
        <v>58.98</v>
      </c>
      <c r="S746" s="19">
        <v>58.98</v>
      </c>
      <c r="T746" s="38">
        <v>4</v>
      </c>
      <c r="U746" s="38"/>
      <c r="V746" s="30">
        <v>58.98</v>
      </c>
      <c r="W746" s="35">
        <v>58.98</v>
      </c>
      <c r="X746" s="32">
        <f t="shared" si="121"/>
        <v>235.92</v>
      </c>
      <c r="Y746" s="32">
        <f t="shared" si="122"/>
        <v>235.92</v>
      </c>
      <c r="Z746" s="32">
        <f t="shared" si="123"/>
        <v>0</v>
      </c>
      <c r="AA746" s="38">
        <v>4</v>
      </c>
      <c r="AB746" s="37">
        <f>IFERROR(VLOOKUP(A746,'Tash Lookup'!A:E,3,FALSE),"")</f>
        <v>235.9</v>
      </c>
      <c r="AC746" s="6">
        <f t="shared" si="124"/>
        <v>0</v>
      </c>
      <c r="AD746" s="2" t="s">
        <v>6703</v>
      </c>
      <c r="AF746" s="56">
        <v>60.75</v>
      </c>
      <c r="AG746" s="56">
        <f>VLOOKUP(A746,Sheet1!$A$2:$C$1140,3,FALSE)</f>
        <v>61.96</v>
      </c>
      <c r="AH746" s="58">
        <v>61.96</v>
      </c>
      <c r="AI746" s="56" t="str">
        <f t="shared" si="125"/>
        <v>Increase</v>
      </c>
      <c r="AJ746" s="81">
        <f t="shared" si="129"/>
        <v>243</v>
      </c>
      <c r="AK746" s="81">
        <f t="shared" si="130"/>
        <v>247.84</v>
      </c>
      <c r="AL746" s="58" t="s">
        <v>7206</v>
      </c>
      <c r="AM746" s="58" t="s">
        <v>6703</v>
      </c>
      <c r="AN746" s="75">
        <v>8</v>
      </c>
      <c r="AO746" s="88">
        <v>61.96</v>
      </c>
      <c r="AP746" s="6" t="str">
        <f t="shared" si="126"/>
        <v>Increase</v>
      </c>
      <c r="AQ746" s="81">
        <f t="shared" si="127"/>
        <v>486</v>
      </c>
      <c r="AR746" s="81">
        <f t="shared" si="128"/>
        <v>495.68</v>
      </c>
      <c r="AS746" s="82">
        <f t="shared" si="131"/>
        <v>9.6800000000000068</v>
      </c>
    </row>
    <row r="747" spans="1:45" hidden="1" x14ac:dyDescent="0.3">
      <c r="A747">
        <v>6033895</v>
      </c>
      <c r="B747" s="15" t="s">
        <v>6083</v>
      </c>
      <c r="C747" s="16" t="s">
        <v>30</v>
      </c>
      <c r="D747" s="6" t="s">
        <v>31</v>
      </c>
      <c r="E747" t="s">
        <v>1096</v>
      </c>
      <c r="F747" t="s">
        <v>1096</v>
      </c>
      <c r="H747" s="11" t="s">
        <v>27</v>
      </c>
      <c r="I747" s="6" t="s">
        <v>28</v>
      </c>
      <c r="J747" s="6" t="s">
        <v>28</v>
      </c>
      <c r="K747" t="s">
        <v>32</v>
      </c>
      <c r="L747" s="35">
        <v>68.78</v>
      </c>
      <c r="M747" s="6" t="s">
        <v>29</v>
      </c>
      <c r="N747" s="6">
        <v>3105</v>
      </c>
      <c r="P747" s="18"/>
      <c r="Q747" s="17"/>
      <c r="R747" s="19">
        <v>68.78</v>
      </c>
      <c r="S747" s="19">
        <v>68.78</v>
      </c>
      <c r="T747" s="38">
        <v>4</v>
      </c>
      <c r="U747" s="38"/>
      <c r="V747" s="30">
        <v>68.78</v>
      </c>
      <c r="W747" s="35">
        <v>68.78</v>
      </c>
      <c r="X747" s="32">
        <f t="shared" si="121"/>
        <v>275.12</v>
      </c>
      <c r="Y747" s="32">
        <f t="shared" si="122"/>
        <v>275.12</v>
      </c>
      <c r="Z747" s="32">
        <f t="shared" si="123"/>
        <v>0</v>
      </c>
      <c r="AA747" s="38">
        <v>4</v>
      </c>
      <c r="AB747" s="37">
        <f>IFERROR(VLOOKUP(A747,'Tash Lookup'!A:E,3,FALSE),"")</f>
        <v>275.10000000000002</v>
      </c>
      <c r="AC747" s="6">
        <f t="shared" si="124"/>
        <v>0</v>
      </c>
      <c r="AD747" s="2" t="s">
        <v>6703</v>
      </c>
      <c r="AF747" s="56">
        <v>68.78</v>
      </c>
      <c r="AG747" s="56">
        <f>VLOOKUP(A747,Sheet1!$A$2:$C$1140,3,FALSE)</f>
        <v>70.150000000000006</v>
      </c>
      <c r="AH747" s="58">
        <v>70.150000000000006</v>
      </c>
      <c r="AI747" s="56" t="str">
        <f t="shared" si="125"/>
        <v>Increase</v>
      </c>
      <c r="AJ747" s="81">
        <f t="shared" si="129"/>
        <v>275.12</v>
      </c>
      <c r="AK747" s="81">
        <f t="shared" si="130"/>
        <v>280.60000000000002</v>
      </c>
      <c r="AL747" s="58" t="s">
        <v>7206</v>
      </c>
      <c r="AM747" s="58" t="s">
        <v>6703</v>
      </c>
      <c r="AN747" s="75">
        <v>0</v>
      </c>
      <c r="AO747" s="88">
        <v>70.150000000000006</v>
      </c>
      <c r="AP747" s="6" t="str">
        <f t="shared" si="126"/>
        <v>Increase</v>
      </c>
      <c r="AQ747" s="81">
        <f t="shared" si="127"/>
        <v>0</v>
      </c>
      <c r="AR747" s="81">
        <f t="shared" si="128"/>
        <v>0</v>
      </c>
      <c r="AS747" s="82">
        <f t="shared" si="131"/>
        <v>0</v>
      </c>
    </row>
    <row r="748" spans="1:45" hidden="1" x14ac:dyDescent="0.3">
      <c r="A748">
        <v>6107984</v>
      </c>
      <c r="B748" s="15" t="s">
        <v>6084</v>
      </c>
      <c r="C748" s="16" t="s">
        <v>30</v>
      </c>
      <c r="D748" s="6" t="s">
        <v>31</v>
      </c>
      <c r="E748" t="s">
        <v>1129</v>
      </c>
      <c r="F748" t="s">
        <v>1129</v>
      </c>
      <c r="H748" s="11" t="s">
        <v>27</v>
      </c>
      <c r="I748" s="6" t="s">
        <v>28</v>
      </c>
      <c r="J748" s="6" t="s">
        <v>28</v>
      </c>
      <c r="K748" t="s">
        <v>32</v>
      </c>
      <c r="L748" s="35">
        <v>6.8</v>
      </c>
      <c r="M748" s="6" t="s">
        <v>29</v>
      </c>
      <c r="N748" s="6">
        <v>3105</v>
      </c>
      <c r="P748" s="18"/>
      <c r="Q748" s="17"/>
      <c r="R748" s="19">
        <v>0</v>
      </c>
      <c r="S748" s="19">
        <v>0</v>
      </c>
      <c r="T748" s="38">
        <v>4</v>
      </c>
      <c r="U748" s="38"/>
      <c r="V748" s="31">
        <v>6.8</v>
      </c>
      <c r="W748" s="35">
        <v>6.8</v>
      </c>
      <c r="X748" s="32">
        <f t="shared" si="121"/>
        <v>27.2</v>
      </c>
      <c r="Y748" s="32">
        <f t="shared" si="122"/>
        <v>27.2</v>
      </c>
      <c r="Z748" s="32">
        <f t="shared" si="123"/>
        <v>0</v>
      </c>
      <c r="AA748" s="38">
        <v>4</v>
      </c>
      <c r="AB748" s="37">
        <f>IFERROR(VLOOKUP(A748,'Tash Lookup'!A:E,3,FALSE),"")</f>
        <v>27.2</v>
      </c>
      <c r="AC748" s="6">
        <f t="shared" si="124"/>
        <v>0</v>
      </c>
      <c r="AD748" s="2" t="s">
        <v>6703</v>
      </c>
      <c r="AF748" s="56">
        <v>6.8</v>
      </c>
      <c r="AG748" s="56">
        <f>VLOOKUP(A748,Sheet1!$A$2:$C$1140,3,FALSE)</f>
        <v>6.94</v>
      </c>
      <c r="AH748" s="58">
        <v>6.94</v>
      </c>
      <c r="AI748" s="56" t="str">
        <f t="shared" si="125"/>
        <v>Increase</v>
      </c>
      <c r="AJ748" s="81">
        <f t="shared" si="129"/>
        <v>27.2</v>
      </c>
      <c r="AK748" s="81">
        <f t="shared" si="130"/>
        <v>27.76</v>
      </c>
      <c r="AL748" s="58" t="s">
        <v>7206</v>
      </c>
      <c r="AM748" s="58" t="s">
        <v>6703</v>
      </c>
      <c r="AN748" s="75">
        <v>1</v>
      </c>
      <c r="AO748" s="88">
        <v>6.94</v>
      </c>
      <c r="AP748" s="6" t="str">
        <f t="shared" si="126"/>
        <v>Increase</v>
      </c>
      <c r="AQ748" s="81">
        <f t="shared" si="127"/>
        <v>6.8</v>
      </c>
      <c r="AR748" s="81">
        <f t="shared" si="128"/>
        <v>6.94</v>
      </c>
      <c r="AS748" s="82">
        <f t="shared" si="131"/>
        <v>0.14000000000000057</v>
      </c>
    </row>
    <row r="749" spans="1:45" hidden="1" x14ac:dyDescent="0.3">
      <c r="A749">
        <v>6107952</v>
      </c>
      <c r="B749" s="15" t="s">
        <v>6085</v>
      </c>
      <c r="C749" s="16" t="s">
        <v>30</v>
      </c>
      <c r="D749" s="6" t="s">
        <v>31</v>
      </c>
      <c r="E749" t="s">
        <v>1130</v>
      </c>
      <c r="F749" t="s">
        <v>1130</v>
      </c>
      <c r="H749" s="11" t="s">
        <v>27</v>
      </c>
      <c r="I749" s="6" t="s">
        <v>28</v>
      </c>
      <c r="J749" s="6" t="s">
        <v>28</v>
      </c>
      <c r="K749" t="s">
        <v>32</v>
      </c>
      <c r="L749" s="35">
        <v>20.56</v>
      </c>
      <c r="M749" s="6" t="s">
        <v>29</v>
      </c>
      <c r="N749" s="6">
        <v>3105</v>
      </c>
      <c r="P749" s="18"/>
      <c r="Q749" s="17"/>
      <c r="R749" s="19">
        <v>0</v>
      </c>
      <c r="S749" s="19">
        <v>0</v>
      </c>
      <c r="T749" s="38">
        <v>4</v>
      </c>
      <c r="U749" s="38"/>
      <c r="V749" s="31">
        <v>20.56</v>
      </c>
      <c r="W749" s="35">
        <v>20.56</v>
      </c>
      <c r="X749" s="32">
        <f t="shared" si="121"/>
        <v>82.24</v>
      </c>
      <c r="Y749" s="32">
        <f t="shared" si="122"/>
        <v>82.24</v>
      </c>
      <c r="Z749" s="32">
        <f t="shared" si="123"/>
        <v>0</v>
      </c>
      <c r="AA749" s="38">
        <v>4</v>
      </c>
      <c r="AB749" s="37">
        <f>IFERROR(VLOOKUP(A749,'Tash Lookup'!A:E,3,FALSE),"")</f>
        <v>80.48</v>
      </c>
      <c r="AC749" s="6">
        <f t="shared" si="124"/>
        <v>0</v>
      </c>
      <c r="AD749" s="2" t="s">
        <v>6703</v>
      </c>
      <c r="AF749" s="56">
        <v>20.56</v>
      </c>
      <c r="AG749" s="56">
        <f>VLOOKUP(A749,Sheet1!$A$2:$C$1140,3,FALSE)</f>
        <v>20.97</v>
      </c>
      <c r="AH749" s="58">
        <v>20.97</v>
      </c>
      <c r="AI749" s="56" t="str">
        <f t="shared" si="125"/>
        <v>Increase</v>
      </c>
      <c r="AJ749" s="81">
        <f t="shared" si="129"/>
        <v>82.24</v>
      </c>
      <c r="AK749" s="81">
        <f t="shared" si="130"/>
        <v>83.88</v>
      </c>
      <c r="AL749" s="58" t="s">
        <v>7206</v>
      </c>
      <c r="AM749" s="58" t="s">
        <v>6703</v>
      </c>
      <c r="AN749" s="75">
        <v>80</v>
      </c>
      <c r="AO749" s="88">
        <v>20.97</v>
      </c>
      <c r="AP749" s="6" t="str">
        <f t="shared" si="126"/>
        <v>Increase</v>
      </c>
      <c r="AQ749" s="81">
        <f t="shared" si="127"/>
        <v>1644.8</v>
      </c>
      <c r="AR749" s="81">
        <f t="shared" si="128"/>
        <v>1677.6</v>
      </c>
      <c r="AS749" s="82">
        <f t="shared" si="131"/>
        <v>32.799999999999955</v>
      </c>
    </row>
    <row r="750" spans="1:45" x14ac:dyDescent="0.3">
      <c r="A750">
        <v>5085899</v>
      </c>
      <c r="B750" s="15" t="s">
        <v>6086</v>
      </c>
      <c r="C750" s="16" t="s">
        <v>30</v>
      </c>
      <c r="D750" s="6" t="s">
        <v>31</v>
      </c>
      <c r="E750" t="s">
        <v>1177</v>
      </c>
      <c r="F750" t="s">
        <v>1177</v>
      </c>
      <c r="H750" s="11" t="s">
        <v>27</v>
      </c>
      <c r="I750" s="6" t="s">
        <v>28</v>
      </c>
      <c r="J750" s="6" t="s">
        <v>28</v>
      </c>
      <c r="K750" t="s">
        <v>32</v>
      </c>
      <c r="L750" s="35">
        <v>63.24</v>
      </c>
      <c r="M750" s="6" t="s">
        <v>29</v>
      </c>
      <c r="N750" s="6">
        <v>3105</v>
      </c>
      <c r="P750" s="18"/>
      <c r="Q750" s="17"/>
      <c r="R750" s="19">
        <v>63.24</v>
      </c>
      <c r="S750" s="19">
        <v>63.24</v>
      </c>
      <c r="T750" s="38">
        <v>4</v>
      </c>
      <c r="U750" s="38"/>
      <c r="V750" s="30">
        <v>63.24</v>
      </c>
      <c r="W750" s="35">
        <v>63.24</v>
      </c>
      <c r="X750" s="32">
        <f t="shared" si="121"/>
        <v>252.96</v>
      </c>
      <c r="Y750" s="32">
        <f t="shared" si="122"/>
        <v>252.96</v>
      </c>
      <c r="Z750" s="32">
        <f t="shared" si="123"/>
        <v>0</v>
      </c>
      <c r="AA750" s="38">
        <v>4</v>
      </c>
      <c r="AB750" s="37">
        <f>IFERROR(VLOOKUP(A750,'Tash Lookup'!A:E,3,FALSE),"")</f>
        <v>252.96</v>
      </c>
      <c r="AC750" s="6">
        <f t="shared" si="124"/>
        <v>0</v>
      </c>
      <c r="AD750" s="2" t="s">
        <v>6703</v>
      </c>
      <c r="AF750" s="56">
        <v>63.78</v>
      </c>
      <c r="AG750" s="56">
        <f>VLOOKUP(A750,Sheet1!$A$2:$C$1140,3,FALSE)</f>
        <v>63.78</v>
      </c>
      <c r="AH750" s="58">
        <v>63.78</v>
      </c>
      <c r="AI750" s="56" t="str">
        <f t="shared" si="125"/>
        <v>Same</v>
      </c>
      <c r="AJ750" s="81">
        <f t="shared" si="129"/>
        <v>255.12</v>
      </c>
      <c r="AK750" s="81">
        <f t="shared" si="130"/>
        <v>255.12</v>
      </c>
      <c r="AL750" s="58" t="s">
        <v>7206</v>
      </c>
      <c r="AM750" s="58" t="s">
        <v>6703</v>
      </c>
      <c r="AN750" s="75">
        <v>0</v>
      </c>
      <c r="AO750" s="88">
        <v>63.78</v>
      </c>
      <c r="AP750" s="6" t="str">
        <f t="shared" si="126"/>
        <v>Same</v>
      </c>
      <c r="AQ750" s="81">
        <f t="shared" si="127"/>
        <v>0</v>
      </c>
      <c r="AR750" s="81">
        <f t="shared" si="128"/>
        <v>0</v>
      </c>
      <c r="AS750" s="81">
        <f t="shared" si="131"/>
        <v>0</v>
      </c>
    </row>
    <row r="751" spans="1:45" hidden="1" x14ac:dyDescent="0.3">
      <c r="A751">
        <v>6345821</v>
      </c>
      <c r="B751" s="15" t="s">
        <v>6087</v>
      </c>
      <c r="C751" s="16" t="s">
        <v>30</v>
      </c>
      <c r="D751" s="6" t="s">
        <v>31</v>
      </c>
      <c r="E751" t="s">
        <v>1202</v>
      </c>
      <c r="F751" t="s">
        <v>1202</v>
      </c>
      <c r="H751" s="11" t="s">
        <v>27</v>
      </c>
      <c r="I751" s="6" t="s">
        <v>28</v>
      </c>
      <c r="J751" s="6" t="s">
        <v>28</v>
      </c>
      <c r="K751" t="s">
        <v>32</v>
      </c>
      <c r="L751" s="35">
        <v>87.85</v>
      </c>
      <c r="M751" s="6" t="s">
        <v>29</v>
      </c>
      <c r="N751" s="6">
        <v>3105</v>
      </c>
      <c r="P751" s="18"/>
      <c r="Q751" s="17"/>
      <c r="R751" s="19">
        <v>87.85</v>
      </c>
      <c r="S751" s="19">
        <v>87.85</v>
      </c>
      <c r="T751" s="38">
        <v>4</v>
      </c>
      <c r="U751" s="38"/>
      <c r="V751" s="30">
        <v>87.85</v>
      </c>
      <c r="W751" s="35">
        <v>87.85</v>
      </c>
      <c r="X751" s="32">
        <f t="shared" si="121"/>
        <v>351.4</v>
      </c>
      <c r="Y751" s="32">
        <f t="shared" si="122"/>
        <v>351.4</v>
      </c>
      <c r="Z751" s="32">
        <f t="shared" si="123"/>
        <v>0</v>
      </c>
      <c r="AA751" s="38">
        <v>4</v>
      </c>
      <c r="AB751" s="37">
        <f>IFERROR(VLOOKUP(A751,'Tash Lookup'!A:E,3,FALSE),"")</f>
        <v>322.83999999999997</v>
      </c>
      <c r="AC751" s="6">
        <f t="shared" si="124"/>
        <v>0</v>
      </c>
      <c r="AD751" s="2" t="s">
        <v>6707</v>
      </c>
      <c r="AF751" s="56">
        <v>87.85</v>
      </c>
      <c r="AG751" s="56" t="e">
        <f>VLOOKUP(A751,Sheet1!$A$2:$C$1140,3,FALSE)</f>
        <v>#N/A</v>
      </c>
      <c r="AH751" s="58" t="e">
        <v>#N/A</v>
      </c>
      <c r="AI751" s="56" t="str">
        <f t="shared" si="125"/>
        <v>Delete</v>
      </c>
      <c r="AJ751" s="81">
        <f t="shared" si="129"/>
        <v>351.4</v>
      </c>
      <c r="AK751" s="81">
        <f t="shared" si="130"/>
        <v>0</v>
      </c>
      <c r="AL751" s="58" t="s">
        <v>7206</v>
      </c>
      <c r="AM751" s="58" t="s">
        <v>6708</v>
      </c>
      <c r="AN751" s="75">
        <v>0</v>
      </c>
      <c r="AO751" s="88">
        <v>87.85</v>
      </c>
      <c r="AP751" s="6" t="str">
        <f t="shared" si="126"/>
        <v>Same</v>
      </c>
      <c r="AQ751" s="81">
        <f t="shared" si="127"/>
        <v>0</v>
      </c>
      <c r="AR751" s="81">
        <f t="shared" si="128"/>
        <v>0</v>
      </c>
      <c r="AS751" s="81">
        <f t="shared" si="131"/>
        <v>0</v>
      </c>
    </row>
    <row r="752" spans="1:45" hidden="1" x14ac:dyDescent="0.3">
      <c r="A752">
        <v>6345855</v>
      </c>
      <c r="B752" s="15" t="s">
        <v>6088</v>
      </c>
      <c r="C752" s="16" t="s">
        <v>30</v>
      </c>
      <c r="D752" s="6" t="s">
        <v>31</v>
      </c>
      <c r="E752" t="s">
        <v>1286</v>
      </c>
      <c r="F752" t="s">
        <v>1286</v>
      </c>
      <c r="H752" s="11" t="s">
        <v>27</v>
      </c>
      <c r="I752" s="6" t="s">
        <v>28</v>
      </c>
      <c r="J752" s="6" t="s">
        <v>28</v>
      </c>
      <c r="K752" t="s">
        <v>32</v>
      </c>
      <c r="L752" s="35">
        <v>33.54</v>
      </c>
      <c r="M752" s="6" t="s">
        <v>29</v>
      </c>
      <c r="N752" s="6">
        <v>3105</v>
      </c>
      <c r="P752" s="18"/>
      <c r="Q752" s="17"/>
      <c r="R752" s="19">
        <v>33.54</v>
      </c>
      <c r="S752" s="19">
        <v>33.54</v>
      </c>
      <c r="T752" s="38">
        <v>4</v>
      </c>
      <c r="U752" s="38"/>
      <c r="V752" s="30">
        <v>33.54</v>
      </c>
      <c r="W752" s="35">
        <v>33.54</v>
      </c>
      <c r="X752" s="32">
        <f t="shared" si="121"/>
        <v>134.16</v>
      </c>
      <c r="Y752" s="32">
        <f t="shared" si="122"/>
        <v>134.16</v>
      </c>
      <c r="Z752" s="32">
        <f t="shared" si="123"/>
        <v>0</v>
      </c>
      <c r="AA752" s="38">
        <v>4</v>
      </c>
      <c r="AB752" s="37">
        <f>IFERROR(VLOOKUP(A752,'Tash Lookup'!A:E,3,FALSE),"")</f>
        <v>132.71</v>
      </c>
      <c r="AC752" s="6">
        <f t="shared" si="124"/>
        <v>0</v>
      </c>
      <c r="AD752" s="2" t="s">
        <v>6703</v>
      </c>
      <c r="AF752" s="56">
        <v>37.369999999999997</v>
      </c>
      <c r="AG752" s="56">
        <f>VLOOKUP(A752,Sheet1!$A$2:$C$1140,3,FALSE)</f>
        <v>37.369999999999997</v>
      </c>
      <c r="AH752" s="58">
        <v>37.369999999999997</v>
      </c>
      <c r="AI752" s="56" t="str">
        <f t="shared" si="125"/>
        <v>Same</v>
      </c>
      <c r="AJ752" s="81">
        <f t="shared" si="129"/>
        <v>149.47999999999999</v>
      </c>
      <c r="AK752" s="81">
        <f t="shared" si="130"/>
        <v>149.47999999999999</v>
      </c>
      <c r="AL752" s="58" t="s">
        <v>7206</v>
      </c>
      <c r="AM752" s="58" t="s">
        <v>6703</v>
      </c>
      <c r="AN752" s="75">
        <v>0</v>
      </c>
      <c r="AO752" s="88">
        <v>37.369999999999997</v>
      </c>
      <c r="AP752" s="6" t="str">
        <f t="shared" si="126"/>
        <v>Same</v>
      </c>
      <c r="AQ752" s="81">
        <f t="shared" si="127"/>
        <v>0</v>
      </c>
      <c r="AR752" s="81">
        <f t="shared" si="128"/>
        <v>0</v>
      </c>
      <c r="AS752" s="81">
        <f t="shared" si="131"/>
        <v>0</v>
      </c>
    </row>
    <row r="753" spans="1:45" hidden="1" x14ac:dyDescent="0.3">
      <c r="A753">
        <v>5222333</v>
      </c>
      <c r="B753" s="15" t="s">
        <v>6089</v>
      </c>
      <c r="C753" s="16" t="s">
        <v>30</v>
      </c>
      <c r="D753" s="6" t="s">
        <v>31</v>
      </c>
      <c r="E753" t="s">
        <v>655</v>
      </c>
      <c r="F753" t="s">
        <v>655</v>
      </c>
      <c r="H753" s="11" t="s">
        <v>27</v>
      </c>
      <c r="I753" s="6" t="s">
        <v>28</v>
      </c>
      <c r="J753" s="6" t="s">
        <v>28</v>
      </c>
      <c r="K753" t="s">
        <v>32</v>
      </c>
      <c r="L753" s="35">
        <v>7.99</v>
      </c>
      <c r="M753" s="6" t="s">
        <v>29</v>
      </c>
      <c r="N753" s="6">
        <v>3105</v>
      </c>
      <c r="P753" s="18"/>
      <c r="Q753" s="17"/>
      <c r="R753" s="19">
        <v>7.99</v>
      </c>
      <c r="S753" s="19">
        <v>7.99</v>
      </c>
      <c r="T753" s="38">
        <v>4</v>
      </c>
      <c r="U753" s="38"/>
      <c r="V753" s="30">
        <v>7.99</v>
      </c>
      <c r="W753" s="35">
        <v>7.99</v>
      </c>
      <c r="X753" s="32">
        <f t="shared" si="121"/>
        <v>31.96</v>
      </c>
      <c r="Y753" s="32">
        <f t="shared" si="122"/>
        <v>31.96</v>
      </c>
      <c r="Z753" s="32">
        <f t="shared" si="123"/>
        <v>0</v>
      </c>
      <c r="AA753" s="38">
        <v>4</v>
      </c>
      <c r="AB753" s="37">
        <f>IFERROR(VLOOKUP(A753,'Tash Lookup'!A:E,3,FALSE),"")</f>
        <v>30.57</v>
      </c>
      <c r="AC753" s="6">
        <f t="shared" si="124"/>
        <v>0</v>
      </c>
      <c r="AD753" s="2" t="s">
        <v>6703</v>
      </c>
      <c r="AF753" s="56">
        <v>8.31</v>
      </c>
      <c r="AG753" s="56">
        <f>VLOOKUP(A753,Sheet1!$A$2:$C$1140,3,FALSE)</f>
        <v>8.31</v>
      </c>
      <c r="AH753" s="58">
        <v>8.31</v>
      </c>
      <c r="AI753" s="56" t="str">
        <f t="shared" si="125"/>
        <v>Same</v>
      </c>
      <c r="AJ753" s="81">
        <f t="shared" si="129"/>
        <v>33.24</v>
      </c>
      <c r="AK753" s="81">
        <f t="shared" si="130"/>
        <v>33.24</v>
      </c>
      <c r="AL753" s="58" t="s">
        <v>7206</v>
      </c>
      <c r="AM753" s="58" t="s">
        <v>6703</v>
      </c>
      <c r="AN753" s="75">
        <v>3</v>
      </c>
      <c r="AO753" s="88">
        <v>8.31</v>
      </c>
      <c r="AP753" s="6" t="str">
        <f t="shared" si="126"/>
        <v>Same</v>
      </c>
      <c r="AQ753" s="81">
        <f t="shared" si="127"/>
        <v>24.93</v>
      </c>
      <c r="AR753" s="81">
        <f t="shared" si="128"/>
        <v>24.93</v>
      </c>
      <c r="AS753" s="81">
        <f t="shared" si="131"/>
        <v>0</v>
      </c>
    </row>
    <row r="754" spans="1:45" hidden="1" x14ac:dyDescent="0.3">
      <c r="A754">
        <v>6183829</v>
      </c>
      <c r="B754" s="15" t="s">
        <v>6090</v>
      </c>
      <c r="C754" s="16" t="s">
        <v>30</v>
      </c>
      <c r="D754" s="6" t="s">
        <v>31</v>
      </c>
      <c r="E754" t="s">
        <v>699</v>
      </c>
      <c r="F754" t="s">
        <v>699</v>
      </c>
      <c r="H754" s="11" t="s">
        <v>27</v>
      </c>
      <c r="I754" s="6" t="s">
        <v>28</v>
      </c>
      <c r="J754" s="6" t="s">
        <v>28</v>
      </c>
      <c r="K754" t="s">
        <v>32</v>
      </c>
      <c r="L754" s="35">
        <v>12.85</v>
      </c>
      <c r="M754" s="6" t="s">
        <v>29</v>
      </c>
      <c r="N754" s="6">
        <v>3105</v>
      </c>
      <c r="P754" s="18"/>
      <c r="Q754" s="17"/>
      <c r="R754" s="19">
        <v>12.85</v>
      </c>
      <c r="S754" s="19">
        <v>12.85</v>
      </c>
      <c r="T754" s="38">
        <v>4</v>
      </c>
      <c r="U754" s="38"/>
      <c r="V754" s="30">
        <v>12.85</v>
      </c>
      <c r="W754" s="35">
        <v>12.85</v>
      </c>
      <c r="X754" s="32">
        <f t="shared" si="121"/>
        <v>51.4</v>
      </c>
      <c r="Y754" s="32">
        <f t="shared" si="122"/>
        <v>51.4</v>
      </c>
      <c r="Z754" s="32">
        <f t="shared" si="123"/>
        <v>0</v>
      </c>
      <c r="AA754" s="38">
        <v>4</v>
      </c>
      <c r="AB754" s="37">
        <f>IFERROR(VLOOKUP(A754,'Tash Lookup'!A:E,3,FALSE),"")</f>
        <v>51.4</v>
      </c>
      <c r="AC754" s="6">
        <f t="shared" si="124"/>
        <v>0</v>
      </c>
      <c r="AD754" s="2" t="s">
        <v>6703</v>
      </c>
      <c r="AF754" s="56">
        <v>12.85</v>
      </c>
      <c r="AG754" s="56">
        <f>VLOOKUP(A754,Sheet1!$A$2:$C$1140,3,FALSE)</f>
        <v>13.11</v>
      </c>
      <c r="AH754" s="58">
        <v>13.11</v>
      </c>
      <c r="AI754" s="56" t="str">
        <f t="shared" si="125"/>
        <v>Increase</v>
      </c>
      <c r="AJ754" s="81">
        <f t="shared" si="129"/>
        <v>51.4</v>
      </c>
      <c r="AK754" s="81">
        <f t="shared" si="130"/>
        <v>52.44</v>
      </c>
      <c r="AL754" s="58" t="s">
        <v>7206</v>
      </c>
      <c r="AM754" s="58" t="s">
        <v>6703</v>
      </c>
      <c r="AN754" s="75">
        <v>1</v>
      </c>
      <c r="AO754" s="88">
        <v>13.11</v>
      </c>
      <c r="AP754" s="6" t="str">
        <f t="shared" si="126"/>
        <v>Increase</v>
      </c>
      <c r="AQ754" s="81">
        <f t="shared" si="127"/>
        <v>12.85</v>
      </c>
      <c r="AR754" s="81">
        <f t="shared" si="128"/>
        <v>13.11</v>
      </c>
      <c r="AS754" s="82">
        <f t="shared" si="131"/>
        <v>0.25999999999999979</v>
      </c>
    </row>
    <row r="755" spans="1:45" hidden="1" x14ac:dyDescent="0.3">
      <c r="A755">
        <v>6183891</v>
      </c>
      <c r="B755" s="15" t="s">
        <v>6091</v>
      </c>
      <c r="C755" s="16" t="s">
        <v>30</v>
      </c>
      <c r="D755" s="6" t="s">
        <v>31</v>
      </c>
      <c r="E755" t="s">
        <v>702</v>
      </c>
      <c r="F755" t="s">
        <v>702</v>
      </c>
      <c r="H755" s="11" t="s">
        <v>27</v>
      </c>
      <c r="I755" s="6" t="s">
        <v>28</v>
      </c>
      <c r="J755" s="6" t="s">
        <v>28</v>
      </c>
      <c r="K755" t="s">
        <v>32</v>
      </c>
      <c r="L755" s="35">
        <v>7.64</v>
      </c>
      <c r="M755" s="6" t="s">
        <v>29</v>
      </c>
      <c r="N755" s="6">
        <v>3105</v>
      </c>
      <c r="P755" s="18"/>
      <c r="Q755" s="17"/>
      <c r="R755" s="19">
        <v>7.64</v>
      </c>
      <c r="S755" s="19">
        <v>7.64</v>
      </c>
      <c r="T755" s="38">
        <v>4</v>
      </c>
      <c r="U755" s="38"/>
      <c r="V755" s="30">
        <v>7.64</v>
      </c>
      <c r="W755" s="35">
        <v>7.64</v>
      </c>
      <c r="X755" s="32">
        <f t="shared" si="121"/>
        <v>30.56</v>
      </c>
      <c r="Y755" s="32">
        <f t="shared" si="122"/>
        <v>30.56</v>
      </c>
      <c r="Z755" s="32">
        <f t="shared" si="123"/>
        <v>0</v>
      </c>
      <c r="AA755" s="38">
        <v>4</v>
      </c>
      <c r="AB755" s="37">
        <f>IFERROR(VLOOKUP(A755,'Tash Lookup'!A:E,3,FALSE),"")</f>
        <v>30.57</v>
      </c>
      <c r="AC755" s="6">
        <f t="shared" si="124"/>
        <v>0</v>
      </c>
      <c r="AD755" s="2" t="s">
        <v>6703</v>
      </c>
      <c r="AF755" s="56">
        <v>7.64</v>
      </c>
      <c r="AG755" s="56">
        <f>VLOOKUP(A755,Sheet1!$A$2:$C$1140,3,FALSE)</f>
        <v>7.8</v>
      </c>
      <c r="AH755" s="58">
        <v>7.8</v>
      </c>
      <c r="AI755" s="56" t="str">
        <f t="shared" si="125"/>
        <v>Increase</v>
      </c>
      <c r="AJ755" s="81">
        <f t="shared" si="129"/>
        <v>30.56</v>
      </c>
      <c r="AK755" s="81">
        <f t="shared" si="130"/>
        <v>31.2</v>
      </c>
      <c r="AL755" s="58" t="s">
        <v>7206</v>
      </c>
      <c r="AM755" s="58" t="s">
        <v>6703</v>
      </c>
      <c r="AN755" s="75">
        <v>21</v>
      </c>
      <c r="AO755" s="88">
        <v>7.8</v>
      </c>
      <c r="AP755" s="6" t="str">
        <f t="shared" si="126"/>
        <v>Increase</v>
      </c>
      <c r="AQ755" s="81">
        <f t="shared" si="127"/>
        <v>160.44</v>
      </c>
      <c r="AR755" s="81">
        <f t="shared" si="128"/>
        <v>163.79999999999998</v>
      </c>
      <c r="AS755" s="82">
        <f t="shared" si="131"/>
        <v>3.3599999999999852</v>
      </c>
    </row>
    <row r="756" spans="1:45" hidden="1" x14ac:dyDescent="0.3">
      <c r="A756">
        <v>5191767</v>
      </c>
      <c r="B756" s="15" t="s">
        <v>6092</v>
      </c>
      <c r="C756" s="16" t="s">
        <v>30</v>
      </c>
      <c r="D756" s="6" t="s">
        <v>31</v>
      </c>
      <c r="E756" t="s">
        <v>60</v>
      </c>
      <c r="F756" t="s">
        <v>60</v>
      </c>
      <c r="H756" s="11" t="s">
        <v>27</v>
      </c>
      <c r="I756" s="6" t="s">
        <v>28</v>
      </c>
      <c r="J756" s="6" t="s">
        <v>28</v>
      </c>
      <c r="K756" t="s">
        <v>32</v>
      </c>
      <c r="L756" s="35">
        <v>13.26</v>
      </c>
      <c r="M756" s="6" t="s">
        <v>29</v>
      </c>
      <c r="N756" s="6">
        <v>3105</v>
      </c>
      <c r="P756" s="18"/>
      <c r="Q756" s="17"/>
      <c r="R756" s="19">
        <v>13.26</v>
      </c>
      <c r="S756" s="19">
        <v>13.26</v>
      </c>
      <c r="T756" s="38">
        <v>4</v>
      </c>
      <c r="U756" s="38"/>
      <c r="V756" s="29">
        <v>11.665999999999999</v>
      </c>
      <c r="W756" s="45">
        <v>3.86</v>
      </c>
      <c r="X756" s="32">
        <f t="shared" si="121"/>
        <v>46.663999999999994</v>
      </c>
      <c r="Y756" s="32">
        <f t="shared" si="122"/>
        <v>53.04</v>
      </c>
      <c r="Z756" s="32">
        <f t="shared" si="123"/>
        <v>-6.3760000000000048</v>
      </c>
      <c r="AA756" s="38">
        <v>4</v>
      </c>
      <c r="AB756" s="37">
        <f>IFERROR(VLOOKUP(A756,'Tash Lookup'!A:E,3,FALSE),"")</f>
        <v>53.04</v>
      </c>
      <c r="AC756" s="6">
        <f t="shared" si="124"/>
        <v>0</v>
      </c>
      <c r="AD756" s="2" t="s">
        <v>6703</v>
      </c>
      <c r="AF756" s="56">
        <v>12.2</v>
      </c>
      <c r="AG756" s="56">
        <f>VLOOKUP(A756,Sheet1!$A$2:$C$1140,3,FALSE)</f>
        <v>12.2</v>
      </c>
      <c r="AH756" s="58">
        <v>12.2</v>
      </c>
      <c r="AI756" s="56" t="str">
        <f t="shared" si="125"/>
        <v>Same</v>
      </c>
      <c r="AJ756" s="81">
        <f t="shared" si="129"/>
        <v>48.8</v>
      </c>
      <c r="AK756" s="81">
        <f t="shared" si="130"/>
        <v>48.8</v>
      </c>
      <c r="AL756" s="58" t="s">
        <v>32</v>
      </c>
      <c r="AM756" s="58" t="s">
        <v>6703</v>
      </c>
      <c r="AN756" s="75">
        <v>6</v>
      </c>
      <c r="AO756" s="88">
        <v>12.2</v>
      </c>
      <c r="AP756" s="6" t="str">
        <f t="shared" si="126"/>
        <v>Same</v>
      </c>
      <c r="AQ756" s="81">
        <f t="shared" si="127"/>
        <v>73.199999999999989</v>
      </c>
      <c r="AR756" s="81">
        <f t="shared" si="128"/>
        <v>73.199999999999989</v>
      </c>
      <c r="AS756" s="81">
        <f t="shared" si="131"/>
        <v>0</v>
      </c>
    </row>
    <row r="757" spans="1:45" hidden="1" x14ac:dyDescent="0.3">
      <c r="A757">
        <v>6396945</v>
      </c>
      <c r="B757" s="15" t="s">
        <v>6093</v>
      </c>
      <c r="C757" s="16" t="s">
        <v>30</v>
      </c>
      <c r="D757" s="6" t="s">
        <v>31</v>
      </c>
      <c r="E757" t="s">
        <v>1091</v>
      </c>
      <c r="F757" t="s">
        <v>1091</v>
      </c>
      <c r="H757" s="11" t="s">
        <v>27</v>
      </c>
      <c r="I757" s="6" t="s">
        <v>28</v>
      </c>
      <c r="J757" s="6" t="s">
        <v>28</v>
      </c>
      <c r="K757" t="s">
        <v>32</v>
      </c>
      <c r="L757" s="35">
        <v>23.42</v>
      </c>
      <c r="M757" s="6" t="s">
        <v>29</v>
      </c>
      <c r="N757" s="6">
        <v>3105</v>
      </c>
      <c r="P757" s="18"/>
      <c r="Q757" s="17"/>
      <c r="R757" s="19">
        <v>21.08</v>
      </c>
      <c r="S757" s="19">
        <v>0</v>
      </c>
      <c r="T757" s="38">
        <v>4</v>
      </c>
      <c r="U757" s="38"/>
      <c r="V757" s="30">
        <v>21.08</v>
      </c>
      <c r="W757" s="35">
        <v>18.34</v>
      </c>
      <c r="X757" s="32">
        <f t="shared" si="121"/>
        <v>84.32</v>
      </c>
      <c r="Y757" s="32">
        <f t="shared" si="122"/>
        <v>93.68</v>
      </c>
      <c r="Z757" s="32">
        <f t="shared" si="123"/>
        <v>-9.3600000000000136</v>
      </c>
      <c r="AA757" s="38">
        <v>4</v>
      </c>
      <c r="AB757" s="37">
        <f>IFERROR(VLOOKUP(A757,'Tash Lookup'!A:E,3,FALSE),"")</f>
        <v>93.67</v>
      </c>
      <c r="AC757" s="6">
        <f t="shared" si="124"/>
        <v>0</v>
      </c>
      <c r="AD757" s="2" t="s">
        <v>6703</v>
      </c>
      <c r="AF757" s="56">
        <v>21.71</v>
      </c>
      <c r="AG757" s="56">
        <f>VLOOKUP(A757,Sheet1!$A$2:$C$1140,3,FALSE)</f>
        <v>22.14</v>
      </c>
      <c r="AH757" s="58">
        <v>22.14</v>
      </c>
      <c r="AI757" s="56" t="str">
        <f t="shared" si="125"/>
        <v>Increase</v>
      </c>
      <c r="AJ757" s="81">
        <f t="shared" si="129"/>
        <v>86.84</v>
      </c>
      <c r="AK757" s="81">
        <f t="shared" si="130"/>
        <v>88.56</v>
      </c>
      <c r="AL757" s="58" t="s">
        <v>7206</v>
      </c>
      <c r="AM757" s="58" t="s">
        <v>6703</v>
      </c>
      <c r="AN757" s="75">
        <v>0</v>
      </c>
      <c r="AO757" s="88">
        <v>22.14</v>
      </c>
      <c r="AP757" s="6" t="str">
        <f t="shared" si="126"/>
        <v>Increase</v>
      </c>
      <c r="AQ757" s="81">
        <f t="shared" si="127"/>
        <v>0</v>
      </c>
      <c r="AR757" s="81">
        <f t="shared" si="128"/>
        <v>0</v>
      </c>
      <c r="AS757" s="82">
        <f t="shared" si="131"/>
        <v>0</v>
      </c>
    </row>
    <row r="758" spans="1:45" hidden="1" x14ac:dyDescent="0.3">
      <c r="A758">
        <v>5218657</v>
      </c>
      <c r="B758" s="15" t="s">
        <v>6094</v>
      </c>
      <c r="C758" s="16" t="s">
        <v>30</v>
      </c>
      <c r="D758" s="6" t="s">
        <v>31</v>
      </c>
      <c r="E758" t="s">
        <v>286</v>
      </c>
      <c r="F758" t="s">
        <v>286</v>
      </c>
      <c r="H758" s="11" t="s">
        <v>27</v>
      </c>
      <c r="I758" s="6" t="s">
        <v>28</v>
      </c>
      <c r="J758" s="6" t="s">
        <v>28</v>
      </c>
      <c r="K758" t="s">
        <v>32</v>
      </c>
      <c r="L758" s="35">
        <v>7.05</v>
      </c>
      <c r="M758" s="6" t="s">
        <v>29</v>
      </c>
      <c r="N758" s="6">
        <v>3105</v>
      </c>
      <c r="P758" s="18"/>
      <c r="Q758" s="17"/>
      <c r="R758" s="19">
        <v>7.05</v>
      </c>
      <c r="S758" s="19">
        <v>7.05</v>
      </c>
      <c r="T758" s="38">
        <v>4</v>
      </c>
      <c r="U758" s="38"/>
      <c r="V758" s="29">
        <v>7.05</v>
      </c>
      <c r="W758" s="35">
        <v>13.88</v>
      </c>
      <c r="X758" s="32">
        <f t="shared" si="121"/>
        <v>28.2</v>
      </c>
      <c r="Y758" s="32">
        <f t="shared" si="122"/>
        <v>28.2</v>
      </c>
      <c r="Z758" s="32">
        <f t="shared" si="123"/>
        <v>0</v>
      </c>
      <c r="AA758" s="38">
        <v>4</v>
      </c>
      <c r="AB758" s="37">
        <f>IFERROR(VLOOKUP(A758,'Tash Lookup'!A:E,3,FALSE),"")</f>
        <v>22.14</v>
      </c>
      <c r="AC758" s="6">
        <f t="shared" si="124"/>
        <v>0</v>
      </c>
      <c r="AD758" s="2" t="s">
        <v>6703</v>
      </c>
      <c r="AF758" s="56">
        <v>7.9</v>
      </c>
      <c r="AG758" s="56">
        <f>VLOOKUP(A758,Sheet1!$A$2:$C$1140,3,FALSE)</f>
        <v>8.1300000000000008</v>
      </c>
      <c r="AH758" s="58">
        <v>8.1300000000000008</v>
      </c>
      <c r="AI758" s="56" t="str">
        <f t="shared" si="125"/>
        <v>Increase</v>
      </c>
      <c r="AJ758" s="81">
        <f t="shared" si="129"/>
        <v>31.6</v>
      </c>
      <c r="AK758" s="81">
        <f t="shared" si="130"/>
        <v>32.520000000000003</v>
      </c>
      <c r="AL758" s="58" t="s">
        <v>32</v>
      </c>
      <c r="AM758" s="58" t="s">
        <v>6703</v>
      </c>
      <c r="AN758" s="75">
        <v>2</v>
      </c>
      <c r="AO758" s="88">
        <v>8.1300000000000008</v>
      </c>
      <c r="AP758" s="6" t="str">
        <f t="shared" si="126"/>
        <v>Increase</v>
      </c>
      <c r="AQ758" s="81">
        <f t="shared" si="127"/>
        <v>15.8</v>
      </c>
      <c r="AR758" s="81">
        <f t="shared" si="128"/>
        <v>16.260000000000002</v>
      </c>
      <c r="AS758" s="82">
        <f t="shared" si="131"/>
        <v>0.46000000000000085</v>
      </c>
    </row>
    <row r="759" spans="1:45" x14ac:dyDescent="0.3">
      <c r="A759">
        <v>5085897</v>
      </c>
      <c r="B759" s="15" t="s">
        <v>6095</v>
      </c>
      <c r="C759" s="16" t="s">
        <v>30</v>
      </c>
      <c r="D759" s="6" t="s">
        <v>31</v>
      </c>
      <c r="E759" t="s">
        <v>1175</v>
      </c>
      <c r="F759" t="s">
        <v>1175</v>
      </c>
      <c r="H759" s="11" t="s">
        <v>27</v>
      </c>
      <c r="I759" s="6" t="s">
        <v>28</v>
      </c>
      <c r="J759" s="6" t="s">
        <v>28</v>
      </c>
      <c r="K759" t="s">
        <v>32</v>
      </c>
      <c r="L759" s="35">
        <v>18.34</v>
      </c>
      <c r="M759" s="6" t="s">
        <v>29</v>
      </c>
      <c r="N759" s="6">
        <v>3105</v>
      </c>
      <c r="P759" s="18"/>
      <c r="Q759" s="17"/>
      <c r="R759" s="19">
        <v>18.34</v>
      </c>
      <c r="S759" s="19">
        <v>18.34</v>
      </c>
      <c r="T759" s="38">
        <v>4</v>
      </c>
      <c r="U759" s="38"/>
      <c r="V759" s="30">
        <v>18.34</v>
      </c>
      <c r="W759" s="35">
        <v>26.15</v>
      </c>
      <c r="X759" s="32">
        <f t="shared" si="121"/>
        <v>73.36</v>
      </c>
      <c r="Y759" s="32">
        <f t="shared" si="122"/>
        <v>73.36</v>
      </c>
      <c r="Z759" s="32">
        <f t="shared" si="123"/>
        <v>0</v>
      </c>
      <c r="AA759" s="38">
        <v>4</v>
      </c>
      <c r="AB759" s="37">
        <f>IFERROR(VLOOKUP(A759,'Tash Lookup'!A:E,3,FALSE),"")</f>
        <v>73.36</v>
      </c>
      <c r="AC759" s="6">
        <f t="shared" si="124"/>
        <v>0</v>
      </c>
      <c r="AD759" s="2" t="s">
        <v>6703</v>
      </c>
      <c r="AF759" s="56">
        <v>21.04</v>
      </c>
      <c r="AG759" s="56">
        <f>VLOOKUP(A759,Sheet1!$A$2:$C$1140,3,FALSE)</f>
        <v>21.04</v>
      </c>
      <c r="AH759" s="58">
        <v>21.04</v>
      </c>
      <c r="AI759" s="56" t="str">
        <f t="shared" si="125"/>
        <v>Same</v>
      </c>
      <c r="AJ759" s="81">
        <f t="shared" si="129"/>
        <v>84.16</v>
      </c>
      <c r="AK759" s="81">
        <f t="shared" si="130"/>
        <v>84.16</v>
      </c>
      <c r="AL759" s="58" t="s">
        <v>7206</v>
      </c>
      <c r="AM759" s="58" t="s">
        <v>6703</v>
      </c>
      <c r="AN759" s="75">
        <v>0</v>
      </c>
      <c r="AO759" s="88">
        <v>21.04</v>
      </c>
      <c r="AP759" s="6" t="str">
        <f t="shared" si="126"/>
        <v>Same</v>
      </c>
      <c r="AQ759" s="81">
        <f t="shared" si="127"/>
        <v>0</v>
      </c>
      <c r="AR759" s="81">
        <f t="shared" si="128"/>
        <v>0</v>
      </c>
      <c r="AS759" s="81">
        <f t="shared" si="131"/>
        <v>0</v>
      </c>
    </row>
    <row r="760" spans="1:45" hidden="1" x14ac:dyDescent="0.3">
      <c r="A760">
        <v>5222328</v>
      </c>
      <c r="B760" s="15" t="s">
        <v>6096</v>
      </c>
      <c r="C760" s="16" t="s">
        <v>30</v>
      </c>
      <c r="D760" s="6" t="s">
        <v>31</v>
      </c>
      <c r="E760" t="s">
        <v>647</v>
      </c>
      <c r="F760" t="s">
        <v>647</v>
      </c>
      <c r="H760" s="11" t="s">
        <v>27</v>
      </c>
      <c r="I760" s="6" t="s">
        <v>28</v>
      </c>
      <c r="J760" s="6" t="s">
        <v>28</v>
      </c>
      <c r="K760" t="s">
        <v>32</v>
      </c>
      <c r="L760" s="35">
        <v>13.88</v>
      </c>
      <c r="M760" s="6" t="s">
        <v>29</v>
      </c>
      <c r="N760" s="6">
        <v>3105</v>
      </c>
      <c r="P760" s="18"/>
      <c r="Q760" s="17"/>
      <c r="R760" s="19">
        <v>13.88</v>
      </c>
      <c r="S760" s="19">
        <v>13.88</v>
      </c>
      <c r="T760" s="38">
        <v>4</v>
      </c>
      <c r="U760" s="38"/>
      <c r="V760" s="30">
        <v>13.88</v>
      </c>
      <c r="W760" s="35">
        <v>13.26</v>
      </c>
      <c r="X760" s="32">
        <f t="shared" si="121"/>
        <v>55.52</v>
      </c>
      <c r="Y760" s="32">
        <f t="shared" si="122"/>
        <v>55.52</v>
      </c>
      <c r="Z760" s="32">
        <f t="shared" si="123"/>
        <v>0</v>
      </c>
      <c r="AA760" s="38">
        <v>4</v>
      </c>
      <c r="AB760" s="37">
        <f>IFERROR(VLOOKUP(A760,'Tash Lookup'!A:E,3,FALSE),"")</f>
        <v>54.31</v>
      </c>
      <c r="AC760" s="6">
        <f t="shared" si="124"/>
        <v>0</v>
      </c>
      <c r="AD760" s="2" t="s">
        <v>6703</v>
      </c>
      <c r="AF760" s="56">
        <v>14.43</v>
      </c>
      <c r="AG760" s="56">
        <f>VLOOKUP(A760,Sheet1!$A$2:$C$1140,3,FALSE)</f>
        <v>14.43</v>
      </c>
      <c r="AH760" s="58">
        <v>14.43</v>
      </c>
      <c r="AI760" s="56" t="str">
        <f t="shared" si="125"/>
        <v>Same</v>
      </c>
      <c r="AJ760" s="81">
        <f t="shared" si="129"/>
        <v>57.72</v>
      </c>
      <c r="AK760" s="81">
        <f t="shared" si="130"/>
        <v>57.72</v>
      </c>
      <c r="AL760" s="58" t="s">
        <v>7206</v>
      </c>
      <c r="AM760" s="58" t="s">
        <v>6703</v>
      </c>
      <c r="AN760" s="75">
        <v>3</v>
      </c>
      <c r="AO760" s="88">
        <v>14.43</v>
      </c>
      <c r="AP760" s="6" t="str">
        <f t="shared" si="126"/>
        <v>Same</v>
      </c>
      <c r="AQ760" s="81">
        <f t="shared" si="127"/>
        <v>43.29</v>
      </c>
      <c r="AR760" s="81">
        <f t="shared" si="128"/>
        <v>43.29</v>
      </c>
      <c r="AS760" s="81">
        <f t="shared" si="131"/>
        <v>0</v>
      </c>
    </row>
    <row r="761" spans="1:45" hidden="1" x14ac:dyDescent="0.3">
      <c r="A761">
        <v>5090784</v>
      </c>
      <c r="B761" s="15" t="s">
        <v>6097</v>
      </c>
      <c r="C761" s="16" t="s">
        <v>30</v>
      </c>
      <c r="D761" s="6" t="s">
        <v>31</v>
      </c>
      <c r="E761" t="s">
        <v>469</v>
      </c>
      <c r="F761" t="s">
        <v>469</v>
      </c>
      <c r="H761" s="11" t="s">
        <v>27</v>
      </c>
      <c r="I761" s="6" t="s">
        <v>28</v>
      </c>
      <c r="J761" s="6" t="s">
        <v>28</v>
      </c>
      <c r="K761" t="s">
        <v>32</v>
      </c>
      <c r="L761" s="35">
        <v>26.15</v>
      </c>
      <c r="M761" s="6" t="s">
        <v>29</v>
      </c>
      <c r="N761" s="6">
        <v>3105</v>
      </c>
      <c r="P761" s="18"/>
      <c r="Q761" s="17"/>
      <c r="R761" s="19">
        <v>26.15</v>
      </c>
      <c r="S761" s="19">
        <v>26.15</v>
      </c>
      <c r="T761" s="38">
        <v>4</v>
      </c>
      <c r="U761" s="38"/>
      <c r="V761" s="29">
        <v>26.15</v>
      </c>
      <c r="W761" s="35">
        <v>23.42</v>
      </c>
      <c r="X761" s="32">
        <f t="shared" si="121"/>
        <v>104.6</v>
      </c>
      <c r="Y761" s="32">
        <f t="shared" si="122"/>
        <v>104.6</v>
      </c>
      <c r="Z761" s="32">
        <f t="shared" si="123"/>
        <v>0</v>
      </c>
      <c r="AA761" s="38">
        <v>4</v>
      </c>
      <c r="AB761" s="37">
        <f>IFERROR(VLOOKUP(A761,'Tash Lookup'!A:E,3,FALSE),"")</f>
        <v>114.8</v>
      </c>
      <c r="AC761" s="6">
        <f t="shared" si="124"/>
        <v>0</v>
      </c>
      <c r="AD761" s="2" t="s">
        <v>6703</v>
      </c>
      <c r="AF761" s="56">
        <v>27.65</v>
      </c>
      <c r="AG761" s="56">
        <f>VLOOKUP(A761,Sheet1!$A$2:$C$1140,3,FALSE)</f>
        <v>28.48</v>
      </c>
      <c r="AH761" s="58">
        <v>28.48</v>
      </c>
      <c r="AI761" s="56" t="str">
        <f t="shared" si="125"/>
        <v>Increase</v>
      </c>
      <c r="AJ761" s="81">
        <f t="shared" si="129"/>
        <v>110.6</v>
      </c>
      <c r="AK761" s="81">
        <f t="shared" si="130"/>
        <v>113.92</v>
      </c>
      <c r="AL761" s="58" t="s">
        <v>32</v>
      </c>
      <c r="AM761" s="58" t="s">
        <v>6703</v>
      </c>
      <c r="AN761" s="75">
        <v>0</v>
      </c>
      <c r="AO761" s="88">
        <v>28.48</v>
      </c>
      <c r="AP761" s="6" t="str">
        <f t="shared" si="126"/>
        <v>Increase</v>
      </c>
      <c r="AQ761" s="81">
        <f t="shared" si="127"/>
        <v>0</v>
      </c>
      <c r="AR761" s="81">
        <f t="shared" si="128"/>
        <v>0</v>
      </c>
      <c r="AS761" s="82">
        <f t="shared" si="131"/>
        <v>0</v>
      </c>
    </row>
    <row r="762" spans="1:45" hidden="1" x14ac:dyDescent="0.3">
      <c r="A762">
        <v>6183837</v>
      </c>
      <c r="B762" s="15" t="s">
        <v>6098</v>
      </c>
      <c r="C762" s="16" t="s">
        <v>30</v>
      </c>
      <c r="D762" s="6" t="s">
        <v>31</v>
      </c>
      <c r="E762" t="s">
        <v>2561</v>
      </c>
      <c r="F762" t="s">
        <v>2561</v>
      </c>
      <c r="H762" s="11" t="s">
        <v>27</v>
      </c>
      <c r="I762" s="6" t="s">
        <v>28</v>
      </c>
      <c r="J762" s="6" t="s">
        <v>28</v>
      </c>
      <c r="K762" t="s">
        <v>32</v>
      </c>
      <c r="L762" s="35">
        <v>6.6</v>
      </c>
      <c r="M762" s="6" t="s">
        <v>29</v>
      </c>
      <c r="N762" s="6">
        <v>3105</v>
      </c>
      <c r="P762" s="18"/>
      <c r="Q762" s="17"/>
      <c r="R762" s="19">
        <v>14.73</v>
      </c>
      <c r="S762" s="19">
        <v>14.73</v>
      </c>
      <c r="T762" s="38">
        <v>3</v>
      </c>
      <c r="U762" s="38"/>
      <c r="V762" s="30">
        <v>14.73</v>
      </c>
      <c r="W762" s="35">
        <v>6.6</v>
      </c>
      <c r="X762" s="32">
        <f t="shared" si="121"/>
        <v>44.19</v>
      </c>
      <c r="Y762" s="32">
        <f t="shared" si="122"/>
        <v>19.799999999999997</v>
      </c>
      <c r="Z762" s="32">
        <f t="shared" si="123"/>
        <v>24.39</v>
      </c>
      <c r="AA762" s="38">
        <v>3</v>
      </c>
      <c r="AB762" s="37">
        <f>IFERROR(VLOOKUP(A762,'Tash Lookup'!A:E,3,FALSE),"")</f>
        <v>19.8</v>
      </c>
      <c r="AC762" s="6">
        <f t="shared" si="124"/>
        <v>0</v>
      </c>
      <c r="AD762" s="2" t="s">
        <v>6703</v>
      </c>
      <c r="AF762" s="56">
        <v>6.6</v>
      </c>
      <c r="AG762" s="56">
        <f>VLOOKUP(A762,Sheet1!$A$2:$C$1140,3,FALSE)</f>
        <v>6.73</v>
      </c>
      <c r="AH762" s="58">
        <v>6.73</v>
      </c>
      <c r="AI762" s="56" t="str">
        <f t="shared" si="125"/>
        <v>Increase</v>
      </c>
      <c r="AJ762" s="81">
        <f t="shared" si="129"/>
        <v>19.799999999999997</v>
      </c>
      <c r="AK762" s="81">
        <f t="shared" si="130"/>
        <v>20.190000000000001</v>
      </c>
      <c r="AL762" s="58" t="s">
        <v>7206</v>
      </c>
      <c r="AM762" s="58" t="s">
        <v>6703</v>
      </c>
      <c r="AN762" s="75">
        <v>6</v>
      </c>
      <c r="AO762" s="88">
        <v>6.73</v>
      </c>
      <c r="AP762" s="6" t="str">
        <f t="shared" si="126"/>
        <v>Increase</v>
      </c>
      <c r="AQ762" s="81">
        <f t="shared" si="127"/>
        <v>39.599999999999994</v>
      </c>
      <c r="AR762" s="81">
        <f t="shared" si="128"/>
        <v>40.380000000000003</v>
      </c>
      <c r="AS762" s="81">
        <f t="shared" si="131"/>
        <v>0.78000000000000824</v>
      </c>
    </row>
    <row r="763" spans="1:45" hidden="1" x14ac:dyDescent="0.3">
      <c r="A763">
        <v>5218561</v>
      </c>
      <c r="B763" s="15" t="s">
        <v>6099</v>
      </c>
      <c r="C763" s="16" t="s">
        <v>30</v>
      </c>
      <c r="D763" s="6" t="s">
        <v>31</v>
      </c>
      <c r="E763" t="s">
        <v>275</v>
      </c>
      <c r="F763" t="s">
        <v>275</v>
      </c>
      <c r="H763" s="11" t="s">
        <v>27</v>
      </c>
      <c r="I763" s="6" t="s">
        <v>28</v>
      </c>
      <c r="J763" s="6" t="s">
        <v>28</v>
      </c>
      <c r="K763" t="s">
        <v>32</v>
      </c>
      <c r="L763" s="35">
        <v>7.46</v>
      </c>
      <c r="M763" s="6" t="s">
        <v>29</v>
      </c>
      <c r="N763" s="6">
        <v>3105</v>
      </c>
      <c r="P763" s="18"/>
      <c r="Q763" s="17"/>
      <c r="R763" s="19">
        <v>7.46</v>
      </c>
      <c r="S763" s="19">
        <v>7.46</v>
      </c>
      <c r="T763" s="38">
        <v>3</v>
      </c>
      <c r="U763" s="38"/>
      <c r="V763" s="29">
        <v>7.46</v>
      </c>
      <c r="W763" s="45">
        <v>4.76</v>
      </c>
      <c r="X763" s="32">
        <f t="shared" si="121"/>
        <v>22.38</v>
      </c>
      <c r="Y763" s="32">
        <f t="shared" si="122"/>
        <v>22.38</v>
      </c>
      <c r="Z763" s="32">
        <f t="shared" si="123"/>
        <v>0</v>
      </c>
      <c r="AA763" s="38">
        <v>3</v>
      </c>
      <c r="AB763" s="37">
        <f>IFERROR(VLOOKUP(A763,'Tash Lookup'!A:E,3,FALSE),"")</f>
        <v>16.309999999999999</v>
      </c>
      <c r="AC763" s="6">
        <f t="shared" si="124"/>
        <v>0</v>
      </c>
      <c r="AD763" s="2" t="s">
        <v>6703</v>
      </c>
      <c r="AF763" s="56">
        <v>8.02</v>
      </c>
      <c r="AG763" s="56">
        <f>VLOOKUP(A763,Sheet1!$A$2:$C$1140,3,FALSE)</f>
        <v>8.26</v>
      </c>
      <c r="AH763" s="58">
        <v>8.26</v>
      </c>
      <c r="AI763" s="56" t="str">
        <f t="shared" si="125"/>
        <v>Increase</v>
      </c>
      <c r="AJ763" s="81">
        <f t="shared" si="129"/>
        <v>24.06</v>
      </c>
      <c r="AK763" s="81">
        <f t="shared" si="130"/>
        <v>24.78</v>
      </c>
      <c r="AL763" s="58" t="s">
        <v>32</v>
      </c>
      <c r="AM763" s="58" t="s">
        <v>6703</v>
      </c>
      <c r="AN763" s="75">
        <v>5</v>
      </c>
      <c r="AO763" s="88">
        <v>8.26</v>
      </c>
      <c r="AP763" s="6" t="str">
        <f t="shared" si="126"/>
        <v>Increase</v>
      </c>
      <c r="AQ763" s="81">
        <f t="shared" si="127"/>
        <v>40.099999999999994</v>
      </c>
      <c r="AR763" s="81">
        <f t="shared" si="128"/>
        <v>41.3</v>
      </c>
      <c r="AS763" s="82">
        <f t="shared" si="131"/>
        <v>1.2000000000000028</v>
      </c>
    </row>
    <row r="764" spans="1:45" hidden="1" x14ac:dyDescent="0.3">
      <c r="A764">
        <v>6059063</v>
      </c>
      <c r="B764" s="15" t="s">
        <v>6100</v>
      </c>
      <c r="C764" s="16" t="s">
        <v>30</v>
      </c>
      <c r="D764" s="6" t="s">
        <v>31</v>
      </c>
      <c r="E764" t="s">
        <v>714</v>
      </c>
      <c r="F764" t="s">
        <v>714</v>
      </c>
      <c r="H764" s="11" t="s">
        <v>27</v>
      </c>
      <c r="I764" s="6" t="s">
        <v>28</v>
      </c>
      <c r="J764" s="6" t="s">
        <v>28</v>
      </c>
      <c r="K764" t="s">
        <v>32</v>
      </c>
      <c r="L764" s="35">
        <v>7.74</v>
      </c>
      <c r="M764" s="6" t="s">
        <v>29</v>
      </c>
      <c r="N764" s="6">
        <v>3105</v>
      </c>
      <c r="P764" s="18"/>
      <c r="Q764" s="17"/>
      <c r="R764" s="19">
        <v>0</v>
      </c>
      <c r="S764" s="19">
        <v>0</v>
      </c>
      <c r="T764" s="38">
        <v>3</v>
      </c>
      <c r="U764" s="38"/>
      <c r="V764" s="31">
        <v>7.74</v>
      </c>
      <c r="W764" s="35">
        <v>7.74</v>
      </c>
      <c r="X764" s="32">
        <f t="shared" si="121"/>
        <v>23.22</v>
      </c>
      <c r="Y764" s="32">
        <f t="shared" si="122"/>
        <v>23.22</v>
      </c>
      <c r="Z764" s="32">
        <f t="shared" si="123"/>
        <v>0</v>
      </c>
      <c r="AA764" s="38">
        <v>3</v>
      </c>
      <c r="AB764" s="37">
        <f>IFERROR(VLOOKUP(A764,'Tash Lookup'!A:E,3,FALSE),"")</f>
        <v>22.88</v>
      </c>
      <c r="AC764" s="6">
        <f t="shared" si="124"/>
        <v>0</v>
      </c>
      <c r="AD764" s="2" t="s">
        <v>6703</v>
      </c>
      <c r="AF764" s="56">
        <v>7.74</v>
      </c>
      <c r="AG764" s="56">
        <f>VLOOKUP(A764,Sheet1!$A$2:$C$1140,3,FALSE)</f>
        <v>7.9</v>
      </c>
      <c r="AH764" s="58">
        <v>7.9</v>
      </c>
      <c r="AI764" s="56" t="str">
        <f t="shared" si="125"/>
        <v>Increase</v>
      </c>
      <c r="AJ764" s="81">
        <f t="shared" si="129"/>
        <v>23.22</v>
      </c>
      <c r="AK764" s="81">
        <f t="shared" si="130"/>
        <v>23.700000000000003</v>
      </c>
      <c r="AL764" s="58" t="s">
        <v>7206</v>
      </c>
      <c r="AM764" s="58" t="s">
        <v>6703</v>
      </c>
      <c r="AN764" s="75">
        <v>5</v>
      </c>
      <c r="AO764" s="88">
        <v>7.9</v>
      </c>
      <c r="AP764" s="6" t="str">
        <f t="shared" si="126"/>
        <v>Increase</v>
      </c>
      <c r="AQ764" s="81">
        <f t="shared" si="127"/>
        <v>38.700000000000003</v>
      </c>
      <c r="AR764" s="81">
        <f t="shared" si="128"/>
        <v>39.5</v>
      </c>
      <c r="AS764" s="81">
        <f t="shared" si="131"/>
        <v>0.79999999999999716</v>
      </c>
    </row>
    <row r="765" spans="1:45" hidden="1" x14ac:dyDescent="0.3">
      <c r="A765">
        <v>5315937</v>
      </c>
      <c r="B765" s="15" t="s">
        <v>6101</v>
      </c>
      <c r="C765" s="16" t="s">
        <v>30</v>
      </c>
      <c r="D765" s="6" t="s">
        <v>31</v>
      </c>
      <c r="E765" t="s">
        <v>746</v>
      </c>
      <c r="F765" t="s">
        <v>746</v>
      </c>
      <c r="H765" s="11" t="s">
        <v>27</v>
      </c>
      <c r="I765" s="6" t="s">
        <v>28</v>
      </c>
      <c r="J765" s="6" t="s">
        <v>28</v>
      </c>
      <c r="K765" t="s">
        <v>32</v>
      </c>
      <c r="L765" s="35">
        <v>21.03</v>
      </c>
      <c r="M765" s="6" t="s">
        <v>29</v>
      </c>
      <c r="N765" s="6">
        <v>3105</v>
      </c>
      <c r="P765" s="18"/>
      <c r="Q765" s="17"/>
      <c r="R765" s="19">
        <v>21.03</v>
      </c>
      <c r="S765" s="19">
        <v>21.03</v>
      </c>
      <c r="T765" s="38">
        <v>3</v>
      </c>
      <c r="U765" s="38"/>
      <c r="V765" s="30">
        <v>21.03</v>
      </c>
      <c r="W765" s="35">
        <v>21.03</v>
      </c>
      <c r="X765" s="32">
        <f t="shared" si="121"/>
        <v>63.09</v>
      </c>
      <c r="Y765" s="32">
        <f t="shared" si="122"/>
        <v>63.09</v>
      </c>
      <c r="Z765" s="32">
        <f t="shared" si="123"/>
        <v>0</v>
      </c>
      <c r="AA765" s="38">
        <v>3</v>
      </c>
      <c r="AB765" s="37">
        <f>IFERROR(VLOOKUP(A765,'Tash Lookup'!A:E,3,FALSE),"")</f>
        <v>63.09</v>
      </c>
      <c r="AC765" s="6">
        <f t="shared" si="124"/>
        <v>0</v>
      </c>
      <c r="AD765" s="2" t="s">
        <v>6703</v>
      </c>
      <c r="AF765" s="56">
        <v>21.87</v>
      </c>
      <c r="AG765" s="56">
        <f>VLOOKUP(A765,Sheet1!$A$2:$C$1140,3,FALSE)</f>
        <v>21.87</v>
      </c>
      <c r="AH765" s="58">
        <v>21.87</v>
      </c>
      <c r="AI765" s="56" t="str">
        <f t="shared" si="125"/>
        <v>Same</v>
      </c>
      <c r="AJ765" s="81">
        <f t="shared" si="129"/>
        <v>65.61</v>
      </c>
      <c r="AK765" s="81">
        <f t="shared" si="130"/>
        <v>65.61</v>
      </c>
      <c r="AL765" s="58" t="s">
        <v>7206</v>
      </c>
      <c r="AM765" s="58" t="s">
        <v>6703</v>
      </c>
      <c r="AN765" s="75">
        <v>4</v>
      </c>
      <c r="AO765" s="88">
        <v>21.87</v>
      </c>
      <c r="AP765" s="6" t="str">
        <f t="shared" si="126"/>
        <v>Same</v>
      </c>
      <c r="AQ765" s="81">
        <f t="shared" si="127"/>
        <v>87.48</v>
      </c>
      <c r="AR765" s="81">
        <f t="shared" si="128"/>
        <v>87.48</v>
      </c>
      <c r="AS765" s="81">
        <f t="shared" si="131"/>
        <v>0</v>
      </c>
    </row>
    <row r="766" spans="1:45" hidden="1" x14ac:dyDescent="0.3">
      <c r="A766">
        <v>5122405</v>
      </c>
      <c r="B766" s="15" t="s">
        <v>6102</v>
      </c>
      <c r="C766" s="16" t="s">
        <v>30</v>
      </c>
      <c r="D766" s="6" t="s">
        <v>31</v>
      </c>
      <c r="E766" t="s">
        <v>317</v>
      </c>
      <c r="F766" t="s">
        <v>317</v>
      </c>
      <c r="H766" s="11" t="s">
        <v>27</v>
      </c>
      <c r="I766" s="6" t="s">
        <v>28</v>
      </c>
      <c r="J766" s="6" t="s">
        <v>28</v>
      </c>
      <c r="K766" t="s">
        <v>32</v>
      </c>
      <c r="L766" s="35">
        <v>18.41</v>
      </c>
      <c r="M766" s="6" t="s">
        <v>29</v>
      </c>
      <c r="N766" s="6">
        <v>3105</v>
      </c>
      <c r="P766" s="18"/>
      <c r="Q766" s="17"/>
      <c r="R766" s="19">
        <v>18.41</v>
      </c>
      <c r="S766" s="19">
        <v>18.41</v>
      </c>
      <c r="T766" s="38">
        <v>3</v>
      </c>
      <c r="U766" s="38"/>
      <c r="V766" s="29">
        <v>18.41</v>
      </c>
      <c r="W766" s="35">
        <v>18.41</v>
      </c>
      <c r="X766" s="32">
        <f t="shared" si="121"/>
        <v>55.230000000000004</v>
      </c>
      <c r="Y766" s="32">
        <f t="shared" si="122"/>
        <v>55.230000000000004</v>
      </c>
      <c r="Z766" s="32">
        <f t="shared" si="123"/>
        <v>0</v>
      </c>
      <c r="AA766" s="38">
        <v>3</v>
      </c>
      <c r="AB766" s="37">
        <f>IFERROR(VLOOKUP(A766,'Tash Lookup'!A:E,3,FALSE),"")</f>
        <v>55.23</v>
      </c>
      <c r="AC766" s="6">
        <f t="shared" si="124"/>
        <v>0</v>
      </c>
      <c r="AD766" s="2" t="s">
        <v>6703</v>
      </c>
      <c r="AF766" s="56">
        <v>19.75</v>
      </c>
      <c r="AG766" s="56">
        <f>VLOOKUP(A766,Sheet1!$A$2:$C$1140,3,FALSE)</f>
        <v>20.34</v>
      </c>
      <c r="AH766" s="58">
        <v>20.34</v>
      </c>
      <c r="AI766" s="56" t="str">
        <f t="shared" si="125"/>
        <v>Increase</v>
      </c>
      <c r="AJ766" s="81">
        <f t="shared" si="129"/>
        <v>59.25</v>
      </c>
      <c r="AK766" s="81">
        <f t="shared" si="130"/>
        <v>61.019999999999996</v>
      </c>
      <c r="AL766" s="58" t="s">
        <v>32</v>
      </c>
      <c r="AM766" s="58" t="s">
        <v>6703</v>
      </c>
      <c r="AN766" s="75">
        <v>0</v>
      </c>
      <c r="AO766" s="88">
        <v>20.34</v>
      </c>
      <c r="AP766" s="6" t="str">
        <f t="shared" si="126"/>
        <v>Increase</v>
      </c>
      <c r="AQ766" s="81">
        <f t="shared" si="127"/>
        <v>0</v>
      </c>
      <c r="AR766" s="81">
        <f t="shared" si="128"/>
        <v>0</v>
      </c>
      <c r="AS766" s="82">
        <f t="shared" si="131"/>
        <v>0</v>
      </c>
    </row>
    <row r="767" spans="1:45" hidden="1" x14ac:dyDescent="0.3">
      <c r="A767">
        <v>5122406</v>
      </c>
      <c r="B767" s="15" t="s">
        <v>6103</v>
      </c>
      <c r="C767" s="16" t="s">
        <v>30</v>
      </c>
      <c r="D767" s="6" t="s">
        <v>31</v>
      </c>
      <c r="E767" t="s">
        <v>322</v>
      </c>
      <c r="F767" t="s">
        <v>322</v>
      </c>
      <c r="H767" s="11" t="s">
        <v>27</v>
      </c>
      <c r="I767" s="6" t="s">
        <v>28</v>
      </c>
      <c r="J767" s="6" t="s">
        <v>28</v>
      </c>
      <c r="K767" t="s">
        <v>32</v>
      </c>
      <c r="L767" s="35">
        <v>18.41</v>
      </c>
      <c r="M767" s="6" t="s">
        <v>29</v>
      </c>
      <c r="N767" s="6">
        <v>3105</v>
      </c>
      <c r="P767" s="18"/>
      <c r="Q767" s="17"/>
      <c r="R767" s="19">
        <v>18.41</v>
      </c>
      <c r="S767" s="19">
        <v>18.41</v>
      </c>
      <c r="T767" s="38">
        <v>3</v>
      </c>
      <c r="U767" s="38"/>
      <c r="V767" s="29">
        <v>18.41</v>
      </c>
      <c r="W767" s="35">
        <v>18.41</v>
      </c>
      <c r="X767" s="32">
        <f t="shared" si="121"/>
        <v>55.230000000000004</v>
      </c>
      <c r="Y767" s="32">
        <f t="shared" si="122"/>
        <v>55.230000000000004</v>
      </c>
      <c r="Z767" s="32">
        <f t="shared" si="123"/>
        <v>0</v>
      </c>
      <c r="AA767" s="38">
        <v>3</v>
      </c>
      <c r="AB767" s="37">
        <f>IFERROR(VLOOKUP(A767,'Tash Lookup'!A:E,3,FALSE),"")</f>
        <v>55.23</v>
      </c>
      <c r="AC767" s="6">
        <f t="shared" si="124"/>
        <v>0</v>
      </c>
      <c r="AD767" s="2" t="s">
        <v>6703</v>
      </c>
      <c r="AF767" s="56">
        <v>19.75</v>
      </c>
      <c r="AG767" s="56">
        <f>VLOOKUP(A767,Sheet1!$A$2:$C$1140,3,FALSE)</f>
        <v>20.34</v>
      </c>
      <c r="AH767" s="58">
        <v>20.34</v>
      </c>
      <c r="AI767" s="56" t="str">
        <f t="shared" si="125"/>
        <v>Increase</v>
      </c>
      <c r="AJ767" s="81">
        <f t="shared" si="129"/>
        <v>59.25</v>
      </c>
      <c r="AK767" s="81">
        <f t="shared" si="130"/>
        <v>61.019999999999996</v>
      </c>
      <c r="AL767" s="58" t="s">
        <v>32</v>
      </c>
      <c r="AM767" s="58" t="s">
        <v>6703</v>
      </c>
      <c r="AN767" s="75">
        <v>10</v>
      </c>
      <c r="AO767" s="88">
        <v>20.34</v>
      </c>
      <c r="AP767" s="6" t="str">
        <f t="shared" si="126"/>
        <v>Increase</v>
      </c>
      <c r="AQ767" s="81">
        <f t="shared" si="127"/>
        <v>197.5</v>
      </c>
      <c r="AR767" s="81">
        <f t="shared" si="128"/>
        <v>203.4</v>
      </c>
      <c r="AS767" s="82">
        <f t="shared" si="131"/>
        <v>5.9000000000000057</v>
      </c>
    </row>
    <row r="768" spans="1:45" hidden="1" x14ac:dyDescent="0.3">
      <c r="A768">
        <v>5095366</v>
      </c>
      <c r="B768" s="15" t="s">
        <v>6104</v>
      </c>
      <c r="C768" s="16" t="s">
        <v>30</v>
      </c>
      <c r="D768" s="6" t="s">
        <v>31</v>
      </c>
      <c r="E768" t="s">
        <v>337</v>
      </c>
      <c r="F768" t="s">
        <v>337</v>
      </c>
      <c r="H768" s="11" t="s">
        <v>27</v>
      </c>
      <c r="I768" s="6" t="s">
        <v>28</v>
      </c>
      <c r="J768" s="6" t="s">
        <v>28</v>
      </c>
      <c r="K768" t="s">
        <v>32</v>
      </c>
      <c r="L768" s="35">
        <v>19.46</v>
      </c>
      <c r="M768" s="6" t="s">
        <v>29</v>
      </c>
      <c r="N768" s="6">
        <v>3105</v>
      </c>
      <c r="P768" s="18"/>
      <c r="Q768" s="17"/>
      <c r="R768" s="19">
        <v>19.46</v>
      </c>
      <c r="S768" s="19">
        <v>19.46</v>
      </c>
      <c r="T768" s="38">
        <v>3</v>
      </c>
      <c r="U768" s="38"/>
      <c r="V768" s="30">
        <v>19.46</v>
      </c>
      <c r="W768" s="35">
        <v>19.46</v>
      </c>
      <c r="X768" s="32">
        <f t="shared" si="121"/>
        <v>58.38</v>
      </c>
      <c r="Y768" s="32">
        <f t="shared" si="122"/>
        <v>58.38</v>
      </c>
      <c r="Z768" s="32">
        <f t="shared" si="123"/>
        <v>0</v>
      </c>
      <c r="AA768" s="38">
        <v>3</v>
      </c>
      <c r="AB768" s="37">
        <f>IFERROR(VLOOKUP(A768,'Tash Lookup'!A:E,3,FALSE),"")</f>
        <v>58.39</v>
      </c>
      <c r="AC768" s="6">
        <f t="shared" si="124"/>
        <v>0</v>
      </c>
      <c r="AD768" s="2" t="s">
        <v>6703</v>
      </c>
      <c r="AF768" s="56">
        <v>20.86</v>
      </c>
      <c r="AG768" s="56">
        <f>VLOOKUP(A768,Sheet1!$A$2:$C$1140,3,FALSE)</f>
        <v>21.48</v>
      </c>
      <c r="AH768" s="58">
        <v>21.48</v>
      </c>
      <c r="AI768" s="56" t="str">
        <f t="shared" si="125"/>
        <v>Increase</v>
      </c>
      <c r="AJ768" s="81">
        <f t="shared" si="129"/>
        <v>62.58</v>
      </c>
      <c r="AK768" s="81">
        <f t="shared" si="130"/>
        <v>64.44</v>
      </c>
      <c r="AL768" s="58" t="s">
        <v>32</v>
      </c>
      <c r="AM768" s="58" t="s">
        <v>6703</v>
      </c>
      <c r="AN768" s="75">
        <v>15</v>
      </c>
      <c r="AO768" s="88">
        <v>21.48</v>
      </c>
      <c r="AP768" s="6" t="str">
        <f t="shared" si="126"/>
        <v>Increase</v>
      </c>
      <c r="AQ768" s="81">
        <f t="shared" si="127"/>
        <v>312.89999999999998</v>
      </c>
      <c r="AR768" s="81">
        <f t="shared" si="128"/>
        <v>322.2</v>
      </c>
      <c r="AS768" s="82">
        <f t="shared" si="131"/>
        <v>9.3000000000000114</v>
      </c>
    </row>
    <row r="769" spans="1:45" hidden="1" x14ac:dyDescent="0.3">
      <c r="A769">
        <v>6183894</v>
      </c>
      <c r="B769" s="15" t="s">
        <v>6105</v>
      </c>
      <c r="C769" s="16" t="s">
        <v>30</v>
      </c>
      <c r="D769" s="6" t="s">
        <v>31</v>
      </c>
      <c r="E769" t="s">
        <v>847</v>
      </c>
      <c r="F769" t="s">
        <v>847</v>
      </c>
      <c r="H769" s="11" t="s">
        <v>27</v>
      </c>
      <c r="I769" s="6" t="s">
        <v>28</v>
      </c>
      <c r="J769" s="6" t="s">
        <v>28</v>
      </c>
      <c r="K769" t="s">
        <v>32</v>
      </c>
      <c r="L769" s="35">
        <v>12.05</v>
      </c>
      <c r="M769" s="6" t="s">
        <v>29</v>
      </c>
      <c r="N769" s="6">
        <v>3105</v>
      </c>
      <c r="P769" s="18"/>
      <c r="Q769" s="17"/>
      <c r="R769" s="19">
        <v>12.05</v>
      </c>
      <c r="S769" s="19">
        <v>12.05</v>
      </c>
      <c r="T769" s="38">
        <v>3</v>
      </c>
      <c r="U769" s="38"/>
      <c r="V769" s="30">
        <v>12.05</v>
      </c>
      <c r="W769" s="35">
        <v>12.05</v>
      </c>
      <c r="X769" s="32">
        <f t="shared" si="121"/>
        <v>36.150000000000006</v>
      </c>
      <c r="Y769" s="32">
        <f t="shared" si="122"/>
        <v>36.150000000000006</v>
      </c>
      <c r="Z769" s="32">
        <f t="shared" si="123"/>
        <v>0</v>
      </c>
      <c r="AA769" s="38">
        <v>3</v>
      </c>
      <c r="AB769" s="37">
        <f>IFERROR(VLOOKUP(A769,'Tash Lookup'!A:E,3,FALSE),"")</f>
        <v>36.14</v>
      </c>
      <c r="AC769" s="6">
        <f t="shared" si="124"/>
        <v>0</v>
      </c>
      <c r="AD769" s="2" t="s">
        <v>6703</v>
      </c>
      <c r="AF769" s="56">
        <v>12.05</v>
      </c>
      <c r="AG769" s="56">
        <f>VLOOKUP(A769,Sheet1!$A$2:$C$1140,3,FALSE)</f>
        <v>12.29</v>
      </c>
      <c r="AH769" s="58">
        <v>12.29</v>
      </c>
      <c r="AI769" s="56" t="str">
        <f t="shared" si="125"/>
        <v>Increase</v>
      </c>
      <c r="AJ769" s="81">
        <f t="shared" si="129"/>
        <v>36.150000000000006</v>
      </c>
      <c r="AK769" s="81">
        <f t="shared" si="130"/>
        <v>36.869999999999997</v>
      </c>
      <c r="AL769" s="58" t="s">
        <v>7206</v>
      </c>
      <c r="AM769" s="58" t="s">
        <v>6703</v>
      </c>
      <c r="AN769" s="75">
        <v>14</v>
      </c>
      <c r="AO769" s="88">
        <v>12.29</v>
      </c>
      <c r="AP769" s="6" t="str">
        <f t="shared" si="126"/>
        <v>Increase</v>
      </c>
      <c r="AQ769" s="81">
        <f t="shared" si="127"/>
        <v>168.70000000000002</v>
      </c>
      <c r="AR769" s="81">
        <f t="shared" si="128"/>
        <v>172.06</v>
      </c>
      <c r="AS769" s="82">
        <f t="shared" si="131"/>
        <v>3.3599999999999852</v>
      </c>
    </row>
    <row r="770" spans="1:45" hidden="1" x14ac:dyDescent="0.3">
      <c r="A770">
        <v>5576889</v>
      </c>
      <c r="B770" s="15" t="s">
        <v>6106</v>
      </c>
      <c r="C770" s="16" t="s">
        <v>30</v>
      </c>
      <c r="D770" s="6" t="s">
        <v>31</v>
      </c>
      <c r="E770" t="s">
        <v>44</v>
      </c>
      <c r="F770" t="s">
        <v>44</v>
      </c>
      <c r="H770" s="11" t="s">
        <v>27</v>
      </c>
      <c r="I770" s="6" t="s">
        <v>28</v>
      </c>
      <c r="J770" s="6" t="s">
        <v>28</v>
      </c>
      <c r="K770" t="s">
        <v>32</v>
      </c>
      <c r="L770" s="35">
        <v>46.12</v>
      </c>
      <c r="M770" s="6" t="s">
        <v>29</v>
      </c>
      <c r="N770" s="6">
        <v>3105</v>
      </c>
      <c r="P770" s="18"/>
      <c r="Q770" s="17"/>
      <c r="R770" s="19">
        <v>46.12</v>
      </c>
      <c r="S770" s="19">
        <v>46.12</v>
      </c>
      <c r="T770" s="38">
        <v>3</v>
      </c>
      <c r="U770" s="38"/>
      <c r="V770" s="29">
        <v>46.12</v>
      </c>
      <c r="W770" s="35">
        <v>46.12</v>
      </c>
      <c r="X770" s="32">
        <f t="shared" si="121"/>
        <v>138.35999999999999</v>
      </c>
      <c r="Y770" s="32">
        <f t="shared" si="122"/>
        <v>138.35999999999999</v>
      </c>
      <c r="Z770" s="32">
        <f t="shared" si="123"/>
        <v>0</v>
      </c>
      <c r="AA770" s="38">
        <v>3</v>
      </c>
      <c r="AB770" s="37">
        <f>IFERROR(VLOOKUP(A770,'Tash Lookup'!A:E,3,FALSE),"")</f>
        <v>138.37</v>
      </c>
      <c r="AC770" s="6">
        <f t="shared" si="124"/>
        <v>0</v>
      </c>
      <c r="AD770" s="2" t="s">
        <v>6704</v>
      </c>
      <c r="AF770" s="56">
        <v>46.12</v>
      </c>
      <c r="AG770" s="56" t="e">
        <f>VLOOKUP(A770,Sheet1!$A$2:$C$1140,3,FALSE)</f>
        <v>#N/A</v>
      </c>
      <c r="AH770" s="58" t="e">
        <v>#N/A</v>
      </c>
      <c r="AI770" s="56" t="str">
        <f t="shared" si="125"/>
        <v>Delete</v>
      </c>
      <c r="AJ770" s="81">
        <f t="shared" si="129"/>
        <v>138.35999999999999</v>
      </c>
      <c r="AK770" s="81">
        <f t="shared" si="130"/>
        <v>0</v>
      </c>
      <c r="AL770" s="58" t="s">
        <v>32</v>
      </c>
      <c r="AM770" s="58" t="s">
        <v>6708</v>
      </c>
      <c r="AN770" s="75">
        <v>0</v>
      </c>
      <c r="AO770" s="88">
        <v>46.12</v>
      </c>
      <c r="AP770" s="6" t="str">
        <f t="shared" si="126"/>
        <v>Same</v>
      </c>
      <c r="AQ770" s="81">
        <f t="shared" si="127"/>
        <v>0</v>
      </c>
      <c r="AR770" s="81">
        <f t="shared" si="128"/>
        <v>0</v>
      </c>
      <c r="AS770" s="81">
        <f t="shared" si="131"/>
        <v>0</v>
      </c>
    </row>
    <row r="771" spans="1:45" hidden="1" x14ac:dyDescent="0.3">
      <c r="A771">
        <v>5518982</v>
      </c>
      <c r="B771" s="15" t="s">
        <v>6107</v>
      </c>
      <c r="C771" s="16" t="s">
        <v>30</v>
      </c>
      <c r="D771" s="6" t="s">
        <v>31</v>
      </c>
      <c r="E771" t="s">
        <v>100</v>
      </c>
      <c r="F771" t="s">
        <v>100</v>
      </c>
      <c r="H771" s="11" t="s">
        <v>27</v>
      </c>
      <c r="I771" s="6" t="s">
        <v>28</v>
      </c>
      <c r="J771" s="6" t="s">
        <v>28</v>
      </c>
      <c r="K771" t="s">
        <v>32</v>
      </c>
      <c r="L771" s="35">
        <v>37.950000000000003</v>
      </c>
      <c r="M771" s="6" t="s">
        <v>29</v>
      </c>
      <c r="N771" s="6">
        <v>3105</v>
      </c>
      <c r="P771" s="18"/>
      <c r="Q771" s="17"/>
      <c r="R771" s="19">
        <v>37.950000000000003</v>
      </c>
      <c r="S771" s="19">
        <v>37.950000000000003</v>
      </c>
      <c r="T771" s="38">
        <v>3</v>
      </c>
      <c r="U771" s="38"/>
      <c r="V771" s="30">
        <v>37.950000000000003</v>
      </c>
      <c r="W771" s="35">
        <v>37.950000000000003</v>
      </c>
      <c r="X771" s="32">
        <f t="shared" si="121"/>
        <v>113.85000000000001</v>
      </c>
      <c r="Y771" s="32">
        <f t="shared" si="122"/>
        <v>113.85000000000001</v>
      </c>
      <c r="Z771" s="32">
        <f t="shared" si="123"/>
        <v>0</v>
      </c>
      <c r="AA771" s="38">
        <v>3</v>
      </c>
      <c r="AB771" s="37">
        <f>IFERROR(VLOOKUP(A771,'Tash Lookup'!A:E,3,FALSE),"")</f>
        <v>111.32</v>
      </c>
      <c r="AC771" s="6">
        <f t="shared" si="124"/>
        <v>0</v>
      </c>
      <c r="AD771" s="2" t="s">
        <v>6704</v>
      </c>
      <c r="AF771" s="56">
        <v>37.6</v>
      </c>
      <c r="AG771" s="56" t="e">
        <f>VLOOKUP(A771,Sheet1!$A$2:$C$1140,3,FALSE)</f>
        <v>#N/A</v>
      </c>
      <c r="AH771" s="58" t="e">
        <v>#N/A</v>
      </c>
      <c r="AI771" s="56" t="str">
        <f t="shared" si="125"/>
        <v>Delete</v>
      </c>
      <c r="AJ771" s="81">
        <f t="shared" si="129"/>
        <v>112.80000000000001</v>
      </c>
      <c r="AK771" s="81">
        <f t="shared" si="130"/>
        <v>0</v>
      </c>
      <c r="AL771" s="58" t="s">
        <v>32</v>
      </c>
      <c r="AM771" s="58" t="s">
        <v>6704</v>
      </c>
      <c r="AN771" s="75">
        <v>0</v>
      </c>
      <c r="AO771" s="88">
        <v>37.6</v>
      </c>
      <c r="AP771" s="6" t="str">
        <f t="shared" si="126"/>
        <v>Same</v>
      </c>
      <c r="AQ771" s="81">
        <f t="shared" si="127"/>
        <v>0</v>
      </c>
      <c r="AR771" s="81">
        <f t="shared" si="128"/>
        <v>0</v>
      </c>
      <c r="AS771" s="81">
        <f t="shared" si="131"/>
        <v>0</v>
      </c>
    </row>
    <row r="772" spans="1:45" hidden="1" x14ac:dyDescent="0.3">
      <c r="A772">
        <v>5092094</v>
      </c>
      <c r="B772" s="15" t="s">
        <v>6108</v>
      </c>
      <c r="C772" s="16" t="s">
        <v>30</v>
      </c>
      <c r="D772" s="6" t="s">
        <v>31</v>
      </c>
      <c r="E772" t="s">
        <v>510</v>
      </c>
      <c r="F772" t="s">
        <v>510</v>
      </c>
      <c r="H772" s="11" t="s">
        <v>27</v>
      </c>
      <c r="I772" s="6" t="s">
        <v>28</v>
      </c>
      <c r="J772" s="6" t="s">
        <v>28</v>
      </c>
      <c r="K772" t="s">
        <v>32</v>
      </c>
      <c r="L772" s="35">
        <v>23.09</v>
      </c>
      <c r="M772" s="6" t="s">
        <v>29</v>
      </c>
      <c r="N772" s="6">
        <v>3105</v>
      </c>
      <c r="P772" s="18"/>
      <c r="Q772" s="17"/>
      <c r="R772" s="19">
        <v>23.09</v>
      </c>
      <c r="S772" s="19">
        <v>23.09</v>
      </c>
      <c r="T772" s="38">
        <v>3</v>
      </c>
      <c r="U772" s="38"/>
      <c r="V772" s="29">
        <v>23.09</v>
      </c>
      <c r="W772" s="35">
        <v>23.09</v>
      </c>
      <c r="X772" s="32">
        <f t="shared" si="121"/>
        <v>69.27</v>
      </c>
      <c r="Y772" s="32">
        <f t="shared" si="122"/>
        <v>69.27</v>
      </c>
      <c r="Z772" s="32">
        <f t="shared" si="123"/>
        <v>0</v>
      </c>
      <c r="AA772" s="38">
        <v>3</v>
      </c>
      <c r="AB772" s="37">
        <f>IFERROR(VLOOKUP(A772,'Tash Lookup'!A:E,3,FALSE),"")</f>
        <v>77.459999999999994</v>
      </c>
      <c r="AC772" s="6">
        <f t="shared" si="124"/>
        <v>0</v>
      </c>
      <c r="AD772" s="2" t="s">
        <v>6703</v>
      </c>
      <c r="AF772" s="56">
        <v>24.48</v>
      </c>
      <c r="AG772" s="56">
        <f>VLOOKUP(A772,Sheet1!$A$2:$C$1140,3,FALSE)</f>
        <v>25.22</v>
      </c>
      <c r="AH772" s="58">
        <v>25.22</v>
      </c>
      <c r="AI772" s="56" t="str">
        <f t="shared" si="125"/>
        <v>Increase</v>
      </c>
      <c r="AJ772" s="81">
        <f t="shared" si="129"/>
        <v>73.44</v>
      </c>
      <c r="AK772" s="81">
        <f t="shared" si="130"/>
        <v>75.66</v>
      </c>
      <c r="AL772" s="58" t="s">
        <v>32</v>
      </c>
      <c r="AM772" s="58" t="s">
        <v>6703</v>
      </c>
      <c r="AN772" s="75">
        <v>4</v>
      </c>
      <c r="AO772" s="88">
        <v>25.22</v>
      </c>
      <c r="AP772" s="6" t="str">
        <f t="shared" si="126"/>
        <v>Increase</v>
      </c>
      <c r="AQ772" s="81">
        <f t="shared" si="127"/>
        <v>97.92</v>
      </c>
      <c r="AR772" s="81">
        <f t="shared" si="128"/>
        <v>100.88</v>
      </c>
      <c r="AS772" s="82">
        <f t="shared" si="131"/>
        <v>2.9599999999999937</v>
      </c>
    </row>
    <row r="773" spans="1:45" hidden="1" x14ac:dyDescent="0.3">
      <c r="A773">
        <v>5081987</v>
      </c>
      <c r="B773" s="15" t="s">
        <v>6109</v>
      </c>
      <c r="C773" s="16" t="s">
        <v>30</v>
      </c>
      <c r="D773" s="6" t="s">
        <v>31</v>
      </c>
      <c r="E773" t="s">
        <v>541</v>
      </c>
      <c r="F773" t="s">
        <v>541</v>
      </c>
      <c r="H773" s="11" t="s">
        <v>27</v>
      </c>
      <c r="I773" s="6" t="s">
        <v>28</v>
      </c>
      <c r="J773" s="6" t="s">
        <v>28</v>
      </c>
      <c r="K773" t="s">
        <v>32</v>
      </c>
      <c r="L773" s="35">
        <v>15.48</v>
      </c>
      <c r="M773" s="6" t="s">
        <v>29</v>
      </c>
      <c r="N773" s="6">
        <v>3105</v>
      </c>
      <c r="P773" s="18"/>
      <c r="Q773" s="17"/>
      <c r="R773" s="19">
        <v>15.48</v>
      </c>
      <c r="S773" s="19">
        <v>15.48</v>
      </c>
      <c r="T773" s="38">
        <v>3</v>
      </c>
      <c r="U773" s="38"/>
      <c r="V773" s="29">
        <v>15.48</v>
      </c>
      <c r="W773" s="35">
        <v>15.48</v>
      </c>
      <c r="X773" s="32">
        <f t="shared" si="121"/>
        <v>46.44</v>
      </c>
      <c r="Y773" s="32">
        <f t="shared" si="122"/>
        <v>46.44</v>
      </c>
      <c r="Z773" s="32">
        <f t="shared" si="123"/>
        <v>0</v>
      </c>
      <c r="AA773" s="38">
        <v>3</v>
      </c>
      <c r="AB773" s="37">
        <f>IFERROR(VLOOKUP(A773,'Tash Lookup'!A:E,3,FALSE),"")</f>
        <v>46.44</v>
      </c>
      <c r="AC773" s="6">
        <f t="shared" si="124"/>
        <v>0</v>
      </c>
      <c r="AD773" s="2" t="s">
        <v>6703</v>
      </c>
      <c r="AF773" s="56">
        <v>14.86</v>
      </c>
      <c r="AG773" s="56">
        <f>VLOOKUP(A773,Sheet1!$A$2:$C$1140,3,FALSE)</f>
        <v>15.31</v>
      </c>
      <c r="AH773" s="58">
        <v>15.31</v>
      </c>
      <c r="AI773" s="56" t="str">
        <f t="shared" si="125"/>
        <v>Increase</v>
      </c>
      <c r="AJ773" s="81">
        <f t="shared" si="129"/>
        <v>44.58</v>
      </c>
      <c r="AK773" s="81">
        <f t="shared" si="130"/>
        <v>45.93</v>
      </c>
      <c r="AL773" s="58" t="s">
        <v>32</v>
      </c>
      <c r="AM773" s="58" t="s">
        <v>6703</v>
      </c>
      <c r="AN773" s="75">
        <v>4</v>
      </c>
      <c r="AO773" s="88">
        <v>15.31</v>
      </c>
      <c r="AP773" s="6" t="str">
        <f t="shared" si="126"/>
        <v>Increase</v>
      </c>
      <c r="AQ773" s="81">
        <f t="shared" si="127"/>
        <v>59.44</v>
      </c>
      <c r="AR773" s="81">
        <f t="shared" si="128"/>
        <v>61.24</v>
      </c>
      <c r="AS773" s="82">
        <f t="shared" si="131"/>
        <v>1.8000000000000043</v>
      </c>
    </row>
    <row r="774" spans="1:45" hidden="1" x14ac:dyDescent="0.3">
      <c r="A774">
        <v>5183284</v>
      </c>
      <c r="B774" s="15" t="s">
        <v>6110</v>
      </c>
      <c r="C774" s="16" t="s">
        <v>30</v>
      </c>
      <c r="D774" s="6" t="s">
        <v>31</v>
      </c>
      <c r="E774" t="s">
        <v>571</v>
      </c>
      <c r="F774" t="s">
        <v>571</v>
      </c>
      <c r="H774" s="11" t="s">
        <v>27</v>
      </c>
      <c r="I774" s="6" t="s">
        <v>28</v>
      </c>
      <c r="J774" s="6" t="s">
        <v>28</v>
      </c>
      <c r="K774" t="s">
        <v>32</v>
      </c>
      <c r="L774" s="35">
        <v>17.690000000000001</v>
      </c>
      <c r="M774" s="6" t="s">
        <v>29</v>
      </c>
      <c r="N774" s="6">
        <v>3105</v>
      </c>
      <c r="P774" s="18"/>
      <c r="Q774" s="17"/>
      <c r="R774" s="19">
        <v>17.690000000000001</v>
      </c>
      <c r="S774" s="19">
        <v>17.690000000000001</v>
      </c>
      <c r="T774" s="38">
        <v>3</v>
      </c>
      <c r="U774" s="38"/>
      <c r="V774" s="29">
        <v>17.690000000000001</v>
      </c>
      <c r="W774" s="35">
        <v>17.690000000000001</v>
      </c>
      <c r="X774" s="32">
        <f t="shared" ref="X774:X837" si="132">SUM(V774*T774)</f>
        <v>53.070000000000007</v>
      </c>
      <c r="Y774" s="32">
        <f t="shared" ref="Y774:Y837" si="133">SUM(L774*T774)</f>
        <v>53.070000000000007</v>
      </c>
      <c r="Z774" s="32">
        <f t="shared" ref="Z774:Z837" si="134">SUM(X774-Y774)</f>
        <v>0</v>
      </c>
      <c r="AA774" s="38">
        <v>3</v>
      </c>
      <c r="AB774" s="37">
        <f>IFERROR(VLOOKUP(A774,'Tash Lookup'!A:E,3,FALSE),"")</f>
        <v>53.07</v>
      </c>
      <c r="AC774" s="6">
        <f t="shared" ref="AC774:AC837" si="135">IFERROR(AA774-T774,"")</f>
        <v>0</v>
      </c>
      <c r="AD774" s="2" t="s">
        <v>6708</v>
      </c>
      <c r="AF774" s="56">
        <v>14.23</v>
      </c>
      <c r="AG774" s="56">
        <f>VLOOKUP(A774,Sheet1!$A$2:$C$1140,3,FALSE)</f>
        <v>14.23</v>
      </c>
      <c r="AH774" s="58">
        <v>14.23</v>
      </c>
      <c r="AI774" s="56" t="str">
        <f t="shared" ref="AI774:AI837" si="136">IF(ISNA(AH774),"Delete",IF(AH774=AF774,"Same",IF(AH774&gt;AF774,"Increase","Decrease")))</f>
        <v>Same</v>
      </c>
      <c r="AJ774" s="81">
        <f t="shared" si="129"/>
        <v>42.69</v>
      </c>
      <c r="AK774" s="81">
        <f t="shared" si="130"/>
        <v>42.69</v>
      </c>
      <c r="AL774" s="58" t="s">
        <v>32</v>
      </c>
      <c r="AM774" s="58" t="s">
        <v>6708</v>
      </c>
      <c r="AN774" s="75">
        <v>0</v>
      </c>
      <c r="AO774" s="88">
        <v>14.23</v>
      </c>
      <c r="AP774" s="6" t="str">
        <f t="shared" ref="AP774:AP837" si="137">IF(AM774="Delete","Delete",IF(AO774=AF774,"Same",IF(AO774&gt;AF774,"Increase","Decrease")))</f>
        <v>Same</v>
      </c>
      <c r="AQ774" s="81">
        <f t="shared" ref="AQ774:AQ837" si="138">AN774*AF774</f>
        <v>0</v>
      </c>
      <c r="AR774" s="81">
        <f t="shared" ref="AR774:AR837" si="139">AN774*AO774</f>
        <v>0</v>
      </c>
      <c r="AS774" s="81">
        <f t="shared" si="131"/>
        <v>0</v>
      </c>
    </row>
    <row r="775" spans="1:45" hidden="1" x14ac:dyDescent="0.3">
      <c r="A775">
        <v>5092966</v>
      </c>
      <c r="B775" s="15" t="s">
        <v>6111</v>
      </c>
      <c r="C775" s="16" t="s">
        <v>30</v>
      </c>
      <c r="D775" s="6" t="s">
        <v>31</v>
      </c>
      <c r="E775" t="s">
        <v>980</v>
      </c>
      <c r="F775" t="s">
        <v>980</v>
      </c>
      <c r="H775" s="11" t="s">
        <v>27</v>
      </c>
      <c r="I775" s="6" t="s">
        <v>28</v>
      </c>
      <c r="J775" s="6" t="s">
        <v>28</v>
      </c>
      <c r="K775" t="s">
        <v>32</v>
      </c>
      <c r="L775" s="35">
        <v>17.579999999999998</v>
      </c>
      <c r="M775" s="6" t="s">
        <v>29</v>
      </c>
      <c r="N775" s="6">
        <v>3105</v>
      </c>
      <c r="P775" s="18"/>
      <c r="Q775" s="17"/>
      <c r="R775" s="19">
        <v>17.579999999999998</v>
      </c>
      <c r="S775" s="19">
        <v>17.579999999999998</v>
      </c>
      <c r="T775" s="38">
        <v>3</v>
      </c>
      <c r="U775" s="38"/>
      <c r="V775" s="30">
        <v>17.579999999999998</v>
      </c>
      <c r="W775" s="35">
        <v>17.579999999999998</v>
      </c>
      <c r="X775" s="32">
        <f t="shared" si="132"/>
        <v>52.739999999999995</v>
      </c>
      <c r="Y775" s="32">
        <f t="shared" si="133"/>
        <v>52.739999999999995</v>
      </c>
      <c r="Z775" s="32">
        <f t="shared" si="134"/>
        <v>0</v>
      </c>
      <c r="AA775" s="38">
        <v>3</v>
      </c>
      <c r="AB775" s="37">
        <f>IFERROR(VLOOKUP(A775,'Tash Lookup'!A:E,3,FALSE),"")</f>
        <v>52.74</v>
      </c>
      <c r="AC775" s="6">
        <f t="shared" si="135"/>
        <v>0</v>
      </c>
      <c r="AD775" s="2" t="s">
        <v>6703</v>
      </c>
      <c r="AF775" s="56">
        <v>13.63</v>
      </c>
      <c r="AG775" s="56">
        <f>VLOOKUP(A775,Sheet1!$A$2:$C$1140,3,FALSE)</f>
        <v>13.63</v>
      </c>
      <c r="AH775" s="58">
        <v>13.63</v>
      </c>
      <c r="AI775" s="56" t="str">
        <f t="shared" si="136"/>
        <v>Same</v>
      </c>
      <c r="AJ775" s="81">
        <f t="shared" ref="AJ775:AJ838" si="140">IFERROR(AA775*AF775,0)</f>
        <v>40.89</v>
      </c>
      <c r="AK775" s="81">
        <f t="shared" ref="AK775:AK838" si="141">IFERROR(AA775*AH775,0)</f>
        <v>40.89</v>
      </c>
      <c r="AL775" s="58" t="s">
        <v>7206</v>
      </c>
      <c r="AM775" s="58" t="s">
        <v>6703</v>
      </c>
      <c r="AN775" s="75">
        <v>2</v>
      </c>
      <c r="AO775" s="88">
        <v>13.63</v>
      </c>
      <c r="AP775" s="6" t="str">
        <f t="shared" si="137"/>
        <v>Same</v>
      </c>
      <c r="AQ775" s="81">
        <f t="shared" si="138"/>
        <v>27.26</v>
      </c>
      <c r="AR775" s="81">
        <f t="shared" si="139"/>
        <v>27.26</v>
      </c>
      <c r="AS775" s="81">
        <f t="shared" ref="AS775:AS838" si="142">AR775-AQ775</f>
        <v>0</v>
      </c>
    </row>
    <row r="776" spans="1:45" hidden="1" x14ac:dyDescent="0.3">
      <c r="A776">
        <v>5092808</v>
      </c>
      <c r="B776" s="15" t="s">
        <v>6112</v>
      </c>
      <c r="C776" s="16" t="s">
        <v>30</v>
      </c>
      <c r="D776" s="6" t="s">
        <v>31</v>
      </c>
      <c r="E776" t="s">
        <v>985</v>
      </c>
      <c r="F776" t="s">
        <v>985</v>
      </c>
      <c r="H776" s="11" t="s">
        <v>27</v>
      </c>
      <c r="I776" s="6" t="s">
        <v>28</v>
      </c>
      <c r="J776" s="6" t="s">
        <v>28</v>
      </c>
      <c r="K776" t="s">
        <v>32</v>
      </c>
      <c r="L776" s="35">
        <v>17.579999999999998</v>
      </c>
      <c r="M776" s="6" t="s">
        <v>29</v>
      </c>
      <c r="N776" s="6">
        <v>3105</v>
      </c>
      <c r="P776" s="18"/>
      <c r="Q776" s="17"/>
      <c r="R776" s="19">
        <v>17.579999999999998</v>
      </c>
      <c r="S776" s="19">
        <v>17.579999999999998</v>
      </c>
      <c r="T776" s="38">
        <v>3</v>
      </c>
      <c r="U776" s="38"/>
      <c r="V776" s="30">
        <v>17.579999999999998</v>
      </c>
      <c r="W776" s="35">
        <v>17.579999999999998</v>
      </c>
      <c r="X776" s="32">
        <f t="shared" si="132"/>
        <v>52.739999999999995</v>
      </c>
      <c r="Y776" s="32">
        <f t="shared" si="133"/>
        <v>52.739999999999995</v>
      </c>
      <c r="Z776" s="32">
        <f t="shared" si="134"/>
        <v>0</v>
      </c>
      <c r="AA776" s="38">
        <v>3</v>
      </c>
      <c r="AB776" s="37">
        <f>IFERROR(VLOOKUP(A776,'Tash Lookup'!A:E,3,FALSE),"")</f>
        <v>52.74</v>
      </c>
      <c r="AC776" s="6">
        <f t="shared" si="135"/>
        <v>0</v>
      </c>
      <c r="AD776" s="2" t="s">
        <v>6703</v>
      </c>
      <c r="AF776" s="56">
        <v>15.9</v>
      </c>
      <c r="AG776" s="56">
        <f>VLOOKUP(A776,Sheet1!$A$2:$C$1140,3,FALSE)</f>
        <v>15.9</v>
      </c>
      <c r="AH776" s="58">
        <v>15.9</v>
      </c>
      <c r="AI776" s="56" t="str">
        <f t="shared" si="136"/>
        <v>Same</v>
      </c>
      <c r="AJ776" s="81">
        <f t="shared" si="140"/>
        <v>47.7</v>
      </c>
      <c r="AK776" s="81">
        <f t="shared" si="141"/>
        <v>47.7</v>
      </c>
      <c r="AL776" s="58" t="s">
        <v>7206</v>
      </c>
      <c r="AM776" s="58" t="s">
        <v>6703</v>
      </c>
      <c r="AN776" s="75">
        <v>5</v>
      </c>
      <c r="AO776" s="88">
        <v>15.9</v>
      </c>
      <c r="AP776" s="6" t="str">
        <f t="shared" si="137"/>
        <v>Same</v>
      </c>
      <c r="AQ776" s="81">
        <f t="shared" si="138"/>
        <v>79.5</v>
      </c>
      <c r="AR776" s="81">
        <f t="shared" si="139"/>
        <v>79.5</v>
      </c>
      <c r="AS776" s="81">
        <f t="shared" si="142"/>
        <v>0</v>
      </c>
    </row>
    <row r="777" spans="1:45" hidden="1" x14ac:dyDescent="0.3">
      <c r="A777">
        <v>6059434</v>
      </c>
      <c r="B777" s="15" t="s">
        <v>6113</v>
      </c>
      <c r="C777" s="16" t="s">
        <v>30</v>
      </c>
      <c r="D777" s="6" t="s">
        <v>31</v>
      </c>
      <c r="E777" t="s">
        <v>1028</v>
      </c>
      <c r="F777" t="s">
        <v>1028</v>
      </c>
      <c r="H777" s="11" t="s">
        <v>27</v>
      </c>
      <c r="I777" s="6" t="s">
        <v>28</v>
      </c>
      <c r="J777" s="6" t="s">
        <v>28</v>
      </c>
      <c r="K777" t="s">
        <v>32</v>
      </c>
      <c r="L777" s="35">
        <v>11.23</v>
      </c>
      <c r="M777" s="6" t="s">
        <v>29</v>
      </c>
      <c r="N777" s="6">
        <v>3105</v>
      </c>
      <c r="P777" s="18"/>
      <c r="Q777" s="17"/>
      <c r="R777" s="19">
        <v>0</v>
      </c>
      <c r="S777" s="19">
        <v>0</v>
      </c>
      <c r="T777" s="38">
        <v>3</v>
      </c>
      <c r="U777" s="38"/>
      <c r="V777" s="31">
        <v>11.23</v>
      </c>
      <c r="W777" s="35">
        <v>11.23</v>
      </c>
      <c r="X777" s="32">
        <f t="shared" si="132"/>
        <v>33.69</v>
      </c>
      <c r="Y777" s="32">
        <f t="shared" si="133"/>
        <v>33.69</v>
      </c>
      <c r="Z777" s="32">
        <f t="shared" si="134"/>
        <v>0</v>
      </c>
      <c r="AA777" s="38">
        <v>3</v>
      </c>
      <c r="AB777" s="37">
        <f>IFERROR(VLOOKUP(A777,'Tash Lookup'!A:E,3,FALSE),"")</f>
        <v>33.69</v>
      </c>
      <c r="AC777" s="6">
        <f t="shared" si="135"/>
        <v>0</v>
      </c>
      <c r="AD777" s="2" t="s">
        <v>6703</v>
      </c>
      <c r="AF777" s="56">
        <v>11.53</v>
      </c>
      <c r="AG777" s="56">
        <f>VLOOKUP(A777,Sheet1!$A$2:$C$1140,3,FALSE)</f>
        <v>11.76</v>
      </c>
      <c r="AH777" s="58">
        <v>11.76</v>
      </c>
      <c r="AI777" s="56" t="str">
        <f t="shared" si="136"/>
        <v>Increase</v>
      </c>
      <c r="AJ777" s="81">
        <f t="shared" si="140"/>
        <v>34.589999999999996</v>
      </c>
      <c r="AK777" s="81">
        <f t="shared" si="141"/>
        <v>35.28</v>
      </c>
      <c r="AL777" s="58" t="s">
        <v>7206</v>
      </c>
      <c r="AM777" s="58" t="s">
        <v>6703</v>
      </c>
      <c r="AN777" s="75">
        <v>0</v>
      </c>
      <c r="AO777" s="88">
        <v>11.76</v>
      </c>
      <c r="AP777" s="6" t="str">
        <f t="shared" si="137"/>
        <v>Increase</v>
      </c>
      <c r="AQ777" s="81">
        <f t="shared" si="138"/>
        <v>0</v>
      </c>
      <c r="AR777" s="81">
        <f t="shared" si="139"/>
        <v>0</v>
      </c>
      <c r="AS777" s="82">
        <f t="shared" si="142"/>
        <v>0</v>
      </c>
    </row>
    <row r="778" spans="1:45" hidden="1" x14ac:dyDescent="0.3">
      <c r="A778">
        <v>6038911</v>
      </c>
      <c r="B778" s="15" t="s">
        <v>6114</v>
      </c>
      <c r="C778" s="16" t="s">
        <v>30</v>
      </c>
      <c r="D778" s="6" t="s">
        <v>31</v>
      </c>
      <c r="E778" t="s">
        <v>1035</v>
      </c>
      <c r="F778" t="s">
        <v>1035</v>
      </c>
      <c r="H778" s="11" t="s">
        <v>27</v>
      </c>
      <c r="I778" s="6" t="s">
        <v>28</v>
      </c>
      <c r="J778" s="6" t="s">
        <v>28</v>
      </c>
      <c r="K778" t="s">
        <v>32</v>
      </c>
      <c r="L778" s="35">
        <v>14.25</v>
      </c>
      <c r="M778" s="6" t="s">
        <v>29</v>
      </c>
      <c r="N778" s="6">
        <v>3105</v>
      </c>
      <c r="P778" s="18"/>
      <c r="Q778" s="17"/>
      <c r="R778" s="19">
        <v>0</v>
      </c>
      <c r="S778" s="19">
        <v>0</v>
      </c>
      <c r="T778" s="38">
        <v>3</v>
      </c>
      <c r="U778" s="38"/>
      <c r="V778" s="31">
        <v>14.25</v>
      </c>
      <c r="W778" s="35">
        <v>14.25</v>
      </c>
      <c r="X778" s="32">
        <f t="shared" si="132"/>
        <v>42.75</v>
      </c>
      <c r="Y778" s="32">
        <f t="shared" si="133"/>
        <v>42.75</v>
      </c>
      <c r="Z778" s="32">
        <f t="shared" si="134"/>
        <v>0</v>
      </c>
      <c r="AA778" s="38">
        <v>3</v>
      </c>
      <c r="AB778" s="37">
        <f>IFERROR(VLOOKUP(A778,'Tash Lookup'!A:E,3,FALSE),"")</f>
        <v>42.75</v>
      </c>
      <c r="AC778" s="6">
        <f t="shared" si="135"/>
        <v>0</v>
      </c>
      <c r="AD778" s="2" t="s">
        <v>6703</v>
      </c>
      <c r="AF778" s="56">
        <v>14.61</v>
      </c>
      <c r="AG778" s="56">
        <f>VLOOKUP(A778,Sheet1!$A$2:$C$1140,3,FALSE)</f>
        <v>14.9</v>
      </c>
      <c r="AH778" s="58">
        <v>14.9</v>
      </c>
      <c r="AI778" s="56" t="str">
        <f t="shared" si="136"/>
        <v>Increase</v>
      </c>
      <c r="AJ778" s="81">
        <f t="shared" si="140"/>
        <v>43.83</v>
      </c>
      <c r="AK778" s="81">
        <f t="shared" si="141"/>
        <v>44.7</v>
      </c>
      <c r="AL778" s="58" t="s">
        <v>7206</v>
      </c>
      <c r="AM778" s="58" t="s">
        <v>6703</v>
      </c>
      <c r="AN778" s="75">
        <v>4</v>
      </c>
      <c r="AO778" s="88">
        <v>14.9</v>
      </c>
      <c r="AP778" s="6" t="str">
        <f t="shared" si="137"/>
        <v>Increase</v>
      </c>
      <c r="AQ778" s="81">
        <f t="shared" si="138"/>
        <v>58.44</v>
      </c>
      <c r="AR778" s="81">
        <f t="shared" si="139"/>
        <v>59.6</v>
      </c>
      <c r="AS778" s="82">
        <f t="shared" si="142"/>
        <v>1.1600000000000037</v>
      </c>
    </row>
    <row r="779" spans="1:45" hidden="1" x14ac:dyDescent="0.3">
      <c r="A779">
        <v>6034107</v>
      </c>
      <c r="B779" s="15" t="s">
        <v>6115</v>
      </c>
      <c r="C779" s="16" t="s">
        <v>30</v>
      </c>
      <c r="D779" s="6" t="s">
        <v>31</v>
      </c>
      <c r="E779" t="s">
        <v>1062</v>
      </c>
      <c r="F779" t="s">
        <v>1062</v>
      </c>
      <c r="H779" s="11" t="s">
        <v>27</v>
      </c>
      <c r="I779" s="6" t="s">
        <v>28</v>
      </c>
      <c r="J779" s="6" t="s">
        <v>28</v>
      </c>
      <c r="K779" t="s">
        <v>32</v>
      </c>
      <c r="L779" s="35">
        <v>1.9</v>
      </c>
      <c r="M779" s="6" t="s">
        <v>29</v>
      </c>
      <c r="N779" s="6">
        <v>3105</v>
      </c>
      <c r="P779" s="18"/>
      <c r="Q779" s="17"/>
      <c r="R779" s="19">
        <v>1.9</v>
      </c>
      <c r="S779" s="19">
        <v>1.9</v>
      </c>
      <c r="T779" s="38">
        <v>3</v>
      </c>
      <c r="U779" s="38"/>
      <c r="V779" s="30">
        <v>1.9</v>
      </c>
      <c r="W779" s="35">
        <v>1.9</v>
      </c>
      <c r="X779" s="32">
        <f t="shared" si="132"/>
        <v>5.6999999999999993</v>
      </c>
      <c r="Y779" s="32">
        <f t="shared" si="133"/>
        <v>5.6999999999999993</v>
      </c>
      <c r="Z779" s="32">
        <f t="shared" si="134"/>
        <v>0</v>
      </c>
      <c r="AA779" s="38">
        <v>3</v>
      </c>
      <c r="AB779" s="37">
        <f>IFERROR(VLOOKUP(A779,'Tash Lookup'!A:E,3,FALSE),"")</f>
        <v>5.69</v>
      </c>
      <c r="AC779" s="6">
        <f t="shared" si="135"/>
        <v>0</v>
      </c>
      <c r="AD779" s="2" t="s">
        <v>6703</v>
      </c>
      <c r="AF779" s="56">
        <v>1.93</v>
      </c>
      <c r="AG779" s="56">
        <f>VLOOKUP(A779,Sheet1!$A$2:$C$1140,3,FALSE)</f>
        <v>1.97</v>
      </c>
      <c r="AH779" s="58">
        <v>1.97</v>
      </c>
      <c r="AI779" s="56" t="str">
        <f t="shared" si="136"/>
        <v>Increase</v>
      </c>
      <c r="AJ779" s="81">
        <f t="shared" si="140"/>
        <v>5.79</v>
      </c>
      <c r="AK779" s="81">
        <f t="shared" si="141"/>
        <v>5.91</v>
      </c>
      <c r="AL779" s="58" t="s">
        <v>7206</v>
      </c>
      <c r="AM779" s="58" t="s">
        <v>6703</v>
      </c>
      <c r="AN779" s="75">
        <v>2</v>
      </c>
      <c r="AO779" s="88">
        <v>1.97</v>
      </c>
      <c r="AP779" s="6" t="str">
        <f t="shared" si="137"/>
        <v>Increase</v>
      </c>
      <c r="AQ779" s="81">
        <f t="shared" si="138"/>
        <v>3.86</v>
      </c>
      <c r="AR779" s="81">
        <f t="shared" si="139"/>
        <v>3.94</v>
      </c>
      <c r="AS779" s="81">
        <f t="shared" si="142"/>
        <v>8.0000000000000071E-2</v>
      </c>
    </row>
    <row r="780" spans="1:45" hidden="1" x14ac:dyDescent="0.3">
      <c r="A780">
        <v>6396802</v>
      </c>
      <c r="B780" s="15" t="s">
        <v>6116</v>
      </c>
      <c r="C780" s="16" t="s">
        <v>30</v>
      </c>
      <c r="D780" s="6" t="s">
        <v>31</v>
      </c>
      <c r="E780" t="s">
        <v>1065</v>
      </c>
      <c r="F780" t="s">
        <v>1065</v>
      </c>
      <c r="H780" s="11" t="s">
        <v>27</v>
      </c>
      <c r="I780" s="6" t="s">
        <v>28</v>
      </c>
      <c r="J780" s="6" t="s">
        <v>28</v>
      </c>
      <c r="K780" t="s">
        <v>32</v>
      </c>
      <c r="L780" s="35">
        <v>7.34</v>
      </c>
      <c r="M780" s="6" t="s">
        <v>29</v>
      </c>
      <c r="N780" s="6">
        <v>3105</v>
      </c>
      <c r="P780" s="18"/>
      <c r="Q780" s="17"/>
      <c r="R780" s="19">
        <v>0</v>
      </c>
      <c r="S780" s="19">
        <v>0</v>
      </c>
      <c r="T780" s="38">
        <v>3</v>
      </c>
      <c r="U780" s="38"/>
      <c r="V780" s="31">
        <v>7.34</v>
      </c>
      <c r="W780" s="35">
        <v>7.34</v>
      </c>
      <c r="X780" s="32">
        <f t="shared" si="132"/>
        <v>22.02</v>
      </c>
      <c r="Y780" s="32">
        <f t="shared" si="133"/>
        <v>22.02</v>
      </c>
      <c r="Z780" s="32">
        <f t="shared" si="134"/>
        <v>0</v>
      </c>
      <c r="AA780" s="38">
        <v>3</v>
      </c>
      <c r="AB780" s="37">
        <f>IFERROR(VLOOKUP(A780,'Tash Lookup'!A:E,3,FALSE),"")</f>
        <v>31.48</v>
      </c>
      <c r="AC780" s="6">
        <f t="shared" si="135"/>
        <v>0</v>
      </c>
      <c r="AD780" s="2" t="s">
        <v>6709</v>
      </c>
      <c r="AF780" s="56">
        <v>7.34</v>
      </c>
      <c r="AG780" s="56" t="e">
        <f>VLOOKUP(A780,Sheet1!$A$2:$C$1140,3,FALSE)</f>
        <v>#N/A</v>
      </c>
      <c r="AH780" s="58" t="e">
        <v>#N/A</v>
      </c>
      <c r="AI780" s="56" t="str">
        <f t="shared" si="136"/>
        <v>Delete</v>
      </c>
      <c r="AJ780" s="81">
        <f t="shared" si="140"/>
        <v>22.02</v>
      </c>
      <c r="AK780" s="81">
        <f t="shared" si="141"/>
        <v>0</v>
      </c>
      <c r="AL780" s="58" t="s">
        <v>7206</v>
      </c>
      <c r="AM780" s="58" t="s">
        <v>6708</v>
      </c>
      <c r="AN780" s="75">
        <v>0</v>
      </c>
      <c r="AO780" s="88">
        <v>7.34</v>
      </c>
      <c r="AP780" s="6" t="str">
        <f t="shared" si="137"/>
        <v>Same</v>
      </c>
      <c r="AQ780" s="81">
        <f t="shared" si="138"/>
        <v>0</v>
      </c>
      <c r="AR780" s="81">
        <f t="shared" si="139"/>
        <v>0</v>
      </c>
      <c r="AS780" s="81">
        <f t="shared" si="142"/>
        <v>0</v>
      </c>
    </row>
    <row r="781" spans="1:45" hidden="1" x14ac:dyDescent="0.3">
      <c r="A781">
        <v>6396928</v>
      </c>
      <c r="B781" s="15" t="s">
        <v>6117</v>
      </c>
      <c r="C781" s="16" t="s">
        <v>30</v>
      </c>
      <c r="D781" s="6" t="s">
        <v>31</v>
      </c>
      <c r="E781" t="s">
        <v>1084</v>
      </c>
      <c r="F781" t="s">
        <v>1084</v>
      </c>
      <c r="H781" s="11" t="s">
        <v>27</v>
      </c>
      <c r="I781" s="6" t="s">
        <v>28</v>
      </c>
      <c r="J781" s="6" t="s">
        <v>28</v>
      </c>
      <c r="K781" t="s">
        <v>32</v>
      </c>
      <c r="L781" s="35">
        <v>58.44</v>
      </c>
      <c r="M781" s="6" t="s">
        <v>29</v>
      </c>
      <c r="N781" s="6">
        <v>3105</v>
      </c>
      <c r="P781" s="18"/>
      <c r="Q781" s="17"/>
      <c r="R781" s="19">
        <v>58.44</v>
      </c>
      <c r="S781" s="19">
        <v>58.44</v>
      </c>
      <c r="T781" s="38">
        <v>3</v>
      </c>
      <c r="U781" s="38"/>
      <c r="V781" s="30">
        <v>58.44</v>
      </c>
      <c r="W781" s="35">
        <v>58.44</v>
      </c>
      <c r="X781" s="32">
        <f t="shared" si="132"/>
        <v>175.32</v>
      </c>
      <c r="Y781" s="32">
        <f t="shared" si="133"/>
        <v>175.32</v>
      </c>
      <c r="Z781" s="32">
        <f t="shared" si="134"/>
        <v>0</v>
      </c>
      <c r="AA781" s="38">
        <v>3</v>
      </c>
      <c r="AB781" s="37">
        <f>IFERROR(VLOOKUP(A781,'Tash Lookup'!A:E,3,FALSE),"")</f>
        <v>172.8</v>
      </c>
      <c r="AC781" s="6">
        <f t="shared" si="135"/>
        <v>0</v>
      </c>
      <c r="AD781" s="2" t="s">
        <v>6703</v>
      </c>
      <c r="AF781" s="56">
        <v>58.44</v>
      </c>
      <c r="AG781" s="56">
        <f>VLOOKUP(A781,Sheet1!$A$2:$C$1140,3,FALSE)</f>
        <v>59.61</v>
      </c>
      <c r="AH781" s="58">
        <v>59.61</v>
      </c>
      <c r="AI781" s="56" t="str">
        <f t="shared" si="136"/>
        <v>Increase</v>
      </c>
      <c r="AJ781" s="81">
        <f t="shared" si="140"/>
        <v>175.32</v>
      </c>
      <c r="AK781" s="81">
        <f t="shared" si="141"/>
        <v>178.82999999999998</v>
      </c>
      <c r="AL781" s="58" t="s">
        <v>7206</v>
      </c>
      <c r="AM781" s="58" t="s">
        <v>6703</v>
      </c>
      <c r="AN781" s="75">
        <v>0</v>
      </c>
      <c r="AO781" s="88">
        <v>59.61</v>
      </c>
      <c r="AP781" s="6" t="str">
        <f t="shared" si="137"/>
        <v>Increase</v>
      </c>
      <c r="AQ781" s="81">
        <f t="shared" si="138"/>
        <v>0</v>
      </c>
      <c r="AR781" s="81">
        <f t="shared" si="139"/>
        <v>0</v>
      </c>
      <c r="AS781" s="82">
        <f t="shared" si="142"/>
        <v>0</v>
      </c>
    </row>
    <row r="782" spans="1:45" hidden="1" x14ac:dyDescent="0.3">
      <c r="A782">
        <v>5093069</v>
      </c>
      <c r="B782" s="15" t="s">
        <v>6118</v>
      </c>
      <c r="C782" s="16" t="s">
        <v>30</v>
      </c>
      <c r="D782" s="6" t="s">
        <v>31</v>
      </c>
      <c r="E782" t="s">
        <v>1109</v>
      </c>
      <c r="F782" t="s">
        <v>1109</v>
      </c>
      <c r="H782" s="11" t="s">
        <v>27</v>
      </c>
      <c r="I782" s="6" t="s">
        <v>28</v>
      </c>
      <c r="J782" s="6" t="s">
        <v>28</v>
      </c>
      <c r="K782" t="s">
        <v>32</v>
      </c>
      <c r="L782" s="35">
        <v>3.4</v>
      </c>
      <c r="M782" s="6" t="s">
        <v>29</v>
      </c>
      <c r="N782" s="6">
        <v>3105</v>
      </c>
      <c r="P782" s="18"/>
      <c r="Q782" s="17"/>
      <c r="R782" s="19">
        <v>3.4</v>
      </c>
      <c r="S782" s="19">
        <v>3.4</v>
      </c>
      <c r="T782" s="38">
        <v>3</v>
      </c>
      <c r="U782" s="38"/>
      <c r="V782" s="30">
        <v>3.4</v>
      </c>
      <c r="W782" s="35">
        <v>3.4</v>
      </c>
      <c r="X782" s="32">
        <f t="shared" si="132"/>
        <v>10.199999999999999</v>
      </c>
      <c r="Y782" s="32">
        <f t="shared" si="133"/>
        <v>10.199999999999999</v>
      </c>
      <c r="Z782" s="32">
        <f t="shared" si="134"/>
        <v>0</v>
      </c>
      <c r="AA782" s="38">
        <v>3</v>
      </c>
      <c r="AB782" s="37">
        <f>IFERROR(VLOOKUP(A782,'Tash Lookup'!A:E,3,FALSE),"")</f>
        <v>7.8</v>
      </c>
      <c r="AC782" s="6">
        <f t="shared" si="135"/>
        <v>0</v>
      </c>
      <c r="AD782" s="2" t="s">
        <v>6704</v>
      </c>
      <c r="AF782" s="56">
        <v>3.4</v>
      </c>
      <c r="AG782" s="56" t="e">
        <f>VLOOKUP(A782,Sheet1!$A$2:$C$1140,3,FALSE)</f>
        <v>#N/A</v>
      </c>
      <c r="AH782" s="58" t="e">
        <v>#N/A</v>
      </c>
      <c r="AI782" s="56" t="str">
        <f t="shared" si="136"/>
        <v>Delete</v>
      </c>
      <c r="AJ782" s="81">
        <f t="shared" si="140"/>
        <v>10.199999999999999</v>
      </c>
      <c r="AK782" s="81">
        <f t="shared" si="141"/>
        <v>0</v>
      </c>
      <c r="AL782" s="58" t="s">
        <v>7206</v>
      </c>
      <c r="AM782" s="58" t="s">
        <v>6708</v>
      </c>
      <c r="AN782" s="75">
        <v>0</v>
      </c>
      <c r="AO782" s="88">
        <v>3.4</v>
      </c>
      <c r="AP782" s="6" t="str">
        <f t="shared" si="137"/>
        <v>Same</v>
      </c>
      <c r="AQ782" s="81">
        <f t="shared" si="138"/>
        <v>0</v>
      </c>
      <c r="AR782" s="81">
        <f t="shared" si="139"/>
        <v>0</v>
      </c>
      <c r="AS782" s="81">
        <f t="shared" si="142"/>
        <v>0</v>
      </c>
    </row>
    <row r="783" spans="1:45" hidden="1" x14ac:dyDescent="0.3">
      <c r="A783">
        <v>5085003</v>
      </c>
      <c r="B783" s="15" t="s">
        <v>6119</v>
      </c>
      <c r="C783" s="16" t="s">
        <v>30</v>
      </c>
      <c r="D783" s="6" t="s">
        <v>31</v>
      </c>
      <c r="E783" t="s">
        <v>1112</v>
      </c>
      <c r="F783" t="s">
        <v>1112</v>
      </c>
      <c r="H783" s="11" t="s">
        <v>27</v>
      </c>
      <c r="I783" s="6" t="s">
        <v>28</v>
      </c>
      <c r="J783" s="6" t="s">
        <v>28</v>
      </c>
      <c r="K783" t="s">
        <v>32</v>
      </c>
      <c r="L783" s="35">
        <v>12.15</v>
      </c>
      <c r="M783" s="6" t="s">
        <v>29</v>
      </c>
      <c r="N783" s="6">
        <v>3105</v>
      </c>
      <c r="P783" s="18"/>
      <c r="Q783" s="17"/>
      <c r="R783" s="19">
        <v>12.15</v>
      </c>
      <c r="S783" s="19">
        <v>12.15</v>
      </c>
      <c r="T783" s="38">
        <v>3</v>
      </c>
      <c r="U783" s="38"/>
      <c r="V783" s="30">
        <v>12.15</v>
      </c>
      <c r="W783" s="35">
        <v>12.15</v>
      </c>
      <c r="X783" s="32">
        <f t="shared" si="132"/>
        <v>36.450000000000003</v>
      </c>
      <c r="Y783" s="32">
        <f t="shared" si="133"/>
        <v>36.450000000000003</v>
      </c>
      <c r="Z783" s="32">
        <f t="shared" si="134"/>
        <v>0</v>
      </c>
      <c r="AA783" s="38">
        <v>3</v>
      </c>
      <c r="AB783" s="37">
        <f>IFERROR(VLOOKUP(A783,'Tash Lookup'!A:E,3,FALSE),"")</f>
        <v>35.700000000000003</v>
      </c>
      <c r="AC783" s="6">
        <f t="shared" si="135"/>
        <v>0</v>
      </c>
      <c r="AD783" s="2" t="s">
        <v>6703</v>
      </c>
      <c r="AF783" s="56">
        <v>16.28</v>
      </c>
      <c r="AG783" s="56">
        <f>VLOOKUP(A783,Sheet1!$A$2:$C$1140,3,FALSE)</f>
        <v>16.28</v>
      </c>
      <c r="AH783" s="58">
        <v>16.28</v>
      </c>
      <c r="AI783" s="56" t="str">
        <f t="shared" si="136"/>
        <v>Same</v>
      </c>
      <c r="AJ783" s="81">
        <f t="shared" si="140"/>
        <v>48.84</v>
      </c>
      <c r="AK783" s="81">
        <f t="shared" si="141"/>
        <v>48.84</v>
      </c>
      <c r="AL783" s="58" t="s">
        <v>7206</v>
      </c>
      <c r="AM783" s="58" t="s">
        <v>6703</v>
      </c>
      <c r="AN783" s="75">
        <v>2</v>
      </c>
      <c r="AO783" s="88">
        <v>16.28</v>
      </c>
      <c r="AP783" s="6" t="str">
        <f t="shared" si="137"/>
        <v>Same</v>
      </c>
      <c r="AQ783" s="81">
        <f t="shared" si="138"/>
        <v>32.56</v>
      </c>
      <c r="AR783" s="81">
        <f t="shared" si="139"/>
        <v>32.56</v>
      </c>
      <c r="AS783" s="81">
        <f t="shared" si="142"/>
        <v>0</v>
      </c>
    </row>
    <row r="784" spans="1:45" hidden="1" x14ac:dyDescent="0.3">
      <c r="A784">
        <v>6107957</v>
      </c>
      <c r="B784" s="15" t="s">
        <v>6120</v>
      </c>
      <c r="C784" s="16" t="s">
        <v>30</v>
      </c>
      <c r="D784" s="6" t="s">
        <v>31</v>
      </c>
      <c r="E784" t="s">
        <v>1134</v>
      </c>
      <c r="F784" t="s">
        <v>1134</v>
      </c>
      <c r="H784" s="11" t="s">
        <v>27</v>
      </c>
      <c r="I784" s="6" t="s">
        <v>28</v>
      </c>
      <c r="J784" s="6" t="s">
        <v>28</v>
      </c>
      <c r="K784" t="s">
        <v>32</v>
      </c>
      <c r="L784" s="35">
        <v>17.440000000000001</v>
      </c>
      <c r="M784" s="6" t="s">
        <v>29</v>
      </c>
      <c r="N784" s="6">
        <v>3105</v>
      </c>
      <c r="P784" s="18"/>
      <c r="Q784" s="17"/>
      <c r="R784" s="19">
        <v>0</v>
      </c>
      <c r="S784" s="19">
        <v>0</v>
      </c>
      <c r="T784" s="38">
        <v>3</v>
      </c>
      <c r="U784" s="38"/>
      <c r="V784" s="31">
        <v>17.440000000000001</v>
      </c>
      <c r="W784" s="35">
        <v>17.440000000000001</v>
      </c>
      <c r="X784" s="32">
        <f t="shared" si="132"/>
        <v>52.320000000000007</v>
      </c>
      <c r="Y784" s="32">
        <f t="shared" si="133"/>
        <v>52.320000000000007</v>
      </c>
      <c r="Z784" s="32">
        <f t="shared" si="134"/>
        <v>0</v>
      </c>
      <c r="AA784" s="38">
        <v>3</v>
      </c>
      <c r="AB784" s="37">
        <f>IFERROR(VLOOKUP(A784,'Tash Lookup'!A:E,3,FALSE),"")</f>
        <v>52.32</v>
      </c>
      <c r="AC784" s="6">
        <f t="shared" si="135"/>
        <v>0</v>
      </c>
      <c r="AD784" s="2" t="s">
        <v>6703</v>
      </c>
      <c r="AF784" s="56">
        <v>17.440000000000001</v>
      </c>
      <c r="AG784" s="56">
        <f>VLOOKUP(A784,Sheet1!$A$2:$C$1140,3,FALSE)</f>
        <v>17.79</v>
      </c>
      <c r="AH784" s="58">
        <v>17.79</v>
      </c>
      <c r="AI784" s="56" t="str">
        <f t="shared" si="136"/>
        <v>Increase</v>
      </c>
      <c r="AJ784" s="81">
        <f t="shared" si="140"/>
        <v>52.320000000000007</v>
      </c>
      <c r="AK784" s="81">
        <f t="shared" si="141"/>
        <v>53.37</v>
      </c>
      <c r="AL784" s="58" t="s">
        <v>7206</v>
      </c>
      <c r="AM784" s="58" t="s">
        <v>6703</v>
      </c>
      <c r="AN784" s="75">
        <v>1</v>
      </c>
      <c r="AO784" s="88">
        <v>17.79</v>
      </c>
      <c r="AP784" s="6" t="str">
        <f t="shared" si="137"/>
        <v>Increase</v>
      </c>
      <c r="AQ784" s="81">
        <f t="shared" si="138"/>
        <v>17.440000000000001</v>
      </c>
      <c r="AR784" s="81">
        <f t="shared" si="139"/>
        <v>17.79</v>
      </c>
      <c r="AS784" s="82">
        <f t="shared" si="142"/>
        <v>0.34999999999999787</v>
      </c>
    </row>
    <row r="785" spans="1:45" hidden="1" x14ac:dyDescent="0.3">
      <c r="A785">
        <v>6386673</v>
      </c>
      <c r="B785" s="15" t="s">
        <v>6121</v>
      </c>
      <c r="C785" s="16" t="s">
        <v>30</v>
      </c>
      <c r="D785" s="6" t="s">
        <v>31</v>
      </c>
      <c r="E785" t="s">
        <v>631</v>
      </c>
      <c r="F785" t="s">
        <v>631</v>
      </c>
      <c r="H785" s="11" t="s">
        <v>27</v>
      </c>
      <c r="I785" s="6" t="s">
        <v>28</v>
      </c>
      <c r="J785" s="6" t="s">
        <v>28</v>
      </c>
      <c r="K785" t="s">
        <v>32</v>
      </c>
      <c r="L785" s="35">
        <v>4.2</v>
      </c>
      <c r="M785" s="6" t="s">
        <v>29</v>
      </c>
      <c r="N785" s="6">
        <v>3105</v>
      </c>
      <c r="P785" s="18"/>
      <c r="Q785" s="17"/>
      <c r="R785" s="19">
        <v>4.2</v>
      </c>
      <c r="S785" s="19">
        <v>4.2</v>
      </c>
      <c r="T785" s="38">
        <v>3</v>
      </c>
      <c r="U785" s="38"/>
      <c r="V785" s="30">
        <v>4.2</v>
      </c>
      <c r="W785" s="35">
        <v>4.2</v>
      </c>
      <c r="X785" s="32">
        <f t="shared" si="132"/>
        <v>12.600000000000001</v>
      </c>
      <c r="Y785" s="32">
        <f t="shared" si="133"/>
        <v>12.600000000000001</v>
      </c>
      <c r="Z785" s="32">
        <f t="shared" si="134"/>
        <v>0</v>
      </c>
      <c r="AA785" s="38">
        <v>3</v>
      </c>
      <c r="AB785" s="37">
        <f>IFERROR(VLOOKUP(A785,'Tash Lookup'!A:E,3,FALSE),"")</f>
        <v>12.6</v>
      </c>
      <c r="AC785" s="6">
        <f t="shared" si="135"/>
        <v>0</v>
      </c>
      <c r="AD785" s="2" t="s">
        <v>6703</v>
      </c>
      <c r="AF785" s="56">
        <v>4.2</v>
      </c>
      <c r="AG785" s="56">
        <f>VLOOKUP(A785,Sheet1!$A$2:$C$1140,3,FALSE)</f>
        <v>4.2</v>
      </c>
      <c r="AH785" s="58">
        <v>4.2</v>
      </c>
      <c r="AI785" s="56" t="str">
        <f t="shared" si="136"/>
        <v>Same</v>
      </c>
      <c r="AJ785" s="81">
        <f t="shared" si="140"/>
        <v>12.600000000000001</v>
      </c>
      <c r="AK785" s="81">
        <f t="shared" si="141"/>
        <v>12.600000000000001</v>
      </c>
      <c r="AL785" s="58" t="s">
        <v>7206</v>
      </c>
      <c r="AM785" s="58" t="s">
        <v>6703</v>
      </c>
      <c r="AN785" s="75">
        <v>1</v>
      </c>
      <c r="AO785" s="88">
        <v>4.2</v>
      </c>
      <c r="AP785" s="6" t="str">
        <f t="shared" si="137"/>
        <v>Same</v>
      </c>
      <c r="AQ785" s="81">
        <f t="shared" si="138"/>
        <v>4.2</v>
      </c>
      <c r="AR785" s="81">
        <f t="shared" si="139"/>
        <v>4.2</v>
      </c>
      <c r="AS785" s="81">
        <f t="shared" si="142"/>
        <v>0</v>
      </c>
    </row>
    <row r="786" spans="1:45" x14ac:dyDescent="0.3">
      <c r="A786">
        <v>5085902</v>
      </c>
      <c r="B786" s="15" t="s">
        <v>6122</v>
      </c>
      <c r="C786" s="16" t="s">
        <v>30</v>
      </c>
      <c r="D786" s="6" t="s">
        <v>31</v>
      </c>
      <c r="E786" t="s">
        <v>1167</v>
      </c>
      <c r="F786" t="s">
        <v>1167</v>
      </c>
      <c r="H786" s="11" t="s">
        <v>27</v>
      </c>
      <c r="I786" s="6" t="s">
        <v>28</v>
      </c>
      <c r="J786" s="6" t="s">
        <v>28</v>
      </c>
      <c r="K786" t="s">
        <v>32</v>
      </c>
      <c r="L786" s="35">
        <v>76.2</v>
      </c>
      <c r="M786" s="6" t="s">
        <v>29</v>
      </c>
      <c r="N786" s="6">
        <v>3105</v>
      </c>
      <c r="P786" s="18"/>
      <c r="Q786" s="17"/>
      <c r="R786" s="19">
        <v>76.2</v>
      </c>
      <c r="S786" s="19">
        <v>76.2</v>
      </c>
      <c r="T786" s="38">
        <v>3</v>
      </c>
      <c r="U786" s="38"/>
      <c r="V786" s="30">
        <v>76.2</v>
      </c>
      <c r="W786" s="35">
        <v>76.2</v>
      </c>
      <c r="X786" s="32">
        <f t="shared" si="132"/>
        <v>228.60000000000002</v>
      </c>
      <c r="Y786" s="32">
        <f t="shared" si="133"/>
        <v>228.60000000000002</v>
      </c>
      <c r="Z786" s="32">
        <f t="shared" si="134"/>
        <v>0</v>
      </c>
      <c r="AA786" s="38">
        <v>3</v>
      </c>
      <c r="AB786" s="37">
        <f>IFERROR(VLOOKUP(A786,'Tash Lookup'!A:E,3,FALSE),"")</f>
        <v>228.6</v>
      </c>
      <c r="AC786" s="6">
        <f t="shared" si="135"/>
        <v>0</v>
      </c>
      <c r="AD786" s="2" t="s">
        <v>6703</v>
      </c>
      <c r="AF786" s="56">
        <v>79.709999999999994</v>
      </c>
      <c r="AG786" s="56">
        <f>VLOOKUP(A786,Sheet1!$A$2:$C$1140,3,FALSE)</f>
        <v>79.709999999999994</v>
      </c>
      <c r="AH786" s="58">
        <v>79.709999999999994</v>
      </c>
      <c r="AI786" s="56" t="str">
        <f t="shared" si="136"/>
        <v>Same</v>
      </c>
      <c r="AJ786" s="81">
        <f t="shared" si="140"/>
        <v>239.13</v>
      </c>
      <c r="AK786" s="81">
        <f t="shared" si="141"/>
        <v>239.13</v>
      </c>
      <c r="AL786" s="58" t="s">
        <v>7206</v>
      </c>
      <c r="AM786" s="58" t="s">
        <v>6703</v>
      </c>
      <c r="AN786" s="75">
        <v>6</v>
      </c>
      <c r="AO786" s="88">
        <v>79.709999999999994</v>
      </c>
      <c r="AP786" s="6" t="str">
        <f t="shared" si="137"/>
        <v>Same</v>
      </c>
      <c r="AQ786" s="81">
        <f t="shared" si="138"/>
        <v>478.26</v>
      </c>
      <c r="AR786" s="81">
        <f t="shared" si="139"/>
        <v>478.26</v>
      </c>
      <c r="AS786" s="81">
        <f t="shared" si="142"/>
        <v>0</v>
      </c>
    </row>
    <row r="787" spans="1:45" x14ac:dyDescent="0.3">
      <c r="A787">
        <v>5085898</v>
      </c>
      <c r="B787" s="15" t="s">
        <v>6123</v>
      </c>
      <c r="C787" s="16" t="s">
        <v>30</v>
      </c>
      <c r="D787" s="6" t="s">
        <v>31</v>
      </c>
      <c r="E787" t="s">
        <v>1176</v>
      </c>
      <c r="F787" t="s">
        <v>1176</v>
      </c>
      <c r="H787" s="11" t="s">
        <v>27</v>
      </c>
      <c r="I787" s="6" t="s">
        <v>28</v>
      </c>
      <c r="J787" s="6" t="s">
        <v>28</v>
      </c>
      <c r="K787" t="s">
        <v>32</v>
      </c>
      <c r="L787" s="35">
        <v>39.03</v>
      </c>
      <c r="M787" s="6" t="s">
        <v>29</v>
      </c>
      <c r="N787" s="6">
        <v>3105</v>
      </c>
      <c r="P787" s="18"/>
      <c r="Q787" s="17"/>
      <c r="R787" s="19">
        <v>39.03</v>
      </c>
      <c r="S787" s="19">
        <v>39.03</v>
      </c>
      <c r="T787" s="38">
        <v>3</v>
      </c>
      <c r="U787" s="38"/>
      <c r="V787" s="30">
        <v>39.03</v>
      </c>
      <c r="W787" s="35">
        <v>39.03</v>
      </c>
      <c r="X787" s="32">
        <f t="shared" si="132"/>
        <v>117.09</v>
      </c>
      <c r="Y787" s="32">
        <f t="shared" si="133"/>
        <v>117.09</v>
      </c>
      <c r="Z787" s="32">
        <f t="shared" si="134"/>
        <v>0</v>
      </c>
      <c r="AA787" s="38">
        <v>3</v>
      </c>
      <c r="AB787" s="37">
        <f>IFERROR(VLOOKUP(A787,'Tash Lookup'!A:E,3,FALSE),"")</f>
        <v>117.09</v>
      </c>
      <c r="AC787" s="6">
        <f t="shared" si="135"/>
        <v>0</v>
      </c>
      <c r="AD787" s="2" t="s">
        <v>6703</v>
      </c>
      <c r="AF787" s="56">
        <v>43.04</v>
      </c>
      <c r="AG787" s="56">
        <f>VLOOKUP(A787,Sheet1!$A$2:$C$1140,3,FALSE)</f>
        <v>43.04</v>
      </c>
      <c r="AH787" s="58">
        <v>43.04</v>
      </c>
      <c r="AI787" s="56" t="str">
        <f t="shared" si="136"/>
        <v>Same</v>
      </c>
      <c r="AJ787" s="81">
        <f t="shared" si="140"/>
        <v>129.12</v>
      </c>
      <c r="AK787" s="81">
        <f t="shared" si="141"/>
        <v>129.12</v>
      </c>
      <c r="AL787" s="58" t="s">
        <v>7206</v>
      </c>
      <c r="AM787" s="58" t="s">
        <v>6703</v>
      </c>
      <c r="AN787" s="75">
        <v>0</v>
      </c>
      <c r="AO787" s="88">
        <v>43.04</v>
      </c>
      <c r="AP787" s="6" t="str">
        <f t="shared" si="137"/>
        <v>Same</v>
      </c>
      <c r="AQ787" s="81">
        <f t="shared" si="138"/>
        <v>0</v>
      </c>
      <c r="AR787" s="81">
        <f t="shared" si="139"/>
        <v>0</v>
      </c>
      <c r="AS787" s="81">
        <f t="shared" si="142"/>
        <v>0</v>
      </c>
    </row>
    <row r="788" spans="1:45" hidden="1" x14ac:dyDescent="0.3">
      <c r="A788">
        <v>6352808</v>
      </c>
      <c r="B788" s="15" t="s">
        <v>6124</v>
      </c>
      <c r="C788" s="16" t="s">
        <v>30</v>
      </c>
      <c r="D788" s="6" t="s">
        <v>31</v>
      </c>
      <c r="E788" t="s">
        <v>1247</v>
      </c>
      <c r="F788" t="s">
        <v>1247</v>
      </c>
      <c r="H788" s="11" t="s">
        <v>27</v>
      </c>
      <c r="I788" s="6" t="s">
        <v>28</v>
      </c>
      <c r="J788" s="6" t="s">
        <v>28</v>
      </c>
      <c r="K788" t="s">
        <v>32</v>
      </c>
      <c r="L788" s="35">
        <v>18.95</v>
      </c>
      <c r="M788" s="6" t="s">
        <v>29</v>
      </c>
      <c r="N788" s="6">
        <v>3105</v>
      </c>
      <c r="P788" s="18"/>
      <c r="Q788" s="17"/>
      <c r="R788" s="19">
        <v>18.95</v>
      </c>
      <c r="S788" s="19">
        <v>18.95</v>
      </c>
      <c r="T788" s="38">
        <v>3</v>
      </c>
      <c r="U788" s="38"/>
      <c r="V788" s="30">
        <v>18.95</v>
      </c>
      <c r="W788" s="35">
        <v>18.95</v>
      </c>
      <c r="X788" s="32">
        <f t="shared" si="132"/>
        <v>56.849999999999994</v>
      </c>
      <c r="Y788" s="32">
        <f t="shared" si="133"/>
        <v>56.849999999999994</v>
      </c>
      <c r="Z788" s="32">
        <f t="shared" si="134"/>
        <v>0</v>
      </c>
      <c r="AA788" s="38">
        <v>3</v>
      </c>
      <c r="AB788" s="37">
        <f>IFERROR(VLOOKUP(A788,'Tash Lookup'!A:E,3,FALSE),"")</f>
        <v>56.85</v>
      </c>
      <c r="AC788" s="6">
        <f t="shared" si="135"/>
        <v>0</v>
      </c>
      <c r="AD788" s="2" t="s">
        <v>6711</v>
      </c>
      <c r="AE788" s="2" t="s">
        <v>6701</v>
      </c>
      <c r="AF788" s="56">
        <v>18.95</v>
      </c>
      <c r="AG788" s="56" t="e">
        <f>VLOOKUP(A788,Sheet1!$A$2:$C$1140,3,FALSE)</f>
        <v>#N/A</v>
      </c>
      <c r="AH788" s="58" t="e">
        <v>#N/A</v>
      </c>
      <c r="AI788" s="56" t="str">
        <f t="shared" si="136"/>
        <v>Delete</v>
      </c>
      <c r="AJ788" s="81">
        <f t="shared" si="140"/>
        <v>56.849999999999994</v>
      </c>
      <c r="AK788" s="81">
        <f t="shared" si="141"/>
        <v>0</v>
      </c>
      <c r="AL788" s="58" t="s">
        <v>7206</v>
      </c>
      <c r="AM788" s="58" t="s">
        <v>6711</v>
      </c>
      <c r="AN788" s="75">
        <v>0</v>
      </c>
      <c r="AO788" s="88">
        <v>18.95</v>
      </c>
      <c r="AP788" s="6" t="str">
        <f t="shared" si="137"/>
        <v>Delete</v>
      </c>
      <c r="AQ788" s="81">
        <f t="shared" si="138"/>
        <v>0</v>
      </c>
      <c r="AR788" s="81">
        <f t="shared" si="139"/>
        <v>0</v>
      </c>
      <c r="AS788" s="81">
        <f t="shared" si="142"/>
        <v>0</v>
      </c>
    </row>
    <row r="789" spans="1:45" hidden="1" x14ac:dyDescent="0.3">
      <c r="A789">
        <v>6394226</v>
      </c>
      <c r="B789" s="15" t="s">
        <v>6125</v>
      </c>
      <c r="C789" s="16" t="s">
        <v>30</v>
      </c>
      <c r="D789" s="6" t="s">
        <v>31</v>
      </c>
      <c r="E789" t="s">
        <v>1291</v>
      </c>
      <c r="F789" t="s">
        <v>1291</v>
      </c>
      <c r="H789" s="11" t="s">
        <v>27</v>
      </c>
      <c r="I789" s="6" t="s">
        <v>28</v>
      </c>
      <c r="J789" s="6" t="s">
        <v>28</v>
      </c>
      <c r="K789" t="s">
        <v>32</v>
      </c>
      <c r="L789" s="35">
        <v>45.79</v>
      </c>
      <c r="M789" s="6" t="s">
        <v>29</v>
      </c>
      <c r="N789" s="6">
        <v>3105</v>
      </c>
      <c r="P789" s="18"/>
      <c r="Q789" s="17"/>
      <c r="R789" s="19">
        <v>45.79</v>
      </c>
      <c r="S789" s="19">
        <v>45.79</v>
      </c>
      <c r="T789" s="38">
        <v>3</v>
      </c>
      <c r="U789" s="38"/>
      <c r="V789" s="30">
        <v>45.79</v>
      </c>
      <c r="W789" s="35">
        <v>45.79</v>
      </c>
      <c r="X789" s="32">
        <f t="shared" si="132"/>
        <v>137.37</v>
      </c>
      <c r="Y789" s="32">
        <f t="shared" si="133"/>
        <v>137.37</v>
      </c>
      <c r="Z789" s="32">
        <f t="shared" si="134"/>
        <v>0</v>
      </c>
      <c r="AA789" s="38">
        <v>3</v>
      </c>
      <c r="AB789" s="37">
        <f>IFERROR(VLOOKUP(A789,'Tash Lookup'!A:E,3,FALSE),"")</f>
        <v>137.38</v>
      </c>
      <c r="AC789" s="6">
        <f t="shared" si="135"/>
        <v>0</v>
      </c>
      <c r="AD789" s="2" t="s">
        <v>6703</v>
      </c>
      <c r="AF789" s="56">
        <v>51.03</v>
      </c>
      <c r="AG789" s="56">
        <f>VLOOKUP(A789,Sheet1!$A$2:$C$1140,3,FALSE)</f>
        <v>51.03</v>
      </c>
      <c r="AH789" s="58">
        <v>51.03</v>
      </c>
      <c r="AI789" s="56" t="str">
        <f t="shared" si="136"/>
        <v>Same</v>
      </c>
      <c r="AJ789" s="81">
        <f t="shared" si="140"/>
        <v>153.09</v>
      </c>
      <c r="AK789" s="81">
        <f t="shared" si="141"/>
        <v>153.09</v>
      </c>
      <c r="AL789" s="58" t="s">
        <v>7206</v>
      </c>
      <c r="AM789" s="58" t="s">
        <v>6703</v>
      </c>
      <c r="AN789" s="75">
        <v>1</v>
      </c>
      <c r="AO789" s="88">
        <v>51.03</v>
      </c>
      <c r="AP789" s="6" t="str">
        <f t="shared" si="137"/>
        <v>Same</v>
      </c>
      <c r="AQ789" s="81">
        <f t="shared" si="138"/>
        <v>51.03</v>
      </c>
      <c r="AR789" s="81">
        <f t="shared" si="139"/>
        <v>51.03</v>
      </c>
      <c r="AS789" s="81">
        <f t="shared" si="142"/>
        <v>0</v>
      </c>
    </row>
    <row r="790" spans="1:45" hidden="1" x14ac:dyDescent="0.3">
      <c r="A790">
        <v>5222320</v>
      </c>
      <c r="B790" s="15" t="s">
        <v>6126</v>
      </c>
      <c r="C790" s="16" t="s">
        <v>30</v>
      </c>
      <c r="D790" s="6" t="s">
        <v>31</v>
      </c>
      <c r="E790" t="s">
        <v>649</v>
      </c>
      <c r="F790" t="s">
        <v>649</v>
      </c>
      <c r="H790" s="11" t="s">
        <v>27</v>
      </c>
      <c r="I790" s="6" t="s">
        <v>28</v>
      </c>
      <c r="J790" s="6" t="s">
        <v>28</v>
      </c>
      <c r="K790" t="s">
        <v>32</v>
      </c>
      <c r="L790" s="35">
        <v>18.37</v>
      </c>
      <c r="M790" s="6" t="s">
        <v>29</v>
      </c>
      <c r="N790" s="6">
        <v>3105</v>
      </c>
      <c r="P790" s="18"/>
      <c r="Q790" s="17"/>
      <c r="R790" s="19">
        <v>18.37</v>
      </c>
      <c r="S790" s="19">
        <v>18.37</v>
      </c>
      <c r="T790" s="38">
        <v>3</v>
      </c>
      <c r="U790" s="38"/>
      <c r="V790" s="30">
        <v>18.37</v>
      </c>
      <c r="W790" s="35">
        <v>18.37</v>
      </c>
      <c r="X790" s="32">
        <f t="shared" si="132"/>
        <v>55.11</v>
      </c>
      <c r="Y790" s="32">
        <f t="shared" si="133"/>
        <v>55.11</v>
      </c>
      <c r="Z790" s="32">
        <f t="shared" si="134"/>
        <v>0</v>
      </c>
      <c r="AA790" s="38">
        <v>3</v>
      </c>
      <c r="AB790" s="37">
        <f>IFERROR(VLOOKUP(A790,'Tash Lookup'!A:E,3,FALSE),"")</f>
        <v>53.53</v>
      </c>
      <c r="AC790" s="6">
        <f t="shared" si="135"/>
        <v>0</v>
      </c>
      <c r="AD790" s="2" t="s">
        <v>6703</v>
      </c>
      <c r="AF790" s="56">
        <v>19.100000000000001</v>
      </c>
      <c r="AG790" s="56">
        <f>VLOOKUP(A790,Sheet1!$A$2:$C$1140,3,FALSE)</f>
        <v>19.100000000000001</v>
      </c>
      <c r="AH790" s="58">
        <v>19.100000000000001</v>
      </c>
      <c r="AI790" s="56" t="str">
        <f t="shared" si="136"/>
        <v>Same</v>
      </c>
      <c r="AJ790" s="81">
        <f t="shared" si="140"/>
        <v>57.300000000000004</v>
      </c>
      <c r="AK790" s="81">
        <f t="shared" si="141"/>
        <v>57.300000000000004</v>
      </c>
      <c r="AL790" s="58" t="s">
        <v>7206</v>
      </c>
      <c r="AM790" s="58" t="s">
        <v>6703</v>
      </c>
      <c r="AN790" s="75">
        <v>3</v>
      </c>
      <c r="AO790" s="88">
        <v>19.100000000000001</v>
      </c>
      <c r="AP790" s="6" t="str">
        <f t="shared" si="137"/>
        <v>Same</v>
      </c>
      <c r="AQ790" s="81">
        <f t="shared" si="138"/>
        <v>57.300000000000004</v>
      </c>
      <c r="AR790" s="81">
        <f t="shared" si="139"/>
        <v>57.300000000000004</v>
      </c>
      <c r="AS790" s="81">
        <f t="shared" si="142"/>
        <v>0</v>
      </c>
    </row>
    <row r="791" spans="1:45" hidden="1" x14ac:dyDescent="0.3">
      <c r="A791">
        <v>6188875</v>
      </c>
      <c r="B791" s="15" t="s">
        <v>6127</v>
      </c>
      <c r="C791" s="16" t="s">
        <v>30</v>
      </c>
      <c r="D791" s="6" t="s">
        <v>31</v>
      </c>
      <c r="E791" t="s">
        <v>691</v>
      </c>
      <c r="F791" t="s">
        <v>691</v>
      </c>
      <c r="H791" s="11" t="s">
        <v>27</v>
      </c>
      <c r="I791" s="6" t="s">
        <v>28</v>
      </c>
      <c r="J791" s="6" t="s">
        <v>28</v>
      </c>
      <c r="K791" t="s">
        <v>32</v>
      </c>
      <c r="L791" s="35">
        <v>13.2</v>
      </c>
      <c r="M791" s="6" t="s">
        <v>29</v>
      </c>
      <c r="N791" s="6">
        <v>3105</v>
      </c>
      <c r="P791" s="18"/>
      <c r="Q791" s="17"/>
      <c r="R791" s="19">
        <v>13.2</v>
      </c>
      <c r="S791" s="19">
        <v>13.2</v>
      </c>
      <c r="T791" s="38">
        <v>3</v>
      </c>
      <c r="U791" s="38"/>
      <c r="V791" s="30">
        <v>13.2</v>
      </c>
      <c r="W791" s="35">
        <v>13.2</v>
      </c>
      <c r="X791" s="32">
        <f t="shared" si="132"/>
        <v>39.599999999999994</v>
      </c>
      <c r="Y791" s="32">
        <f t="shared" si="133"/>
        <v>39.599999999999994</v>
      </c>
      <c r="Z791" s="32">
        <f t="shared" si="134"/>
        <v>0</v>
      </c>
      <c r="AA791" s="38">
        <v>3</v>
      </c>
      <c r="AB791" s="37">
        <f>IFERROR(VLOOKUP(A791,'Tash Lookup'!A:E,3,FALSE),"")</f>
        <v>39.6</v>
      </c>
      <c r="AC791" s="6">
        <f t="shared" si="135"/>
        <v>0</v>
      </c>
      <c r="AD791" s="2" t="s">
        <v>6703</v>
      </c>
      <c r="AF791" s="56">
        <v>13.2</v>
      </c>
      <c r="AG791" s="56">
        <f>VLOOKUP(A791,Sheet1!$A$2:$C$1140,3,FALSE)</f>
        <v>13.46</v>
      </c>
      <c r="AH791" s="58">
        <v>13.46</v>
      </c>
      <c r="AI791" s="56" t="str">
        <f t="shared" si="136"/>
        <v>Increase</v>
      </c>
      <c r="AJ791" s="81">
        <f t="shared" si="140"/>
        <v>39.599999999999994</v>
      </c>
      <c r="AK791" s="81">
        <f t="shared" si="141"/>
        <v>40.380000000000003</v>
      </c>
      <c r="AL791" s="58" t="s">
        <v>7206</v>
      </c>
      <c r="AM791" s="58" t="s">
        <v>6703</v>
      </c>
      <c r="AN791" s="75">
        <v>1</v>
      </c>
      <c r="AO791" s="88">
        <v>13.46</v>
      </c>
      <c r="AP791" s="6" t="str">
        <f t="shared" si="137"/>
        <v>Increase</v>
      </c>
      <c r="AQ791" s="81">
        <f t="shared" si="138"/>
        <v>13.2</v>
      </c>
      <c r="AR791" s="81">
        <f t="shared" si="139"/>
        <v>13.46</v>
      </c>
      <c r="AS791" s="82">
        <f t="shared" si="142"/>
        <v>0.26000000000000156</v>
      </c>
    </row>
    <row r="792" spans="1:45" hidden="1" x14ac:dyDescent="0.3">
      <c r="A792">
        <v>6316977</v>
      </c>
      <c r="B792" s="15" t="s">
        <v>6128</v>
      </c>
      <c r="C792" s="16" t="s">
        <v>30</v>
      </c>
      <c r="D792" s="6" t="s">
        <v>31</v>
      </c>
      <c r="E792" t="s">
        <v>715</v>
      </c>
      <c r="F792" t="s">
        <v>715</v>
      </c>
      <c r="H792" s="11" t="s">
        <v>27</v>
      </c>
      <c r="I792" s="6" t="s">
        <v>28</v>
      </c>
      <c r="J792" s="6" t="s">
        <v>28</v>
      </c>
      <c r="K792" t="s">
        <v>32</v>
      </c>
      <c r="L792" s="35">
        <v>10.61</v>
      </c>
      <c r="M792" s="6" t="s">
        <v>29</v>
      </c>
      <c r="N792" s="6">
        <v>3105</v>
      </c>
      <c r="P792" s="18"/>
      <c r="Q792" s="17"/>
      <c r="R792" s="19">
        <v>9.5500000000000007</v>
      </c>
      <c r="S792" s="19">
        <v>0</v>
      </c>
      <c r="T792" s="38">
        <v>3</v>
      </c>
      <c r="U792" s="38"/>
      <c r="V792" s="30">
        <v>9.5500000000000007</v>
      </c>
      <c r="W792" s="35">
        <v>14.66</v>
      </c>
      <c r="X792" s="32">
        <f t="shared" si="132"/>
        <v>28.650000000000002</v>
      </c>
      <c r="Y792" s="32">
        <f t="shared" si="133"/>
        <v>31.83</v>
      </c>
      <c r="Z792" s="32">
        <f t="shared" si="134"/>
        <v>-3.1799999999999962</v>
      </c>
      <c r="AA792" s="38">
        <v>3</v>
      </c>
      <c r="AB792" s="37">
        <f>IFERROR(VLOOKUP(A792,'Tash Lookup'!A:E,3,FALSE),"")</f>
        <v>31.38</v>
      </c>
      <c r="AC792" s="6">
        <f t="shared" si="135"/>
        <v>0</v>
      </c>
      <c r="AD792" s="2" t="s">
        <v>6703</v>
      </c>
      <c r="AF792" s="56">
        <v>9.5500000000000007</v>
      </c>
      <c r="AG792" s="56">
        <f>VLOOKUP(A792,Sheet1!$A$2:$C$1140,3,FALSE)</f>
        <v>9.74</v>
      </c>
      <c r="AH792" s="58">
        <v>9.74</v>
      </c>
      <c r="AI792" s="56" t="str">
        <f t="shared" si="136"/>
        <v>Increase</v>
      </c>
      <c r="AJ792" s="81">
        <f t="shared" si="140"/>
        <v>28.650000000000002</v>
      </c>
      <c r="AK792" s="81">
        <f t="shared" si="141"/>
        <v>29.22</v>
      </c>
      <c r="AL792" s="58" t="s">
        <v>7206</v>
      </c>
      <c r="AM792" s="58" t="s">
        <v>6703</v>
      </c>
      <c r="AN792" s="75">
        <v>5</v>
      </c>
      <c r="AO792" s="88">
        <v>9.74</v>
      </c>
      <c r="AP792" s="6" t="str">
        <f t="shared" si="137"/>
        <v>Increase</v>
      </c>
      <c r="AQ792" s="81">
        <f t="shared" si="138"/>
        <v>47.75</v>
      </c>
      <c r="AR792" s="81">
        <f t="shared" si="139"/>
        <v>48.7</v>
      </c>
      <c r="AS792" s="82">
        <f t="shared" si="142"/>
        <v>0.95000000000000284</v>
      </c>
    </row>
    <row r="793" spans="1:45" hidden="1" x14ac:dyDescent="0.3">
      <c r="A793">
        <v>6396952</v>
      </c>
      <c r="B793" s="15" t="s">
        <v>6129</v>
      </c>
      <c r="C793" s="16" t="s">
        <v>30</v>
      </c>
      <c r="D793" s="6" t="s">
        <v>31</v>
      </c>
      <c r="E793" t="s">
        <v>1090</v>
      </c>
      <c r="F793" t="s">
        <v>1090</v>
      </c>
      <c r="H793" s="11" t="s">
        <v>27</v>
      </c>
      <c r="I793" s="6" t="s">
        <v>28</v>
      </c>
      <c r="J793" s="6" t="s">
        <v>28</v>
      </c>
      <c r="K793" t="s">
        <v>32</v>
      </c>
      <c r="L793" s="35">
        <v>16.37</v>
      </c>
      <c r="M793" s="6" t="s">
        <v>29</v>
      </c>
      <c r="N793" s="6">
        <v>3105</v>
      </c>
      <c r="P793" s="18"/>
      <c r="Q793" s="17"/>
      <c r="R793" s="19">
        <v>14.74</v>
      </c>
      <c r="S793" s="19">
        <v>0</v>
      </c>
      <c r="T793" s="38">
        <v>3</v>
      </c>
      <c r="U793" s="38"/>
      <c r="V793" s="30">
        <v>14.74</v>
      </c>
      <c r="W793" s="35">
        <v>14.66</v>
      </c>
      <c r="X793" s="32">
        <f t="shared" si="132"/>
        <v>44.22</v>
      </c>
      <c r="Y793" s="32">
        <f t="shared" si="133"/>
        <v>49.11</v>
      </c>
      <c r="Z793" s="32">
        <f t="shared" si="134"/>
        <v>-4.8900000000000006</v>
      </c>
      <c r="AA793" s="38">
        <v>3</v>
      </c>
      <c r="AB793" s="37">
        <f>IFERROR(VLOOKUP(A793,'Tash Lookup'!A:E,3,FALSE),"")</f>
        <v>44.21</v>
      </c>
      <c r="AC793" s="6">
        <f t="shared" si="135"/>
        <v>0</v>
      </c>
      <c r="AD793" s="2" t="s">
        <v>6703</v>
      </c>
      <c r="AF793" s="56">
        <v>15.18</v>
      </c>
      <c r="AG793" s="56">
        <f>VLOOKUP(A793,Sheet1!$A$2:$C$1140,3,FALSE)</f>
        <v>15.48</v>
      </c>
      <c r="AH793" s="58">
        <v>15.48</v>
      </c>
      <c r="AI793" s="56" t="str">
        <f t="shared" si="136"/>
        <v>Increase</v>
      </c>
      <c r="AJ793" s="81">
        <f t="shared" si="140"/>
        <v>45.54</v>
      </c>
      <c r="AK793" s="81">
        <f t="shared" si="141"/>
        <v>46.44</v>
      </c>
      <c r="AL793" s="58" t="s">
        <v>7206</v>
      </c>
      <c r="AM793" s="58" t="s">
        <v>6703</v>
      </c>
      <c r="AN793" s="75">
        <v>0</v>
      </c>
      <c r="AO793" s="88">
        <v>15.48</v>
      </c>
      <c r="AP793" s="6" t="str">
        <f t="shared" si="137"/>
        <v>Increase</v>
      </c>
      <c r="AQ793" s="81">
        <f t="shared" si="138"/>
        <v>0</v>
      </c>
      <c r="AR793" s="81">
        <f t="shared" si="139"/>
        <v>0</v>
      </c>
      <c r="AS793" s="82">
        <f t="shared" si="142"/>
        <v>0</v>
      </c>
    </row>
    <row r="794" spans="1:45" hidden="1" x14ac:dyDescent="0.3">
      <c r="A794">
        <v>5183358</v>
      </c>
      <c r="B794" s="15" t="s">
        <v>6130</v>
      </c>
      <c r="C794" s="16" t="s">
        <v>30</v>
      </c>
      <c r="D794" s="6" t="s">
        <v>31</v>
      </c>
      <c r="E794" t="s">
        <v>608</v>
      </c>
      <c r="F794" t="s">
        <v>608</v>
      </c>
      <c r="H794" s="11" t="s">
        <v>27</v>
      </c>
      <c r="I794" s="6" t="s">
        <v>28</v>
      </c>
      <c r="J794" s="6" t="s">
        <v>28</v>
      </c>
      <c r="K794" t="s">
        <v>32</v>
      </c>
      <c r="L794" s="35">
        <v>14.66</v>
      </c>
      <c r="M794" s="6" t="s">
        <v>29</v>
      </c>
      <c r="N794" s="6">
        <v>3105</v>
      </c>
      <c r="P794" s="18"/>
      <c r="Q794" s="17"/>
      <c r="R794" s="19">
        <v>14.66</v>
      </c>
      <c r="S794" s="19">
        <v>14.66</v>
      </c>
      <c r="T794" s="38">
        <v>3</v>
      </c>
      <c r="U794" s="38"/>
      <c r="V794" s="29">
        <v>14.66</v>
      </c>
      <c r="W794" s="35">
        <v>22.4</v>
      </c>
      <c r="X794" s="32">
        <f t="shared" si="132"/>
        <v>43.980000000000004</v>
      </c>
      <c r="Y794" s="32">
        <f t="shared" si="133"/>
        <v>43.980000000000004</v>
      </c>
      <c r="Z794" s="32">
        <f t="shared" si="134"/>
        <v>0</v>
      </c>
      <c r="AA794" s="38">
        <v>3</v>
      </c>
      <c r="AB794" s="37">
        <f>IFERROR(VLOOKUP(A794,'Tash Lookup'!A:E,3,FALSE),"")</f>
        <v>44.65</v>
      </c>
      <c r="AC794" s="6">
        <f t="shared" si="135"/>
        <v>0</v>
      </c>
      <c r="AD794" s="2" t="s">
        <v>6703</v>
      </c>
      <c r="AF794" s="56">
        <v>14.72</v>
      </c>
      <c r="AG794" s="56">
        <f>VLOOKUP(A794,Sheet1!$A$2:$C$1140,3,FALSE)</f>
        <v>15.16</v>
      </c>
      <c r="AH794" s="58">
        <v>15.16</v>
      </c>
      <c r="AI794" s="56" t="str">
        <f t="shared" si="136"/>
        <v>Increase</v>
      </c>
      <c r="AJ794" s="81">
        <f t="shared" si="140"/>
        <v>44.160000000000004</v>
      </c>
      <c r="AK794" s="81">
        <f t="shared" si="141"/>
        <v>45.480000000000004</v>
      </c>
      <c r="AL794" s="58" t="s">
        <v>32</v>
      </c>
      <c r="AM794" s="58" t="s">
        <v>6703</v>
      </c>
      <c r="AN794" s="75">
        <v>2</v>
      </c>
      <c r="AO794" s="88">
        <v>15.16</v>
      </c>
      <c r="AP794" s="6" t="str">
        <f t="shared" si="137"/>
        <v>Increase</v>
      </c>
      <c r="AQ794" s="81">
        <f t="shared" si="138"/>
        <v>29.44</v>
      </c>
      <c r="AR794" s="81">
        <f t="shared" si="139"/>
        <v>30.32</v>
      </c>
      <c r="AS794" s="82">
        <f t="shared" si="142"/>
        <v>0.87999999999999901</v>
      </c>
    </row>
    <row r="795" spans="1:45" hidden="1" x14ac:dyDescent="0.3">
      <c r="A795">
        <v>5183420</v>
      </c>
      <c r="B795" s="15" t="s">
        <v>6131</v>
      </c>
      <c r="C795" s="16" t="s">
        <v>30</v>
      </c>
      <c r="D795" s="6" t="s">
        <v>31</v>
      </c>
      <c r="E795" t="s">
        <v>614</v>
      </c>
      <c r="F795" t="s">
        <v>614</v>
      </c>
      <c r="H795" s="11" t="s">
        <v>27</v>
      </c>
      <c r="I795" s="6" t="s">
        <v>28</v>
      </c>
      <c r="J795" s="6" t="s">
        <v>28</v>
      </c>
      <c r="K795" t="s">
        <v>32</v>
      </c>
      <c r="L795" s="35">
        <v>14.66</v>
      </c>
      <c r="M795" s="6" t="s">
        <v>29</v>
      </c>
      <c r="N795" s="6">
        <v>3105</v>
      </c>
      <c r="P795" s="18"/>
      <c r="Q795" s="17"/>
      <c r="R795" s="19">
        <v>14.66</v>
      </c>
      <c r="S795" s="19">
        <v>14.66</v>
      </c>
      <c r="T795" s="38">
        <v>3</v>
      </c>
      <c r="U795" s="38"/>
      <c r="V795" s="29">
        <v>14.66</v>
      </c>
      <c r="W795" s="35">
        <v>37.21</v>
      </c>
      <c r="X795" s="32">
        <f t="shared" si="132"/>
        <v>43.980000000000004</v>
      </c>
      <c r="Y795" s="32">
        <f t="shared" si="133"/>
        <v>43.980000000000004</v>
      </c>
      <c r="Z795" s="32">
        <f t="shared" si="134"/>
        <v>0</v>
      </c>
      <c r="AA795" s="38">
        <v>3</v>
      </c>
      <c r="AB795" s="37">
        <f>IFERROR(VLOOKUP(A795,'Tash Lookup'!A:E,3,FALSE),"")</f>
        <v>44.65</v>
      </c>
      <c r="AC795" s="6">
        <f t="shared" si="135"/>
        <v>0</v>
      </c>
      <c r="AD795" s="2" t="s">
        <v>6703</v>
      </c>
      <c r="AF795" s="56">
        <v>14.72</v>
      </c>
      <c r="AG795" s="56">
        <f>VLOOKUP(A795,Sheet1!$A$2:$C$1140,3,FALSE)</f>
        <v>15.16</v>
      </c>
      <c r="AH795" s="58">
        <v>15.16</v>
      </c>
      <c r="AI795" s="56" t="str">
        <f t="shared" si="136"/>
        <v>Increase</v>
      </c>
      <c r="AJ795" s="81">
        <f t="shared" si="140"/>
        <v>44.160000000000004</v>
      </c>
      <c r="AK795" s="81">
        <f t="shared" si="141"/>
        <v>45.480000000000004</v>
      </c>
      <c r="AL795" s="58" t="s">
        <v>32</v>
      </c>
      <c r="AM795" s="58" t="s">
        <v>6703</v>
      </c>
      <c r="AN795" s="75">
        <v>0</v>
      </c>
      <c r="AO795" s="88">
        <v>15.16</v>
      </c>
      <c r="AP795" s="6" t="str">
        <f t="shared" si="137"/>
        <v>Increase</v>
      </c>
      <c r="AQ795" s="81">
        <f t="shared" si="138"/>
        <v>0</v>
      </c>
      <c r="AR795" s="81">
        <f t="shared" si="139"/>
        <v>0</v>
      </c>
      <c r="AS795" s="82">
        <f t="shared" si="142"/>
        <v>0</v>
      </c>
    </row>
    <row r="796" spans="1:45" hidden="1" x14ac:dyDescent="0.3">
      <c r="A796">
        <v>5326056</v>
      </c>
      <c r="B796" s="15" t="s">
        <v>6132</v>
      </c>
      <c r="C796" s="16" t="s">
        <v>30</v>
      </c>
      <c r="D796" s="6" t="s">
        <v>31</v>
      </c>
      <c r="E796" t="s">
        <v>104</v>
      </c>
      <c r="F796" s="42" t="s">
        <v>104</v>
      </c>
      <c r="H796" s="11" t="s">
        <v>27</v>
      </c>
      <c r="I796" s="6" t="s">
        <v>28</v>
      </c>
      <c r="J796" s="6" t="s">
        <v>28</v>
      </c>
      <c r="K796" t="s">
        <v>32</v>
      </c>
      <c r="L796" s="35">
        <v>22.4</v>
      </c>
      <c r="M796" s="6" t="s">
        <v>29</v>
      </c>
      <c r="N796" s="6">
        <v>3105</v>
      </c>
      <c r="P796" s="18"/>
      <c r="Q796" s="17"/>
      <c r="R796" s="19">
        <v>22.4</v>
      </c>
      <c r="S796" s="19">
        <v>22.4</v>
      </c>
      <c r="T796" s="38">
        <v>3</v>
      </c>
      <c r="U796" s="38"/>
      <c r="V796" s="29">
        <v>22.4</v>
      </c>
      <c r="W796" s="35">
        <v>10.61</v>
      </c>
      <c r="X796" s="32">
        <f t="shared" si="132"/>
        <v>67.199999999999989</v>
      </c>
      <c r="Y796" s="32">
        <f t="shared" si="133"/>
        <v>67.199999999999989</v>
      </c>
      <c r="Z796" s="32">
        <f t="shared" si="134"/>
        <v>0</v>
      </c>
      <c r="AA796" s="38">
        <v>3</v>
      </c>
      <c r="AB796" s="37">
        <f>IFERROR(VLOOKUP(A796,'Tash Lookup'!A:E,3,FALSE),"")</f>
        <v>57.64</v>
      </c>
      <c r="AC796" s="6">
        <f t="shared" si="135"/>
        <v>0</v>
      </c>
      <c r="AD796" s="2" t="s">
        <v>6703</v>
      </c>
      <c r="AF796" s="56">
        <v>22.03</v>
      </c>
      <c r="AG796" s="56">
        <f>VLOOKUP(A796,Sheet1!$A$2:$C$1140,3,FALSE)</f>
        <v>22.03</v>
      </c>
      <c r="AH796" s="58">
        <v>22.03</v>
      </c>
      <c r="AI796" s="56" t="str">
        <f t="shared" si="136"/>
        <v>Same</v>
      </c>
      <c r="AJ796" s="81">
        <f t="shared" si="140"/>
        <v>66.09</v>
      </c>
      <c r="AK796" s="81">
        <f t="shared" si="141"/>
        <v>66.09</v>
      </c>
      <c r="AL796" s="58" t="s">
        <v>32</v>
      </c>
      <c r="AM796" s="58" t="s">
        <v>6703</v>
      </c>
      <c r="AN796" s="75">
        <v>15</v>
      </c>
      <c r="AO796" s="88">
        <v>22.03</v>
      </c>
      <c r="AP796" s="6" t="str">
        <f t="shared" si="137"/>
        <v>Same</v>
      </c>
      <c r="AQ796" s="81">
        <f t="shared" si="138"/>
        <v>330.45000000000005</v>
      </c>
      <c r="AR796" s="81">
        <f t="shared" si="139"/>
        <v>330.45000000000005</v>
      </c>
      <c r="AS796" s="81">
        <f t="shared" si="142"/>
        <v>0</v>
      </c>
    </row>
    <row r="797" spans="1:45" hidden="1" x14ac:dyDescent="0.3">
      <c r="A797">
        <v>5480753</v>
      </c>
      <c r="B797" s="15" t="s">
        <v>6133</v>
      </c>
      <c r="C797" s="16" t="s">
        <v>30</v>
      </c>
      <c r="D797" s="6" t="s">
        <v>31</v>
      </c>
      <c r="E797" t="s">
        <v>485</v>
      </c>
      <c r="F797" t="s">
        <v>485</v>
      </c>
      <c r="H797" s="11" t="s">
        <v>27</v>
      </c>
      <c r="I797" s="6" t="s">
        <v>28</v>
      </c>
      <c r="J797" s="6" t="s">
        <v>28</v>
      </c>
      <c r="K797" t="s">
        <v>32</v>
      </c>
      <c r="L797" s="35">
        <v>37.21</v>
      </c>
      <c r="M797" s="6" t="s">
        <v>29</v>
      </c>
      <c r="N797" s="6">
        <v>3105</v>
      </c>
      <c r="P797" s="18"/>
      <c r="Q797" s="17"/>
      <c r="R797" s="19">
        <v>37.21</v>
      </c>
      <c r="S797" s="19">
        <v>37.21</v>
      </c>
      <c r="T797" s="38">
        <v>3</v>
      </c>
      <c r="U797" s="38"/>
      <c r="V797" s="29">
        <v>37.21</v>
      </c>
      <c r="W797" s="35">
        <v>16.37</v>
      </c>
      <c r="X797" s="32">
        <f t="shared" si="132"/>
        <v>111.63</v>
      </c>
      <c r="Y797" s="32">
        <f t="shared" si="133"/>
        <v>111.63</v>
      </c>
      <c r="Z797" s="32">
        <f t="shared" si="134"/>
        <v>0</v>
      </c>
      <c r="AA797" s="38">
        <v>3</v>
      </c>
      <c r="AB797" s="37">
        <f>IFERROR(VLOOKUP(A797,'Tash Lookup'!A:E,3,FALSE),"")</f>
        <v>111.58000000000001</v>
      </c>
      <c r="AC797" s="6">
        <f t="shared" si="135"/>
        <v>0</v>
      </c>
      <c r="AD797" s="2" t="s">
        <v>6703</v>
      </c>
      <c r="AF797" s="56">
        <v>38.880000000000003</v>
      </c>
      <c r="AG797" s="56" t="e">
        <f>VLOOKUP(A797,Sheet1!$A$2:$C$1140,3,FALSE)</f>
        <v>#N/A</v>
      </c>
      <c r="AH797" s="58" t="e">
        <v>#N/A</v>
      </c>
      <c r="AI797" s="56" t="str">
        <f t="shared" si="136"/>
        <v>Delete</v>
      </c>
      <c r="AJ797" s="81">
        <f t="shared" si="140"/>
        <v>116.64000000000001</v>
      </c>
      <c r="AK797" s="81">
        <f t="shared" si="141"/>
        <v>0</v>
      </c>
      <c r="AL797" s="58" t="s">
        <v>32</v>
      </c>
      <c r="AM797" s="58" t="s">
        <v>6703</v>
      </c>
      <c r="AN797" s="75">
        <v>5</v>
      </c>
      <c r="AO797" s="88">
        <v>38.880000000000003</v>
      </c>
      <c r="AP797" s="6" t="str">
        <f t="shared" si="137"/>
        <v>Same</v>
      </c>
      <c r="AQ797" s="81">
        <f t="shared" si="138"/>
        <v>194.4</v>
      </c>
      <c r="AR797" s="81">
        <f t="shared" si="139"/>
        <v>194.4</v>
      </c>
      <c r="AS797" s="81">
        <f t="shared" si="142"/>
        <v>0</v>
      </c>
    </row>
    <row r="798" spans="1:45" hidden="1" x14ac:dyDescent="0.3">
      <c r="A798">
        <v>5092175</v>
      </c>
      <c r="B798" s="15" t="s">
        <v>6134</v>
      </c>
      <c r="C798" s="16" t="s">
        <v>30</v>
      </c>
      <c r="D798" s="6" t="s">
        <v>31</v>
      </c>
      <c r="E798" t="s">
        <v>2535</v>
      </c>
      <c r="F798" t="s">
        <v>2535</v>
      </c>
      <c r="H798" s="11" t="s">
        <v>27</v>
      </c>
      <c r="I798" s="6" t="s">
        <v>28</v>
      </c>
      <c r="J798" s="6" t="s">
        <v>28</v>
      </c>
      <c r="K798" t="s">
        <v>32</v>
      </c>
      <c r="L798" s="35">
        <v>15.3</v>
      </c>
      <c r="M798" s="6" t="s">
        <v>29</v>
      </c>
      <c r="N798" s="6">
        <v>3105</v>
      </c>
      <c r="P798" s="18"/>
      <c r="Q798" s="17"/>
      <c r="R798" s="19">
        <v>15.3</v>
      </c>
      <c r="S798" s="19">
        <v>15.3</v>
      </c>
      <c r="T798" s="38">
        <v>2</v>
      </c>
      <c r="U798" s="38"/>
      <c r="V798" s="29" t="e">
        <v>#N/A</v>
      </c>
      <c r="W798" s="35">
        <v>15.3</v>
      </c>
      <c r="X798" s="32" t="e">
        <f t="shared" si="132"/>
        <v>#N/A</v>
      </c>
      <c r="Y798" s="32">
        <f t="shared" si="133"/>
        <v>30.6</v>
      </c>
      <c r="Z798" s="32" t="e">
        <f t="shared" si="134"/>
        <v>#N/A</v>
      </c>
      <c r="AA798" s="38">
        <v>2</v>
      </c>
      <c r="AB798" s="37">
        <f>IFERROR(VLOOKUP(A798,'Tash Lookup'!A:E,3,FALSE),"")</f>
        <v>30.59</v>
      </c>
      <c r="AC798" s="6">
        <f t="shared" si="135"/>
        <v>0</v>
      </c>
      <c r="AD798" s="2" t="s">
        <v>6703</v>
      </c>
      <c r="AF798" s="56">
        <v>21.67</v>
      </c>
      <c r="AG798" s="56">
        <f>VLOOKUP(A798,Sheet1!$A$2:$C$1140,3,FALSE)</f>
        <v>21.67</v>
      </c>
      <c r="AH798" s="58">
        <v>21.67</v>
      </c>
      <c r="AI798" s="56" t="str">
        <f t="shared" si="136"/>
        <v>Same</v>
      </c>
      <c r="AJ798" s="81">
        <f t="shared" si="140"/>
        <v>43.34</v>
      </c>
      <c r="AK798" s="81">
        <f t="shared" si="141"/>
        <v>43.34</v>
      </c>
      <c r="AL798" s="58" t="s">
        <v>7206</v>
      </c>
      <c r="AM798" s="58" t="s">
        <v>6703</v>
      </c>
      <c r="AN798" s="75">
        <v>0</v>
      </c>
      <c r="AO798" s="88">
        <v>21.67</v>
      </c>
      <c r="AP798" s="6" t="str">
        <f t="shared" si="137"/>
        <v>Same</v>
      </c>
      <c r="AQ798" s="81">
        <f t="shared" si="138"/>
        <v>0</v>
      </c>
      <c r="AR798" s="81">
        <f t="shared" si="139"/>
        <v>0</v>
      </c>
      <c r="AS798" s="81">
        <f t="shared" si="142"/>
        <v>0</v>
      </c>
    </row>
    <row r="799" spans="1:45" hidden="1" x14ac:dyDescent="0.3">
      <c r="A799">
        <v>5282520</v>
      </c>
      <c r="B799" s="15" t="s">
        <v>6135</v>
      </c>
      <c r="C799" s="16" t="s">
        <v>30</v>
      </c>
      <c r="D799" s="6" t="s">
        <v>31</v>
      </c>
      <c r="E799" t="s">
        <v>267</v>
      </c>
      <c r="F799" t="s">
        <v>267</v>
      </c>
      <c r="H799" s="11" t="s">
        <v>27</v>
      </c>
      <c r="I799" s="6" t="s">
        <v>28</v>
      </c>
      <c r="J799" s="6" t="s">
        <v>28</v>
      </c>
      <c r="K799" t="s">
        <v>32</v>
      </c>
      <c r="L799" s="35">
        <v>6.55</v>
      </c>
      <c r="M799" s="6" t="s">
        <v>29</v>
      </c>
      <c r="N799" s="6">
        <v>3105</v>
      </c>
      <c r="P799" s="18"/>
      <c r="Q799" s="17"/>
      <c r="R799" s="19">
        <v>6.55</v>
      </c>
      <c r="S799" s="19">
        <v>6.55</v>
      </c>
      <c r="T799" s="38">
        <v>2</v>
      </c>
      <c r="U799" s="38"/>
      <c r="V799" s="29">
        <v>6.55</v>
      </c>
      <c r="W799" s="45">
        <v>6.26</v>
      </c>
      <c r="X799" s="32">
        <f t="shared" si="132"/>
        <v>13.1</v>
      </c>
      <c r="Y799" s="32">
        <f t="shared" si="133"/>
        <v>13.1</v>
      </c>
      <c r="Z799" s="32">
        <f t="shared" si="134"/>
        <v>0</v>
      </c>
      <c r="AA799" s="38">
        <v>2</v>
      </c>
      <c r="AB799" s="37">
        <f>IFERROR(VLOOKUP(A799,'Tash Lookup'!A:E,3,FALSE),"")</f>
        <v>12.51</v>
      </c>
      <c r="AC799" s="6">
        <f t="shared" si="135"/>
        <v>0</v>
      </c>
      <c r="AD799" s="2" t="s">
        <v>6703</v>
      </c>
      <c r="AF799" s="56">
        <v>7.66</v>
      </c>
      <c r="AG799" s="56">
        <f>VLOOKUP(A799,Sheet1!$A$2:$C$1140,3,FALSE)</f>
        <v>7.89</v>
      </c>
      <c r="AH799" s="58">
        <v>7.89</v>
      </c>
      <c r="AI799" s="56" t="str">
        <f t="shared" si="136"/>
        <v>Increase</v>
      </c>
      <c r="AJ799" s="81">
        <f t="shared" si="140"/>
        <v>15.32</v>
      </c>
      <c r="AK799" s="81">
        <f t="shared" si="141"/>
        <v>15.78</v>
      </c>
      <c r="AL799" s="58" t="s">
        <v>32</v>
      </c>
      <c r="AM799" s="58" t="s">
        <v>6703</v>
      </c>
      <c r="AN799" s="75">
        <v>2</v>
      </c>
      <c r="AO799" s="88">
        <v>7.89</v>
      </c>
      <c r="AP799" s="6" t="str">
        <f t="shared" si="137"/>
        <v>Increase</v>
      </c>
      <c r="AQ799" s="81">
        <f t="shared" si="138"/>
        <v>15.32</v>
      </c>
      <c r="AR799" s="81">
        <f t="shared" si="139"/>
        <v>15.78</v>
      </c>
      <c r="AS799" s="81">
        <f t="shared" si="142"/>
        <v>0.45999999999999908</v>
      </c>
    </row>
    <row r="800" spans="1:45" hidden="1" x14ac:dyDescent="0.3">
      <c r="A800">
        <v>6047741</v>
      </c>
      <c r="B800" s="15" t="s">
        <v>6136</v>
      </c>
      <c r="C800" s="16" t="s">
        <v>30</v>
      </c>
      <c r="D800" s="6" t="s">
        <v>31</v>
      </c>
      <c r="E800" t="s">
        <v>703</v>
      </c>
      <c r="F800" t="s">
        <v>703</v>
      </c>
      <c r="H800" s="11" t="s">
        <v>27</v>
      </c>
      <c r="I800" s="6" t="s">
        <v>28</v>
      </c>
      <c r="J800" s="6" t="s">
        <v>28</v>
      </c>
      <c r="K800" t="s">
        <v>32</v>
      </c>
      <c r="L800" s="35">
        <v>3.97</v>
      </c>
      <c r="M800" s="6" t="s">
        <v>29</v>
      </c>
      <c r="N800" s="6">
        <v>3105</v>
      </c>
      <c r="P800" s="18"/>
      <c r="Q800" s="17"/>
      <c r="R800" s="19">
        <v>3.97</v>
      </c>
      <c r="S800" s="19">
        <v>3.97</v>
      </c>
      <c r="T800" s="38">
        <v>2</v>
      </c>
      <c r="U800" s="38"/>
      <c r="V800" s="30">
        <v>3.97</v>
      </c>
      <c r="W800" s="35">
        <v>3.97</v>
      </c>
      <c r="X800" s="32">
        <f t="shared" si="132"/>
        <v>7.94</v>
      </c>
      <c r="Y800" s="32">
        <f t="shared" si="133"/>
        <v>7.94</v>
      </c>
      <c r="Z800" s="32">
        <f t="shared" si="134"/>
        <v>0</v>
      </c>
      <c r="AA800" s="38">
        <v>2</v>
      </c>
      <c r="AB800" s="37">
        <f>IFERROR(VLOOKUP(A800,'Tash Lookup'!A:E,3,FALSE),"")</f>
        <v>7.6</v>
      </c>
      <c r="AC800" s="6">
        <f t="shared" si="135"/>
        <v>0</v>
      </c>
      <c r="AD800" s="2" t="s">
        <v>6703</v>
      </c>
      <c r="AF800" s="56">
        <v>4.29</v>
      </c>
      <c r="AG800" s="56">
        <f>VLOOKUP(A800,Sheet1!$A$2:$C$1140,3,FALSE)</f>
        <v>4.38</v>
      </c>
      <c r="AH800" s="58">
        <v>4.38</v>
      </c>
      <c r="AI800" s="56" t="str">
        <f t="shared" si="136"/>
        <v>Increase</v>
      </c>
      <c r="AJ800" s="81">
        <f t="shared" si="140"/>
        <v>8.58</v>
      </c>
      <c r="AK800" s="81">
        <f t="shared" si="141"/>
        <v>8.76</v>
      </c>
      <c r="AL800" s="58" t="s">
        <v>7206</v>
      </c>
      <c r="AM800" s="58" t="s">
        <v>6703</v>
      </c>
      <c r="AN800" s="75">
        <v>11</v>
      </c>
      <c r="AO800" s="88">
        <v>4.38</v>
      </c>
      <c r="AP800" s="6" t="str">
        <f t="shared" si="137"/>
        <v>Increase</v>
      </c>
      <c r="AQ800" s="81">
        <f t="shared" si="138"/>
        <v>47.19</v>
      </c>
      <c r="AR800" s="81">
        <f t="shared" si="139"/>
        <v>48.18</v>
      </c>
      <c r="AS800" s="81">
        <f t="shared" si="142"/>
        <v>0.99000000000000199</v>
      </c>
    </row>
    <row r="801" spans="1:45" hidden="1" x14ac:dyDescent="0.3">
      <c r="A801">
        <v>6059116</v>
      </c>
      <c r="B801" s="15" t="s">
        <v>6137</v>
      </c>
      <c r="C801" s="16" t="s">
        <v>30</v>
      </c>
      <c r="D801" s="6" t="s">
        <v>31</v>
      </c>
      <c r="E801" t="s">
        <v>713</v>
      </c>
      <c r="F801" t="s">
        <v>713</v>
      </c>
      <c r="H801" s="11" t="s">
        <v>27</v>
      </c>
      <c r="I801" s="6" t="s">
        <v>28</v>
      </c>
      <c r="J801" s="6" t="s">
        <v>28</v>
      </c>
      <c r="K801" t="s">
        <v>32</v>
      </c>
      <c r="L801" s="35">
        <v>78.48</v>
      </c>
      <c r="M801" s="6" t="s">
        <v>29</v>
      </c>
      <c r="N801" s="6">
        <v>3105</v>
      </c>
      <c r="P801" s="18"/>
      <c r="Q801" s="17"/>
      <c r="R801" s="19">
        <v>0</v>
      </c>
      <c r="S801" s="19">
        <v>0</v>
      </c>
      <c r="T801" s="38">
        <v>2</v>
      </c>
      <c r="U801" s="38"/>
      <c r="V801" s="31">
        <v>78.48</v>
      </c>
      <c r="W801" s="35">
        <v>78.48</v>
      </c>
      <c r="X801" s="32">
        <f t="shared" si="132"/>
        <v>156.96</v>
      </c>
      <c r="Y801" s="32">
        <f t="shared" si="133"/>
        <v>156.96</v>
      </c>
      <c r="Z801" s="32">
        <f t="shared" si="134"/>
        <v>0</v>
      </c>
      <c r="AA801" s="38">
        <v>2</v>
      </c>
      <c r="AB801" s="37">
        <f>IFERROR(VLOOKUP(A801,'Tash Lookup'!A:E,3,FALSE),"")</f>
        <v>156.96</v>
      </c>
      <c r="AC801" s="6">
        <f t="shared" si="135"/>
        <v>0</v>
      </c>
      <c r="AD801" s="2" t="s">
        <v>6703</v>
      </c>
      <c r="AF801" s="56">
        <v>78.48</v>
      </c>
      <c r="AG801" s="56">
        <f>VLOOKUP(A801,Sheet1!$A$2:$C$1140,3,FALSE)</f>
        <v>80.05</v>
      </c>
      <c r="AH801" s="58">
        <v>80.05</v>
      </c>
      <c r="AI801" s="56" t="str">
        <f t="shared" si="136"/>
        <v>Increase</v>
      </c>
      <c r="AJ801" s="81">
        <f t="shared" si="140"/>
        <v>156.96</v>
      </c>
      <c r="AK801" s="81">
        <f t="shared" si="141"/>
        <v>160.1</v>
      </c>
      <c r="AL801" s="58" t="s">
        <v>7206</v>
      </c>
      <c r="AM801" s="58" t="s">
        <v>6703</v>
      </c>
      <c r="AN801" s="75">
        <v>3</v>
      </c>
      <c r="AO801" s="88">
        <v>80.05</v>
      </c>
      <c r="AP801" s="6" t="str">
        <f t="shared" si="137"/>
        <v>Increase</v>
      </c>
      <c r="AQ801" s="81">
        <f t="shared" si="138"/>
        <v>235.44</v>
      </c>
      <c r="AR801" s="81">
        <f t="shared" si="139"/>
        <v>240.14999999999998</v>
      </c>
      <c r="AS801" s="82">
        <f t="shared" si="142"/>
        <v>4.7099999999999795</v>
      </c>
    </row>
    <row r="802" spans="1:45" hidden="1" x14ac:dyDescent="0.3">
      <c r="A802">
        <v>6421455</v>
      </c>
      <c r="B802" s="15" t="s">
        <v>6138</v>
      </c>
      <c r="C802" s="16" t="s">
        <v>30</v>
      </c>
      <c r="D802" s="6" t="s">
        <v>31</v>
      </c>
      <c r="E802" t="s">
        <v>761</v>
      </c>
      <c r="F802" t="s">
        <v>761</v>
      </c>
      <c r="H802" s="11" t="s">
        <v>27</v>
      </c>
      <c r="I802" s="6" t="s">
        <v>28</v>
      </c>
      <c r="J802" s="6" t="s">
        <v>28</v>
      </c>
      <c r="K802" t="s">
        <v>32</v>
      </c>
      <c r="L802" s="35">
        <v>18.63</v>
      </c>
      <c r="M802" s="6" t="s">
        <v>29</v>
      </c>
      <c r="N802" s="6">
        <v>3105</v>
      </c>
      <c r="P802" s="18"/>
      <c r="Q802" s="17"/>
      <c r="R802" s="19">
        <v>0</v>
      </c>
      <c r="S802" s="19">
        <v>0</v>
      </c>
      <c r="T802" s="38">
        <v>2</v>
      </c>
      <c r="U802" s="38"/>
      <c r="V802" s="31">
        <v>18.63</v>
      </c>
      <c r="W802" s="35">
        <v>18.63</v>
      </c>
      <c r="X802" s="32">
        <f t="shared" si="132"/>
        <v>37.26</v>
      </c>
      <c r="Y802" s="32">
        <f t="shared" si="133"/>
        <v>37.26</v>
      </c>
      <c r="Z802" s="32">
        <f t="shared" si="134"/>
        <v>0</v>
      </c>
      <c r="AA802" s="38">
        <v>2</v>
      </c>
      <c r="AB802" s="37">
        <f>IFERROR(VLOOKUP(A802,'Tash Lookup'!A:E,3,FALSE),"")</f>
        <v>37.26</v>
      </c>
      <c r="AC802" s="6">
        <f t="shared" si="135"/>
        <v>0</v>
      </c>
      <c r="AD802" s="2" t="s">
        <v>6703</v>
      </c>
      <c r="AF802" s="56">
        <v>18.63</v>
      </c>
      <c r="AG802" s="56">
        <f>VLOOKUP(A802,Sheet1!$A$2:$C$1140,3,FALSE)</f>
        <v>19</v>
      </c>
      <c r="AH802" s="58">
        <v>19</v>
      </c>
      <c r="AI802" s="56" t="str">
        <f t="shared" si="136"/>
        <v>Increase</v>
      </c>
      <c r="AJ802" s="81">
        <f t="shared" si="140"/>
        <v>37.26</v>
      </c>
      <c r="AK802" s="81">
        <f t="shared" si="141"/>
        <v>38</v>
      </c>
      <c r="AL802" s="58" t="s">
        <v>7206</v>
      </c>
      <c r="AM802" s="58" t="s">
        <v>6703</v>
      </c>
      <c r="AN802" s="75">
        <v>0</v>
      </c>
      <c r="AO802" s="88">
        <v>19</v>
      </c>
      <c r="AP802" s="6" t="str">
        <f t="shared" si="137"/>
        <v>Increase</v>
      </c>
      <c r="AQ802" s="81">
        <f t="shared" si="138"/>
        <v>0</v>
      </c>
      <c r="AR802" s="81">
        <f t="shared" si="139"/>
        <v>0</v>
      </c>
      <c r="AS802" s="82">
        <f t="shared" si="142"/>
        <v>0</v>
      </c>
    </row>
    <row r="803" spans="1:45" hidden="1" x14ac:dyDescent="0.3">
      <c r="A803">
        <v>5223745</v>
      </c>
      <c r="B803" s="15" t="s">
        <v>6139</v>
      </c>
      <c r="C803" s="16" t="s">
        <v>30</v>
      </c>
      <c r="D803" s="6" t="s">
        <v>31</v>
      </c>
      <c r="E803" t="s">
        <v>765</v>
      </c>
      <c r="F803" t="s">
        <v>765</v>
      </c>
      <c r="H803" s="11" t="s">
        <v>27</v>
      </c>
      <c r="I803" s="6" t="s">
        <v>28</v>
      </c>
      <c r="J803" s="6" t="s">
        <v>28</v>
      </c>
      <c r="K803" t="s">
        <v>32</v>
      </c>
      <c r="L803" s="35">
        <v>31.05</v>
      </c>
      <c r="M803" s="6" t="s">
        <v>29</v>
      </c>
      <c r="N803" s="6">
        <v>3105</v>
      </c>
      <c r="P803" s="18"/>
      <c r="Q803" s="17"/>
      <c r="R803" s="19">
        <v>31.05</v>
      </c>
      <c r="S803" s="19">
        <v>31.05</v>
      </c>
      <c r="T803" s="38">
        <v>2</v>
      </c>
      <c r="U803" s="38"/>
      <c r="V803" s="30">
        <v>31.05</v>
      </c>
      <c r="W803" s="35">
        <v>31.05</v>
      </c>
      <c r="X803" s="32">
        <f t="shared" si="132"/>
        <v>62.1</v>
      </c>
      <c r="Y803" s="32">
        <f t="shared" si="133"/>
        <v>62.1</v>
      </c>
      <c r="Z803" s="32">
        <f t="shared" si="134"/>
        <v>0</v>
      </c>
      <c r="AA803" s="38">
        <v>2</v>
      </c>
      <c r="AB803" s="37">
        <f>IFERROR(VLOOKUP(A803,'Tash Lookup'!A:E,3,FALSE),"")</f>
        <v>62.1</v>
      </c>
      <c r="AC803" s="6">
        <f t="shared" si="135"/>
        <v>0</v>
      </c>
      <c r="AD803" s="2" t="s">
        <v>6703</v>
      </c>
      <c r="AF803" s="56">
        <v>33.520000000000003</v>
      </c>
      <c r="AG803" s="56">
        <f>VLOOKUP(A803,Sheet1!$A$2:$C$1140,3,FALSE)</f>
        <v>34.19</v>
      </c>
      <c r="AH803" s="58">
        <v>34.19</v>
      </c>
      <c r="AI803" s="56" t="str">
        <f t="shared" si="136"/>
        <v>Increase</v>
      </c>
      <c r="AJ803" s="81">
        <f t="shared" si="140"/>
        <v>67.040000000000006</v>
      </c>
      <c r="AK803" s="81">
        <f t="shared" si="141"/>
        <v>68.38</v>
      </c>
      <c r="AL803" s="58" t="s">
        <v>7206</v>
      </c>
      <c r="AM803" s="58" t="s">
        <v>6703</v>
      </c>
      <c r="AN803" s="75">
        <v>0</v>
      </c>
      <c r="AO803" s="88">
        <v>34.19</v>
      </c>
      <c r="AP803" s="6" t="str">
        <f t="shared" si="137"/>
        <v>Increase</v>
      </c>
      <c r="AQ803" s="81">
        <f t="shared" si="138"/>
        <v>0</v>
      </c>
      <c r="AR803" s="81">
        <f t="shared" si="139"/>
        <v>0</v>
      </c>
      <c r="AS803" s="82">
        <f t="shared" si="142"/>
        <v>0</v>
      </c>
    </row>
    <row r="804" spans="1:45" hidden="1" x14ac:dyDescent="0.3">
      <c r="A804">
        <v>5223743</v>
      </c>
      <c r="B804" s="15" t="s">
        <v>6140</v>
      </c>
      <c r="C804" s="16" t="s">
        <v>30</v>
      </c>
      <c r="D804" s="6" t="s">
        <v>31</v>
      </c>
      <c r="E804" t="s">
        <v>770</v>
      </c>
      <c r="F804" t="s">
        <v>770</v>
      </c>
      <c r="H804" s="11" t="s">
        <v>27</v>
      </c>
      <c r="I804" s="6" t="s">
        <v>28</v>
      </c>
      <c r="J804" s="6" t="s">
        <v>28</v>
      </c>
      <c r="K804" t="s">
        <v>32</v>
      </c>
      <c r="L804" s="35">
        <v>9.98</v>
      </c>
      <c r="M804" s="6" t="s">
        <v>29</v>
      </c>
      <c r="N804" s="6">
        <v>3105</v>
      </c>
      <c r="P804" s="18"/>
      <c r="Q804" s="17"/>
      <c r="R804" s="19">
        <v>9.98</v>
      </c>
      <c r="S804" s="19">
        <v>9.98</v>
      </c>
      <c r="T804" s="38">
        <v>2</v>
      </c>
      <c r="U804" s="38"/>
      <c r="V804" s="30">
        <v>9.98</v>
      </c>
      <c r="W804" s="35">
        <v>9.98</v>
      </c>
      <c r="X804" s="32">
        <f t="shared" si="132"/>
        <v>19.96</v>
      </c>
      <c r="Y804" s="32">
        <f t="shared" si="133"/>
        <v>19.96</v>
      </c>
      <c r="Z804" s="32">
        <f t="shared" si="134"/>
        <v>0</v>
      </c>
      <c r="AA804" s="38">
        <v>2</v>
      </c>
      <c r="AB804" s="37">
        <f>IFERROR(VLOOKUP(A804,'Tash Lookup'!A:E,3,FALSE),"")</f>
        <v>17.440000000000001</v>
      </c>
      <c r="AC804" s="6">
        <f t="shared" si="135"/>
        <v>0</v>
      </c>
      <c r="AD804" s="2" t="s">
        <v>6703</v>
      </c>
      <c r="AF804" s="56">
        <v>10.37</v>
      </c>
      <c r="AG804" s="56">
        <f>VLOOKUP(A804,Sheet1!$A$2:$C$1140,3,FALSE)</f>
        <v>10.58</v>
      </c>
      <c r="AH804" s="58">
        <v>10.58</v>
      </c>
      <c r="AI804" s="56" t="str">
        <f t="shared" si="136"/>
        <v>Increase</v>
      </c>
      <c r="AJ804" s="81">
        <f t="shared" si="140"/>
        <v>20.74</v>
      </c>
      <c r="AK804" s="81">
        <f t="shared" si="141"/>
        <v>21.16</v>
      </c>
      <c r="AL804" s="58" t="s">
        <v>7206</v>
      </c>
      <c r="AM804" s="58" t="s">
        <v>6703</v>
      </c>
      <c r="AN804" s="75">
        <v>1</v>
      </c>
      <c r="AO804" s="88">
        <v>10.58</v>
      </c>
      <c r="AP804" s="6" t="str">
        <f t="shared" si="137"/>
        <v>Increase</v>
      </c>
      <c r="AQ804" s="81">
        <f t="shared" si="138"/>
        <v>10.37</v>
      </c>
      <c r="AR804" s="81">
        <f t="shared" si="139"/>
        <v>10.58</v>
      </c>
      <c r="AS804" s="81">
        <f t="shared" si="142"/>
        <v>0.21000000000000085</v>
      </c>
    </row>
    <row r="805" spans="1:45" hidden="1" x14ac:dyDescent="0.3">
      <c r="A805">
        <v>6125148</v>
      </c>
      <c r="B805" s="15" t="s">
        <v>6141</v>
      </c>
      <c r="C805" s="16" t="s">
        <v>30</v>
      </c>
      <c r="D805" s="6" t="s">
        <v>31</v>
      </c>
      <c r="E805" t="s">
        <v>774</v>
      </c>
      <c r="F805" t="s">
        <v>774</v>
      </c>
      <c r="H805" s="11" t="s">
        <v>27</v>
      </c>
      <c r="I805" s="6" t="s">
        <v>28</v>
      </c>
      <c r="J805" s="6" t="s">
        <v>28</v>
      </c>
      <c r="K805" t="s">
        <v>32</v>
      </c>
      <c r="L805" s="35">
        <v>49.89</v>
      </c>
      <c r="M805" s="6" t="s">
        <v>29</v>
      </c>
      <c r="N805" s="6">
        <v>3105</v>
      </c>
      <c r="P805" s="18"/>
      <c r="Q805" s="17"/>
      <c r="R805" s="19">
        <v>49.89</v>
      </c>
      <c r="S805" s="19">
        <v>49.89</v>
      </c>
      <c r="T805" s="38">
        <v>2</v>
      </c>
      <c r="U805" s="38"/>
      <c r="V805" s="30">
        <v>49.89</v>
      </c>
      <c r="W805" s="35">
        <v>49.89</v>
      </c>
      <c r="X805" s="32">
        <f t="shared" si="132"/>
        <v>99.78</v>
      </c>
      <c r="Y805" s="32">
        <f t="shared" si="133"/>
        <v>99.78</v>
      </c>
      <c r="Z805" s="32">
        <f t="shared" si="134"/>
        <v>0</v>
      </c>
      <c r="AA805" s="38">
        <v>2</v>
      </c>
      <c r="AB805" s="37">
        <f>IFERROR(VLOOKUP(A805,'Tash Lookup'!A:E,3,FALSE),"")</f>
        <v>99.78</v>
      </c>
      <c r="AC805" s="6">
        <f t="shared" si="135"/>
        <v>0</v>
      </c>
      <c r="AD805" s="2" t="s">
        <v>6703</v>
      </c>
      <c r="AF805" s="56">
        <v>51.83</v>
      </c>
      <c r="AG805" s="56">
        <f>VLOOKUP(A805,Sheet1!$A$2:$C$1140,3,FALSE)</f>
        <v>52.86</v>
      </c>
      <c r="AH805" s="58">
        <v>52.86</v>
      </c>
      <c r="AI805" s="56" t="str">
        <f t="shared" si="136"/>
        <v>Increase</v>
      </c>
      <c r="AJ805" s="81">
        <f t="shared" si="140"/>
        <v>103.66</v>
      </c>
      <c r="AK805" s="81">
        <f t="shared" si="141"/>
        <v>105.72</v>
      </c>
      <c r="AL805" s="58" t="s">
        <v>7206</v>
      </c>
      <c r="AM805" s="58" t="s">
        <v>6703</v>
      </c>
      <c r="AN805" s="75">
        <v>1</v>
      </c>
      <c r="AO805" s="88">
        <v>52.86</v>
      </c>
      <c r="AP805" s="6" t="str">
        <f t="shared" si="137"/>
        <v>Increase</v>
      </c>
      <c r="AQ805" s="81">
        <f t="shared" si="138"/>
        <v>51.83</v>
      </c>
      <c r="AR805" s="81">
        <f t="shared" si="139"/>
        <v>52.86</v>
      </c>
      <c r="AS805" s="82">
        <f t="shared" si="142"/>
        <v>1.0300000000000011</v>
      </c>
    </row>
    <row r="806" spans="1:45" hidden="1" x14ac:dyDescent="0.3">
      <c r="A806">
        <v>5092712</v>
      </c>
      <c r="B806" s="15" t="s">
        <v>6142</v>
      </c>
      <c r="C806" s="16" t="s">
        <v>30</v>
      </c>
      <c r="D806" s="6" t="s">
        <v>31</v>
      </c>
      <c r="E806" t="s">
        <v>404</v>
      </c>
      <c r="F806" t="s">
        <v>404</v>
      </c>
      <c r="H806" s="11" t="s">
        <v>27</v>
      </c>
      <c r="I806" s="6" t="s">
        <v>28</v>
      </c>
      <c r="J806" s="6" t="s">
        <v>28</v>
      </c>
      <c r="K806" t="s">
        <v>32</v>
      </c>
      <c r="L806" s="35">
        <v>35.42</v>
      </c>
      <c r="M806" s="6" t="s">
        <v>29</v>
      </c>
      <c r="N806" s="6">
        <v>3105</v>
      </c>
      <c r="P806" s="18"/>
      <c r="Q806" s="17"/>
      <c r="R806" s="19">
        <v>0</v>
      </c>
      <c r="S806" s="19">
        <v>0</v>
      </c>
      <c r="T806" s="38">
        <v>2</v>
      </c>
      <c r="U806" s="38"/>
      <c r="V806" s="29">
        <v>35.42</v>
      </c>
      <c r="W806" s="35">
        <v>35.42</v>
      </c>
      <c r="X806" s="32">
        <f t="shared" si="132"/>
        <v>70.84</v>
      </c>
      <c r="Y806" s="32">
        <f t="shared" si="133"/>
        <v>70.84</v>
      </c>
      <c r="Z806" s="32">
        <f t="shared" si="134"/>
        <v>0</v>
      </c>
      <c r="AA806" s="38">
        <v>2</v>
      </c>
      <c r="AB806" s="37">
        <f>IFERROR(VLOOKUP(A806,'Tash Lookup'!A:E,3,FALSE),"")</f>
        <v>78.87</v>
      </c>
      <c r="AC806" s="6">
        <f t="shared" si="135"/>
        <v>0</v>
      </c>
      <c r="AD806" s="2" t="s">
        <v>6703</v>
      </c>
      <c r="AF806" s="56">
        <v>36.200000000000003</v>
      </c>
      <c r="AG806" s="56">
        <f>VLOOKUP(A806,Sheet1!$A$2:$C$1140,3,FALSE)</f>
        <v>37.28</v>
      </c>
      <c r="AH806" s="58">
        <v>37.28</v>
      </c>
      <c r="AI806" s="56" t="str">
        <f t="shared" si="136"/>
        <v>Increase</v>
      </c>
      <c r="AJ806" s="81">
        <f t="shared" si="140"/>
        <v>72.400000000000006</v>
      </c>
      <c r="AK806" s="81">
        <f t="shared" si="141"/>
        <v>74.56</v>
      </c>
      <c r="AL806" s="58" t="s">
        <v>32</v>
      </c>
      <c r="AM806" s="58" t="s">
        <v>6703</v>
      </c>
      <c r="AN806" s="75">
        <v>18</v>
      </c>
      <c r="AO806" s="88">
        <v>37.28</v>
      </c>
      <c r="AP806" s="6" t="str">
        <f t="shared" si="137"/>
        <v>Increase</v>
      </c>
      <c r="AQ806" s="81">
        <f t="shared" si="138"/>
        <v>651.6</v>
      </c>
      <c r="AR806" s="81">
        <f t="shared" si="139"/>
        <v>671.04</v>
      </c>
      <c r="AS806" s="82">
        <f t="shared" si="142"/>
        <v>19.439999999999941</v>
      </c>
    </row>
    <row r="807" spans="1:45" hidden="1" x14ac:dyDescent="0.3">
      <c r="A807">
        <v>6383960</v>
      </c>
      <c r="B807" s="15" t="s">
        <v>6143</v>
      </c>
      <c r="C807" s="16" t="s">
        <v>30</v>
      </c>
      <c r="D807" s="6" t="s">
        <v>31</v>
      </c>
      <c r="E807" t="s">
        <v>803</v>
      </c>
      <c r="F807" t="s">
        <v>803</v>
      </c>
      <c r="H807" s="11" t="s">
        <v>27</v>
      </c>
      <c r="I807" s="6" t="s">
        <v>28</v>
      </c>
      <c r="J807" s="6" t="s">
        <v>28</v>
      </c>
      <c r="K807" t="s">
        <v>32</v>
      </c>
      <c r="L807" s="35">
        <v>3.44</v>
      </c>
      <c r="M807" s="6" t="s">
        <v>29</v>
      </c>
      <c r="N807" s="6">
        <v>3105</v>
      </c>
      <c r="P807" s="18"/>
      <c r="Q807" s="17"/>
      <c r="R807" s="19">
        <v>3.44</v>
      </c>
      <c r="S807" s="19">
        <v>3.44</v>
      </c>
      <c r="T807" s="38">
        <v>2</v>
      </c>
      <c r="U807" s="38"/>
      <c r="V807" s="30">
        <v>3.44</v>
      </c>
      <c r="W807" s="35">
        <v>3.44</v>
      </c>
      <c r="X807" s="32">
        <f t="shared" si="132"/>
        <v>6.88</v>
      </c>
      <c r="Y807" s="32">
        <f t="shared" si="133"/>
        <v>6.88</v>
      </c>
      <c r="Z807" s="32">
        <f t="shared" si="134"/>
        <v>0</v>
      </c>
      <c r="AA807" s="38">
        <v>2</v>
      </c>
      <c r="AB807" s="37">
        <f>IFERROR(VLOOKUP(A807,'Tash Lookup'!A:E,3,FALSE),"")</f>
        <v>6.88</v>
      </c>
      <c r="AC807" s="6">
        <f t="shared" si="135"/>
        <v>0</v>
      </c>
      <c r="AD807" s="2" t="s">
        <v>6703</v>
      </c>
      <c r="AF807" s="56">
        <v>3.44</v>
      </c>
      <c r="AG807" s="56">
        <f>VLOOKUP(A807,Sheet1!$A$2:$C$1140,3,FALSE)</f>
        <v>3.44</v>
      </c>
      <c r="AH807" s="58">
        <v>3.44</v>
      </c>
      <c r="AI807" s="56" t="str">
        <f t="shared" si="136"/>
        <v>Same</v>
      </c>
      <c r="AJ807" s="81">
        <f t="shared" si="140"/>
        <v>6.88</v>
      </c>
      <c r="AK807" s="81">
        <f t="shared" si="141"/>
        <v>6.88</v>
      </c>
      <c r="AL807" s="58" t="s">
        <v>7206</v>
      </c>
      <c r="AM807" s="58" t="s">
        <v>6703</v>
      </c>
      <c r="AN807" s="75">
        <v>10</v>
      </c>
      <c r="AO807" s="88">
        <v>3.44</v>
      </c>
      <c r="AP807" s="6" t="str">
        <f t="shared" si="137"/>
        <v>Same</v>
      </c>
      <c r="AQ807" s="81">
        <f t="shared" si="138"/>
        <v>34.4</v>
      </c>
      <c r="AR807" s="81">
        <f t="shared" si="139"/>
        <v>34.4</v>
      </c>
      <c r="AS807" s="81">
        <f t="shared" si="142"/>
        <v>0</v>
      </c>
    </row>
    <row r="808" spans="1:45" hidden="1" x14ac:dyDescent="0.3">
      <c r="A808">
        <v>6352848</v>
      </c>
      <c r="B808" s="15" t="s">
        <v>6144</v>
      </c>
      <c r="C808" s="16" t="s">
        <v>30</v>
      </c>
      <c r="D808" s="6" t="s">
        <v>31</v>
      </c>
      <c r="E808" t="s">
        <v>807</v>
      </c>
      <c r="F808" t="s">
        <v>807</v>
      </c>
      <c r="H808" s="11" t="s">
        <v>27</v>
      </c>
      <c r="I808" s="6" t="s">
        <v>28</v>
      </c>
      <c r="J808" s="6" t="s">
        <v>28</v>
      </c>
      <c r="K808" t="s">
        <v>32</v>
      </c>
      <c r="L808" s="35">
        <v>26.29</v>
      </c>
      <c r="M808" s="6" t="s">
        <v>29</v>
      </c>
      <c r="N808" s="6">
        <v>3105</v>
      </c>
      <c r="P808" s="18"/>
      <c r="Q808" s="17"/>
      <c r="R808" s="19">
        <v>26.29</v>
      </c>
      <c r="S808" s="19">
        <v>26.29</v>
      </c>
      <c r="T808" s="38">
        <v>2</v>
      </c>
      <c r="U808" s="38"/>
      <c r="V808" s="30">
        <v>26.29</v>
      </c>
      <c r="W808" s="35">
        <v>26.29</v>
      </c>
      <c r="X808" s="32">
        <f t="shared" si="132"/>
        <v>52.58</v>
      </c>
      <c r="Y808" s="32">
        <f t="shared" si="133"/>
        <v>52.58</v>
      </c>
      <c r="Z808" s="32">
        <f t="shared" si="134"/>
        <v>0</v>
      </c>
      <c r="AA808" s="38">
        <v>2</v>
      </c>
      <c r="AB808" s="37">
        <f>IFERROR(VLOOKUP(A808,'Tash Lookup'!A:E,3,FALSE),"")</f>
        <v>52.58</v>
      </c>
      <c r="AC808" s="6">
        <f t="shared" si="135"/>
        <v>0</v>
      </c>
      <c r="AD808" s="2" t="s">
        <v>6711</v>
      </c>
      <c r="AE808" s="2" t="s">
        <v>6701</v>
      </c>
      <c r="AF808" s="56">
        <v>26.29</v>
      </c>
      <c r="AG808" s="56" t="e">
        <f>VLOOKUP(A808,Sheet1!$A$2:$C$1140,3,FALSE)</f>
        <v>#N/A</v>
      </c>
      <c r="AH808" s="58" t="e">
        <v>#N/A</v>
      </c>
      <c r="AI808" s="56" t="str">
        <f t="shared" si="136"/>
        <v>Delete</v>
      </c>
      <c r="AJ808" s="81">
        <f t="shared" si="140"/>
        <v>52.58</v>
      </c>
      <c r="AK808" s="81">
        <f t="shared" si="141"/>
        <v>0</v>
      </c>
      <c r="AL808" s="58" t="s">
        <v>7206</v>
      </c>
      <c r="AM808" s="58" t="s">
        <v>6711</v>
      </c>
      <c r="AN808" s="75">
        <v>0</v>
      </c>
      <c r="AO808" s="88">
        <v>26.29</v>
      </c>
      <c r="AP808" s="6" t="str">
        <f t="shared" si="137"/>
        <v>Delete</v>
      </c>
      <c r="AQ808" s="81">
        <f t="shared" si="138"/>
        <v>0</v>
      </c>
      <c r="AR808" s="81">
        <f t="shared" si="139"/>
        <v>0</v>
      </c>
      <c r="AS808" s="81">
        <f t="shared" si="142"/>
        <v>0</v>
      </c>
    </row>
    <row r="809" spans="1:45" hidden="1" x14ac:dyDescent="0.3">
      <c r="A809">
        <v>6352941</v>
      </c>
      <c r="B809" s="15" t="s">
        <v>6145</v>
      </c>
      <c r="C809" s="16" t="s">
        <v>30</v>
      </c>
      <c r="D809" s="6" t="s">
        <v>31</v>
      </c>
      <c r="E809" t="s">
        <v>812</v>
      </c>
      <c r="F809" t="s">
        <v>812</v>
      </c>
      <c r="H809" s="11" t="s">
        <v>27</v>
      </c>
      <c r="I809" s="6" t="s">
        <v>28</v>
      </c>
      <c r="J809" s="6" t="s">
        <v>28</v>
      </c>
      <c r="K809" t="s">
        <v>32</v>
      </c>
      <c r="L809" s="35">
        <v>26.29</v>
      </c>
      <c r="M809" s="6" t="s">
        <v>29</v>
      </c>
      <c r="N809" s="6">
        <v>3105</v>
      </c>
      <c r="P809" s="18"/>
      <c r="Q809" s="17"/>
      <c r="R809" s="19">
        <v>26.29</v>
      </c>
      <c r="S809" s="19">
        <v>26.29</v>
      </c>
      <c r="T809" s="38">
        <v>2</v>
      </c>
      <c r="U809" s="38"/>
      <c r="V809" s="30">
        <v>26.29</v>
      </c>
      <c r="W809" s="35">
        <v>26.29</v>
      </c>
      <c r="X809" s="32">
        <f t="shared" si="132"/>
        <v>52.58</v>
      </c>
      <c r="Y809" s="32">
        <f t="shared" si="133"/>
        <v>52.58</v>
      </c>
      <c r="Z809" s="32">
        <f t="shared" si="134"/>
        <v>0</v>
      </c>
      <c r="AA809" s="38">
        <v>2</v>
      </c>
      <c r="AB809" s="37">
        <f>IFERROR(VLOOKUP(A809,'Tash Lookup'!A:E,3,FALSE),"")</f>
        <v>52.58</v>
      </c>
      <c r="AC809" s="6">
        <f t="shared" si="135"/>
        <v>0</v>
      </c>
      <c r="AD809" s="2" t="s">
        <v>6711</v>
      </c>
      <c r="AE809" s="2" t="s">
        <v>6701</v>
      </c>
      <c r="AF809" s="56">
        <v>26.29</v>
      </c>
      <c r="AG809" s="56" t="e">
        <f>VLOOKUP(A809,Sheet1!$A$2:$C$1140,3,FALSE)</f>
        <v>#N/A</v>
      </c>
      <c r="AH809" s="58" t="e">
        <v>#N/A</v>
      </c>
      <c r="AI809" s="56" t="str">
        <f t="shared" si="136"/>
        <v>Delete</v>
      </c>
      <c r="AJ809" s="81">
        <f t="shared" si="140"/>
        <v>52.58</v>
      </c>
      <c r="AK809" s="81">
        <f t="shared" si="141"/>
        <v>0</v>
      </c>
      <c r="AL809" s="58" t="s">
        <v>7206</v>
      </c>
      <c r="AM809" s="58" t="s">
        <v>6711</v>
      </c>
      <c r="AN809" s="75">
        <v>0</v>
      </c>
      <c r="AO809" s="88">
        <v>26.29</v>
      </c>
      <c r="AP809" s="6" t="str">
        <f t="shared" si="137"/>
        <v>Delete</v>
      </c>
      <c r="AQ809" s="81">
        <f t="shared" si="138"/>
        <v>0</v>
      </c>
      <c r="AR809" s="81">
        <f t="shared" si="139"/>
        <v>0</v>
      </c>
      <c r="AS809" s="81">
        <f t="shared" si="142"/>
        <v>0</v>
      </c>
    </row>
    <row r="810" spans="1:45" hidden="1" x14ac:dyDescent="0.3">
      <c r="A810">
        <v>6183941</v>
      </c>
      <c r="B810" s="15" t="s">
        <v>6146</v>
      </c>
      <c r="C810" s="16" t="s">
        <v>30</v>
      </c>
      <c r="D810" s="6" t="s">
        <v>31</v>
      </c>
      <c r="E810" t="s">
        <v>884</v>
      </c>
      <c r="F810" t="s">
        <v>884</v>
      </c>
      <c r="H810" s="11" t="s">
        <v>27</v>
      </c>
      <c r="I810" s="6" t="s">
        <v>28</v>
      </c>
      <c r="J810" s="6" t="s">
        <v>28</v>
      </c>
      <c r="K810" t="s">
        <v>32</v>
      </c>
      <c r="L810" s="35">
        <v>8</v>
      </c>
      <c r="M810" s="6" t="s">
        <v>29</v>
      </c>
      <c r="N810" s="6">
        <v>3105</v>
      </c>
      <c r="P810" s="18"/>
      <c r="Q810" s="17"/>
      <c r="R810" s="19">
        <v>8</v>
      </c>
      <c r="S810" s="19">
        <v>8</v>
      </c>
      <c r="T810" s="38">
        <v>2</v>
      </c>
      <c r="U810" s="38"/>
      <c r="V810" s="30">
        <v>8</v>
      </c>
      <c r="W810" s="35">
        <v>8</v>
      </c>
      <c r="X810" s="32">
        <f t="shared" si="132"/>
        <v>16</v>
      </c>
      <c r="Y810" s="32">
        <f t="shared" si="133"/>
        <v>16</v>
      </c>
      <c r="Z810" s="32">
        <f t="shared" si="134"/>
        <v>0</v>
      </c>
      <c r="AA810" s="38">
        <v>2</v>
      </c>
      <c r="AB810" s="37">
        <f>IFERROR(VLOOKUP(A810,'Tash Lookup'!A:E,3,FALSE),"")</f>
        <v>16</v>
      </c>
      <c r="AC810" s="6">
        <f t="shared" si="135"/>
        <v>0</v>
      </c>
      <c r="AD810" s="2" t="s">
        <v>6703</v>
      </c>
      <c r="AF810" s="56">
        <v>8</v>
      </c>
      <c r="AG810" s="56">
        <f>VLOOKUP(A810,Sheet1!$A$2:$C$1140,3,FALSE)</f>
        <v>8.16</v>
      </c>
      <c r="AH810" s="58">
        <v>8.16</v>
      </c>
      <c r="AI810" s="56" t="str">
        <f t="shared" si="136"/>
        <v>Increase</v>
      </c>
      <c r="AJ810" s="81">
        <f t="shared" si="140"/>
        <v>16</v>
      </c>
      <c r="AK810" s="81">
        <f t="shared" si="141"/>
        <v>16.32</v>
      </c>
      <c r="AL810" s="58" t="s">
        <v>7206</v>
      </c>
      <c r="AM810" s="58" t="s">
        <v>6703</v>
      </c>
      <c r="AN810" s="75">
        <v>8</v>
      </c>
      <c r="AO810" s="88">
        <v>8.16</v>
      </c>
      <c r="AP810" s="6" t="str">
        <f t="shared" si="137"/>
        <v>Increase</v>
      </c>
      <c r="AQ810" s="81">
        <f t="shared" si="138"/>
        <v>64</v>
      </c>
      <c r="AR810" s="81">
        <f t="shared" si="139"/>
        <v>65.28</v>
      </c>
      <c r="AS810" s="81">
        <f t="shared" si="142"/>
        <v>1.2800000000000011</v>
      </c>
    </row>
    <row r="811" spans="1:45" hidden="1" x14ac:dyDescent="0.3">
      <c r="A811">
        <v>5259331</v>
      </c>
      <c r="B811" s="15" t="s">
        <v>6147</v>
      </c>
      <c r="C811" s="16" t="s">
        <v>30</v>
      </c>
      <c r="D811" s="6" t="s">
        <v>31</v>
      </c>
      <c r="E811" t="s">
        <v>2971</v>
      </c>
      <c r="F811" t="s">
        <v>5210</v>
      </c>
      <c r="H811" s="11" t="s">
        <v>27</v>
      </c>
      <c r="I811" s="6" t="s">
        <v>28</v>
      </c>
      <c r="J811" s="6" t="s">
        <v>28</v>
      </c>
      <c r="K811" t="s">
        <v>32</v>
      </c>
      <c r="L811" s="35">
        <v>52.18</v>
      </c>
      <c r="M811" s="6" t="s">
        <v>29</v>
      </c>
      <c r="N811" s="6">
        <v>3105</v>
      </c>
      <c r="P811" s="18"/>
      <c r="Q811" s="17"/>
      <c r="R811" s="19">
        <v>52.18</v>
      </c>
      <c r="S811" s="19">
        <v>52.18</v>
      </c>
      <c r="T811" s="38">
        <v>2</v>
      </c>
      <c r="U811" s="38"/>
      <c r="V811" s="30">
        <v>52.18</v>
      </c>
      <c r="W811" s="35">
        <v>52.18</v>
      </c>
      <c r="X811" s="32">
        <f t="shared" si="132"/>
        <v>104.36</v>
      </c>
      <c r="Y811" s="32">
        <f t="shared" si="133"/>
        <v>104.36</v>
      </c>
      <c r="Z811" s="32">
        <f t="shared" si="134"/>
        <v>0</v>
      </c>
      <c r="AA811" s="38">
        <v>2</v>
      </c>
      <c r="AB811" s="37">
        <f>IFERROR(VLOOKUP(A811,'Tash Lookup'!A:E,3,FALSE),"")</f>
        <v>104.37</v>
      </c>
      <c r="AC811" s="6">
        <f t="shared" si="135"/>
        <v>0</v>
      </c>
      <c r="AD811" s="2" t="s">
        <v>6703</v>
      </c>
      <c r="AF811" s="56">
        <v>49.43</v>
      </c>
      <c r="AG811" s="56">
        <f>VLOOKUP(A811,Sheet1!$A$2:$C$1140,3,FALSE)</f>
        <v>50.91</v>
      </c>
      <c r="AH811" s="58">
        <v>50.91</v>
      </c>
      <c r="AI811" s="56" t="str">
        <f t="shared" si="136"/>
        <v>Increase</v>
      </c>
      <c r="AJ811" s="81">
        <f t="shared" si="140"/>
        <v>98.86</v>
      </c>
      <c r="AK811" s="81">
        <f t="shared" si="141"/>
        <v>101.82</v>
      </c>
      <c r="AL811" s="58" t="s">
        <v>32</v>
      </c>
      <c r="AM811" s="58" t="s">
        <v>6703</v>
      </c>
      <c r="AN811" s="75">
        <v>0</v>
      </c>
      <c r="AO811" s="88">
        <v>50.91</v>
      </c>
      <c r="AP811" s="6" t="str">
        <f t="shared" si="137"/>
        <v>Increase</v>
      </c>
      <c r="AQ811" s="81">
        <f t="shared" si="138"/>
        <v>0</v>
      </c>
      <c r="AR811" s="81">
        <f t="shared" si="139"/>
        <v>0</v>
      </c>
      <c r="AS811" s="82">
        <f t="shared" si="142"/>
        <v>0</v>
      </c>
    </row>
    <row r="812" spans="1:45" hidden="1" x14ac:dyDescent="0.3">
      <c r="A812">
        <v>5183368</v>
      </c>
      <c r="B812" s="15" t="s">
        <v>6148</v>
      </c>
      <c r="C812" s="16" t="s">
        <v>30</v>
      </c>
      <c r="D812" s="6" t="s">
        <v>31</v>
      </c>
      <c r="E812" t="s">
        <v>438</v>
      </c>
      <c r="F812" t="s">
        <v>438</v>
      </c>
      <c r="H812" s="11" t="s">
        <v>27</v>
      </c>
      <c r="I812" s="6" t="s">
        <v>28</v>
      </c>
      <c r="J812" s="6" t="s">
        <v>28</v>
      </c>
      <c r="K812" t="s">
        <v>32</v>
      </c>
      <c r="L812" s="35">
        <v>29.36</v>
      </c>
      <c r="M812" s="6" t="s">
        <v>29</v>
      </c>
      <c r="N812" s="6">
        <v>3105</v>
      </c>
      <c r="P812" s="18"/>
      <c r="Q812" s="17"/>
      <c r="R812" s="19">
        <v>29.36</v>
      </c>
      <c r="S812" s="19">
        <v>29.36</v>
      </c>
      <c r="T812" s="38">
        <v>2</v>
      </c>
      <c r="U812" s="38"/>
      <c r="V812" s="30">
        <v>29.36</v>
      </c>
      <c r="W812" s="35">
        <v>29.36</v>
      </c>
      <c r="X812" s="32">
        <f t="shared" si="132"/>
        <v>58.72</v>
      </c>
      <c r="Y812" s="32">
        <f t="shared" si="133"/>
        <v>58.72</v>
      </c>
      <c r="Z812" s="32">
        <f t="shared" si="134"/>
        <v>0</v>
      </c>
      <c r="AA812" s="38">
        <v>2</v>
      </c>
      <c r="AB812" s="37">
        <f>IFERROR(VLOOKUP(A812,'Tash Lookup'!A:E,3,FALSE),"")</f>
        <v>58.72</v>
      </c>
      <c r="AC812" s="6">
        <f t="shared" si="135"/>
        <v>0</v>
      </c>
      <c r="AD812" s="2" t="s">
        <v>6703</v>
      </c>
      <c r="AF812" s="56">
        <v>32.79</v>
      </c>
      <c r="AG812" s="56">
        <f>VLOOKUP(A812,Sheet1!$A$2:$C$1140,3,FALSE)</f>
        <v>33.770000000000003</v>
      </c>
      <c r="AH812" s="58">
        <v>33.770000000000003</v>
      </c>
      <c r="AI812" s="56" t="str">
        <f t="shared" si="136"/>
        <v>Increase</v>
      </c>
      <c r="AJ812" s="81">
        <f t="shared" si="140"/>
        <v>65.58</v>
      </c>
      <c r="AK812" s="81">
        <f t="shared" si="141"/>
        <v>67.540000000000006</v>
      </c>
      <c r="AL812" s="58" t="s">
        <v>32</v>
      </c>
      <c r="AM812" s="58" t="s">
        <v>6703</v>
      </c>
      <c r="AN812" s="75">
        <v>0</v>
      </c>
      <c r="AO812" s="88">
        <v>33.770000000000003</v>
      </c>
      <c r="AP812" s="6" t="str">
        <f t="shared" si="137"/>
        <v>Increase</v>
      </c>
      <c r="AQ812" s="81">
        <f t="shared" si="138"/>
        <v>0</v>
      </c>
      <c r="AR812" s="81">
        <f t="shared" si="139"/>
        <v>0</v>
      </c>
      <c r="AS812" s="82">
        <f t="shared" si="142"/>
        <v>0</v>
      </c>
    </row>
    <row r="813" spans="1:45" hidden="1" x14ac:dyDescent="0.3">
      <c r="A813">
        <v>5183209</v>
      </c>
      <c r="B813" s="15" t="s">
        <v>6149</v>
      </c>
      <c r="C813" s="16" t="s">
        <v>30</v>
      </c>
      <c r="D813" s="6" t="s">
        <v>31</v>
      </c>
      <c r="E813" t="s">
        <v>500</v>
      </c>
      <c r="F813" t="s">
        <v>500</v>
      </c>
      <c r="H813" s="11" t="s">
        <v>27</v>
      </c>
      <c r="I813" s="6" t="s">
        <v>28</v>
      </c>
      <c r="J813" s="6" t="s">
        <v>28</v>
      </c>
      <c r="K813" t="s">
        <v>32</v>
      </c>
      <c r="L813" s="35">
        <v>18.690000000000001</v>
      </c>
      <c r="M813" s="6" t="s">
        <v>29</v>
      </c>
      <c r="N813" s="6">
        <v>3105</v>
      </c>
      <c r="P813" s="18"/>
      <c r="Q813" s="17"/>
      <c r="R813" s="19">
        <v>18.690000000000001</v>
      </c>
      <c r="S813" s="19">
        <v>18.690000000000001</v>
      </c>
      <c r="T813" s="38">
        <v>2</v>
      </c>
      <c r="U813" s="38"/>
      <c r="V813" s="29">
        <v>18.690000000000001</v>
      </c>
      <c r="W813" s="35">
        <v>18.690000000000001</v>
      </c>
      <c r="X813" s="32">
        <f t="shared" si="132"/>
        <v>37.380000000000003</v>
      </c>
      <c r="Y813" s="32">
        <f t="shared" si="133"/>
        <v>37.380000000000003</v>
      </c>
      <c r="Z813" s="32">
        <f t="shared" si="134"/>
        <v>0</v>
      </c>
      <c r="AA813" s="38">
        <v>2</v>
      </c>
      <c r="AB813" s="37">
        <f>IFERROR(VLOOKUP(A813,'Tash Lookup'!A:E,3,FALSE),"")</f>
        <v>41.32</v>
      </c>
      <c r="AC813" s="6">
        <f t="shared" si="135"/>
        <v>0</v>
      </c>
      <c r="AD813" s="2" t="s">
        <v>6703</v>
      </c>
      <c r="AF813" s="56">
        <v>20.059999999999999</v>
      </c>
      <c r="AG813" s="56">
        <f>VLOOKUP(A813,Sheet1!$A$2:$C$1140,3,FALSE)</f>
        <v>20.66</v>
      </c>
      <c r="AH813" s="58">
        <v>20.66</v>
      </c>
      <c r="AI813" s="56" t="str">
        <f t="shared" si="136"/>
        <v>Increase</v>
      </c>
      <c r="AJ813" s="81">
        <f t="shared" si="140"/>
        <v>40.119999999999997</v>
      </c>
      <c r="AK813" s="81">
        <f t="shared" si="141"/>
        <v>41.32</v>
      </c>
      <c r="AL813" s="58" t="s">
        <v>32</v>
      </c>
      <c r="AM813" s="58" t="s">
        <v>6703</v>
      </c>
      <c r="AN813" s="75">
        <v>1</v>
      </c>
      <c r="AO813" s="88">
        <v>20.66</v>
      </c>
      <c r="AP813" s="6" t="str">
        <f t="shared" si="137"/>
        <v>Increase</v>
      </c>
      <c r="AQ813" s="81">
        <f t="shared" si="138"/>
        <v>20.059999999999999</v>
      </c>
      <c r="AR813" s="81">
        <f t="shared" si="139"/>
        <v>20.66</v>
      </c>
      <c r="AS813" s="82">
        <f t="shared" si="142"/>
        <v>0.60000000000000142</v>
      </c>
    </row>
    <row r="814" spans="1:45" hidden="1" x14ac:dyDescent="0.3">
      <c r="A814">
        <v>5081985</v>
      </c>
      <c r="B814" s="15" t="s">
        <v>6150</v>
      </c>
      <c r="C814" s="16" t="s">
        <v>30</v>
      </c>
      <c r="D814" s="6" t="s">
        <v>31</v>
      </c>
      <c r="E814" t="s">
        <v>547</v>
      </c>
      <c r="F814" t="s">
        <v>547</v>
      </c>
      <c r="H814" s="11" t="s">
        <v>27</v>
      </c>
      <c r="I814" s="6" t="s">
        <v>28</v>
      </c>
      <c r="J814" s="6" t="s">
        <v>28</v>
      </c>
      <c r="K814" t="s">
        <v>32</v>
      </c>
      <c r="L814" s="35">
        <v>15.48</v>
      </c>
      <c r="M814" s="6" t="s">
        <v>29</v>
      </c>
      <c r="N814" s="6">
        <v>3105</v>
      </c>
      <c r="P814" s="18"/>
      <c r="Q814" s="17"/>
      <c r="R814" s="19">
        <v>15.48</v>
      </c>
      <c r="S814" s="19">
        <v>15.48</v>
      </c>
      <c r="T814" s="38">
        <v>2</v>
      </c>
      <c r="U814" s="38"/>
      <c r="V814" s="29">
        <v>15.48</v>
      </c>
      <c r="W814" s="35">
        <v>15.48</v>
      </c>
      <c r="X814" s="32">
        <f t="shared" si="132"/>
        <v>30.96</v>
      </c>
      <c r="Y814" s="32">
        <f t="shared" si="133"/>
        <v>30.96</v>
      </c>
      <c r="Z814" s="32">
        <f t="shared" si="134"/>
        <v>0</v>
      </c>
      <c r="AA814" s="38">
        <v>2</v>
      </c>
      <c r="AB814" s="37">
        <f>IFERROR(VLOOKUP(A814,'Tash Lookup'!A:E,3,FALSE),"")</f>
        <v>30.96</v>
      </c>
      <c r="AC814" s="6">
        <f t="shared" si="135"/>
        <v>0</v>
      </c>
      <c r="AD814" s="2" t="s">
        <v>6703</v>
      </c>
      <c r="AF814" s="56">
        <v>14.86</v>
      </c>
      <c r="AG814" s="56">
        <f>VLOOKUP(A814,Sheet1!$A$2:$C$1140,3,FALSE)</f>
        <v>15.31</v>
      </c>
      <c r="AH814" s="58">
        <v>15.31</v>
      </c>
      <c r="AI814" s="56" t="str">
        <f t="shared" si="136"/>
        <v>Increase</v>
      </c>
      <c r="AJ814" s="81">
        <f t="shared" si="140"/>
        <v>29.72</v>
      </c>
      <c r="AK814" s="81">
        <f t="shared" si="141"/>
        <v>30.62</v>
      </c>
      <c r="AL814" s="58" t="s">
        <v>32</v>
      </c>
      <c r="AM814" s="58" t="s">
        <v>6703</v>
      </c>
      <c r="AN814" s="75">
        <v>2</v>
      </c>
      <c r="AO814" s="88">
        <v>15.31</v>
      </c>
      <c r="AP814" s="6" t="str">
        <f t="shared" si="137"/>
        <v>Increase</v>
      </c>
      <c r="AQ814" s="81">
        <f t="shared" si="138"/>
        <v>29.72</v>
      </c>
      <c r="AR814" s="81">
        <f t="shared" si="139"/>
        <v>30.62</v>
      </c>
      <c r="AS814" s="82">
        <f t="shared" si="142"/>
        <v>0.90000000000000213</v>
      </c>
    </row>
    <row r="815" spans="1:45" hidden="1" x14ac:dyDescent="0.3">
      <c r="A815">
        <v>5183283</v>
      </c>
      <c r="B815" s="15" t="s">
        <v>6151</v>
      </c>
      <c r="C815" s="16" t="s">
        <v>30</v>
      </c>
      <c r="D815" s="6" t="s">
        <v>31</v>
      </c>
      <c r="E815" t="s">
        <v>144</v>
      </c>
      <c r="F815" t="s">
        <v>144</v>
      </c>
      <c r="H815" s="11" t="s">
        <v>27</v>
      </c>
      <c r="I815" s="6" t="s">
        <v>28</v>
      </c>
      <c r="J815" s="6" t="s">
        <v>28</v>
      </c>
      <c r="K815" t="s">
        <v>32</v>
      </c>
      <c r="L815" s="35">
        <v>8.8699999999999992</v>
      </c>
      <c r="M815" s="6" t="s">
        <v>29</v>
      </c>
      <c r="N815" s="6">
        <v>3105</v>
      </c>
      <c r="P815" s="18"/>
      <c r="Q815" s="17"/>
      <c r="R815" s="19">
        <v>8.8699999999999992</v>
      </c>
      <c r="S815" s="19">
        <v>8.8699999999999992</v>
      </c>
      <c r="T815" s="38">
        <v>2</v>
      </c>
      <c r="U815" s="38"/>
      <c r="V815" s="29">
        <v>8.8699999999999992</v>
      </c>
      <c r="W815" s="35">
        <v>8.8699999999999992</v>
      </c>
      <c r="X815" s="32">
        <f t="shared" si="132"/>
        <v>17.739999999999998</v>
      </c>
      <c r="Y815" s="32">
        <f t="shared" si="133"/>
        <v>17.739999999999998</v>
      </c>
      <c r="Z815" s="32">
        <f t="shared" si="134"/>
        <v>0</v>
      </c>
      <c r="AA815" s="38">
        <v>2</v>
      </c>
      <c r="AB815" s="37">
        <f>IFERROR(VLOOKUP(A815,'Tash Lookup'!A:E,3,FALSE),"")</f>
        <v>17.739999999999998</v>
      </c>
      <c r="AC815" s="6">
        <f t="shared" si="135"/>
        <v>0</v>
      </c>
      <c r="AD815" s="2" t="s">
        <v>6703</v>
      </c>
      <c r="AF815" s="56">
        <v>9.64</v>
      </c>
      <c r="AG815" s="56">
        <f>VLOOKUP(A815,Sheet1!$A$2:$C$1140,3,FALSE)</f>
        <v>9.64</v>
      </c>
      <c r="AH815" s="58">
        <v>9.64</v>
      </c>
      <c r="AI815" s="56" t="str">
        <f t="shared" si="136"/>
        <v>Same</v>
      </c>
      <c r="AJ815" s="81">
        <f t="shared" si="140"/>
        <v>19.28</v>
      </c>
      <c r="AK815" s="81">
        <f t="shared" si="141"/>
        <v>19.28</v>
      </c>
      <c r="AL815" s="58" t="s">
        <v>32</v>
      </c>
      <c r="AM815" s="58" t="s">
        <v>6703</v>
      </c>
      <c r="AN815" s="75">
        <v>0</v>
      </c>
      <c r="AO815" s="88">
        <v>9.64</v>
      </c>
      <c r="AP815" s="6" t="str">
        <f t="shared" si="137"/>
        <v>Same</v>
      </c>
      <c r="AQ815" s="81">
        <f t="shared" si="138"/>
        <v>0</v>
      </c>
      <c r="AR815" s="81">
        <f t="shared" si="139"/>
        <v>0</v>
      </c>
      <c r="AS815" s="81">
        <f t="shared" si="142"/>
        <v>0</v>
      </c>
    </row>
    <row r="816" spans="1:45" hidden="1" x14ac:dyDescent="0.3">
      <c r="A816">
        <v>5183282</v>
      </c>
      <c r="B816" s="15" t="s">
        <v>6152</v>
      </c>
      <c r="C816" s="16" t="s">
        <v>30</v>
      </c>
      <c r="D816" s="6" t="s">
        <v>31</v>
      </c>
      <c r="E816" t="s">
        <v>154</v>
      </c>
      <c r="F816" t="s">
        <v>154</v>
      </c>
      <c r="H816" s="11" t="s">
        <v>27</v>
      </c>
      <c r="I816" s="6" t="s">
        <v>28</v>
      </c>
      <c r="J816" s="6" t="s">
        <v>28</v>
      </c>
      <c r="K816" t="s">
        <v>32</v>
      </c>
      <c r="L816" s="35">
        <v>7.55</v>
      </c>
      <c r="M816" s="6" t="s">
        <v>29</v>
      </c>
      <c r="N816" s="6">
        <v>3105</v>
      </c>
      <c r="P816" s="18"/>
      <c r="Q816" s="17"/>
      <c r="R816" s="19">
        <v>7.55</v>
      </c>
      <c r="S816" s="19">
        <v>7.55</v>
      </c>
      <c r="T816" s="38">
        <v>2</v>
      </c>
      <c r="U816" s="38"/>
      <c r="V816" s="29">
        <v>7.55</v>
      </c>
      <c r="W816" s="35">
        <v>7.55</v>
      </c>
      <c r="X816" s="32">
        <f t="shared" si="132"/>
        <v>15.1</v>
      </c>
      <c r="Y816" s="32">
        <f t="shared" si="133"/>
        <v>15.1</v>
      </c>
      <c r="Z816" s="32">
        <f t="shared" si="134"/>
        <v>0</v>
      </c>
      <c r="AA816" s="38">
        <v>2</v>
      </c>
      <c r="AB816" s="37">
        <f>IFERROR(VLOOKUP(A816,'Tash Lookup'!A:E,3,FALSE),"")</f>
        <v>15.1</v>
      </c>
      <c r="AC816" s="6">
        <f t="shared" si="135"/>
        <v>0</v>
      </c>
      <c r="AD816" s="2" t="s">
        <v>6703</v>
      </c>
      <c r="AF816" s="56">
        <v>8.3000000000000007</v>
      </c>
      <c r="AG816" s="56">
        <f>VLOOKUP(A816,Sheet1!$A$2:$C$1140,3,FALSE)</f>
        <v>8.3000000000000007</v>
      </c>
      <c r="AH816" s="58">
        <v>8.3000000000000007</v>
      </c>
      <c r="AI816" s="56" t="str">
        <f t="shared" si="136"/>
        <v>Same</v>
      </c>
      <c r="AJ816" s="81">
        <f t="shared" si="140"/>
        <v>16.600000000000001</v>
      </c>
      <c r="AK816" s="81">
        <f t="shared" si="141"/>
        <v>16.600000000000001</v>
      </c>
      <c r="AL816" s="58" t="s">
        <v>32</v>
      </c>
      <c r="AM816" s="58" t="s">
        <v>6703</v>
      </c>
      <c r="AN816" s="75">
        <v>3</v>
      </c>
      <c r="AO816" s="88">
        <v>8.3000000000000007</v>
      </c>
      <c r="AP816" s="6" t="str">
        <f t="shared" si="137"/>
        <v>Same</v>
      </c>
      <c r="AQ816" s="81">
        <f t="shared" si="138"/>
        <v>24.900000000000002</v>
      </c>
      <c r="AR816" s="81">
        <f t="shared" si="139"/>
        <v>24.900000000000002</v>
      </c>
      <c r="AS816" s="81">
        <f t="shared" si="142"/>
        <v>0</v>
      </c>
    </row>
    <row r="817" spans="1:45" hidden="1" x14ac:dyDescent="0.3">
      <c r="A817">
        <v>5091636</v>
      </c>
      <c r="B817" s="15" t="s">
        <v>6153</v>
      </c>
      <c r="C817" s="16" t="s">
        <v>30</v>
      </c>
      <c r="D817" s="6" t="s">
        <v>31</v>
      </c>
      <c r="E817" t="s">
        <v>588</v>
      </c>
      <c r="F817" t="s">
        <v>588</v>
      </c>
      <c r="H817" s="11" t="s">
        <v>27</v>
      </c>
      <c r="I817" s="6" t="s">
        <v>28</v>
      </c>
      <c r="J817" s="6" t="s">
        <v>28</v>
      </c>
      <c r="K817" t="s">
        <v>32</v>
      </c>
      <c r="L817" s="35">
        <v>44.34</v>
      </c>
      <c r="M817" s="6" t="s">
        <v>29</v>
      </c>
      <c r="N817" s="6">
        <v>3105</v>
      </c>
      <c r="P817" s="18"/>
      <c r="Q817" s="17"/>
      <c r="R817" s="19">
        <v>44.34</v>
      </c>
      <c r="S817" s="19">
        <v>44.34</v>
      </c>
      <c r="T817" s="38">
        <v>2</v>
      </c>
      <c r="U817" s="38"/>
      <c r="V817" s="29">
        <v>44.34</v>
      </c>
      <c r="W817" s="35">
        <v>44.34</v>
      </c>
      <c r="X817" s="32">
        <f t="shared" si="132"/>
        <v>88.68</v>
      </c>
      <c r="Y817" s="32">
        <f t="shared" si="133"/>
        <v>88.68</v>
      </c>
      <c r="Z817" s="32">
        <f t="shared" si="134"/>
        <v>0</v>
      </c>
      <c r="AA817" s="38">
        <v>2</v>
      </c>
      <c r="AB817" s="37">
        <f>IFERROR(VLOOKUP(A817,'Tash Lookup'!A:E,3,FALSE),"")</f>
        <v>103.18</v>
      </c>
      <c r="AC817" s="6">
        <f t="shared" si="135"/>
        <v>0</v>
      </c>
      <c r="AD817" s="2" t="s">
        <v>6703</v>
      </c>
      <c r="AF817" s="56">
        <v>46.49</v>
      </c>
      <c r="AG817" s="56">
        <f>VLOOKUP(A817,Sheet1!$A$2:$C$1140,3,FALSE)</f>
        <v>47.88</v>
      </c>
      <c r="AH817" s="58">
        <v>47.88</v>
      </c>
      <c r="AI817" s="56" t="str">
        <f t="shared" si="136"/>
        <v>Increase</v>
      </c>
      <c r="AJ817" s="81">
        <f t="shared" si="140"/>
        <v>92.98</v>
      </c>
      <c r="AK817" s="81">
        <f t="shared" si="141"/>
        <v>95.76</v>
      </c>
      <c r="AL817" s="58" t="s">
        <v>32</v>
      </c>
      <c r="AM817" s="58" t="s">
        <v>6703</v>
      </c>
      <c r="AN817" s="75">
        <v>15</v>
      </c>
      <c r="AO817" s="88">
        <v>47.88</v>
      </c>
      <c r="AP817" s="6" t="str">
        <f t="shared" si="137"/>
        <v>Increase</v>
      </c>
      <c r="AQ817" s="81">
        <f t="shared" si="138"/>
        <v>697.35</v>
      </c>
      <c r="AR817" s="81">
        <f t="shared" si="139"/>
        <v>718.2</v>
      </c>
      <c r="AS817" s="82">
        <f t="shared" si="142"/>
        <v>20.850000000000023</v>
      </c>
    </row>
    <row r="818" spans="1:45" hidden="1" x14ac:dyDescent="0.3">
      <c r="A818">
        <v>5624601</v>
      </c>
      <c r="B818" s="15" t="s">
        <v>6154</v>
      </c>
      <c r="C818" s="16" t="s">
        <v>30</v>
      </c>
      <c r="D818" s="6" t="s">
        <v>31</v>
      </c>
      <c r="E818" t="s">
        <v>224</v>
      </c>
      <c r="F818" t="s">
        <v>224</v>
      </c>
      <c r="H818" s="11" t="s">
        <v>27</v>
      </c>
      <c r="I818" s="6" t="s">
        <v>28</v>
      </c>
      <c r="J818" s="6" t="s">
        <v>28</v>
      </c>
      <c r="K818" t="s">
        <v>32</v>
      </c>
      <c r="L818" s="35">
        <v>13.86</v>
      </c>
      <c r="M818" s="6" t="s">
        <v>29</v>
      </c>
      <c r="N818" s="6">
        <v>3105</v>
      </c>
      <c r="P818" s="18"/>
      <c r="Q818" s="17"/>
      <c r="R818" s="19">
        <v>13.86</v>
      </c>
      <c r="S818" s="19">
        <v>13.86</v>
      </c>
      <c r="T818" s="38">
        <v>2</v>
      </c>
      <c r="U818" s="38"/>
      <c r="V818" s="29">
        <v>13.86</v>
      </c>
      <c r="W818" s="35">
        <v>13.86</v>
      </c>
      <c r="X818" s="32">
        <f t="shared" si="132"/>
        <v>27.72</v>
      </c>
      <c r="Y818" s="32">
        <f t="shared" si="133"/>
        <v>27.72</v>
      </c>
      <c r="Z818" s="32">
        <f t="shared" si="134"/>
        <v>0</v>
      </c>
      <c r="AA818" s="38">
        <v>2</v>
      </c>
      <c r="AB818" s="37">
        <f>IFERROR(VLOOKUP(A818,'Tash Lookup'!A:E,3,FALSE),"")</f>
        <v>27.72</v>
      </c>
      <c r="AC818" s="6">
        <f t="shared" si="135"/>
        <v>0</v>
      </c>
      <c r="AD818" s="2" t="s">
        <v>6703</v>
      </c>
      <c r="AF818" s="56">
        <v>15.6</v>
      </c>
      <c r="AG818" s="56">
        <f>VLOOKUP(A818,Sheet1!$A$2:$C$1140,3,FALSE)</f>
        <v>15.6</v>
      </c>
      <c r="AH818" s="58">
        <v>15.6</v>
      </c>
      <c r="AI818" s="56" t="str">
        <f t="shared" si="136"/>
        <v>Same</v>
      </c>
      <c r="AJ818" s="81">
        <f t="shared" si="140"/>
        <v>31.2</v>
      </c>
      <c r="AK818" s="81">
        <f t="shared" si="141"/>
        <v>31.2</v>
      </c>
      <c r="AL818" s="58" t="s">
        <v>32</v>
      </c>
      <c r="AM818" s="58" t="s">
        <v>6703</v>
      </c>
      <c r="AN818" s="75">
        <v>2</v>
      </c>
      <c r="AO818" s="88">
        <v>15.6</v>
      </c>
      <c r="AP818" s="6" t="str">
        <f t="shared" si="137"/>
        <v>Same</v>
      </c>
      <c r="AQ818" s="81">
        <f t="shared" si="138"/>
        <v>31.2</v>
      </c>
      <c r="AR818" s="81">
        <f t="shared" si="139"/>
        <v>31.2</v>
      </c>
      <c r="AS818" s="81">
        <f t="shared" si="142"/>
        <v>0</v>
      </c>
    </row>
    <row r="819" spans="1:45" hidden="1" x14ac:dyDescent="0.3">
      <c r="A819">
        <v>5624588</v>
      </c>
      <c r="B819" s="15" t="s">
        <v>6155</v>
      </c>
      <c r="C819" s="16" t="s">
        <v>30</v>
      </c>
      <c r="D819" s="6" t="s">
        <v>31</v>
      </c>
      <c r="E819" t="s">
        <v>227</v>
      </c>
      <c r="F819" t="s">
        <v>227</v>
      </c>
      <c r="H819" s="11" t="s">
        <v>27</v>
      </c>
      <c r="I819" s="6" t="s">
        <v>28</v>
      </c>
      <c r="J819" s="6" t="s">
        <v>28</v>
      </c>
      <c r="K819" t="s">
        <v>32</v>
      </c>
      <c r="L819" s="35">
        <v>13.86</v>
      </c>
      <c r="M819" s="6" t="s">
        <v>29</v>
      </c>
      <c r="N819" s="6">
        <v>3105</v>
      </c>
      <c r="P819" s="18"/>
      <c r="Q819" s="17"/>
      <c r="R819" s="19">
        <v>13.86</v>
      </c>
      <c r="S819" s="19">
        <v>13.86</v>
      </c>
      <c r="T819" s="38">
        <v>2</v>
      </c>
      <c r="U819" s="38"/>
      <c r="V819" s="29">
        <v>13.86</v>
      </c>
      <c r="W819" s="35">
        <v>13.86</v>
      </c>
      <c r="X819" s="32">
        <f t="shared" si="132"/>
        <v>27.72</v>
      </c>
      <c r="Y819" s="32">
        <f t="shared" si="133"/>
        <v>27.72</v>
      </c>
      <c r="Z819" s="32">
        <f t="shared" si="134"/>
        <v>0</v>
      </c>
      <c r="AA819" s="38">
        <v>2</v>
      </c>
      <c r="AB819" s="37">
        <f>IFERROR(VLOOKUP(A819,'Tash Lookup'!A:E,3,FALSE),"")</f>
        <v>27.72</v>
      </c>
      <c r="AC819" s="6">
        <f t="shared" si="135"/>
        <v>0</v>
      </c>
      <c r="AD819" s="2" t="s">
        <v>6703</v>
      </c>
      <c r="AF819" s="56">
        <v>15.6</v>
      </c>
      <c r="AG819" s="56">
        <f>VLOOKUP(A819,Sheet1!$A$2:$C$1140,3,FALSE)</f>
        <v>15.6</v>
      </c>
      <c r="AH819" s="58">
        <v>15.6</v>
      </c>
      <c r="AI819" s="56" t="str">
        <f t="shared" si="136"/>
        <v>Same</v>
      </c>
      <c r="AJ819" s="81">
        <f t="shared" si="140"/>
        <v>31.2</v>
      </c>
      <c r="AK819" s="81">
        <f t="shared" si="141"/>
        <v>31.2</v>
      </c>
      <c r="AL819" s="58" t="s">
        <v>32</v>
      </c>
      <c r="AM819" s="58" t="s">
        <v>6703</v>
      </c>
      <c r="AN819" s="75">
        <v>4</v>
      </c>
      <c r="AO819" s="88">
        <v>15.6</v>
      </c>
      <c r="AP819" s="6" t="str">
        <f t="shared" si="137"/>
        <v>Same</v>
      </c>
      <c r="AQ819" s="81">
        <f t="shared" si="138"/>
        <v>62.4</v>
      </c>
      <c r="AR819" s="81">
        <f t="shared" si="139"/>
        <v>62.4</v>
      </c>
      <c r="AS819" s="81">
        <f t="shared" si="142"/>
        <v>0</v>
      </c>
    </row>
    <row r="820" spans="1:45" hidden="1" x14ac:dyDescent="0.3">
      <c r="A820">
        <v>5180583</v>
      </c>
      <c r="B820" s="15" t="s">
        <v>6156</v>
      </c>
      <c r="C820" s="16" t="s">
        <v>30</v>
      </c>
      <c r="D820" s="6" t="s">
        <v>31</v>
      </c>
      <c r="E820" t="s">
        <v>596</v>
      </c>
      <c r="F820" t="s">
        <v>596</v>
      </c>
      <c r="H820" s="11" t="s">
        <v>27</v>
      </c>
      <c r="I820" s="6" t="s">
        <v>28</v>
      </c>
      <c r="J820" s="6" t="s">
        <v>28</v>
      </c>
      <c r="K820" t="s">
        <v>32</v>
      </c>
      <c r="L820" s="35">
        <v>16.29</v>
      </c>
      <c r="M820" s="6" t="s">
        <v>29</v>
      </c>
      <c r="N820" s="6">
        <v>3105</v>
      </c>
      <c r="P820" s="18"/>
      <c r="Q820" s="17"/>
      <c r="R820" s="19">
        <v>16.29</v>
      </c>
      <c r="S820" s="19">
        <v>16.29</v>
      </c>
      <c r="T820" s="38">
        <v>2</v>
      </c>
      <c r="U820" s="38"/>
      <c r="V820" s="29">
        <v>16.29</v>
      </c>
      <c r="W820" s="35">
        <v>16.29</v>
      </c>
      <c r="X820" s="32">
        <f t="shared" si="132"/>
        <v>32.58</v>
      </c>
      <c r="Y820" s="32">
        <f t="shared" si="133"/>
        <v>32.58</v>
      </c>
      <c r="Z820" s="32">
        <f t="shared" si="134"/>
        <v>0</v>
      </c>
      <c r="AA820" s="38">
        <v>2</v>
      </c>
      <c r="AB820" s="37">
        <f>IFERROR(VLOOKUP(A820,'Tash Lookup'!A:E,3,FALSE),"")</f>
        <v>32.58</v>
      </c>
      <c r="AC820" s="6">
        <f t="shared" si="135"/>
        <v>0</v>
      </c>
      <c r="AD820" s="2" t="s">
        <v>6703</v>
      </c>
      <c r="AF820" s="56">
        <v>14.72</v>
      </c>
      <c r="AG820" s="56">
        <f>VLOOKUP(A820,Sheet1!$A$2:$C$1140,3,FALSE)</f>
        <v>15.16</v>
      </c>
      <c r="AH820" s="58">
        <v>15.16</v>
      </c>
      <c r="AI820" s="56" t="str">
        <f t="shared" si="136"/>
        <v>Increase</v>
      </c>
      <c r="AJ820" s="81">
        <f t="shared" si="140"/>
        <v>29.44</v>
      </c>
      <c r="AK820" s="81">
        <f t="shared" si="141"/>
        <v>30.32</v>
      </c>
      <c r="AL820" s="58" t="s">
        <v>32</v>
      </c>
      <c r="AM820" s="58" t="s">
        <v>6703</v>
      </c>
      <c r="AN820" s="75">
        <v>0</v>
      </c>
      <c r="AO820" s="88">
        <v>15.16</v>
      </c>
      <c r="AP820" s="6" t="str">
        <f t="shared" si="137"/>
        <v>Increase</v>
      </c>
      <c r="AQ820" s="81">
        <f t="shared" si="138"/>
        <v>0</v>
      </c>
      <c r="AR820" s="81">
        <f t="shared" si="139"/>
        <v>0</v>
      </c>
      <c r="AS820" s="82">
        <f t="shared" si="142"/>
        <v>0</v>
      </c>
    </row>
    <row r="821" spans="1:45" hidden="1" x14ac:dyDescent="0.3">
      <c r="A821">
        <v>6416437</v>
      </c>
      <c r="B821" s="15" t="s">
        <v>6157</v>
      </c>
      <c r="C821" s="16" t="s">
        <v>30</v>
      </c>
      <c r="D821" s="6" t="s">
        <v>31</v>
      </c>
      <c r="E821" t="s">
        <v>2982</v>
      </c>
      <c r="F821" t="s">
        <v>2982</v>
      </c>
      <c r="H821" s="11" t="s">
        <v>27</v>
      </c>
      <c r="I821" s="6" t="s">
        <v>28</v>
      </c>
      <c r="J821" s="6" t="s">
        <v>28</v>
      </c>
      <c r="K821" t="s">
        <v>32</v>
      </c>
      <c r="L821" s="35">
        <v>19.89</v>
      </c>
      <c r="M821" s="6" t="s">
        <v>29</v>
      </c>
      <c r="N821" s="6">
        <v>3105</v>
      </c>
      <c r="P821" s="18"/>
      <c r="Q821" s="17"/>
      <c r="R821" s="19">
        <v>19.89</v>
      </c>
      <c r="S821" s="19">
        <v>19.89</v>
      </c>
      <c r="T821" s="38">
        <v>2</v>
      </c>
      <c r="U821" s="38"/>
      <c r="V821" s="30">
        <v>19.89</v>
      </c>
      <c r="W821" s="35">
        <v>19.89</v>
      </c>
      <c r="X821" s="32">
        <f t="shared" si="132"/>
        <v>39.78</v>
      </c>
      <c r="Y821" s="32">
        <f t="shared" si="133"/>
        <v>39.78</v>
      </c>
      <c r="Z821" s="32">
        <f t="shared" si="134"/>
        <v>0</v>
      </c>
      <c r="AA821" s="38">
        <v>2</v>
      </c>
      <c r="AB821" s="37">
        <f>IFERROR(VLOOKUP(A821,'Tash Lookup'!A:E,3,FALSE),"")</f>
        <v>39.770000000000003</v>
      </c>
      <c r="AC821" s="6">
        <f t="shared" si="135"/>
        <v>0</v>
      </c>
      <c r="AD821" s="2" t="s">
        <v>6708</v>
      </c>
      <c r="AF821" s="56">
        <v>19.89</v>
      </c>
      <c r="AG821" s="56" t="e">
        <f>VLOOKUP(A821,Sheet1!$A$2:$C$1140,3,FALSE)</f>
        <v>#N/A</v>
      </c>
      <c r="AH821" s="58" t="e">
        <v>#N/A</v>
      </c>
      <c r="AI821" s="56" t="str">
        <f t="shared" si="136"/>
        <v>Delete</v>
      </c>
      <c r="AJ821" s="81">
        <f t="shared" si="140"/>
        <v>39.78</v>
      </c>
      <c r="AK821" s="81">
        <f t="shared" si="141"/>
        <v>0</v>
      </c>
      <c r="AL821" s="58" t="s">
        <v>7206</v>
      </c>
      <c r="AM821" s="58" t="s">
        <v>6708</v>
      </c>
      <c r="AN821" s="75">
        <v>0</v>
      </c>
      <c r="AO821" s="88">
        <v>19.89</v>
      </c>
      <c r="AP821" s="6" t="str">
        <f t="shared" si="137"/>
        <v>Same</v>
      </c>
      <c r="AQ821" s="81">
        <f t="shared" si="138"/>
        <v>0</v>
      </c>
      <c r="AR821" s="81">
        <f t="shared" si="139"/>
        <v>0</v>
      </c>
      <c r="AS821" s="81">
        <f t="shared" si="142"/>
        <v>0</v>
      </c>
    </row>
    <row r="822" spans="1:45" hidden="1" x14ac:dyDescent="0.3">
      <c r="A822">
        <v>5362527</v>
      </c>
      <c r="B822" s="15" t="s">
        <v>6158</v>
      </c>
      <c r="C822" s="16" t="s">
        <v>30</v>
      </c>
      <c r="D822" s="6" t="s">
        <v>31</v>
      </c>
      <c r="E822" t="s">
        <v>996</v>
      </c>
      <c r="F822" t="s">
        <v>996</v>
      </c>
      <c r="H822" s="11" t="s">
        <v>27</v>
      </c>
      <c r="I822" s="6" t="s">
        <v>28</v>
      </c>
      <c r="J822" s="6" t="s">
        <v>28</v>
      </c>
      <c r="K822" t="s">
        <v>32</v>
      </c>
      <c r="L822" s="35">
        <v>21.17</v>
      </c>
      <c r="M822" s="6" t="s">
        <v>29</v>
      </c>
      <c r="N822" s="6">
        <v>3105</v>
      </c>
      <c r="P822" s="18"/>
      <c r="Q822" s="17"/>
      <c r="R822" s="19">
        <v>21.17</v>
      </c>
      <c r="S822" s="19">
        <v>21.17</v>
      </c>
      <c r="T822" s="38">
        <v>2</v>
      </c>
      <c r="U822" s="38"/>
      <c r="V822" s="30">
        <v>21.17</v>
      </c>
      <c r="W822" s="35">
        <v>21.17</v>
      </c>
      <c r="X822" s="32">
        <f t="shared" si="132"/>
        <v>42.34</v>
      </c>
      <c r="Y822" s="32">
        <f t="shared" si="133"/>
        <v>42.34</v>
      </c>
      <c r="Z822" s="32">
        <f t="shared" si="134"/>
        <v>0</v>
      </c>
      <c r="AA822" s="38">
        <v>2</v>
      </c>
      <c r="AB822" s="37">
        <f>IFERROR(VLOOKUP(A822,'Tash Lookup'!A:E,3,FALSE),"")</f>
        <v>42.34</v>
      </c>
      <c r="AC822" s="6">
        <f t="shared" si="135"/>
        <v>0</v>
      </c>
      <c r="AD822" s="2" t="s">
        <v>6703</v>
      </c>
      <c r="AF822" s="56">
        <v>25.83</v>
      </c>
      <c r="AG822" s="56">
        <f>VLOOKUP(A822,Sheet1!$A$2:$C$1140,3,FALSE)</f>
        <v>25.83</v>
      </c>
      <c r="AH822" s="58">
        <v>25.83</v>
      </c>
      <c r="AI822" s="56" t="str">
        <f t="shared" si="136"/>
        <v>Same</v>
      </c>
      <c r="AJ822" s="81">
        <f t="shared" si="140"/>
        <v>51.66</v>
      </c>
      <c r="AK822" s="81">
        <f t="shared" si="141"/>
        <v>51.66</v>
      </c>
      <c r="AL822" s="58" t="s">
        <v>7206</v>
      </c>
      <c r="AM822" s="58" t="s">
        <v>6705</v>
      </c>
      <c r="AN822" s="75">
        <v>0</v>
      </c>
      <c r="AO822" s="88">
        <v>25.83</v>
      </c>
      <c r="AP822" s="6" t="str">
        <f t="shared" si="137"/>
        <v>Same</v>
      </c>
      <c r="AQ822" s="81">
        <f t="shared" si="138"/>
        <v>0</v>
      </c>
      <c r="AR822" s="81">
        <f t="shared" si="139"/>
        <v>0</v>
      </c>
      <c r="AS822" s="81">
        <f t="shared" si="142"/>
        <v>0</v>
      </c>
    </row>
    <row r="823" spans="1:45" hidden="1" x14ac:dyDescent="0.3">
      <c r="A823">
        <v>6414043</v>
      </c>
      <c r="B823" s="15" t="s">
        <v>6159</v>
      </c>
      <c r="C823" s="16" t="s">
        <v>30</v>
      </c>
      <c r="D823" s="6" t="s">
        <v>31</v>
      </c>
      <c r="E823" t="s">
        <v>1048</v>
      </c>
      <c r="F823" t="s">
        <v>1048</v>
      </c>
      <c r="H823" s="11" t="s">
        <v>27</v>
      </c>
      <c r="I823" s="6" t="s">
        <v>28</v>
      </c>
      <c r="J823" s="6" t="s">
        <v>28</v>
      </c>
      <c r="K823" t="s">
        <v>32</v>
      </c>
      <c r="L823" s="35">
        <v>10.71</v>
      </c>
      <c r="M823" s="6" t="s">
        <v>29</v>
      </c>
      <c r="N823" s="6">
        <v>3105</v>
      </c>
      <c r="P823" s="18"/>
      <c r="Q823" s="17"/>
      <c r="R823" s="19">
        <v>0</v>
      </c>
      <c r="S823" s="19">
        <v>0</v>
      </c>
      <c r="T823" s="38">
        <v>2</v>
      </c>
      <c r="U823" s="38"/>
      <c r="V823" s="31">
        <v>10.71</v>
      </c>
      <c r="W823" s="35">
        <v>10.71</v>
      </c>
      <c r="X823" s="32">
        <f t="shared" si="132"/>
        <v>21.42</v>
      </c>
      <c r="Y823" s="32">
        <f t="shared" si="133"/>
        <v>21.42</v>
      </c>
      <c r="Z823" s="32">
        <f t="shared" si="134"/>
        <v>0</v>
      </c>
      <c r="AA823" s="38">
        <v>2</v>
      </c>
      <c r="AB823" s="37">
        <f>IFERROR(VLOOKUP(A823,'Tash Lookup'!A:E,3,FALSE),"")</f>
        <v>20.96</v>
      </c>
      <c r="AC823" s="6">
        <f t="shared" si="135"/>
        <v>0</v>
      </c>
      <c r="AD823" s="2" t="s">
        <v>6703</v>
      </c>
      <c r="AF823" s="56">
        <v>11</v>
      </c>
      <c r="AG823" s="56">
        <f>VLOOKUP(A823,Sheet1!$A$2:$C$1140,3,FALSE)</f>
        <v>11.22</v>
      </c>
      <c r="AH823" s="58">
        <v>11.22</v>
      </c>
      <c r="AI823" s="56" t="str">
        <f t="shared" si="136"/>
        <v>Increase</v>
      </c>
      <c r="AJ823" s="81">
        <f t="shared" si="140"/>
        <v>22</v>
      </c>
      <c r="AK823" s="81">
        <f t="shared" si="141"/>
        <v>22.44</v>
      </c>
      <c r="AL823" s="58" t="s">
        <v>7206</v>
      </c>
      <c r="AM823" s="58" t="s">
        <v>6703</v>
      </c>
      <c r="AN823" s="75">
        <v>1</v>
      </c>
      <c r="AO823" s="88">
        <v>11.22</v>
      </c>
      <c r="AP823" s="6" t="str">
        <f t="shared" si="137"/>
        <v>Increase</v>
      </c>
      <c r="AQ823" s="81">
        <f t="shared" si="138"/>
        <v>11</v>
      </c>
      <c r="AR823" s="81">
        <f t="shared" si="139"/>
        <v>11.22</v>
      </c>
      <c r="AS823" s="81">
        <f t="shared" si="142"/>
        <v>0.22000000000000064</v>
      </c>
    </row>
    <row r="824" spans="1:45" hidden="1" x14ac:dyDescent="0.3">
      <c r="A824">
        <v>6414009</v>
      </c>
      <c r="B824" s="15" t="s">
        <v>6160</v>
      </c>
      <c r="C824" s="16" t="s">
        <v>30</v>
      </c>
      <c r="D824" s="6" t="s">
        <v>31</v>
      </c>
      <c r="E824" t="s">
        <v>1050</v>
      </c>
      <c r="F824" t="s">
        <v>1050</v>
      </c>
      <c r="H824" s="11" t="s">
        <v>27</v>
      </c>
      <c r="I824" s="6" t="s">
        <v>28</v>
      </c>
      <c r="J824" s="6" t="s">
        <v>28</v>
      </c>
      <c r="K824" t="s">
        <v>32</v>
      </c>
      <c r="L824" s="35">
        <v>5.43</v>
      </c>
      <c r="M824" s="6" t="s">
        <v>29</v>
      </c>
      <c r="N824" s="6">
        <v>3105</v>
      </c>
      <c r="P824" s="18"/>
      <c r="Q824" s="17"/>
      <c r="R824" s="19">
        <v>0</v>
      </c>
      <c r="S824" s="19">
        <v>0</v>
      </c>
      <c r="T824" s="38">
        <v>2</v>
      </c>
      <c r="U824" s="38"/>
      <c r="V824" s="31">
        <v>5.43</v>
      </c>
      <c r="W824" s="35">
        <v>5.43</v>
      </c>
      <c r="X824" s="32">
        <f t="shared" si="132"/>
        <v>10.86</v>
      </c>
      <c r="Y824" s="32">
        <f t="shared" si="133"/>
        <v>10.86</v>
      </c>
      <c r="Z824" s="32">
        <f t="shared" si="134"/>
        <v>0</v>
      </c>
      <c r="AA824" s="38">
        <v>2</v>
      </c>
      <c r="AB824" s="37">
        <f>IFERROR(VLOOKUP(A824,'Tash Lookup'!A:E,3,FALSE),"")</f>
        <v>10.86</v>
      </c>
      <c r="AC824" s="6">
        <f t="shared" si="135"/>
        <v>0</v>
      </c>
      <c r="AD824" s="2" t="s">
        <v>6703</v>
      </c>
      <c r="AF824" s="56">
        <v>5.71</v>
      </c>
      <c r="AG824" s="56">
        <f>VLOOKUP(A824,Sheet1!$A$2:$C$1140,3,FALSE)</f>
        <v>5.83</v>
      </c>
      <c r="AH824" s="58">
        <v>5.83</v>
      </c>
      <c r="AI824" s="56" t="str">
        <f t="shared" si="136"/>
        <v>Increase</v>
      </c>
      <c r="AJ824" s="81">
        <f t="shared" si="140"/>
        <v>11.42</v>
      </c>
      <c r="AK824" s="81">
        <f t="shared" si="141"/>
        <v>11.66</v>
      </c>
      <c r="AL824" s="58" t="s">
        <v>7206</v>
      </c>
      <c r="AM824" s="58" t="s">
        <v>6703</v>
      </c>
      <c r="AN824" s="75">
        <v>3</v>
      </c>
      <c r="AO824" s="88">
        <v>5.83</v>
      </c>
      <c r="AP824" s="6" t="str">
        <f t="shared" si="137"/>
        <v>Increase</v>
      </c>
      <c r="AQ824" s="81">
        <f t="shared" si="138"/>
        <v>17.13</v>
      </c>
      <c r="AR824" s="81">
        <f t="shared" si="139"/>
        <v>17.490000000000002</v>
      </c>
      <c r="AS824" s="81">
        <f t="shared" si="142"/>
        <v>0.36000000000000298</v>
      </c>
    </row>
    <row r="825" spans="1:45" hidden="1" x14ac:dyDescent="0.3">
      <c r="A825">
        <v>6308733</v>
      </c>
      <c r="B825" s="15" t="s">
        <v>6161</v>
      </c>
      <c r="C825" s="16" t="s">
        <v>30</v>
      </c>
      <c r="D825" s="6" t="s">
        <v>31</v>
      </c>
      <c r="E825" t="s">
        <v>1063</v>
      </c>
      <c r="F825" t="s">
        <v>1063</v>
      </c>
      <c r="H825" s="11" t="s">
        <v>27</v>
      </c>
      <c r="I825" s="6" t="s">
        <v>28</v>
      </c>
      <c r="J825" s="6" t="s">
        <v>28</v>
      </c>
      <c r="K825" t="s">
        <v>32</v>
      </c>
      <c r="L825" s="35">
        <v>3.56</v>
      </c>
      <c r="M825" s="6" t="s">
        <v>29</v>
      </c>
      <c r="N825" s="6">
        <v>3105</v>
      </c>
      <c r="P825" s="18"/>
      <c r="Q825" s="17"/>
      <c r="R825" s="19">
        <v>3.56</v>
      </c>
      <c r="S825" s="19">
        <v>3.56</v>
      </c>
      <c r="T825" s="38">
        <v>2</v>
      </c>
      <c r="U825" s="38"/>
      <c r="V825" s="30">
        <v>3.56</v>
      </c>
      <c r="W825" s="35">
        <v>3.56</v>
      </c>
      <c r="X825" s="32">
        <f t="shared" si="132"/>
        <v>7.12</v>
      </c>
      <c r="Y825" s="32">
        <f t="shared" si="133"/>
        <v>7.12</v>
      </c>
      <c r="Z825" s="32">
        <f t="shared" si="134"/>
        <v>0</v>
      </c>
      <c r="AA825" s="38">
        <v>2</v>
      </c>
      <c r="AB825" s="37">
        <f>IFERROR(VLOOKUP(A825,'Tash Lookup'!A:E,3,FALSE),"")</f>
        <v>6.97</v>
      </c>
      <c r="AC825" s="6">
        <f t="shared" si="135"/>
        <v>0</v>
      </c>
      <c r="AD825" s="2" t="s">
        <v>6707</v>
      </c>
      <c r="AF825" s="56">
        <v>3.56</v>
      </c>
      <c r="AG825" s="56" t="e">
        <f>VLOOKUP(A825,Sheet1!$A$2:$C$1140,3,FALSE)</f>
        <v>#N/A</v>
      </c>
      <c r="AH825" s="58" t="e">
        <v>#N/A</v>
      </c>
      <c r="AI825" s="56" t="str">
        <f t="shared" si="136"/>
        <v>Delete</v>
      </c>
      <c r="AJ825" s="81">
        <f t="shared" si="140"/>
        <v>7.12</v>
      </c>
      <c r="AK825" s="81">
        <f t="shared" si="141"/>
        <v>0</v>
      </c>
      <c r="AL825" s="58" t="s">
        <v>7206</v>
      </c>
      <c r="AM825" s="58" t="s">
        <v>6708</v>
      </c>
      <c r="AN825" s="75">
        <v>0</v>
      </c>
      <c r="AO825" s="88">
        <v>3.56</v>
      </c>
      <c r="AP825" s="6" t="str">
        <f t="shared" si="137"/>
        <v>Same</v>
      </c>
      <c r="AQ825" s="81">
        <f t="shared" si="138"/>
        <v>0</v>
      </c>
      <c r="AR825" s="81">
        <f t="shared" si="139"/>
        <v>0</v>
      </c>
      <c r="AS825" s="81">
        <f t="shared" si="142"/>
        <v>0</v>
      </c>
    </row>
    <row r="826" spans="1:45" hidden="1" x14ac:dyDescent="0.3">
      <c r="A826">
        <v>6399347</v>
      </c>
      <c r="B826" s="15" t="s">
        <v>6162</v>
      </c>
      <c r="C826" s="16" t="s">
        <v>30</v>
      </c>
      <c r="D826" s="6" t="s">
        <v>31</v>
      </c>
      <c r="E826" t="s">
        <v>1095</v>
      </c>
      <c r="F826" t="s">
        <v>1095</v>
      </c>
      <c r="H826" s="11" t="s">
        <v>27</v>
      </c>
      <c r="I826" s="6" t="s">
        <v>28</v>
      </c>
      <c r="J826" s="6" t="s">
        <v>28</v>
      </c>
      <c r="K826" t="s">
        <v>32</v>
      </c>
      <c r="L826" s="35">
        <v>5.9</v>
      </c>
      <c r="M826" s="6" t="s">
        <v>29</v>
      </c>
      <c r="N826" s="6">
        <v>3105</v>
      </c>
      <c r="P826" s="18"/>
      <c r="Q826" s="17"/>
      <c r="R826" s="19">
        <v>5.9</v>
      </c>
      <c r="S826" s="19">
        <v>5.9</v>
      </c>
      <c r="T826" s="38">
        <v>2</v>
      </c>
      <c r="U826" s="38"/>
      <c r="V826" s="30">
        <v>5.9</v>
      </c>
      <c r="W826" s="35">
        <v>5.9</v>
      </c>
      <c r="X826" s="32">
        <f t="shared" si="132"/>
        <v>11.8</v>
      </c>
      <c r="Y826" s="32">
        <f t="shared" si="133"/>
        <v>11.8</v>
      </c>
      <c r="Z826" s="32">
        <f t="shared" si="134"/>
        <v>0</v>
      </c>
      <c r="AA826" s="38">
        <v>2</v>
      </c>
      <c r="AB826" s="37">
        <f>IFERROR(VLOOKUP(A826,'Tash Lookup'!A:E,3,FALSE),"")</f>
        <v>11.55</v>
      </c>
      <c r="AC826" s="6">
        <f t="shared" si="135"/>
        <v>0</v>
      </c>
      <c r="AD826" s="2" t="s">
        <v>6704</v>
      </c>
      <c r="AF826" s="56">
        <v>5.9</v>
      </c>
      <c r="AG826" s="56" t="e">
        <f>VLOOKUP(A826,Sheet1!$A$2:$C$1140,3,FALSE)</f>
        <v>#N/A</v>
      </c>
      <c r="AH826" s="58" t="e">
        <v>#N/A</v>
      </c>
      <c r="AI826" s="56" t="str">
        <f t="shared" si="136"/>
        <v>Delete</v>
      </c>
      <c r="AJ826" s="81">
        <f t="shared" si="140"/>
        <v>11.8</v>
      </c>
      <c r="AK826" s="81">
        <f t="shared" si="141"/>
        <v>0</v>
      </c>
      <c r="AL826" s="58" t="s">
        <v>7206</v>
      </c>
      <c r="AM826" s="58" t="s">
        <v>6708</v>
      </c>
      <c r="AN826" s="75">
        <v>0</v>
      </c>
      <c r="AO826" s="88">
        <v>5.9</v>
      </c>
      <c r="AP826" s="6" t="str">
        <f t="shared" si="137"/>
        <v>Same</v>
      </c>
      <c r="AQ826" s="81">
        <f t="shared" si="138"/>
        <v>0</v>
      </c>
      <c r="AR826" s="81">
        <f t="shared" si="139"/>
        <v>0</v>
      </c>
      <c r="AS826" s="81">
        <f t="shared" si="142"/>
        <v>0</v>
      </c>
    </row>
    <row r="827" spans="1:45" hidden="1" x14ac:dyDescent="0.3">
      <c r="A827">
        <v>6033896</v>
      </c>
      <c r="B827" s="15" t="s">
        <v>6163</v>
      </c>
      <c r="C827" s="16" t="s">
        <v>30</v>
      </c>
      <c r="D827" s="6" t="s">
        <v>31</v>
      </c>
      <c r="E827" t="s">
        <v>1098</v>
      </c>
      <c r="F827" t="s">
        <v>1098</v>
      </c>
      <c r="H827" s="11" t="s">
        <v>27</v>
      </c>
      <c r="I827" s="6" t="s">
        <v>28</v>
      </c>
      <c r="J827" s="6" t="s">
        <v>28</v>
      </c>
      <c r="K827" t="s">
        <v>32</v>
      </c>
      <c r="L827" s="35">
        <v>50.79</v>
      </c>
      <c r="M827" s="6" t="s">
        <v>29</v>
      </c>
      <c r="N827" s="6">
        <v>3105</v>
      </c>
      <c r="P827" s="18"/>
      <c r="Q827" s="17"/>
      <c r="R827" s="19">
        <v>50.79</v>
      </c>
      <c r="S827" s="19">
        <v>50.79</v>
      </c>
      <c r="T827" s="38">
        <v>2</v>
      </c>
      <c r="U827" s="38"/>
      <c r="V827" s="30">
        <v>50.79</v>
      </c>
      <c r="W827" s="35">
        <v>50.79</v>
      </c>
      <c r="X827" s="32">
        <f t="shared" si="132"/>
        <v>101.58</v>
      </c>
      <c r="Y827" s="32">
        <f t="shared" si="133"/>
        <v>101.58</v>
      </c>
      <c r="Z827" s="32">
        <f t="shared" si="134"/>
        <v>0</v>
      </c>
      <c r="AA827" s="38">
        <v>2</v>
      </c>
      <c r="AB827" s="37">
        <f>IFERROR(VLOOKUP(A827,'Tash Lookup'!A:E,3,FALSE),"")</f>
        <v>101.58</v>
      </c>
      <c r="AC827" s="6">
        <f t="shared" si="135"/>
        <v>0</v>
      </c>
      <c r="AD827" s="2" t="s">
        <v>6703</v>
      </c>
      <c r="AF827" s="56">
        <v>50.79</v>
      </c>
      <c r="AG827" s="56">
        <f>VLOOKUP(A827,Sheet1!$A$2:$C$1140,3,FALSE)</f>
        <v>51.8</v>
      </c>
      <c r="AH827" s="58">
        <v>51.8</v>
      </c>
      <c r="AI827" s="56" t="str">
        <f t="shared" si="136"/>
        <v>Increase</v>
      </c>
      <c r="AJ827" s="81">
        <f t="shared" si="140"/>
        <v>101.58</v>
      </c>
      <c r="AK827" s="81">
        <f t="shared" si="141"/>
        <v>103.6</v>
      </c>
      <c r="AL827" s="58" t="s">
        <v>7206</v>
      </c>
      <c r="AM827" s="58" t="s">
        <v>6703</v>
      </c>
      <c r="AN827" s="75">
        <v>0</v>
      </c>
      <c r="AO827" s="88">
        <v>51.8</v>
      </c>
      <c r="AP827" s="6" t="str">
        <f t="shared" si="137"/>
        <v>Increase</v>
      </c>
      <c r="AQ827" s="81">
        <f t="shared" si="138"/>
        <v>0</v>
      </c>
      <c r="AR827" s="81">
        <f t="shared" si="139"/>
        <v>0</v>
      </c>
      <c r="AS827" s="82">
        <f t="shared" si="142"/>
        <v>0</v>
      </c>
    </row>
    <row r="828" spans="1:45" hidden="1" x14ac:dyDescent="0.3">
      <c r="A828">
        <v>5093068</v>
      </c>
      <c r="B828" s="15" t="s">
        <v>6164</v>
      </c>
      <c r="C828" s="16" t="s">
        <v>30</v>
      </c>
      <c r="D828" s="6" t="s">
        <v>31</v>
      </c>
      <c r="E828" t="s">
        <v>1110</v>
      </c>
      <c r="F828" t="s">
        <v>1110</v>
      </c>
      <c r="H828" s="11" t="s">
        <v>27</v>
      </c>
      <c r="I828" s="6" t="s">
        <v>28</v>
      </c>
      <c r="J828" s="6" t="s">
        <v>28</v>
      </c>
      <c r="K828" t="s">
        <v>32</v>
      </c>
      <c r="L828" s="35">
        <v>6.01</v>
      </c>
      <c r="M828" s="6" t="s">
        <v>29</v>
      </c>
      <c r="N828" s="6">
        <v>3105</v>
      </c>
      <c r="P828" s="18"/>
      <c r="Q828" s="17"/>
      <c r="R828" s="19">
        <v>6.01</v>
      </c>
      <c r="S828" s="19">
        <v>6.01</v>
      </c>
      <c r="T828" s="38">
        <v>2</v>
      </c>
      <c r="U828" s="38"/>
      <c r="V828" s="30">
        <v>6.01</v>
      </c>
      <c r="W828" s="35">
        <v>6.01</v>
      </c>
      <c r="X828" s="32">
        <f t="shared" si="132"/>
        <v>12.02</v>
      </c>
      <c r="Y828" s="32">
        <f t="shared" si="133"/>
        <v>12.02</v>
      </c>
      <c r="Z828" s="32">
        <f t="shared" si="134"/>
        <v>0</v>
      </c>
      <c r="AA828" s="38">
        <v>2</v>
      </c>
      <c r="AB828" s="37">
        <f>IFERROR(VLOOKUP(A828,'Tash Lookup'!A:E,3,FALSE),"")</f>
        <v>11.65</v>
      </c>
      <c r="AC828" s="6">
        <f t="shared" si="135"/>
        <v>0</v>
      </c>
      <c r="AD828" s="2" t="s">
        <v>6704</v>
      </c>
      <c r="AF828" s="56">
        <v>6.01</v>
      </c>
      <c r="AG828" s="56" t="e">
        <f>VLOOKUP(A828,Sheet1!$A$2:$C$1140,3,FALSE)</f>
        <v>#N/A</v>
      </c>
      <c r="AH828" s="58" t="e">
        <v>#N/A</v>
      </c>
      <c r="AI828" s="56" t="str">
        <f t="shared" si="136"/>
        <v>Delete</v>
      </c>
      <c r="AJ828" s="81">
        <f t="shared" si="140"/>
        <v>12.02</v>
      </c>
      <c r="AK828" s="81">
        <f t="shared" si="141"/>
        <v>0</v>
      </c>
      <c r="AL828" s="58" t="s">
        <v>7206</v>
      </c>
      <c r="AM828" s="58" t="s">
        <v>6708</v>
      </c>
      <c r="AN828" s="75">
        <v>0</v>
      </c>
      <c r="AO828" s="88">
        <v>6.01</v>
      </c>
      <c r="AP828" s="6" t="str">
        <f t="shared" si="137"/>
        <v>Same</v>
      </c>
      <c r="AQ828" s="81">
        <f t="shared" si="138"/>
        <v>0</v>
      </c>
      <c r="AR828" s="81">
        <f t="shared" si="139"/>
        <v>0</v>
      </c>
      <c r="AS828" s="81">
        <f t="shared" si="142"/>
        <v>0</v>
      </c>
    </row>
    <row r="829" spans="1:45" hidden="1" x14ac:dyDescent="0.3">
      <c r="A829">
        <v>6107955</v>
      </c>
      <c r="B829" s="15" t="s">
        <v>6165</v>
      </c>
      <c r="C829" s="16" t="s">
        <v>30</v>
      </c>
      <c r="D829" s="6" t="s">
        <v>31</v>
      </c>
      <c r="E829" t="s">
        <v>1131</v>
      </c>
      <c r="F829" t="s">
        <v>1131</v>
      </c>
      <c r="H829" s="11" t="s">
        <v>27</v>
      </c>
      <c r="I829" s="6" t="s">
        <v>28</v>
      </c>
      <c r="J829" s="6" t="s">
        <v>28</v>
      </c>
      <c r="K829" t="s">
        <v>32</v>
      </c>
      <c r="L829" s="35">
        <v>10.28</v>
      </c>
      <c r="M829" s="6" t="s">
        <v>29</v>
      </c>
      <c r="N829" s="6">
        <v>3105</v>
      </c>
      <c r="P829" s="18"/>
      <c r="Q829" s="17"/>
      <c r="R829" s="19">
        <v>0</v>
      </c>
      <c r="S829" s="19">
        <v>0</v>
      </c>
      <c r="T829" s="38">
        <v>2</v>
      </c>
      <c r="U829" s="38"/>
      <c r="V829" s="31">
        <v>10.28</v>
      </c>
      <c r="W829" s="35">
        <v>10.28</v>
      </c>
      <c r="X829" s="32">
        <f t="shared" si="132"/>
        <v>20.56</v>
      </c>
      <c r="Y829" s="32">
        <f t="shared" si="133"/>
        <v>20.56</v>
      </c>
      <c r="Z829" s="32">
        <f t="shared" si="134"/>
        <v>0</v>
      </c>
      <c r="AA829" s="38">
        <v>2</v>
      </c>
      <c r="AB829" s="37">
        <f>IFERROR(VLOOKUP(A829,'Tash Lookup'!A:E,3,FALSE),"")</f>
        <v>20.56</v>
      </c>
      <c r="AC829" s="6">
        <f t="shared" si="135"/>
        <v>0</v>
      </c>
      <c r="AD829" s="2" t="s">
        <v>6703</v>
      </c>
      <c r="AF829" s="56">
        <v>10.28</v>
      </c>
      <c r="AG829" s="56">
        <f>VLOOKUP(A829,Sheet1!$A$2:$C$1140,3,FALSE)</f>
        <v>10.49</v>
      </c>
      <c r="AH829" s="58">
        <v>10.49</v>
      </c>
      <c r="AI829" s="56" t="str">
        <f t="shared" si="136"/>
        <v>Increase</v>
      </c>
      <c r="AJ829" s="81">
        <f t="shared" si="140"/>
        <v>20.56</v>
      </c>
      <c r="AK829" s="81">
        <f t="shared" si="141"/>
        <v>20.98</v>
      </c>
      <c r="AL829" s="58" t="s">
        <v>7206</v>
      </c>
      <c r="AM829" s="58" t="s">
        <v>6703</v>
      </c>
      <c r="AN829" s="75">
        <v>0</v>
      </c>
      <c r="AO829" s="88">
        <v>10.49</v>
      </c>
      <c r="AP829" s="6" t="str">
        <f t="shared" si="137"/>
        <v>Increase</v>
      </c>
      <c r="AQ829" s="81">
        <f t="shared" si="138"/>
        <v>0</v>
      </c>
      <c r="AR829" s="81">
        <f t="shared" si="139"/>
        <v>0</v>
      </c>
      <c r="AS829" s="81">
        <f t="shared" si="142"/>
        <v>0</v>
      </c>
    </row>
    <row r="830" spans="1:45" hidden="1" x14ac:dyDescent="0.3">
      <c r="A830">
        <v>6108019</v>
      </c>
      <c r="B830" s="15" t="s">
        <v>6166</v>
      </c>
      <c r="C830" s="16" t="s">
        <v>30</v>
      </c>
      <c r="D830" s="6" t="s">
        <v>31</v>
      </c>
      <c r="E830" t="s">
        <v>1136</v>
      </c>
      <c r="F830" t="s">
        <v>1136</v>
      </c>
      <c r="H830" s="11" t="s">
        <v>27</v>
      </c>
      <c r="I830" s="6" t="s">
        <v>28</v>
      </c>
      <c r="J830" s="6" t="s">
        <v>28</v>
      </c>
      <c r="K830" t="s">
        <v>32</v>
      </c>
      <c r="L830" s="35">
        <v>20.36</v>
      </c>
      <c r="M830" s="6" t="s">
        <v>29</v>
      </c>
      <c r="N830" s="6">
        <v>3105</v>
      </c>
      <c r="P830" s="18"/>
      <c r="Q830" s="17"/>
      <c r="R830" s="19">
        <v>0</v>
      </c>
      <c r="S830" s="19">
        <v>0</v>
      </c>
      <c r="T830" s="38">
        <v>2</v>
      </c>
      <c r="U830" s="38"/>
      <c r="V830" s="31">
        <v>20.36</v>
      </c>
      <c r="W830" s="35">
        <v>20.36</v>
      </c>
      <c r="X830" s="32">
        <f t="shared" si="132"/>
        <v>40.72</v>
      </c>
      <c r="Y830" s="32">
        <f t="shared" si="133"/>
        <v>40.72</v>
      </c>
      <c r="Z830" s="32">
        <f t="shared" si="134"/>
        <v>0</v>
      </c>
      <c r="AA830" s="38">
        <v>2</v>
      </c>
      <c r="AB830" s="37">
        <f>IFERROR(VLOOKUP(A830,'Tash Lookup'!A:E,3,FALSE),"")</f>
        <v>40.72</v>
      </c>
      <c r="AC830" s="6">
        <f t="shared" si="135"/>
        <v>0</v>
      </c>
      <c r="AD830" s="2" t="s">
        <v>6709</v>
      </c>
      <c r="AF830" s="56">
        <v>20.36</v>
      </c>
      <c r="AG830" s="56">
        <f>VLOOKUP(A830,Sheet1!$A$2:$C$1140,3,FALSE)</f>
        <v>20.36</v>
      </c>
      <c r="AH830" s="58">
        <v>20.36</v>
      </c>
      <c r="AI830" s="56" t="str">
        <f t="shared" si="136"/>
        <v>Same</v>
      </c>
      <c r="AJ830" s="81">
        <f t="shared" si="140"/>
        <v>40.72</v>
      </c>
      <c r="AK830" s="81">
        <f t="shared" si="141"/>
        <v>40.72</v>
      </c>
      <c r="AL830" s="58" t="s">
        <v>7206</v>
      </c>
      <c r="AM830" s="58" t="s">
        <v>6708</v>
      </c>
      <c r="AN830" s="75">
        <v>0</v>
      </c>
      <c r="AO830" s="88">
        <v>20.36</v>
      </c>
      <c r="AP830" s="6" t="str">
        <f t="shared" si="137"/>
        <v>Same</v>
      </c>
      <c r="AQ830" s="81">
        <f t="shared" si="138"/>
        <v>0</v>
      </c>
      <c r="AR830" s="81">
        <f t="shared" si="139"/>
        <v>0</v>
      </c>
      <c r="AS830" s="81">
        <f t="shared" si="142"/>
        <v>0</v>
      </c>
    </row>
    <row r="831" spans="1:45" hidden="1" x14ac:dyDescent="0.3">
      <c r="A831">
        <v>6107970</v>
      </c>
      <c r="B831" s="15" t="s">
        <v>6167</v>
      </c>
      <c r="C831" s="16" t="s">
        <v>30</v>
      </c>
      <c r="D831" s="6" t="s">
        <v>31</v>
      </c>
      <c r="E831" t="s">
        <v>1142</v>
      </c>
      <c r="F831" t="s">
        <v>1142</v>
      </c>
      <c r="H831" s="11" t="s">
        <v>27</v>
      </c>
      <c r="I831" s="6" t="s">
        <v>28</v>
      </c>
      <c r="J831" s="6" t="s">
        <v>28</v>
      </c>
      <c r="K831" t="s">
        <v>32</v>
      </c>
      <c r="L831" s="35">
        <v>19.78</v>
      </c>
      <c r="M831" s="6" t="s">
        <v>29</v>
      </c>
      <c r="N831" s="6">
        <v>3105</v>
      </c>
      <c r="P831" s="18"/>
      <c r="Q831" s="17"/>
      <c r="R831" s="19">
        <v>0</v>
      </c>
      <c r="S831" s="19">
        <v>0</v>
      </c>
      <c r="T831" s="38">
        <v>2</v>
      </c>
      <c r="U831" s="38"/>
      <c r="V831" s="31">
        <v>19.78</v>
      </c>
      <c r="W831" s="35">
        <v>19.78</v>
      </c>
      <c r="X831" s="32">
        <f t="shared" si="132"/>
        <v>39.56</v>
      </c>
      <c r="Y831" s="32">
        <f t="shared" si="133"/>
        <v>39.56</v>
      </c>
      <c r="Z831" s="32">
        <f t="shared" si="134"/>
        <v>0</v>
      </c>
      <c r="AA831" s="38">
        <v>2</v>
      </c>
      <c r="AB831" s="37">
        <f>IFERROR(VLOOKUP(A831,'Tash Lookup'!A:E,3,FALSE),"")</f>
        <v>39.56</v>
      </c>
      <c r="AC831" s="6">
        <f t="shared" si="135"/>
        <v>0</v>
      </c>
      <c r="AD831" s="2" t="s">
        <v>6703</v>
      </c>
      <c r="AF831" s="56">
        <v>19.78</v>
      </c>
      <c r="AG831" s="56">
        <f>VLOOKUP(A831,Sheet1!$A$2:$C$1140,3,FALSE)</f>
        <v>20.18</v>
      </c>
      <c r="AH831" s="58">
        <v>20.18</v>
      </c>
      <c r="AI831" s="56" t="str">
        <f t="shared" si="136"/>
        <v>Increase</v>
      </c>
      <c r="AJ831" s="81">
        <f t="shared" si="140"/>
        <v>39.56</v>
      </c>
      <c r="AK831" s="81">
        <f t="shared" si="141"/>
        <v>40.36</v>
      </c>
      <c r="AL831" s="58" t="s">
        <v>7206</v>
      </c>
      <c r="AM831" s="58" t="s">
        <v>6703</v>
      </c>
      <c r="AN831" s="75">
        <v>0</v>
      </c>
      <c r="AO831" s="88">
        <v>20.18</v>
      </c>
      <c r="AP831" s="6" t="str">
        <f t="shared" si="137"/>
        <v>Increase</v>
      </c>
      <c r="AQ831" s="81">
        <f t="shared" si="138"/>
        <v>0</v>
      </c>
      <c r="AR831" s="81">
        <f t="shared" si="139"/>
        <v>0</v>
      </c>
      <c r="AS831" s="82">
        <f t="shared" si="142"/>
        <v>0</v>
      </c>
    </row>
    <row r="832" spans="1:45" hidden="1" x14ac:dyDescent="0.3">
      <c r="A832">
        <v>6108024</v>
      </c>
      <c r="B832" s="15" t="s">
        <v>6168</v>
      </c>
      <c r="C832" s="16" t="s">
        <v>30</v>
      </c>
      <c r="D832" s="6" t="s">
        <v>31</v>
      </c>
      <c r="E832" t="s">
        <v>1145</v>
      </c>
      <c r="F832" t="s">
        <v>1145</v>
      </c>
      <c r="H832" s="11" t="s">
        <v>27</v>
      </c>
      <c r="I832" s="6" t="s">
        <v>28</v>
      </c>
      <c r="J832" s="6" t="s">
        <v>28</v>
      </c>
      <c r="K832" t="s">
        <v>32</v>
      </c>
      <c r="L832" s="35">
        <v>4.7</v>
      </c>
      <c r="M832" s="6" t="s">
        <v>29</v>
      </c>
      <c r="N832" s="6">
        <v>3105</v>
      </c>
      <c r="P832" s="18"/>
      <c r="Q832" s="17"/>
      <c r="R832" s="19">
        <v>0</v>
      </c>
      <c r="S832" s="19">
        <v>0</v>
      </c>
      <c r="T832" s="38">
        <v>2</v>
      </c>
      <c r="U832" s="38"/>
      <c r="V832" s="31">
        <v>4.7</v>
      </c>
      <c r="W832" s="35">
        <v>4.7</v>
      </c>
      <c r="X832" s="32">
        <f t="shared" si="132"/>
        <v>9.4</v>
      </c>
      <c r="Y832" s="32">
        <f t="shared" si="133"/>
        <v>9.4</v>
      </c>
      <c r="Z832" s="32">
        <f t="shared" si="134"/>
        <v>0</v>
      </c>
      <c r="AA832" s="38">
        <v>2</v>
      </c>
      <c r="AB832" s="37">
        <f>IFERROR(VLOOKUP(A832,'Tash Lookup'!A:E,3,FALSE),"")</f>
        <v>9.4</v>
      </c>
      <c r="AC832" s="6">
        <f t="shared" si="135"/>
        <v>0</v>
      </c>
      <c r="AD832" s="2" t="s">
        <v>6703</v>
      </c>
      <c r="AF832" s="56">
        <v>4.7</v>
      </c>
      <c r="AG832" s="56">
        <f>VLOOKUP(A832,Sheet1!$A$2:$C$1140,3,FALSE)</f>
        <v>4.79</v>
      </c>
      <c r="AH832" s="58">
        <v>4.79</v>
      </c>
      <c r="AI832" s="56" t="str">
        <f t="shared" si="136"/>
        <v>Increase</v>
      </c>
      <c r="AJ832" s="81">
        <f t="shared" si="140"/>
        <v>9.4</v>
      </c>
      <c r="AK832" s="81">
        <f t="shared" si="141"/>
        <v>9.58</v>
      </c>
      <c r="AL832" s="58" t="s">
        <v>7206</v>
      </c>
      <c r="AM832" s="58" t="s">
        <v>6703</v>
      </c>
      <c r="AN832" s="75">
        <v>6</v>
      </c>
      <c r="AO832" s="88">
        <v>4.79</v>
      </c>
      <c r="AP832" s="6" t="str">
        <f t="shared" si="137"/>
        <v>Increase</v>
      </c>
      <c r="AQ832" s="81">
        <f t="shared" si="138"/>
        <v>28.200000000000003</v>
      </c>
      <c r="AR832" s="81">
        <f t="shared" si="139"/>
        <v>28.740000000000002</v>
      </c>
      <c r="AS832" s="81">
        <f t="shared" si="142"/>
        <v>0.53999999999999915</v>
      </c>
    </row>
    <row r="833" spans="1:45" hidden="1" x14ac:dyDescent="0.3">
      <c r="A833">
        <v>6389622</v>
      </c>
      <c r="B833" s="15" t="s">
        <v>6169</v>
      </c>
      <c r="C833" s="16" t="s">
        <v>30</v>
      </c>
      <c r="D833" s="6" t="s">
        <v>31</v>
      </c>
      <c r="E833" t="s">
        <v>641</v>
      </c>
      <c r="F833" t="s">
        <v>641</v>
      </c>
      <c r="H833" s="11" t="s">
        <v>27</v>
      </c>
      <c r="I833" s="6" t="s">
        <v>28</v>
      </c>
      <c r="J833" s="6" t="s">
        <v>28</v>
      </c>
      <c r="K833" t="s">
        <v>32</v>
      </c>
      <c r="L833" s="35">
        <v>9.27</v>
      </c>
      <c r="M833" s="6" t="s">
        <v>29</v>
      </c>
      <c r="N833" s="6">
        <v>3105</v>
      </c>
      <c r="P833" s="18"/>
      <c r="Q833" s="17"/>
      <c r="R833" s="19">
        <v>9.27</v>
      </c>
      <c r="S833" s="19">
        <v>9.27</v>
      </c>
      <c r="T833" s="38">
        <v>2</v>
      </c>
      <c r="U833" s="38"/>
      <c r="V833" s="30">
        <v>9.27</v>
      </c>
      <c r="W833" s="35">
        <v>9.27</v>
      </c>
      <c r="X833" s="32">
        <f t="shared" si="132"/>
        <v>18.54</v>
      </c>
      <c r="Y833" s="32">
        <f t="shared" si="133"/>
        <v>18.54</v>
      </c>
      <c r="Z833" s="32">
        <f t="shared" si="134"/>
        <v>0</v>
      </c>
      <c r="AA833" s="38">
        <v>2</v>
      </c>
      <c r="AB833" s="37">
        <f>IFERROR(VLOOKUP(A833,'Tash Lookup'!A:E,3,FALSE),"")</f>
        <v>18.54</v>
      </c>
      <c r="AC833" s="6">
        <f t="shared" si="135"/>
        <v>0</v>
      </c>
      <c r="AD833" s="2" t="s">
        <v>6704</v>
      </c>
      <c r="AF833" s="56">
        <v>9.27</v>
      </c>
      <c r="AG833" s="56" t="e">
        <f>VLOOKUP(A833,Sheet1!$A$2:$C$1140,3,FALSE)</f>
        <v>#N/A</v>
      </c>
      <c r="AH833" s="58" t="e">
        <v>#N/A</v>
      </c>
      <c r="AI833" s="56" t="str">
        <f t="shared" si="136"/>
        <v>Delete</v>
      </c>
      <c r="AJ833" s="81">
        <f t="shared" si="140"/>
        <v>18.54</v>
      </c>
      <c r="AK833" s="81">
        <f t="shared" si="141"/>
        <v>0</v>
      </c>
      <c r="AL833" s="58" t="s">
        <v>7206</v>
      </c>
      <c r="AM833" s="58" t="s">
        <v>6708</v>
      </c>
      <c r="AN833" s="75">
        <v>0</v>
      </c>
      <c r="AO833" s="88">
        <v>9.27</v>
      </c>
      <c r="AP833" s="6" t="str">
        <f t="shared" si="137"/>
        <v>Same</v>
      </c>
      <c r="AQ833" s="81">
        <f t="shared" si="138"/>
        <v>0</v>
      </c>
      <c r="AR833" s="81">
        <f t="shared" si="139"/>
        <v>0</v>
      </c>
      <c r="AS833" s="81">
        <f t="shared" si="142"/>
        <v>0</v>
      </c>
    </row>
    <row r="834" spans="1:45" x14ac:dyDescent="0.3">
      <c r="A834">
        <v>5085966</v>
      </c>
      <c r="B834" s="15" t="s">
        <v>6170</v>
      </c>
      <c r="C834" s="16" t="s">
        <v>30</v>
      </c>
      <c r="D834" s="6" t="s">
        <v>31</v>
      </c>
      <c r="E834" t="s">
        <v>1181</v>
      </c>
      <c r="F834" t="s">
        <v>1181</v>
      </c>
      <c r="H834" s="11" t="s">
        <v>27</v>
      </c>
      <c r="I834" s="6" t="s">
        <v>28</v>
      </c>
      <c r="J834" s="6" t="s">
        <v>28</v>
      </c>
      <c r="K834" t="s">
        <v>32</v>
      </c>
      <c r="L834" s="35">
        <v>39.03</v>
      </c>
      <c r="M834" s="6" t="s">
        <v>29</v>
      </c>
      <c r="N834" s="6">
        <v>3105</v>
      </c>
      <c r="P834" s="18"/>
      <c r="Q834" s="17"/>
      <c r="R834" s="19">
        <v>39.03</v>
      </c>
      <c r="S834" s="19">
        <v>39.03</v>
      </c>
      <c r="T834" s="38">
        <v>2</v>
      </c>
      <c r="U834" s="38"/>
      <c r="V834" s="30">
        <v>39.03</v>
      </c>
      <c r="W834" s="35">
        <v>39.03</v>
      </c>
      <c r="X834" s="32">
        <f t="shared" si="132"/>
        <v>78.06</v>
      </c>
      <c r="Y834" s="32">
        <f t="shared" si="133"/>
        <v>78.06</v>
      </c>
      <c r="Z834" s="32">
        <f t="shared" si="134"/>
        <v>0</v>
      </c>
      <c r="AA834" s="38">
        <v>2</v>
      </c>
      <c r="AB834" s="37">
        <f>IFERROR(VLOOKUP(A834,'Tash Lookup'!A:E,3,FALSE),"")</f>
        <v>78.06</v>
      </c>
      <c r="AC834" s="6">
        <f t="shared" si="135"/>
        <v>0</v>
      </c>
      <c r="AD834" s="2" t="s">
        <v>6703</v>
      </c>
      <c r="AF834" s="56">
        <v>43.04</v>
      </c>
      <c r="AG834" s="56">
        <f>VLOOKUP(A834,Sheet1!$A$2:$C$1140,3,FALSE)</f>
        <v>43.04</v>
      </c>
      <c r="AH834" s="58">
        <v>43.04</v>
      </c>
      <c r="AI834" s="56" t="str">
        <f t="shared" si="136"/>
        <v>Same</v>
      </c>
      <c r="AJ834" s="81">
        <f t="shared" si="140"/>
        <v>86.08</v>
      </c>
      <c r="AK834" s="81">
        <f t="shared" si="141"/>
        <v>86.08</v>
      </c>
      <c r="AL834" s="58" t="s">
        <v>7206</v>
      </c>
      <c r="AM834" s="58" t="s">
        <v>6703</v>
      </c>
      <c r="AN834" s="75">
        <v>0</v>
      </c>
      <c r="AO834" s="88">
        <v>43.04</v>
      </c>
      <c r="AP834" s="6" t="str">
        <f t="shared" si="137"/>
        <v>Same</v>
      </c>
      <c r="AQ834" s="81">
        <f t="shared" si="138"/>
        <v>0</v>
      </c>
      <c r="AR834" s="81">
        <f t="shared" si="139"/>
        <v>0</v>
      </c>
      <c r="AS834" s="81">
        <f t="shared" si="142"/>
        <v>0</v>
      </c>
    </row>
    <row r="835" spans="1:45" x14ac:dyDescent="0.3">
      <c r="A835">
        <v>5119154</v>
      </c>
      <c r="B835" s="15" t="s">
        <v>6171</v>
      </c>
      <c r="C835" s="16" t="s">
        <v>30</v>
      </c>
      <c r="D835" s="6" t="s">
        <v>31</v>
      </c>
      <c r="E835" t="s">
        <v>630</v>
      </c>
      <c r="F835" t="s">
        <v>630</v>
      </c>
      <c r="H835" s="11" t="s">
        <v>27</v>
      </c>
      <c r="I835" s="6" t="s">
        <v>28</v>
      </c>
      <c r="J835" s="6" t="s">
        <v>28</v>
      </c>
      <c r="K835" t="s">
        <v>32</v>
      </c>
      <c r="L835" s="35">
        <v>34.35</v>
      </c>
      <c r="M835" s="6" t="s">
        <v>29</v>
      </c>
      <c r="N835" s="6">
        <v>3105</v>
      </c>
      <c r="P835" s="18"/>
      <c r="Q835" s="17"/>
      <c r="R835" s="19">
        <v>34.35</v>
      </c>
      <c r="S835" s="19">
        <v>34.35</v>
      </c>
      <c r="T835" s="38">
        <v>2</v>
      </c>
      <c r="U835" s="38"/>
      <c r="V835" s="30">
        <v>34.35</v>
      </c>
      <c r="W835" s="35">
        <v>34.35</v>
      </c>
      <c r="X835" s="32">
        <f t="shared" si="132"/>
        <v>68.7</v>
      </c>
      <c r="Y835" s="32">
        <f t="shared" si="133"/>
        <v>68.7</v>
      </c>
      <c r="Z835" s="32">
        <f t="shared" si="134"/>
        <v>0</v>
      </c>
      <c r="AA835" s="38">
        <v>2</v>
      </c>
      <c r="AB835" s="37">
        <f>IFERROR(VLOOKUP(A835,'Tash Lookup'!A:E,3,FALSE),"")</f>
        <v>68.709999999999994</v>
      </c>
      <c r="AC835" s="6">
        <f t="shared" si="135"/>
        <v>0</v>
      </c>
      <c r="AD835" s="2" t="s">
        <v>6703</v>
      </c>
      <c r="AF835" s="56">
        <v>44.7</v>
      </c>
      <c r="AG835" s="56">
        <f>VLOOKUP(A835,Sheet1!$A$2:$C$1140,3,FALSE)</f>
        <v>46.04</v>
      </c>
      <c r="AH835" s="58">
        <v>46.04</v>
      </c>
      <c r="AI835" s="56" t="str">
        <f t="shared" si="136"/>
        <v>Increase</v>
      </c>
      <c r="AJ835" s="81">
        <f t="shared" si="140"/>
        <v>89.4</v>
      </c>
      <c r="AK835" s="81">
        <f t="shared" si="141"/>
        <v>92.08</v>
      </c>
      <c r="AL835" s="58" t="s">
        <v>32</v>
      </c>
      <c r="AM835" s="58" t="s">
        <v>6703</v>
      </c>
      <c r="AN835" s="75">
        <v>6</v>
      </c>
      <c r="AO835" s="88">
        <v>46.04</v>
      </c>
      <c r="AP835" s="6" t="str">
        <f t="shared" si="137"/>
        <v>Increase</v>
      </c>
      <c r="AQ835" s="81">
        <f t="shared" si="138"/>
        <v>268.20000000000005</v>
      </c>
      <c r="AR835" s="81">
        <f t="shared" si="139"/>
        <v>276.24</v>
      </c>
      <c r="AS835" s="82">
        <f t="shared" si="142"/>
        <v>8.0399999999999636</v>
      </c>
    </row>
    <row r="836" spans="1:45" hidden="1" x14ac:dyDescent="0.3">
      <c r="A836">
        <v>6352809</v>
      </c>
      <c r="B836" s="15" t="s">
        <v>6172</v>
      </c>
      <c r="C836" s="16" t="s">
        <v>30</v>
      </c>
      <c r="D836" s="6" t="s">
        <v>31</v>
      </c>
      <c r="E836" t="s">
        <v>1248</v>
      </c>
      <c r="F836" t="s">
        <v>1248</v>
      </c>
      <c r="H836" s="11" t="s">
        <v>27</v>
      </c>
      <c r="I836" s="6" t="s">
        <v>28</v>
      </c>
      <c r="J836" s="6" t="s">
        <v>28</v>
      </c>
      <c r="K836" t="s">
        <v>32</v>
      </c>
      <c r="L836" s="35">
        <v>18.95</v>
      </c>
      <c r="M836" s="6" t="s">
        <v>29</v>
      </c>
      <c r="N836" s="6">
        <v>3105</v>
      </c>
      <c r="P836" s="18"/>
      <c r="Q836" s="17"/>
      <c r="R836" s="19">
        <v>18.95</v>
      </c>
      <c r="S836" s="19">
        <v>18.95</v>
      </c>
      <c r="T836" s="38">
        <v>2</v>
      </c>
      <c r="U836" s="38"/>
      <c r="V836" s="30">
        <v>18.95</v>
      </c>
      <c r="W836" s="35">
        <v>18.95</v>
      </c>
      <c r="X836" s="32">
        <f t="shared" si="132"/>
        <v>37.9</v>
      </c>
      <c r="Y836" s="32">
        <f t="shared" si="133"/>
        <v>37.9</v>
      </c>
      <c r="Z836" s="32">
        <f t="shared" si="134"/>
        <v>0</v>
      </c>
      <c r="AA836" s="38">
        <v>2</v>
      </c>
      <c r="AB836" s="37">
        <f>IFERROR(VLOOKUP(A836,'Tash Lookup'!A:E,3,FALSE),"")</f>
        <v>37.08</v>
      </c>
      <c r="AC836" s="6">
        <f t="shared" si="135"/>
        <v>0</v>
      </c>
      <c r="AD836" s="2" t="s">
        <v>6711</v>
      </c>
      <c r="AE836" s="2" t="s">
        <v>6701</v>
      </c>
      <c r="AF836" s="56">
        <v>18.95</v>
      </c>
      <c r="AG836" s="56" t="e">
        <f>VLOOKUP(A836,Sheet1!$A$2:$C$1140,3,FALSE)</f>
        <v>#N/A</v>
      </c>
      <c r="AH836" s="58" t="e">
        <v>#N/A</v>
      </c>
      <c r="AI836" s="56" t="str">
        <f t="shared" si="136"/>
        <v>Delete</v>
      </c>
      <c r="AJ836" s="81">
        <f t="shared" si="140"/>
        <v>37.9</v>
      </c>
      <c r="AK836" s="81">
        <f t="shared" si="141"/>
        <v>0</v>
      </c>
      <c r="AL836" s="58" t="s">
        <v>7206</v>
      </c>
      <c r="AM836" s="58" t="s">
        <v>6711</v>
      </c>
      <c r="AN836" s="75">
        <v>0</v>
      </c>
      <c r="AO836" s="88">
        <v>18.95</v>
      </c>
      <c r="AP836" s="6" t="str">
        <f t="shared" si="137"/>
        <v>Delete</v>
      </c>
      <c r="AQ836" s="81">
        <f t="shared" si="138"/>
        <v>0</v>
      </c>
      <c r="AR836" s="81">
        <f t="shared" si="139"/>
        <v>0</v>
      </c>
      <c r="AS836" s="81">
        <f t="shared" si="142"/>
        <v>0</v>
      </c>
    </row>
    <row r="837" spans="1:45" hidden="1" x14ac:dyDescent="0.3">
      <c r="A837">
        <v>6352810</v>
      </c>
      <c r="B837" s="15" t="s">
        <v>6173</v>
      </c>
      <c r="C837" s="16" t="s">
        <v>30</v>
      </c>
      <c r="D837" s="6" t="s">
        <v>31</v>
      </c>
      <c r="E837" t="s">
        <v>1249</v>
      </c>
      <c r="F837" t="s">
        <v>1249</v>
      </c>
      <c r="H837" s="11" t="s">
        <v>27</v>
      </c>
      <c r="I837" s="6" t="s">
        <v>28</v>
      </c>
      <c r="J837" s="6" t="s">
        <v>28</v>
      </c>
      <c r="K837" t="s">
        <v>32</v>
      </c>
      <c r="L837" s="35">
        <v>18.95</v>
      </c>
      <c r="M837" s="6" t="s">
        <v>29</v>
      </c>
      <c r="N837" s="6">
        <v>3105</v>
      </c>
      <c r="P837" s="18"/>
      <c r="Q837" s="17"/>
      <c r="R837" s="19">
        <v>18.95</v>
      </c>
      <c r="S837" s="19">
        <v>18.95</v>
      </c>
      <c r="T837" s="38">
        <v>2</v>
      </c>
      <c r="U837" s="38"/>
      <c r="V837" s="30">
        <v>18.95</v>
      </c>
      <c r="W837" s="35">
        <v>18.95</v>
      </c>
      <c r="X837" s="32">
        <f t="shared" si="132"/>
        <v>37.9</v>
      </c>
      <c r="Y837" s="32">
        <f t="shared" si="133"/>
        <v>37.9</v>
      </c>
      <c r="Z837" s="32">
        <f t="shared" si="134"/>
        <v>0</v>
      </c>
      <c r="AA837" s="38">
        <v>2</v>
      </c>
      <c r="AB837" s="37">
        <f>IFERROR(VLOOKUP(A837,'Tash Lookup'!A:E,3,FALSE),"")</f>
        <v>37.08</v>
      </c>
      <c r="AC837" s="6">
        <f t="shared" si="135"/>
        <v>0</v>
      </c>
      <c r="AD837" s="2" t="s">
        <v>6711</v>
      </c>
      <c r="AE837" s="2" t="s">
        <v>6701</v>
      </c>
      <c r="AF837" s="56">
        <v>18.95</v>
      </c>
      <c r="AG837" s="56" t="e">
        <f>VLOOKUP(A837,Sheet1!$A$2:$C$1140,3,FALSE)</f>
        <v>#N/A</v>
      </c>
      <c r="AH837" s="58" t="e">
        <v>#N/A</v>
      </c>
      <c r="AI837" s="56" t="str">
        <f t="shared" si="136"/>
        <v>Delete</v>
      </c>
      <c r="AJ837" s="81">
        <f t="shared" si="140"/>
        <v>37.9</v>
      </c>
      <c r="AK837" s="81">
        <f t="shared" si="141"/>
        <v>0</v>
      </c>
      <c r="AL837" s="58" t="s">
        <v>7206</v>
      </c>
      <c r="AM837" s="58" t="s">
        <v>6711</v>
      </c>
      <c r="AN837" s="75">
        <v>0</v>
      </c>
      <c r="AO837" s="88">
        <v>18.95</v>
      </c>
      <c r="AP837" s="6" t="str">
        <f t="shared" si="137"/>
        <v>Delete</v>
      </c>
      <c r="AQ837" s="81">
        <f t="shared" si="138"/>
        <v>0</v>
      </c>
      <c r="AR837" s="81">
        <f t="shared" si="139"/>
        <v>0</v>
      </c>
      <c r="AS837" s="81">
        <f t="shared" si="142"/>
        <v>0</v>
      </c>
    </row>
    <row r="838" spans="1:45" hidden="1" x14ac:dyDescent="0.3">
      <c r="A838">
        <v>6384971</v>
      </c>
      <c r="B838" s="15" t="s">
        <v>6174</v>
      </c>
      <c r="C838" s="16" t="s">
        <v>30</v>
      </c>
      <c r="D838" s="6" t="s">
        <v>31</v>
      </c>
      <c r="E838" t="s">
        <v>1274</v>
      </c>
      <c r="F838" t="s">
        <v>1274</v>
      </c>
      <c r="H838" s="11" t="s">
        <v>27</v>
      </c>
      <c r="I838" s="6" t="s">
        <v>28</v>
      </c>
      <c r="J838" s="6" t="s">
        <v>28</v>
      </c>
      <c r="K838" t="s">
        <v>32</v>
      </c>
      <c r="L838" s="35">
        <v>89.61</v>
      </c>
      <c r="M838" s="6" t="s">
        <v>29</v>
      </c>
      <c r="N838" s="6">
        <v>3105</v>
      </c>
      <c r="P838" s="18"/>
      <c r="Q838" s="17"/>
      <c r="R838" s="19">
        <v>0</v>
      </c>
      <c r="S838" s="19">
        <v>0</v>
      </c>
      <c r="T838" s="38">
        <v>2</v>
      </c>
      <c r="U838" s="38"/>
      <c r="V838" s="31">
        <v>89.61</v>
      </c>
      <c r="W838" s="35">
        <v>89.61</v>
      </c>
      <c r="X838" s="32">
        <f t="shared" ref="X838:X901" si="143">SUM(V838*T838)</f>
        <v>179.22</v>
      </c>
      <c r="Y838" s="32">
        <f t="shared" ref="Y838:Y901" si="144">SUM(L838*T838)</f>
        <v>179.22</v>
      </c>
      <c r="Z838" s="32">
        <f t="shared" ref="Z838:Z901" si="145">SUM(X838-Y838)</f>
        <v>0</v>
      </c>
      <c r="AA838" s="38">
        <v>2</v>
      </c>
      <c r="AB838" s="37">
        <f>IFERROR(VLOOKUP(A838,'Tash Lookup'!A:E,3,FALSE),"")</f>
        <v>199.58</v>
      </c>
      <c r="AC838" s="6">
        <f t="shared" ref="AC838:AC901" si="146">IFERROR(AA838-T838,"")</f>
        <v>0</v>
      </c>
      <c r="AD838" s="2" t="s">
        <v>6703</v>
      </c>
      <c r="AF838" s="56">
        <v>94.09</v>
      </c>
      <c r="AG838" s="56">
        <f>VLOOKUP(A838,Sheet1!$A$2:$C$1140,3,FALSE)</f>
        <v>94.09</v>
      </c>
      <c r="AH838" s="58">
        <v>94.09</v>
      </c>
      <c r="AI838" s="56" t="str">
        <f t="shared" ref="AI838:AI901" si="147">IF(ISNA(AH838),"Delete",IF(AH838=AF838,"Same",IF(AH838&gt;AF838,"Increase","Decrease")))</f>
        <v>Same</v>
      </c>
      <c r="AJ838" s="81">
        <f t="shared" si="140"/>
        <v>188.18</v>
      </c>
      <c r="AK838" s="81">
        <f t="shared" si="141"/>
        <v>188.18</v>
      </c>
      <c r="AL838" s="58" t="s">
        <v>7206</v>
      </c>
      <c r="AM838" s="58" t="s">
        <v>6703</v>
      </c>
      <c r="AN838" s="75">
        <v>1</v>
      </c>
      <c r="AO838" s="88">
        <v>94.09</v>
      </c>
      <c r="AP838" s="6" t="str">
        <f t="shared" ref="AP838:AP901" si="148">IF(AM838="Delete","Delete",IF(AO838=AF838,"Same",IF(AO838&gt;AF838,"Increase","Decrease")))</f>
        <v>Same</v>
      </c>
      <c r="AQ838" s="81">
        <f t="shared" ref="AQ838:AQ901" si="149">AN838*AF838</f>
        <v>94.09</v>
      </c>
      <c r="AR838" s="81">
        <f t="shared" ref="AR838:AR901" si="150">AN838*AO838</f>
        <v>94.09</v>
      </c>
      <c r="AS838" s="81">
        <f t="shared" si="142"/>
        <v>0</v>
      </c>
    </row>
    <row r="839" spans="1:45" hidden="1" x14ac:dyDescent="0.3">
      <c r="A839">
        <v>6373135</v>
      </c>
      <c r="B839" s="15" t="s">
        <v>6175</v>
      </c>
      <c r="C839" s="16" t="s">
        <v>30</v>
      </c>
      <c r="D839" s="6" t="s">
        <v>31</v>
      </c>
      <c r="E839" t="s">
        <v>1275</v>
      </c>
      <c r="F839" t="s">
        <v>1275</v>
      </c>
      <c r="H839" s="11" t="s">
        <v>27</v>
      </c>
      <c r="I839" s="6" t="s">
        <v>28</v>
      </c>
      <c r="J839" s="6" t="s">
        <v>28</v>
      </c>
      <c r="K839" t="s">
        <v>32</v>
      </c>
      <c r="L839" s="35">
        <v>42.62</v>
      </c>
      <c r="M839" s="6" t="s">
        <v>29</v>
      </c>
      <c r="N839" s="6">
        <v>3105</v>
      </c>
      <c r="P839" s="18"/>
      <c r="Q839" s="17"/>
      <c r="R839" s="19">
        <v>42.62</v>
      </c>
      <c r="S839" s="19">
        <v>42.62</v>
      </c>
      <c r="T839" s="38">
        <v>2</v>
      </c>
      <c r="U839" s="38"/>
      <c r="V839" s="30">
        <v>42.62</v>
      </c>
      <c r="W839" s="35">
        <v>42.62</v>
      </c>
      <c r="X839" s="32">
        <f t="shared" si="143"/>
        <v>85.24</v>
      </c>
      <c r="Y839" s="32">
        <f t="shared" si="144"/>
        <v>85.24</v>
      </c>
      <c r="Z839" s="32">
        <f t="shared" si="145"/>
        <v>0</v>
      </c>
      <c r="AA839" s="38">
        <v>2</v>
      </c>
      <c r="AB839" s="37">
        <f>IFERROR(VLOOKUP(A839,'Tash Lookup'!A:E,3,FALSE),"")</f>
        <v>85.24</v>
      </c>
      <c r="AC839" s="6">
        <f t="shared" si="146"/>
        <v>0</v>
      </c>
      <c r="AD839" s="2" t="s">
        <v>6703</v>
      </c>
      <c r="AF839" s="56">
        <v>44.76</v>
      </c>
      <c r="AG839" s="56">
        <f>VLOOKUP(A839,Sheet1!$A$2:$C$1140,3,FALSE)</f>
        <v>40.03</v>
      </c>
      <c r="AH839" s="58">
        <v>40.03</v>
      </c>
      <c r="AI839" s="56" t="str">
        <f t="shared" si="147"/>
        <v>Decrease</v>
      </c>
      <c r="AJ839" s="81">
        <f t="shared" ref="AJ839:AJ902" si="151">IFERROR(AA839*AF839,0)</f>
        <v>89.52</v>
      </c>
      <c r="AK839" s="81">
        <f t="shared" ref="AK839:AK902" si="152">IFERROR(AA839*AH839,0)</f>
        <v>80.06</v>
      </c>
      <c r="AL839" s="58" t="s">
        <v>7206</v>
      </c>
      <c r="AM839" s="58" t="s">
        <v>6703</v>
      </c>
      <c r="AN839" s="75">
        <v>0</v>
      </c>
      <c r="AO839" s="88">
        <v>40.03</v>
      </c>
      <c r="AP839" s="6" t="str">
        <f t="shared" si="148"/>
        <v>Decrease</v>
      </c>
      <c r="AQ839" s="81">
        <f t="shared" si="149"/>
        <v>0</v>
      </c>
      <c r="AR839" s="81">
        <f t="shared" si="150"/>
        <v>0</v>
      </c>
      <c r="AS839" s="83">
        <f t="shared" ref="AS839:AS902" si="153">AR839-AQ839</f>
        <v>0</v>
      </c>
    </row>
    <row r="840" spans="1:45" hidden="1" x14ac:dyDescent="0.3">
      <c r="A840">
        <v>6107206</v>
      </c>
      <c r="B840" s="15" t="s">
        <v>6176</v>
      </c>
      <c r="C840" s="16" t="s">
        <v>30</v>
      </c>
      <c r="D840" s="6" t="s">
        <v>31</v>
      </c>
      <c r="E840" t="s">
        <v>1278</v>
      </c>
      <c r="F840" t="s">
        <v>1278</v>
      </c>
      <c r="H840" s="11" t="s">
        <v>27</v>
      </c>
      <c r="I840" s="6" t="s">
        <v>28</v>
      </c>
      <c r="J840" s="6" t="s">
        <v>28</v>
      </c>
      <c r="K840" t="s">
        <v>32</v>
      </c>
      <c r="L840" s="35">
        <v>14.69</v>
      </c>
      <c r="M840" s="6" t="s">
        <v>29</v>
      </c>
      <c r="N840" s="6">
        <v>3105</v>
      </c>
      <c r="P840" s="18"/>
      <c r="Q840" s="17"/>
      <c r="R840" s="19">
        <v>0</v>
      </c>
      <c r="S840" s="19">
        <v>0</v>
      </c>
      <c r="T840" s="38">
        <v>2</v>
      </c>
      <c r="U840" s="38"/>
      <c r="V840" s="31">
        <v>14.69</v>
      </c>
      <c r="W840" s="35">
        <v>14.69</v>
      </c>
      <c r="X840" s="32">
        <f t="shared" si="143"/>
        <v>29.38</v>
      </c>
      <c r="Y840" s="32">
        <f t="shared" si="144"/>
        <v>29.38</v>
      </c>
      <c r="Z840" s="32">
        <f t="shared" si="145"/>
        <v>0</v>
      </c>
      <c r="AA840" s="38">
        <v>2</v>
      </c>
      <c r="AB840" s="37">
        <f>IFERROR(VLOOKUP(A840,'Tash Lookup'!A:E,3,FALSE),"")</f>
        <v>29.39</v>
      </c>
      <c r="AC840" s="6">
        <f t="shared" si="146"/>
        <v>0</v>
      </c>
      <c r="AD840" s="2" t="s">
        <v>6703</v>
      </c>
      <c r="AF840" s="56">
        <v>15.65</v>
      </c>
      <c r="AG840" s="56">
        <f>VLOOKUP(A840,Sheet1!$A$2:$C$1140,3,FALSE)</f>
        <v>15.97</v>
      </c>
      <c r="AH840" s="58">
        <v>15.97</v>
      </c>
      <c r="AI840" s="56" t="str">
        <f t="shared" si="147"/>
        <v>Increase</v>
      </c>
      <c r="AJ840" s="81">
        <f t="shared" si="151"/>
        <v>31.3</v>
      </c>
      <c r="AK840" s="81">
        <f t="shared" si="152"/>
        <v>31.94</v>
      </c>
      <c r="AL840" s="58" t="s">
        <v>7206</v>
      </c>
      <c r="AM840" s="58" t="s">
        <v>6708</v>
      </c>
      <c r="AN840" s="75">
        <v>27</v>
      </c>
      <c r="AO840" s="88">
        <v>15.97</v>
      </c>
      <c r="AP840" s="6" t="str">
        <f t="shared" si="148"/>
        <v>Increase</v>
      </c>
      <c r="AQ840" s="81">
        <f t="shared" si="149"/>
        <v>422.55</v>
      </c>
      <c r="AR840" s="81">
        <f t="shared" si="150"/>
        <v>431.19</v>
      </c>
      <c r="AS840" s="82">
        <f t="shared" si="153"/>
        <v>8.6399999999999864</v>
      </c>
    </row>
    <row r="841" spans="1:45" hidden="1" x14ac:dyDescent="0.3">
      <c r="A841">
        <v>6345861</v>
      </c>
      <c r="B841" s="15" t="s">
        <v>6177</v>
      </c>
      <c r="C841" s="16" t="s">
        <v>30</v>
      </c>
      <c r="D841" s="6" t="s">
        <v>31</v>
      </c>
      <c r="E841" t="s">
        <v>1282</v>
      </c>
      <c r="F841" t="s">
        <v>1282</v>
      </c>
      <c r="H841" s="11" t="s">
        <v>27</v>
      </c>
      <c r="I841" s="6" t="s">
        <v>28</v>
      </c>
      <c r="J841" s="6" t="s">
        <v>28</v>
      </c>
      <c r="K841" t="s">
        <v>32</v>
      </c>
      <c r="L841" s="35">
        <v>82.77</v>
      </c>
      <c r="M841" s="6" t="s">
        <v>29</v>
      </c>
      <c r="N841" s="6">
        <v>3105</v>
      </c>
      <c r="P841" s="18"/>
      <c r="Q841" s="17"/>
      <c r="R841" s="19">
        <v>82.77</v>
      </c>
      <c r="S841" s="19">
        <v>82.77</v>
      </c>
      <c r="T841" s="38">
        <v>2</v>
      </c>
      <c r="U841" s="38"/>
      <c r="V841" s="30">
        <v>82.77</v>
      </c>
      <c r="W841" s="35">
        <v>82.77</v>
      </c>
      <c r="X841" s="32">
        <f t="shared" si="143"/>
        <v>165.54</v>
      </c>
      <c r="Y841" s="32">
        <f t="shared" si="144"/>
        <v>165.54</v>
      </c>
      <c r="Z841" s="32">
        <f t="shared" si="145"/>
        <v>0</v>
      </c>
      <c r="AA841" s="38">
        <v>2</v>
      </c>
      <c r="AB841" s="37">
        <f>IFERROR(VLOOKUP(A841,'Tash Lookup'!A:E,3,FALSE),"")</f>
        <v>165.54</v>
      </c>
      <c r="AC841" s="6">
        <f t="shared" si="146"/>
        <v>0</v>
      </c>
      <c r="AD841" s="2" t="s">
        <v>6703</v>
      </c>
      <c r="AF841" s="56">
        <v>92.23</v>
      </c>
      <c r="AG841" s="56">
        <f>VLOOKUP(A841,Sheet1!$A$2:$C$1140,3,FALSE)</f>
        <v>92.23</v>
      </c>
      <c r="AH841" s="58">
        <v>92.23</v>
      </c>
      <c r="AI841" s="56" t="str">
        <f t="shared" si="147"/>
        <v>Same</v>
      </c>
      <c r="AJ841" s="81">
        <f t="shared" si="151"/>
        <v>184.46</v>
      </c>
      <c r="AK841" s="81">
        <f t="shared" si="152"/>
        <v>184.46</v>
      </c>
      <c r="AL841" s="58" t="s">
        <v>7206</v>
      </c>
      <c r="AM841" s="58" t="s">
        <v>6703</v>
      </c>
      <c r="AN841" s="75">
        <v>1</v>
      </c>
      <c r="AO841" s="88">
        <v>92.23</v>
      </c>
      <c r="AP841" s="6" t="str">
        <f t="shared" si="148"/>
        <v>Same</v>
      </c>
      <c r="AQ841" s="81">
        <f t="shared" si="149"/>
        <v>92.23</v>
      </c>
      <c r="AR841" s="81">
        <f t="shared" si="150"/>
        <v>92.23</v>
      </c>
      <c r="AS841" s="81">
        <f t="shared" si="153"/>
        <v>0</v>
      </c>
    </row>
    <row r="842" spans="1:45" hidden="1" x14ac:dyDescent="0.3">
      <c r="A842">
        <v>6345858</v>
      </c>
      <c r="B842" s="15" t="s">
        <v>6178</v>
      </c>
      <c r="C842" s="16" t="s">
        <v>30</v>
      </c>
      <c r="D842" s="6" t="s">
        <v>31</v>
      </c>
      <c r="E842" t="s">
        <v>1283</v>
      </c>
      <c r="F842" t="s">
        <v>1283</v>
      </c>
      <c r="H842" s="11" t="s">
        <v>27</v>
      </c>
      <c r="I842" s="6" t="s">
        <v>28</v>
      </c>
      <c r="J842" s="6" t="s">
        <v>28</v>
      </c>
      <c r="K842" t="s">
        <v>32</v>
      </c>
      <c r="L842" s="35">
        <v>40.43</v>
      </c>
      <c r="M842" s="6" t="s">
        <v>29</v>
      </c>
      <c r="N842" s="6">
        <v>3105</v>
      </c>
      <c r="P842" s="18"/>
      <c r="Q842" s="17"/>
      <c r="R842" s="19">
        <v>40.43</v>
      </c>
      <c r="S842" s="19">
        <v>40.43</v>
      </c>
      <c r="T842" s="38">
        <v>2</v>
      </c>
      <c r="U842" s="38"/>
      <c r="V842" s="30">
        <v>40.43</v>
      </c>
      <c r="W842" s="35">
        <v>40.43</v>
      </c>
      <c r="X842" s="32">
        <f t="shared" si="143"/>
        <v>80.86</v>
      </c>
      <c r="Y842" s="32">
        <f t="shared" si="144"/>
        <v>80.86</v>
      </c>
      <c r="Z842" s="32">
        <f t="shared" si="145"/>
        <v>0</v>
      </c>
      <c r="AA842" s="38">
        <v>2</v>
      </c>
      <c r="AB842" s="37">
        <f>IFERROR(VLOOKUP(A842,'Tash Lookup'!A:E,3,FALSE),"")</f>
        <v>80.849999999999994</v>
      </c>
      <c r="AC842" s="6">
        <f t="shared" si="146"/>
        <v>0</v>
      </c>
      <c r="AD842" s="2" t="s">
        <v>6703</v>
      </c>
      <c r="AF842" s="56">
        <v>45.05</v>
      </c>
      <c r="AG842" s="56">
        <f>VLOOKUP(A842,Sheet1!$A$2:$C$1140,3,FALSE)</f>
        <v>45.05</v>
      </c>
      <c r="AH842" s="58">
        <v>45.05</v>
      </c>
      <c r="AI842" s="56" t="str">
        <f t="shared" si="147"/>
        <v>Same</v>
      </c>
      <c r="AJ842" s="81">
        <f t="shared" si="151"/>
        <v>90.1</v>
      </c>
      <c r="AK842" s="81">
        <f t="shared" si="152"/>
        <v>90.1</v>
      </c>
      <c r="AL842" s="58" t="s">
        <v>7206</v>
      </c>
      <c r="AM842" s="58" t="s">
        <v>6703</v>
      </c>
      <c r="AN842" s="75">
        <v>0</v>
      </c>
      <c r="AO842" s="88">
        <v>45.05</v>
      </c>
      <c r="AP842" s="6" t="str">
        <f t="shared" si="148"/>
        <v>Same</v>
      </c>
      <c r="AQ842" s="81">
        <f t="shared" si="149"/>
        <v>0</v>
      </c>
      <c r="AR842" s="81">
        <f t="shared" si="150"/>
        <v>0</v>
      </c>
      <c r="AS842" s="81">
        <f t="shared" si="153"/>
        <v>0</v>
      </c>
    </row>
    <row r="843" spans="1:45" hidden="1" x14ac:dyDescent="0.3">
      <c r="A843">
        <v>5222344</v>
      </c>
      <c r="B843" s="15" t="s">
        <v>6179</v>
      </c>
      <c r="C843" s="16" t="s">
        <v>30</v>
      </c>
      <c r="D843" s="6" t="s">
        <v>31</v>
      </c>
      <c r="E843" t="s">
        <v>1314</v>
      </c>
      <c r="F843" t="s">
        <v>1314</v>
      </c>
      <c r="H843" s="11" t="s">
        <v>27</v>
      </c>
      <c r="I843" s="6" t="s">
        <v>28</v>
      </c>
      <c r="J843" s="6" t="s">
        <v>28</v>
      </c>
      <c r="K843" t="s">
        <v>32</v>
      </c>
      <c r="L843" s="35">
        <v>64.16</v>
      </c>
      <c r="M843" s="6" t="s">
        <v>29</v>
      </c>
      <c r="N843" s="6">
        <v>3105</v>
      </c>
      <c r="P843" s="18"/>
      <c r="Q843" s="17"/>
      <c r="R843" s="19">
        <v>64.16</v>
      </c>
      <c r="S843" s="19">
        <v>64.16</v>
      </c>
      <c r="T843" s="38">
        <v>2</v>
      </c>
      <c r="U843" s="38"/>
      <c r="V843" s="30">
        <v>64.16</v>
      </c>
      <c r="W843" s="35">
        <v>64.16</v>
      </c>
      <c r="X843" s="32">
        <f t="shared" si="143"/>
        <v>128.32</v>
      </c>
      <c r="Y843" s="32">
        <f t="shared" si="144"/>
        <v>128.32</v>
      </c>
      <c r="Z843" s="32">
        <f t="shared" si="145"/>
        <v>0</v>
      </c>
      <c r="AA843" s="38">
        <v>2</v>
      </c>
      <c r="AB843" s="37">
        <f>IFERROR(VLOOKUP(A843,'Tash Lookup'!A:E,3,FALSE),"")</f>
        <v>128.32</v>
      </c>
      <c r="AC843" s="6">
        <f t="shared" si="146"/>
        <v>0</v>
      </c>
      <c r="AD843" s="2" t="s">
        <v>6703</v>
      </c>
      <c r="AF843" s="56">
        <v>68.75</v>
      </c>
      <c r="AG843" s="56">
        <f>VLOOKUP(A843,Sheet1!$A$2:$C$1140,3,FALSE)</f>
        <v>68.75</v>
      </c>
      <c r="AH843" s="58">
        <v>68.75</v>
      </c>
      <c r="AI843" s="56" t="str">
        <f t="shared" si="147"/>
        <v>Same</v>
      </c>
      <c r="AJ843" s="81">
        <f t="shared" si="151"/>
        <v>137.5</v>
      </c>
      <c r="AK843" s="81">
        <f t="shared" si="152"/>
        <v>137.5</v>
      </c>
      <c r="AL843" s="58" t="s">
        <v>7206</v>
      </c>
      <c r="AM843" s="58" t="s">
        <v>6703</v>
      </c>
      <c r="AN843" s="75">
        <v>4</v>
      </c>
      <c r="AO843" s="88">
        <v>68.75</v>
      </c>
      <c r="AP843" s="6" t="str">
        <f t="shared" si="148"/>
        <v>Same</v>
      </c>
      <c r="AQ843" s="81">
        <f t="shared" si="149"/>
        <v>275</v>
      </c>
      <c r="AR843" s="81">
        <f t="shared" si="150"/>
        <v>275</v>
      </c>
      <c r="AS843" s="81">
        <f t="shared" si="153"/>
        <v>0</v>
      </c>
    </row>
    <row r="844" spans="1:45" hidden="1" x14ac:dyDescent="0.3">
      <c r="A844">
        <v>6345862</v>
      </c>
      <c r="B844" s="15" t="s">
        <v>6180</v>
      </c>
      <c r="C844" s="16" t="s">
        <v>30</v>
      </c>
      <c r="D844" s="6" t="s">
        <v>31</v>
      </c>
      <c r="E844" t="s">
        <v>1315</v>
      </c>
      <c r="F844" t="s">
        <v>1315</v>
      </c>
      <c r="H844" s="11" t="s">
        <v>27</v>
      </c>
      <c r="I844" s="6" t="s">
        <v>28</v>
      </c>
      <c r="J844" s="6" t="s">
        <v>28</v>
      </c>
      <c r="K844" t="s">
        <v>32</v>
      </c>
      <c r="L844" s="35">
        <v>144.38</v>
      </c>
      <c r="M844" s="6" t="s">
        <v>29</v>
      </c>
      <c r="N844" s="6">
        <v>3105</v>
      </c>
      <c r="P844" s="18"/>
      <c r="Q844" s="17"/>
      <c r="R844" s="19">
        <v>144.38</v>
      </c>
      <c r="S844" s="19">
        <v>144.38</v>
      </c>
      <c r="T844" s="38">
        <v>2</v>
      </c>
      <c r="U844" s="38"/>
      <c r="V844" s="30">
        <v>144.38</v>
      </c>
      <c r="W844" s="35">
        <v>144.38</v>
      </c>
      <c r="X844" s="32">
        <f t="shared" si="143"/>
        <v>288.76</v>
      </c>
      <c r="Y844" s="32">
        <f t="shared" si="144"/>
        <v>288.76</v>
      </c>
      <c r="Z844" s="32">
        <f t="shared" si="145"/>
        <v>0</v>
      </c>
      <c r="AA844" s="38">
        <v>2</v>
      </c>
      <c r="AB844" s="37">
        <f>IFERROR(VLOOKUP(A844,'Tash Lookup'!A:E,3,FALSE),"")</f>
        <v>288.76</v>
      </c>
      <c r="AC844" s="6">
        <f t="shared" si="146"/>
        <v>0</v>
      </c>
      <c r="AD844" s="2" t="s">
        <v>6703</v>
      </c>
      <c r="AF844" s="56">
        <v>154.69999999999999</v>
      </c>
      <c r="AG844" s="56">
        <f>VLOOKUP(A844,Sheet1!$A$2:$C$1140,3,FALSE)</f>
        <v>154.69999999999999</v>
      </c>
      <c r="AH844" s="58">
        <v>154.69999999999999</v>
      </c>
      <c r="AI844" s="56" t="str">
        <f t="shared" si="147"/>
        <v>Same</v>
      </c>
      <c r="AJ844" s="81">
        <f t="shared" si="151"/>
        <v>309.39999999999998</v>
      </c>
      <c r="AK844" s="81">
        <f t="shared" si="152"/>
        <v>309.39999999999998</v>
      </c>
      <c r="AL844" s="58" t="s">
        <v>7206</v>
      </c>
      <c r="AM844" s="58" t="s">
        <v>6703</v>
      </c>
      <c r="AN844" s="75">
        <v>0</v>
      </c>
      <c r="AO844" s="88">
        <v>154.69999999999999</v>
      </c>
      <c r="AP844" s="6" t="str">
        <f t="shared" si="148"/>
        <v>Same</v>
      </c>
      <c r="AQ844" s="81">
        <f t="shared" si="149"/>
        <v>0</v>
      </c>
      <c r="AR844" s="81">
        <f t="shared" si="150"/>
        <v>0</v>
      </c>
      <c r="AS844" s="81">
        <f t="shared" si="153"/>
        <v>0</v>
      </c>
    </row>
    <row r="845" spans="1:45" hidden="1" x14ac:dyDescent="0.3">
      <c r="A845">
        <v>6390514</v>
      </c>
      <c r="B845" s="15" t="s">
        <v>6181</v>
      </c>
      <c r="C845" s="16" t="s">
        <v>30</v>
      </c>
      <c r="D845" s="6" t="s">
        <v>31</v>
      </c>
      <c r="E845" t="s">
        <v>1213</v>
      </c>
      <c r="F845" t="s">
        <v>1213</v>
      </c>
      <c r="H845" s="11" t="s">
        <v>27</v>
      </c>
      <c r="I845" s="6" t="s">
        <v>28</v>
      </c>
      <c r="J845" s="6" t="s">
        <v>28</v>
      </c>
      <c r="K845" t="s">
        <v>32</v>
      </c>
      <c r="L845" s="35">
        <v>12.15</v>
      </c>
      <c r="M845" s="6" t="s">
        <v>29</v>
      </c>
      <c r="N845" s="6">
        <v>3105</v>
      </c>
      <c r="P845" s="18"/>
      <c r="Q845" s="17"/>
      <c r="R845" s="19">
        <v>11.54</v>
      </c>
      <c r="S845" s="19">
        <v>0</v>
      </c>
      <c r="T845" s="38">
        <v>2</v>
      </c>
      <c r="U845" s="38"/>
      <c r="V845" s="30">
        <v>11.54</v>
      </c>
      <c r="W845" s="35">
        <v>11.82</v>
      </c>
      <c r="X845" s="32">
        <f t="shared" si="143"/>
        <v>23.08</v>
      </c>
      <c r="Y845" s="32">
        <f t="shared" si="144"/>
        <v>24.3</v>
      </c>
      <c r="Z845" s="32">
        <f t="shared" si="145"/>
        <v>-1.2200000000000024</v>
      </c>
      <c r="AA845" s="38">
        <v>2</v>
      </c>
      <c r="AB845" s="37">
        <f>IFERROR(VLOOKUP(A845,'Tash Lookup'!A:E,3,FALSE),"")</f>
        <v>24.3</v>
      </c>
      <c r="AC845" s="6">
        <f t="shared" si="146"/>
        <v>0</v>
      </c>
      <c r="AD845" s="2" t="s">
        <v>6703</v>
      </c>
      <c r="AF845" s="56">
        <v>11.88</v>
      </c>
      <c r="AG845" s="56">
        <f>VLOOKUP(A845,Sheet1!$A$2:$C$1140,3,FALSE)</f>
        <v>12.12</v>
      </c>
      <c r="AH845" s="58">
        <v>12.12</v>
      </c>
      <c r="AI845" s="56" t="str">
        <f t="shared" si="147"/>
        <v>Increase</v>
      </c>
      <c r="AJ845" s="81">
        <f t="shared" si="151"/>
        <v>23.76</v>
      </c>
      <c r="AK845" s="81">
        <f t="shared" si="152"/>
        <v>24.24</v>
      </c>
      <c r="AL845" s="58" t="s">
        <v>7206</v>
      </c>
      <c r="AM845" s="58" t="s">
        <v>6703</v>
      </c>
      <c r="AN845" s="75">
        <v>4</v>
      </c>
      <c r="AO845" s="88">
        <v>12.12</v>
      </c>
      <c r="AP845" s="6" t="str">
        <f t="shared" si="148"/>
        <v>Increase</v>
      </c>
      <c r="AQ845" s="81">
        <f t="shared" si="149"/>
        <v>47.52</v>
      </c>
      <c r="AR845" s="81">
        <f t="shared" si="150"/>
        <v>48.48</v>
      </c>
      <c r="AS845" s="81">
        <f t="shared" si="153"/>
        <v>0.95999999999999375</v>
      </c>
    </row>
    <row r="846" spans="1:45" hidden="1" x14ac:dyDescent="0.3">
      <c r="A846">
        <v>6396927</v>
      </c>
      <c r="B846" s="15" t="s">
        <v>6182</v>
      </c>
      <c r="C846" s="16" t="s">
        <v>30</v>
      </c>
      <c r="D846" s="6" t="s">
        <v>31</v>
      </c>
      <c r="E846" t="s">
        <v>1085</v>
      </c>
      <c r="F846" t="s">
        <v>1085</v>
      </c>
      <c r="H846" s="11" t="s">
        <v>27</v>
      </c>
      <c r="I846" s="6" t="s">
        <v>28</v>
      </c>
      <c r="J846" s="6" t="s">
        <v>28</v>
      </c>
      <c r="K846" t="s">
        <v>32</v>
      </c>
      <c r="L846" s="35">
        <v>21.48</v>
      </c>
      <c r="M846" s="6" t="s">
        <v>29</v>
      </c>
      <c r="N846" s="6">
        <v>3105</v>
      </c>
      <c r="P846" s="18"/>
      <c r="Q846" s="17"/>
      <c r="R846" s="19">
        <v>20.41</v>
      </c>
      <c r="S846" s="19">
        <v>0</v>
      </c>
      <c r="T846" s="38">
        <v>2</v>
      </c>
      <c r="U846" s="38"/>
      <c r="V846" s="30">
        <v>20.41</v>
      </c>
      <c r="W846" s="35">
        <v>17.739999999999998</v>
      </c>
      <c r="X846" s="32">
        <f t="shared" si="143"/>
        <v>40.82</v>
      </c>
      <c r="Y846" s="32">
        <f t="shared" si="144"/>
        <v>42.96</v>
      </c>
      <c r="Z846" s="32">
        <f t="shared" si="145"/>
        <v>-2.1400000000000006</v>
      </c>
      <c r="AA846" s="38">
        <v>2</v>
      </c>
      <c r="AB846" s="37">
        <f>IFERROR(VLOOKUP(A846,'Tash Lookup'!A:E,3,FALSE),"")</f>
        <v>42.96</v>
      </c>
      <c r="AC846" s="6">
        <f t="shared" si="146"/>
        <v>0</v>
      </c>
      <c r="AD846" s="2" t="s">
        <v>6703</v>
      </c>
      <c r="AF846" s="56">
        <v>20.41</v>
      </c>
      <c r="AG846" s="56">
        <f>VLOOKUP(A846,Sheet1!$A$2:$C$1140,3,FALSE)</f>
        <v>20.82</v>
      </c>
      <c r="AH846" s="58">
        <v>20.82</v>
      </c>
      <c r="AI846" s="56" t="str">
        <f t="shared" si="147"/>
        <v>Increase</v>
      </c>
      <c r="AJ846" s="81">
        <f t="shared" si="151"/>
        <v>40.82</v>
      </c>
      <c r="AK846" s="81">
        <f t="shared" si="152"/>
        <v>41.64</v>
      </c>
      <c r="AL846" s="58" t="s">
        <v>7206</v>
      </c>
      <c r="AM846" s="58" t="s">
        <v>6703</v>
      </c>
      <c r="AN846" s="75">
        <v>1</v>
      </c>
      <c r="AO846" s="88">
        <v>20.82</v>
      </c>
      <c r="AP846" s="6" t="str">
        <f t="shared" si="148"/>
        <v>Increase</v>
      </c>
      <c r="AQ846" s="81">
        <f t="shared" si="149"/>
        <v>20.41</v>
      </c>
      <c r="AR846" s="81">
        <f t="shared" si="150"/>
        <v>20.82</v>
      </c>
      <c r="AS846" s="82">
        <f t="shared" si="153"/>
        <v>0.41000000000000014</v>
      </c>
    </row>
    <row r="847" spans="1:45" hidden="1" x14ac:dyDescent="0.3">
      <c r="A847">
        <v>5091650</v>
      </c>
      <c r="B847" s="15" t="s">
        <v>6183</v>
      </c>
      <c r="C847" s="16" t="s">
        <v>30</v>
      </c>
      <c r="D847" s="6" t="s">
        <v>31</v>
      </c>
      <c r="E847" t="s">
        <v>157</v>
      </c>
      <c r="F847" t="s">
        <v>157</v>
      </c>
      <c r="H847" s="11" t="s">
        <v>27</v>
      </c>
      <c r="I847" s="6" t="s">
        <v>28</v>
      </c>
      <c r="J847" s="6" t="s">
        <v>28</v>
      </c>
      <c r="K847" t="s">
        <v>32</v>
      </c>
      <c r="L847" s="35">
        <v>17.91</v>
      </c>
      <c r="M847" s="6" t="s">
        <v>29</v>
      </c>
      <c r="N847" s="6">
        <v>3105</v>
      </c>
      <c r="P847" s="18"/>
      <c r="Q847" s="17"/>
      <c r="R847" s="19">
        <v>17.91</v>
      </c>
      <c r="S847" s="19">
        <v>17.91</v>
      </c>
      <c r="T847" s="38">
        <v>2</v>
      </c>
      <c r="U847" s="38"/>
      <c r="V847" s="29">
        <v>14.107499999999998</v>
      </c>
      <c r="W847" s="35">
        <v>26.54</v>
      </c>
      <c r="X847" s="32">
        <f t="shared" si="143"/>
        <v>28.214999999999996</v>
      </c>
      <c r="Y847" s="32">
        <f t="shared" si="144"/>
        <v>35.82</v>
      </c>
      <c r="Z847" s="32">
        <f t="shared" si="145"/>
        <v>-7.605000000000004</v>
      </c>
      <c r="AA847" s="38">
        <v>2</v>
      </c>
      <c r="AB847" s="37">
        <f>IFERROR(VLOOKUP(A847,'Tash Lookup'!A:E,3,FALSE),"")</f>
        <v>32.76</v>
      </c>
      <c r="AC847" s="6">
        <f t="shared" si="146"/>
        <v>0</v>
      </c>
      <c r="AD847" s="2" t="s">
        <v>6703</v>
      </c>
      <c r="AF847" s="56">
        <v>15.08</v>
      </c>
      <c r="AG847" s="56">
        <f>VLOOKUP(A847,Sheet1!$A$2:$C$1140,3,FALSE)</f>
        <v>15.08</v>
      </c>
      <c r="AH847" s="58">
        <v>15.08</v>
      </c>
      <c r="AI847" s="56" t="str">
        <f t="shared" si="147"/>
        <v>Same</v>
      </c>
      <c r="AJ847" s="81">
        <f t="shared" si="151"/>
        <v>30.16</v>
      </c>
      <c r="AK847" s="81">
        <f t="shared" si="152"/>
        <v>30.16</v>
      </c>
      <c r="AL847" s="58" t="s">
        <v>32</v>
      </c>
      <c r="AM847" s="58" t="s">
        <v>6703</v>
      </c>
      <c r="AN847" s="75">
        <v>4</v>
      </c>
      <c r="AO847" s="88">
        <v>15.08</v>
      </c>
      <c r="AP847" s="6" t="str">
        <f t="shared" si="148"/>
        <v>Same</v>
      </c>
      <c r="AQ847" s="81">
        <f t="shared" si="149"/>
        <v>60.32</v>
      </c>
      <c r="AR847" s="81">
        <f t="shared" si="150"/>
        <v>60.32</v>
      </c>
      <c r="AS847" s="81">
        <f t="shared" si="153"/>
        <v>0</v>
      </c>
    </row>
    <row r="848" spans="1:45" hidden="1" x14ac:dyDescent="0.3">
      <c r="A848">
        <v>6059081</v>
      </c>
      <c r="B848" s="15" t="s">
        <v>6184</v>
      </c>
      <c r="C848" s="16" t="s">
        <v>30</v>
      </c>
      <c r="D848" s="6" t="s">
        <v>31</v>
      </c>
      <c r="E848" t="s">
        <v>711</v>
      </c>
      <c r="F848" t="s">
        <v>711</v>
      </c>
      <c r="H848" s="11" t="s">
        <v>27</v>
      </c>
      <c r="I848" s="6" t="s">
        <v>28</v>
      </c>
      <c r="J848" s="6" t="s">
        <v>28</v>
      </c>
      <c r="K848" t="s">
        <v>32</v>
      </c>
      <c r="L848" s="35">
        <v>15.65</v>
      </c>
      <c r="M848" s="6" t="s">
        <v>29</v>
      </c>
      <c r="N848" s="6">
        <v>3105</v>
      </c>
      <c r="P848" s="18"/>
      <c r="Q848" s="17"/>
      <c r="R848" s="19">
        <v>11.73</v>
      </c>
      <c r="S848" s="19">
        <v>0</v>
      </c>
      <c r="T848" s="38">
        <v>2</v>
      </c>
      <c r="U848" s="38"/>
      <c r="V848" s="30">
        <v>11.73</v>
      </c>
      <c r="W848" s="35">
        <v>12.15</v>
      </c>
      <c r="X848" s="32">
        <f t="shared" si="143"/>
        <v>23.46</v>
      </c>
      <c r="Y848" s="32">
        <f t="shared" si="144"/>
        <v>31.3</v>
      </c>
      <c r="Z848" s="32">
        <f t="shared" si="145"/>
        <v>-7.84</v>
      </c>
      <c r="AA848" s="38">
        <v>2</v>
      </c>
      <c r="AB848" s="37">
        <f>IFERROR(VLOOKUP(A848,'Tash Lookup'!A:E,3,FALSE),"")</f>
        <v>31.3</v>
      </c>
      <c r="AC848" s="6">
        <f t="shared" si="146"/>
        <v>0</v>
      </c>
      <c r="AD848" s="2" t="s">
        <v>6703</v>
      </c>
      <c r="AF848" s="56">
        <v>11.73</v>
      </c>
      <c r="AG848" s="56">
        <f>VLOOKUP(A848,Sheet1!$A$2:$C$1140,3,FALSE)</f>
        <v>11.96</v>
      </c>
      <c r="AH848" s="58">
        <v>11.96</v>
      </c>
      <c r="AI848" s="56" t="str">
        <f t="shared" si="147"/>
        <v>Increase</v>
      </c>
      <c r="AJ848" s="81">
        <f t="shared" si="151"/>
        <v>23.46</v>
      </c>
      <c r="AK848" s="81">
        <f t="shared" si="152"/>
        <v>23.92</v>
      </c>
      <c r="AL848" s="58" t="s">
        <v>7206</v>
      </c>
      <c r="AM848" s="58" t="s">
        <v>6703</v>
      </c>
      <c r="AN848" s="75">
        <v>1</v>
      </c>
      <c r="AO848" s="88">
        <v>11.96</v>
      </c>
      <c r="AP848" s="6" t="str">
        <f t="shared" si="148"/>
        <v>Increase</v>
      </c>
      <c r="AQ848" s="81">
        <f t="shared" si="149"/>
        <v>11.73</v>
      </c>
      <c r="AR848" s="81">
        <f t="shared" si="150"/>
        <v>11.96</v>
      </c>
      <c r="AS848" s="81">
        <f t="shared" si="153"/>
        <v>0.23000000000000043</v>
      </c>
    </row>
    <row r="849" spans="1:45" hidden="1" x14ac:dyDescent="0.3">
      <c r="A849">
        <v>5094278</v>
      </c>
      <c r="B849" s="15" t="s">
        <v>6185</v>
      </c>
      <c r="C849" s="16" t="s">
        <v>30</v>
      </c>
      <c r="D849" s="6" t="s">
        <v>31</v>
      </c>
      <c r="E849" t="s">
        <v>162</v>
      </c>
      <c r="F849" t="s">
        <v>162</v>
      </c>
      <c r="H849" s="11" t="s">
        <v>27</v>
      </c>
      <c r="I849" s="6" t="s">
        <v>28</v>
      </c>
      <c r="J849" s="6" t="s">
        <v>28</v>
      </c>
      <c r="K849" t="s">
        <v>32</v>
      </c>
      <c r="L849" s="35">
        <v>28.14</v>
      </c>
      <c r="M849" s="6" t="s">
        <v>29</v>
      </c>
      <c r="N849" s="6">
        <v>3105</v>
      </c>
      <c r="P849" s="18"/>
      <c r="Q849" s="17"/>
      <c r="R849" s="19">
        <v>28.14</v>
      </c>
      <c r="S849" s="19">
        <v>28.14</v>
      </c>
      <c r="T849" s="38">
        <v>2</v>
      </c>
      <c r="U849" s="38"/>
      <c r="V849" s="29">
        <v>21.7075</v>
      </c>
      <c r="W849" s="35">
        <v>21.48</v>
      </c>
      <c r="X849" s="32">
        <f t="shared" si="143"/>
        <v>43.414999999999999</v>
      </c>
      <c r="Y849" s="32">
        <f t="shared" si="144"/>
        <v>56.28</v>
      </c>
      <c r="Z849" s="32">
        <f t="shared" si="145"/>
        <v>-12.865000000000002</v>
      </c>
      <c r="AA849" s="38">
        <v>2</v>
      </c>
      <c r="AB849" s="37">
        <f>IFERROR(VLOOKUP(A849,'Tash Lookup'!A:E,3,FALSE),"")</f>
        <v>56.29</v>
      </c>
      <c r="AC849" s="6">
        <f t="shared" si="146"/>
        <v>0</v>
      </c>
      <c r="AD849" s="2" t="s">
        <v>6703</v>
      </c>
      <c r="AF849" s="56">
        <v>22.75</v>
      </c>
      <c r="AG849" s="56">
        <f>VLOOKUP(A849,Sheet1!$A$2:$C$1140,3,FALSE)</f>
        <v>22.75</v>
      </c>
      <c r="AH849" s="58">
        <v>22.75</v>
      </c>
      <c r="AI849" s="56" t="str">
        <f t="shared" si="147"/>
        <v>Same</v>
      </c>
      <c r="AJ849" s="81">
        <f t="shared" si="151"/>
        <v>45.5</v>
      </c>
      <c r="AK849" s="81">
        <f t="shared" si="152"/>
        <v>45.5</v>
      </c>
      <c r="AL849" s="58" t="s">
        <v>32</v>
      </c>
      <c r="AM849" s="58" t="s">
        <v>6703</v>
      </c>
      <c r="AN849" s="75">
        <v>1</v>
      </c>
      <c r="AO849" s="88">
        <v>22.75</v>
      </c>
      <c r="AP849" s="6" t="str">
        <f t="shared" si="148"/>
        <v>Same</v>
      </c>
      <c r="AQ849" s="81">
        <f t="shared" si="149"/>
        <v>22.75</v>
      </c>
      <c r="AR849" s="81">
        <f t="shared" si="150"/>
        <v>22.75</v>
      </c>
      <c r="AS849" s="81">
        <f t="shared" si="153"/>
        <v>0</v>
      </c>
    </row>
    <row r="850" spans="1:45" hidden="1" x14ac:dyDescent="0.3">
      <c r="A850">
        <v>6085110</v>
      </c>
      <c r="B850" s="15" t="s">
        <v>6186</v>
      </c>
      <c r="C850" s="16" t="s">
        <v>30</v>
      </c>
      <c r="D850" s="6" t="s">
        <v>31</v>
      </c>
      <c r="E850" t="s">
        <v>1253</v>
      </c>
      <c r="F850" t="s">
        <v>1253</v>
      </c>
      <c r="H850" s="11" t="s">
        <v>27</v>
      </c>
      <c r="I850" s="6" t="s">
        <v>28</v>
      </c>
      <c r="J850" s="6" t="s">
        <v>28</v>
      </c>
      <c r="K850" t="s">
        <v>32</v>
      </c>
      <c r="L850" s="48">
        <v>11.82</v>
      </c>
      <c r="M850" s="6" t="s">
        <v>29</v>
      </c>
      <c r="N850" s="6">
        <v>3105</v>
      </c>
      <c r="P850" s="18"/>
      <c r="Q850" s="17"/>
      <c r="R850" s="19">
        <v>12.41</v>
      </c>
      <c r="S850" s="19">
        <v>0</v>
      </c>
      <c r="T850" s="38">
        <v>2</v>
      </c>
      <c r="U850" s="38"/>
      <c r="V850" s="30">
        <v>12.41</v>
      </c>
      <c r="W850" s="35">
        <v>17.91</v>
      </c>
      <c r="X850" s="32">
        <f t="shared" si="143"/>
        <v>24.82</v>
      </c>
      <c r="Y850" s="32">
        <f t="shared" si="144"/>
        <v>23.64</v>
      </c>
      <c r="Z850" s="32">
        <f t="shared" si="145"/>
        <v>1.1799999999999997</v>
      </c>
      <c r="AA850" s="38">
        <v>2</v>
      </c>
      <c r="AB850" s="37">
        <f>IFERROR(VLOOKUP(A850,'Tash Lookup'!A:E,3,FALSE),"")</f>
        <v>24.23</v>
      </c>
      <c r="AC850" s="6">
        <f t="shared" si="146"/>
        <v>0</v>
      </c>
      <c r="AD850" s="2" t="s">
        <v>6704</v>
      </c>
      <c r="AF850" s="56">
        <v>12.41</v>
      </c>
      <c r="AG850" s="56" t="e">
        <f>VLOOKUP(A850,Sheet1!$A$2:$C$1140,3,FALSE)</f>
        <v>#N/A</v>
      </c>
      <c r="AH850" s="58" t="e">
        <v>#N/A</v>
      </c>
      <c r="AI850" s="56" t="str">
        <f t="shared" si="147"/>
        <v>Delete</v>
      </c>
      <c r="AJ850" s="81">
        <f t="shared" si="151"/>
        <v>24.82</v>
      </c>
      <c r="AK850" s="81">
        <f t="shared" si="152"/>
        <v>0</v>
      </c>
      <c r="AL850" s="58" t="s">
        <v>7206</v>
      </c>
      <c r="AM850" s="58" t="s">
        <v>6708</v>
      </c>
      <c r="AN850" s="75">
        <v>0</v>
      </c>
      <c r="AO850" s="88">
        <v>12.41</v>
      </c>
      <c r="AP850" s="6" t="str">
        <f t="shared" si="148"/>
        <v>Same</v>
      </c>
      <c r="AQ850" s="81">
        <f t="shared" si="149"/>
        <v>0</v>
      </c>
      <c r="AR850" s="81">
        <f t="shared" si="150"/>
        <v>0</v>
      </c>
      <c r="AS850" s="81">
        <f t="shared" si="153"/>
        <v>0</v>
      </c>
    </row>
    <row r="851" spans="1:45" hidden="1" x14ac:dyDescent="0.3">
      <c r="A851">
        <v>5222443</v>
      </c>
      <c r="B851" s="15" t="s">
        <v>6187</v>
      </c>
      <c r="C851" s="16" t="s">
        <v>30</v>
      </c>
      <c r="D851" s="6" t="s">
        <v>31</v>
      </c>
      <c r="E851" t="s">
        <v>750</v>
      </c>
      <c r="F851" t="s">
        <v>750</v>
      </c>
      <c r="H851" s="11" t="s">
        <v>27</v>
      </c>
      <c r="I851" s="6" t="s">
        <v>28</v>
      </c>
      <c r="J851" s="6" t="s">
        <v>28</v>
      </c>
      <c r="K851" t="s">
        <v>32</v>
      </c>
      <c r="L851" s="35">
        <v>17.739999999999998</v>
      </c>
      <c r="M851" s="6" t="s">
        <v>29</v>
      </c>
      <c r="N851" s="6">
        <v>3105</v>
      </c>
      <c r="P851" s="18"/>
      <c r="Q851" s="17"/>
      <c r="R851" s="19">
        <v>17.739999999999998</v>
      </c>
      <c r="S851" s="19">
        <v>17.739999999999998</v>
      </c>
      <c r="T851" s="38">
        <v>2</v>
      </c>
      <c r="U851" s="38"/>
      <c r="V851" s="30">
        <v>17.739999999999998</v>
      </c>
      <c r="W851" s="35">
        <v>15.65</v>
      </c>
      <c r="X851" s="32">
        <f t="shared" si="143"/>
        <v>35.479999999999997</v>
      </c>
      <c r="Y851" s="32">
        <f t="shared" si="144"/>
        <v>35.479999999999997</v>
      </c>
      <c r="Z851" s="32">
        <f t="shared" si="145"/>
        <v>0</v>
      </c>
      <c r="AA851" s="38">
        <v>2</v>
      </c>
      <c r="AB851" s="37">
        <f>IFERROR(VLOOKUP(A851,'Tash Lookup'!A:E,3,FALSE),"")</f>
        <v>35.479999999999997</v>
      </c>
      <c r="AC851" s="6">
        <f t="shared" si="146"/>
        <v>0</v>
      </c>
      <c r="AD851" s="2" t="s">
        <v>6703</v>
      </c>
      <c r="AF851" s="56">
        <v>18.45</v>
      </c>
      <c r="AG851" s="56">
        <f>VLOOKUP(A851,Sheet1!$A$2:$C$1140,3,FALSE)</f>
        <v>18.45</v>
      </c>
      <c r="AH851" s="58">
        <v>18.45</v>
      </c>
      <c r="AI851" s="56" t="str">
        <f t="shared" si="147"/>
        <v>Same</v>
      </c>
      <c r="AJ851" s="81">
        <f t="shared" si="151"/>
        <v>36.9</v>
      </c>
      <c r="AK851" s="81">
        <f t="shared" si="152"/>
        <v>36.9</v>
      </c>
      <c r="AL851" s="58" t="s">
        <v>7206</v>
      </c>
      <c r="AM851" s="58" t="s">
        <v>6703</v>
      </c>
      <c r="AN851" s="75">
        <v>0</v>
      </c>
      <c r="AO851" s="88">
        <v>18.45</v>
      </c>
      <c r="AP851" s="6" t="str">
        <f t="shared" si="148"/>
        <v>Same</v>
      </c>
      <c r="AQ851" s="81">
        <f t="shared" si="149"/>
        <v>0</v>
      </c>
      <c r="AR851" s="81">
        <f t="shared" si="150"/>
        <v>0</v>
      </c>
      <c r="AS851" s="81">
        <f t="shared" si="153"/>
        <v>0</v>
      </c>
    </row>
    <row r="852" spans="1:45" hidden="1" x14ac:dyDescent="0.3">
      <c r="A852">
        <v>6040302</v>
      </c>
      <c r="B852" s="15" t="s">
        <v>6188</v>
      </c>
      <c r="C852" s="16" t="s">
        <v>30</v>
      </c>
      <c r="D852" s="6" t="s">
        <v>31</v>
      </c>
      <c r="E852" t="s">
        <v>942</v>
      </c>
      <c r="F852" t="s">
        <v>942</v>
      </c>
      <c r="H852" s="11" t="s">
        <v>27</v>
      </c>
      <c r="I852" s="6" t="s">
        <v>28</v>
      </c>
      <c r="J852" s="6" t="s">
        <v>28</v>
      </c>
      <c r="K852" t="s">
        <v>32</v>
      </c>
      <c r="L852" s="35">
        <v>26.54</v>
      </c>
      <c r="M852" s="6" t="s">
        <v>29</v>
      </c>
      <c r="N852" s="6">
        <v>3105</v>
      </c>
      <c r="P852" s="18"/>
      <c r="Q852" s="17"/>
      <c r="R852" s="19">
        <v>26.54</v>
      </c>
      <c r="S852" s="19">
        <v>26.54</v>
      </c>
      <c r="T852" s="38">
        <v>2</v>
      </c>
      <c r="U852" s="38"/>
      <c r="V852" s="29">
        <v>26.54</v>
      </c>
      <c r="W852" s="35">
        <v>28.14</v>
      </c>
      <c r="X852" s="32">
        <f t="shared" si="143"/>
        <v>53.08</v>
      </c>
      <c r="Y852" s="32">
        <f t="shared" si="144"/>
        <v>53.08</v>
      </c>
      <c r="Z852" s="32">
        <f t="shared" si="145"/>
        <v>0</v>
      </c>
      <c r="AA852" s="38">
        <v>2</v>
      </c>
      <c r="AB852" s="37">
        <f>IFERROR(VLOOKUP(A852,'Tash Lookup'!A:E,3,FALSE),"")</f>
        <v>53.08</v>
      </c>
      <c r="AC852" s="6">
        <f t="shared" si="146"/>
        <v>0</v>
      </c>
      <c r="AD852" s="2" t="s">
        <v>6703</v>
      </c>
      <c r="AF852" s="56">
        <v>27.34</v>
      </c>
      <c r="AG852" s="56">
        <f>VLOOKUP(A852,Sheet1!$A$2:$C$1140,3,FALSE)</f>
        <v>27.89</v>
      </c>
      <c r="AH852" s="58">
        <v>27.89</v>
      </c>
      <c r="AI852" s="56" t="str">
        <f t="shared" si="147"/>
        <v>Increase</v>
      </c>
      <c r="AJ852" s="81">
        <f t="shared" si="151"/>
        <v>54.68</v>
      </c>
      <c r="AK852" s="81">
        <f t="shared" si="152"/>
        <v>55.78</v>
      </c>
      <c r="AL852" s="58" t="s">
        <v>7206</v>
      </c>
      <c r="AM852" s="58" t="s">
        <v>6703</v>
      </c>
      <c r="AN852" s="75">
        <v>5</v>
      </c>
      <c r="AO852" s="88">
        <v>27.89</v>
      </c>
      <c r="AP852" s="6" t="str">
        <f t="shared" si="148"/>
        <v>Increase</v>
      </c>
      <c r="AQ852" s="81">
        <f t="shared" si="149"/>
        <v>136.69999999999999</v>
      </c>
      <c r="AR852" s="81">
        <f t="shared" si="150"/>
        <v>139.44999999999999</v>
      </c>
      <c r="AS852" s="82">
        <f t="shared" si="153"/>
        <v>2.75</v>
      </c>
    </row>
    <row r="853" spans="1:45" hidden="1" x14ac:dyDescent="0.3">
      <c r="A853">
        <v>5236721</v>
      </c>
      <c r="B853" s="15" t="s">
        <v>6189</v>
      </c>
      <c r="C853" s="16" t="s">
        <v>30</v>
      </c>
      <c r="D853" s="6" t="s">
        <v>31</v>
      </c>
      <c r="E853" t="s">
        <v>98</v>
      </c>
      <c r="F853" t="s">
        <v>98</v>
      </c>
      <c r="H853" s="11" t="s">
        <v>27</v>
      </c>
      <c r="I853" s="6" t="s">
        <v>28</v>
      </c>
      <c r="J853" s="6" t="s">
        <v>28</v>
      </c>
      <c r="K853" t="s">
        <v>32</v>
      </c>
      <c r="L853" s="35">
        <v>8.32</v>
      </c>
      <c r="M853" s="6" t="s">
        <v>29</v>
      </c>
      <c r="N853" s="6">
        <v>3105</v>
      </c>
      <c r="P853" s="18"/>
      <c r="Q853" s="17"/>
      <c r="R853" s="19">
        <v>8.32</v>
      </c>
      <c r="S853" s="19">
        <v>8.32</v>
      </c>
      <c r="T853" s="38">
        <v>1</v>
      </c>
      <c r="U853" s="38"/>
      <c r="V853" s="29">
        <v>8.32</v>
      </c>
      <c r="W853" s="45">
        <v>4.83</v>
      </c>
      <c r="X853" s="32">
        <f t="shared" si="143"/>
        <v>8.32</v>
      </c>
      <c r="Y853" s="32">
        <f t="shared" si="144"/>
        <v>8.32</v>
      </c>
      <c r="Z853" s="32">
        <f t="shared" si="145"/>
        <v>0</v>
      </c>
      <c r="AA853" s="38">
        <v>1</v>
      </c>
      <c r="AB853" s="37">
        <f>IFERROR(VLOOKUP(A853,'Tash Lookup'!A:E,3,FALSE),"")</f>
        <v>6.04</v>
      </c>
      <c r="AC853" s="6">
        <f t="shared" si="146"/>
        <v>0</v>
      </c>
      <c r="AD853" s="2" t="s">
        <v>6703</v>
      </c>
      <c r="AF853" s="56">
        <v>8.7200000000000006</v>
      </c>
      <c r="AG853" s="56">
        <f>VLOOKUP(A853,Sheet1!$A$2:$C$1140,3,FALSE)</f>
        <v>8.7200000000000006</v>
      </c>
      <c r="AH853" s="58">
        <v>8.7200000000000006</v>
      </c>
      <c r="AI853" s="56" t="str">
        <f t="shared" si="147"/>
        <v>Same</v>
      </c>
      <c r="AJ853" s="81">
        <f t="shared" si="151"/>
        <v>8.7200000000000006</v>
      </c>
      <c r="AK853" s="81">
        <f t="shared" si="152"/>
        <v>8.7200000000000006</v>
      </c>
      <c r="AL853" s="58" t="s">
        <v>32</v>
      </c>
      <c r="AM853" s="58" t="s">
        <v>6703</v>
      </c>
      <c r="AN853" s="75">
        <v>4</v>
      </c>
      <c r="AO853" s="88">
        <v>8.7200000000000006</v>
      </c>
      <c r="AP853" s="6" t="str">
        <f t="shared" si="148"/>
        <v>Same</v>
      </c>
      <c r="AQ853" s="81">
        <f t="shared" si="149"/>
        <v>34.880000000000003</v>
      </c>
      <c r="AR853" s="81">
        <f t="shared" si="150"/>
        <v>34.880000000000003</v>
      </c>
      <c r="AS853" s="81">
        <f t="shared" si="153"/>
        <v>0</v>
      </c>
    </row>
    <row r="854" spans="1:45" hidden="1" x14ac:dyDescent="0.3">
      <c r="A854">
        <v>5218614</v>
      </c>
      <c r="B854" s="15" t="s">
        <v>6190</v>
      </c>
      <c r="C854" s="16" t="s">
        <v>30</v>
      </c>
      <c r="D854" s="6" t="s">
        <v>31</v>
      </c>
      <c r="E854" t="s">
        <v>252</v>
      </c>
      <c r="F854" t="s">
        <v>252</v>
      </c>
      <c r="H854" s="11" t="s">
        <v>27</v>
      </c>
      <c r="I854" s="6" t="s">
        <v>28</v>
      </c>
      <c r="J854" s="6" t="s">
        <v>28</v>
      </c>
      <c r="K854" t="s">
        <v>32</v>
      </c>
      <c r="L854" s="35">
        <v>6.81</v>
      </c>
      <c r="M854" s="6" t="s">
        <v>29</v>
      </c>
      <c r="N854" s="6">
        <v>3105</v>
      </c>
      <c r="P854" s="18"/>
      <c r="Q854" s="17"/>
      <c r="R854" s="19">
        <v>6.81</v>
      </c>
      <c r="S854" s="19">
        <v>6.81</v>
      </c>
      <c r="T854" s="38">
        <v>1</v>
      </c>
      <c r="U854" s="38"/>
      <c r="V854" s="29">
        <v>6.81</v>
      </c>
      <c r="W854" s="45">
        <v>3.86</v>
      </c>
      <c r="X854" s="32">
        <f t="shared" si="143"/>
        <v>6.81</v>
      </c>
      <c r="Y854" s="32">
        <f t="shared" si="144"/>
        <v>6.81</v>
      </c>
      <c r="Z854" s="32">
        <f t="shared" si="145"/>
        <v>0</v>
      </c>
      <c r="AA854" s="38">
        <v>1</v>
      </c>
      <c r="AB854" s="37">
        <f>IFERROR(VLOOKUP(A854,'Tash Lookup'!A:E,3,FALSE),"")</f>
        <v>6.2</v>
      </c>
      <c r="AC854" s="6">
        <f t="shared" si="146"/>
        <v>0</v>
      </c>
      <c r="AD854" s="2" t="s">
        <v>6703</v>
      </c>
      <c r="AF854" s="56">
        <v>7.45</v>
      </c>
      <c r="AG854" s="56">
        <f>VLOOKUP(A854,Sheet1!$A$2:$C$1140,3,FALSE)</f>
        <v>7.68</v>
      </c>
      <c r="AH854" s="58">
        <v>7.68</v>
      </c>
      <c r="AI854" s="56" t="str">
        <f t="shared" si="147"/>
        <v>Increase</v>
      </c>
      <c r="AJ854" s="81">
        <f t="shared" si="151"/>
        <v>7.45</v>
      </c>
      <c r="AK854" s="81">
        <f t="shared" si="152"/>
        <v>7.68</v>
      </c>
      <c r="AL854" s="58" t="s">
        <v>32</v>
      </c>
      <c r="AM854" s="58" t="s">
        <v>6703</v>
      </c>
      <c r="AN854" s="75">
        <v>1</v>
      </c>
      <c r="AO854" s="88">
        <v>7.68</v>
      </c>
      <c r="AP854" s="6" t="str">
        <f t="shared" si="148"/>
        <v>Increase</v>
      </c>
      <c r="AQ854" s="81">
        <f t="shared" si="149"/>
        <v>7.45</v>
      </c>
      <c r="AR854" s="81">
        <f t="shared" si="150"/>
        <v>7.68</v>
      </c>
      <c r="AS854" s="81">
        <f t="shared" si="153"/>
        <v>0.22999999999999954</v>
      </c>
    </row>
    <row r="855" spans="1:45" hidden="1" x14ac:dyDescent="0.3">
      <c r="A855">
        <v>5218569</v>
      </c>
      <c r="B855" s="15" t="s">
        <v>6191</v>
      </c>
      <c r="C855" s="16" t="s">
        <v>30</v>
      </c>
      <c r="D855" s="6" t="s">
        <v>31</v>
      </c>
      <c r="E855" t="s">
        <v>244</v>
      </c>
      <c r="F855" t="s">
        <v>244</v>
      </c>
      <c r="H855" s="11" t="s">
        <v>27</v>
      </c>
      <c r="I855" s="6" t="s">
        <v>28</v>
      </c>
      <c r="J855" s="6" t="s">
        <v>28</v>
      </c>
      <c r="K855" t="s">
        <v>32</v>
      </c>
      <c r="L855" s="35">
        <v>44.93</v>
      </c>
      <c r="M855" s="6" t="s">
        <v>29</v>
      </c>
      <c r="N855" s="6">
        <v>3105</v>
      </c>
      <c r="P855" s="18"/>
      <c r="Q855" s="17"/>
      <c r="R855" s="19">
        <v>44.93</v>
      </c>
      <c r="S855" s="19">
        <v>44.93</v>
      </c>
      <c r="T855" s="38">
        <v>1</v>
      </c>
      <c r="U855" s="38"/>
      <c r="V855" s="29">
        <v>44.93</v>
      </c>
      <c r="W855" s="45">
        <v>43.89</v>
      </c>
      <c r="X855" s="32">
        <f t="shared" si="143"/>
        <v>44.93</v>
      </c>
      <c r="Y855" s="32">
        <f t="shared" si="144"/>
        <v>44.93</v>
      </c>
      <c r="Z855" s="32">
        <f t="shared" si="145"/>
        <v>0</v>
      </c>
      <c r="AA855" s="38">
        <v>1</v>
      </c>
      <c r="AB855" s="37">
        <f>IFERROR(VLOOKUP(A855,'Tash Lookup'!A:E,3,FALSE),"")</f>
        <v>44.93</v>
      </c>
      <c r="AC855" s="6">
        <f t="shared" si="146"/>
        <v>0</v>
      </c>
      <c r="AD855" s="2" t="s">
        <v>6703</v>
      </c>
      <c r="AF855" s="56">
        <v>46.33</v>
      </c>
      <c r="AG855" s="56">
        <f>VLOOKUP(A855,Sheet1!$A$2:$C$1140,3,FALSE)</f>
        <v>47.72</v>
      </c>
      <c r="AH855" s="58">
        <v>47.72</v>
      </c>
      <c r="AI855" s="56" t="str">
        <f t="shared" si="147"/>
        <v>Increase</v>
      </c>
      <c r="AJ855" s="81">
        <f t="shared" si="151"/>
        <v>46.33</v>
      </c>
      <c r="AK855" s="81">
        <f t="shared" si="152"/>
        <v>47.72</v>
      </c>
      <c r="AL855" s="58" t="s">
        <v>32</v>
      </c>
      <c r="AM855" s="58" t="s">
        <v>6703</v>
      </c>
      <c r="AN855" s="75">
        <v>5</v>
      </c>
      <c r="AO855" s="88">
        <v>47.72</v>
      </c>
      <c r="AP855" s="6" t="str">
        <f t="shared" si="148"/>
        <v>Increase</v>
      </c>
      <c r="AQ855" s="81">
        <f t="shared" si="149"/>
        <v>231.64999999999998</v>
      </c>
      <c r="AR855" s="81">
        <f t="shared" si="150"/>
        <v>238.6</v>
      </c>
      <c r="AS855" s="82">
        <f t="shared" si="153"/>
        <v>6.9500000000000171</v>
      </c>
    </row>
    <row r="856" spans="1:45" hidden="1" x14ac:dyDescent="0.3">
      <c r="A856">
        <v>5282521</v>
      </c>
      <c r="B856" s="15" t="s">
        <v>6192</v>
      </c>
      <c r="C856" s="16" t="s">
        <v>30</v>
      </c>
      <c r="D856" s="6" t="s">
        <v>31</v>
      </c>
      <c r="E856" t="s">
        <v>270</v>
      </c>
      <c r="F856" t="s">
        <v>270</v>
      </c>
      <c r="H856" s="11" t="s">
        <v>27</v>
      </c>
      <c r="I856" s="6" t="s">
        <v>28</v>
      </c>
      <c r="J856" s="6" t="s">
        <v>28</v>
      </c>
      <c r="K856" t="s">
        <v>32</v>
      </c>
      <c r="L856" s="35">
        <v>8.93</v>
      </c>
      <c r="M856" s="6" t="s">
        <v>29</v>
      </c>
      <c r="N856" s="6">
        <v>3105</v>
      </c>
      <c r="P856" s="18"/>
      <c r="Q856" s="17"/>
      <c r="R856" s="19">
        <v>8.93</v>
      </c>
      <c r="S856" s="19">
        <v>8.93</v>
      </c>
      <c r="T856" s="38">
        <v>1</v>
      </c>
      <c r="U856" s="38"/>
      <c r="V856" s="29">
        <v>8.93</v>
      </c>
      <c r="W856" s="45">
        <v>8.5399999999999991</v>
      </c>
      <c r="X856" s="32">
        <f t="shared" si="143"/>
        <v>8.93</v>
      </c>
      <c r="Y856" s="32">
        <f t="shared" si="144"/>
        <v>8.93</v>
      </c>
      <c r="Z856" s="32">
        <f t="shared" si="145"/>
        <v>0</v>
      </c>
      <c r="AA856" s="38">
        <v>1</v>
      </c>
      <c r="AB856" s="37">
        <f>IFERROR(VLOOKUP(A856,'Tash Lookup'!A:E,3,FALSE),"")</f>
        <v>8.93</v>
      </c>
      <c r="AC856" s="6">
        <f t="shared" si="146"/>
        <v>0</v>
      </c>
      <c r="AD856" s="2" t="s">
        <v>6703</v>
      </c>
      <c r="AF856" s="56">
        <v>10.38</v>
      </c>
      <c r="AG856" s="56">
        <f>VLOOKUP(A856,Sheet1!$A$2:$C$1140,3,FALSE)</f>
        <v>10.69</v>
      </c>
      <c r="AH856" s="58">
        <v>10.69</v>
      </c>
      <c r="AI856" s="56" t="str">
        <f t="shared" si="147"/>
        <v>Increase</v>
      </c>
      <c r="AJ856" s="81">
        <f t="shared" si="151"/>
        <v>10.38</v>
      </c>
      <c r="AK856" s="81">
        <f t="shared" si="152"/>
        <v>10.69</v>
      </c>
      <c r="AL856" s="58" t="s">
        <v>32</v>
      </c>
      <c r="AM856" s="58" t="s">
        <v>6703</v>
      </c>
      <c r="AN856" s="75">
        <v>1</v>
      </c>
      <c r="AO856" s="88">
        <v>10.69</v>
      </c>
      <c r="AP856" s="6" t="str">
        <f t="shared" si="148"/>
        <v>Increase</v>
      </c>
      <c r="AQ856" s="81">
        <f t="shared" si="149"/>
        <v>10.38</v>
      </c>
      <c r="AR856" s="81">
        <f t="shared" si="150"/>
        <v>10.69</v>
      </c>
      <c r="AS856" s="81">
        <f t="shared" si="153"/>
        <v>0.30999999999999872</v>
      </c>
    </row>
    <row r="857" spans="1:45" hidden="1" x14ac:dyDescent="0.3">
      <c r="A857">
        <v>6188839</v>
      </c>
      <c r="B857" s="15" t="s">
        <v>6193</v>
      </c>
      <c r="C857" s="16" t="s">
        <v>30</v>
      </c>
      <c r="D857" s="6" t="s">
        <v>31</v>
      </c>
      <c r="E857" t="s">
        <v>789</v>
      </c>
      <c r="F857" t="s">
        <v>789</v>
      </c>
      <c r="H857" s="11" t="s">
        <v>27</v>
      </c>
      <c r="I857" s="6" t="s">
        <v>28</v>
      </c>
      <c r="J857" s="6" t="s">
        <v>28</v>
      </c>
      <c r="K857" t="s">
        <v>32</v>
      </c>
      <c r="L857" s="35">
        <v>0.49</v>
      </c>
      <c r="M857" s="6" t="s">
        <v>29</v>
      </c>
      <c r="N857" s="6">
        <v>3105</v>
      </c>
      <c r="P857" s="18"/>
      <c r="Q857" s="17"/>
      <c r="R857" s="19">
        <v>0.5</v>
      </c>
      <c r="S857" s="19">
        <v>0</v>
      </c>
      <c r="T857" s="38">
        <v>1</v>
      </c>
      <c r="U857" s="38"/>
      <c r="V857" s="30">
        <v>0.5</v>
      </c>
      <c r="W857" s="35">
        <v>0.49</v>
      </c>
      <c r="X857" s="32">
        <f t="shared" si="143"/>
        <v>0.5</v>
      </c>
      <c r="Y857" s="32">
        <f t="shared" si="144"/>
        <v>0.49</v>
      </c>
      <c r="Z857" s="32">
        <f t="shared" si="145"/>
        <v>1.0000000000000009E-2</v>
      </c>
      <c r="AA857" s="38">
        <v>1</v>
      </c>
      <c r="AB857" s="37">
        <f>IFERROR(VLOOKUP(A857,'Tash Lookup'!A:E,3,FALSE),"")</f>
        <v>0.49</v>
      </c>
      <c r="AC857" s="6">
        <f t="shared" si="146"/>
        <v>0</v>
      </c>
      <c r="AD857" s="2" t="s">
        <v>6703</v>
      </c>
      <c r="AF857" s="56">
        <v>0.5</v>
      </c>
      <c r="AG857" s="56">
        <f>VLOOKUP(A857,Sheet1!$A$2:$C$1140,3,FALSE)</f>
        <v>0.51</v>
      </c>
      <c r="AH857" s="58">
        <v>0.51</v>
      </c>
      <c r="AI857" s="56" t="str">
        <f t="shared" si="147"/>
        <v>Increase</v>
      </c>
      <c r="AJ857" s="81">
        <f t="shared" si="151"/>
        <v>0.5</v>
      </c>
      <c r="AK857" s="81">
        <f t="shared" si="152"/>
        <v>0.51</v>
      </c>
      <c r="AL857" s="58" t="s">
        <v>7206</v>
      </c>
      <c r="AM857" s="58" t="s">
        <v>6703</v>
      </c>
      <c r="AN857" s="75">
        <v>8</v>
      </c>
      <c r="AO857" s="88">
        <v>0.51</v>
      </c>
      <c r="AP857" s="6" t="str">
        <f t="shared" si="148"/>
        <v>Increase</v>
      </c>
      <c r="AQ857" s="81">
        <f t="shared" si="149"/>
        <v>4</v>
      </c>
      <c r="AR857" s="81">
        <f t="shared" si="150"/>
        <v>4.08</v>
      </c>
      <c r="AS857" s="81">
        <f t="shared" si="153"/>
        <v>8.0000000000000071E-2</v>
      </c>
    </row>
    <row r="858" spans="1:45" hidden="1" x14ac:dyDescent="0.3">
      <c r="A858">
        <v>6059114</v>
      </c>
      <c r="B858" s="15" t="s">
        <v>6194</v>
      </c>
      <c r="C858" s="16" t="s">
        <v>30</v>
      </c>
      <c r="D858" s="6" t="s">
        <v>31</v>
      </c>
      <c r="E858" t="s">
        <v>712</v>
      </c>
      <c r="F858" t="s">
        <v>712</v>
      </c>
      <c r="H858" s="11" t="s">
        <v>27</v>
      </c>
      <c r="I858" s="6" t="s">
        <v>28</v>
      </c>
      <c r="J858" s="6" t="s">
        <v>28</v>
      </c>
      <c r="K858" t="s">
        <v>32</v>
      </c>
      <c r="L858" s="35">
        <v>86.49</v>
      </c>
      <c r="M858" s="6" t="s">
        <v>29</v>
      </c>
      <c r="N858" s="6">
        <v>3105</v>
      </c>
      <c r="P858" s="18"/>
      <c r="Q858" s="17"/>
      <c r="R858" s="19">
        <v>0</v>
      </c>
      <c r="S858" s="19">
        <v>0</v>
      </c>
      <c r="T858" s="38">
        <v>1</v>
      </c>
      <c r="U858" s="38"/>
      <c r="V858" s="31">
        <v>86.49</v>
      </c>
      <c r="W858" s="35">
        <v>86.49</v>
      </c>
      <c r="X858" s="32">
        <f t="shared" si="143"/>
        <v>86.49</v>
      </c>
      <c r="Y858" s="32">
        <f t="shared" si="144"/>
        <v>86.49</v>
      </c>
      <c r="Z858" s="32">
        <f t="shared" si="145"/>
        <v>0</v>
      </c>
      <c r="AA858" s="38">
        <v>1</v>
      </c>
      <c r="AB858" s="37">
        <f>IFERROR(VLOOKUP(A858,'Tash Lookup'!A:E,3,FALSE),"")</f>
        <v>82.77</v>
      </c>
      <c r="AC858" s="6">
        <f t="shared" si="146"/>
        <v>0</v>
      </c>
      <c r="AD858" s="2" t="s">
        <v>6703</v>
      </c>
      <c r="AF858" s="56">
        <v>86.49</v>
      </c>
      <c r="AG858" s="56">
        <f>VLOOKUP(A858,Sheet1!$A$2:$C$1140,3,FALSE)</f>
        <v>88.22</v>
      </c>
      <c r="AH858" s="58">
        <v>88.22</v>
      </c>
      <c r="AI858" s="56" t="str">
        <f t="shared" si="147"/>
        <v>Increase</v>
      </c>
      <c r="AJ858" s="81">
        <f t="shared" si="151"/>
        <v>86.49</v>
      </c>
      <c r="AK858" s="81">
        <f t="shared" si="152"/>
        <v>88.22</v>
      </c>
      <c r="AL858" s="58" t="s">
        <v>7206</v>
      </c>
      <c r="AM858" s="58" t="s">
        <v>6703</v>
      </c>
      <c r="AN858" s="75">
        <v>10</v>
      </c>
      <c r="AO858" s="88">
        <v>88.22</v>
      </c>
      <c r="AP858" s="6" t="str">
        <f t="shared" si="148"/>
        <v>Increase</v>
      </c>
      <c r="AQ858" s="81">
        <f t="shared" si="149"/>
        <v>864.9</v>
      </c>
      <c r="AR858" s="81">
        <f t="shared" si="150"/>
        <v>882.2</v>
      </c>
      <c r="AS858" s="82">
        <f t="shared" si="153"/>
        <v>17.300000000000068</v>
      </c>
    </row>
    <row r="859" spans="1:45" hidden="1" x14ac:dyDescent="0.3">
      <c r="A859">
        <v>5222429</v>
      </c>
      <c r="B859" s="15" t="s">
        <v>6195</v>
      </c>
      <c r="C859" s="16" t="s">
        <v>30</v>
      </c>
      <c r="D859" s="6" t="s">
        <v>31</v>
      </c>
      <c r="E859" t="s">
        <v>743</v>
      </c>
      <c r="F859" t="s">
        <v>743</v>
      </c>
      <c r="H859" s="11" t="s">
        <v>27</v>
      </c>
      <c r="I859" s="6" t="s">
        <v>28</v>
      </c>
      <c r="J859" s="6" t="s">
        <v>28</v>
      </c>
      <c r="K859" t="s">
        <v>32</v>
      </c>
      <c r="L859" s="35">
        <v>8.42</v>
      </c>
      <c r="M859" s="6" t="s">
        <v>29</v>
      </c>
      <c r="N859" s="6">
        <v>3105</v>
      </c>
      <c r="P859" s="18"/>
      <c r="Q859" s="17"/>
      <c r="R859" s="19">
        <v>8.42</v>
      </c>
      <c r="S859" s="19">
        <v>8.42</v>
      </c>
      <c r="T859" s="38">
        <v>1</v>
      </c>
      <c r="U859" s="38"/>
      <c r="V859" s="30">
        <v>8.42</v>
      </c>
      <c r="W859" s="35">
        <v>8.42</v>
      </c>
      <c r="X859" s="32">
        <f t="shared" si="143"/>
        <v>8.42</v>
      </c>
      <c r="Y859" s="32">
        <f t="shared" si="144"/>
        <v>8.42</v>
      </c>
      <c r="Z859" s="32">
        <f t="shared" si="145"/>
        <v>0</v>
      </c>
      <c r="AA859" s="38">
        <v>1</v>
      </c>
      <c r="AB859" s="37">
        <f>IFERROR(VLOOKUP(A859,'Tash Lookup'!A:E,3,FALSE),"")</f>
        <v>8.42</v>
      </c>
      <c r="AC859" s="6">
        <f t="shared" si="146"/>
        <v>0</v>
      </c>
      <c r="AD859" s="2" t="s">
        <v>6703</v>
      </c>
      <c r="AF859" s="56">
        <v>8.76</v>
      </c>
      <c r="AG859" s="56">
        <f>VLOOKUP(A859,Sheet1!$A$2:$C$1140,3,FALSE)</f>
        <v>8.76</v>
      </c>
      <c r="AH859" s="58">
        <v>8.76</v>
      </c>
      <c r="AI859" s="56" t="str">
        <f t="shared" si="147"/>
        <v>Same</v>
      </c>
      <c r="AJ859" s="81">
        <f t="shared" si="151"/>
        <v>8.76</v>
      </c>
      <c r="AK859" s="81">
        <f t="shared" si="152"/>
        <v>8.76</v>
      </c>
      <c r="AL859" s="58" t="s">
        <v>7206</v>
      </c>
      <c r="AM859" s="58" t="s">
        <v>6703</v>
      </c>
      <c r="AN859" s="75">
        <v>0</v>
      </c>
      <c r="AO859" s="88">
        <v>8.76</v>
      </c>
      <c r="AP859" s="6" t="str">
        <f t="shared" si="148"/>
        <v>Same</v>
      </c>
      <c r="AQ859" s="81">
        <f t="shared" si="149"/>
        <v>0</v>
      </c>
      <c r="AR859" s="81">
        <f t="shared" si="150"/>
        <v>0</v>
      </c>
      <c r="AS859" s="81">
        <f t="shared" si="153"/>
        <v>0</v>
      </c>
    </row>
    <row r="860" spans="1:45" hidden="1" x14ac:dyDescent="0.3">
      <c r="A860">
        <v>6360784</v>
      </c>
      <c r="B860" s="15" t="s">
        <v>6196</v>
      </c>
      <c r="C860" s="16" t="s">
        <v>30</v>
      </c>
      <c r="D860" s="6" t="s">
        <v>31</v>
      </c>
      <c r="E860" t="s">
        <v>751</v>
      </c>
      <c r="F860" t="s">
        <v>751</v>
      </c>
      <c r="H860" s="11" t="s">
        <v>27</v>
      </c>
      <c r="I860" s="6" t="s">
        <v>28</v>
      </c>
      <c r="J860" s="6" t="s">
        <v>28</v>
      </c>
      <c r="K860" t="s">
        <v>32</v>
      </c>
      <c r="L860" s="35">
        <v>34.17</v>
      </c>
      <c r="M860" s="6" t="s">
        <v>29</v>
      </c>
      <c r="N860" s="6">
        <v>3105</v>
      </c>
      <c r="P860" s="18"/>
      <c r="Q860" s="17"/>
      <c r="R860" s="19">
        <v>34.17</v>
      </c>
      <c r="S860" s="19">
        <v>34.17</v>
      </c>
      <c r="T860" s="38">
        <v>1</v>
      </c>
      <c r="U860" s="38"/>
      <c r="V860" s="30">
        <v>34.17</v>
      </c>
      <c r="W860" s="35">
        <v>34.17</v>
      </c>
      <c r="X860" s="32">
        <f t="shared" si="143"/>
        <v>34.17</v>
      </c>
      <c r="Y860" s="32">
        <f t="shared" si="144"/>
        <v>34.17</v>
      </c>
      <c r="Z860" s="32">
        <f t="shared" si="145"/>
        <v>0</v>
      </c>
      <c r="AA860" s="38">
        <v>1</v>
      </c>
      <c r="AB860" s="37">
        <f>IFERROR(VLOOKUP(A860,'Tash Lookup'!A:E,3,FALSE),"")</f>
        <v>34.17</v>
      </c>
      <c r="AC860" s="6">
        <f t="shared" si="146"/>
        <v>0</v>
      </c>
      <c r="AD860" s="2" t="s">
        <v>6703</v>
      </c>
      <c r="AF860" s="56">
        <v>35.53</v>
      </c>
      <c r="AG860" s="56">
        <f>VLOOKUP(A860,Sheet1!$A$2:$C$1140,3,FALSE)</f>
        <v>35.53</v>
      </c>
      <c r="AH860" s="58">
        <v>35.53</v>
      </c>
      <c r="AI860" s="56" t="str">
        <f t="shared" si="147"/>
        <v>Same</v>
      </c>
      <c r="AJ860" s="81">
        <f t="shared" si="151"/>
        <v>35.53</v>
      </c>
      <c r="AK860" s="81">
        <f t="shared" si="152"/>
        <v>35.53</v>
      </c>
      <c r="AL860" s="58" t="s">
        <v>7206</v>
      </c>
      <c r="AM860" s="58" t="s">
        <v>6703</v>
      </c>
      <c r="AN860" s="75">
        <v>0</v>
      </c>
      <c r="AO860" s="88">
        <v>35.53</v>
      </c>
      <c r="AP860" s="6" t="str">
        <f t="shared" si="148"/>
        <v>Same</v>
      </c>
      <c r="AQ860" s="81">
        <f t="shared" si="149"/>
        <v>0</v>
      </c>
      <c r="AR860" s="81">
        <f t="shared" si="150"/>
        <v>0</v>
      </c>
      <c r="AS860" s="81">
        <f t="shared" si="153"/>
        <v>0</v>
      </c>
    </row>
    <row r="861" spans="1:45" hidden="1" x14ac:dyDescent="0.3">
      <c r="A861">
        <v>5122395</v>
      </c>
      <c r="B861" s="15" t="s">
        <v>6197</v>
      </c>
      <c r="C861" s="16" t="s">
        <v>30</v>
      </c>
      <c r="D861" s="6" t="s">
        <v>31</v>
      </c>
      <c r="E861" t="s">
        <v>347</v>
      </c>
      <c r="F861" t="s">
        <v>347</v>
      </c>
      <c r="H861" s="11" t="s">
        <v>27</v>
      </c>
      <c r="I861" s="6" t="s">
        <v>28</v>
      </c>
      <c r="J861" s="6" t="s">
        <v>28</v>
      </c>
      <c r="K861" t="s">
        <v>32</v>
      </c>
      <c r="L861" s="35">
        <v>16.52</v>
      </c>
      <c r="M861" s="6" t="s">
        <v>29</v>
      </c>
      <c r="N861" s="6">
        <v>3105</v>
      </c>
      <c r="P861" s="18"/>
      <c r="Q861" s="17"/>
      <c r="R861" s="19">
        <v>16.52</v>
      </c>
      <c r="S861" s="19">
        <v>16.52</v>
      </c>
      <c r="T861" s="38">
        <v>1</v>
      </c>
      <c r="U861" s="38"/>
      <c r="V861" s="30">
        <v>16.52</v>
      </c>
      <c r="W861" s="35">
        <v>16.52</v>
      </c>
      <c r="X861" s="32">
        <f t="shared" si="143"/>
        <v>16.52</v>
      </c>
      <c r="Y861" s="32">
        <f t="shared" si="144"/>
        <v>16.52</v>
      </c>
      <c r="Z861" s="32">
        <f t="shared" si="145"/>
        <v>0</v>
      </c>
      <c r="AA861" s="38">
        <v>1</v>
      </c>
      <c r="AB861" s="37">
        <f>IFERROR(VLOOKUP(A861,'Tash Lookup'!A:E,3,FALSE),"")</f>
        <v>7.51</v>
      </c>
      <c r="AC861" s="6">
        <f t="shared" si="146"/>
        <v>0</v>
      </c>
      <c r="AD861" s="2" t="s">
        <v>6704</v>
      </c>
      <c r="AF861" s="56">
        <v>17.22</v>
      </c>
      <c r="AG861" s="56">
        <f>VLOOKUP(A861,Sheet1!$A$2:$C$1140,3,FALSE)</f>
        <v>17.22</v>
      </c>
      <c r="AH861" s="58">
        <v>17.22</v>
      </c>
      <c r="AI861" s="56" t="str">
        <f t="shared" si="147"/>
        <v>Same</v>
      </c>
      <c r="AJ861" s="81">
        <f t="shared" si="151"/>
        <v>17.22</v>
      </c>
      <c r="AK861" s="81">
        <f t="shared" si="152"/>
        <v>17.22</v>
      </c>
      <c r="AL861" s="58" t="s">
        <v>32</v>
      </c>
      <c r="AM861" s="58" t="s">
        <v>6704</v>
      </c>
      <c r="AN861" s="75">
        <v>0</v>
      </c>
      <c r="AO861" s="88">
        <v>17.22</v>
      </c>
      <c r="AP861" s="6" t="str">
        <f t="shared" si="148"/>
        <v>Same</v>
      </c>
      <c r="AQ861" s="81">
        <f t="shared" si="149"/>
        <v>0</v>
      </c>
      <c r="AR861" s="81">
        <f t="shared" si="150"/>
        <v>0</v>
      </c>
      <c r="AS861" s="81">
        <f t="shared" si="153"/>
        <v>0</v>
      </c>
    </row>
    <row r="862" spans="1:45" hidden="1" x14ac:dyDescent="0.3">
      <c r="A862">
        <v>5206089</v>
      </c>
      <c r="B862" s="15" t="s">
        <v>6198</v>
      </c>
      <c r="C862" s="16" t="s">
        <v>30</v>
      </c>
      <c r="D862" s="6" t="s">
        <v>31</v>
      </c>
      <c r="E862" t="s">
        <v>411</v>
      </c>
      <c r="F862" t="s">
        <v>411</v>
      </c>
      <c r="H862" s="11" t="s">
        <v>27</v>
      </c>
      <c r="I862" s="6" t="s">
        <v>28</v>
      </c>
      <c r="J862" s="6" t="s">
        <v>28</v>
      </c>
      <c r="K862" t="s">
        <v>32</v>
      </c>
      <c r="L862" s="35">
        <v>25.31</v>
      </c>
      <c r="M862" s="6" t="s">
        <v>29</v>
      </c>
      <c r="N862" s="6">
        <v>3105</v>
      </c>
      <c r="P862" s="18"/>
      <c r="Q862" s="17"/>
      <c r="R862" s="19">
        <v>25.31</v>
      </c>
      <c r="S862" s="19">
        <v>25.31</v>
      </c>
      <c r="T862" s="38">
        <v>1</v>
      </c>
      <c r="U862" s="38"/>
      <c r="V862" s="30">
        <v>25.31</v>
      </c>
      <c r="W862" s="35">
        <v>25.31</v>
      </c>
      <c r="X862" s="32">
        <f t="shared" si="143"/>
        <v>25.31</v>
      </c>
      <c r="Y862" s="32">
        <f t="shared" si="144"/>
        <v>25.31</v>
      </c>
      <c r="Z862" s="32">
        <f t="shared" si="145"/>
        <v>0</v>
      </c>
      <c r="AA862" s="38">
        <v>1</v>
      </c>
      <c r="AB862" s="37">
        <f>IFERROR(VLOOKUP(A862,'Tash Lookup'!A:E,3,FALSE),"")</f>
        <v>25.31</v>
      </c>
      <c r="AC862" s="6">
        <f t="shared" si="146"/>
        <v>0</v>
      </c>
      <c r="AD862" s="2" t="s">
        <v>6703</v>
      </c>
      <c r="AF862" s="56">
        <v>26.6</v>
      </c>
      <c r="AG862" s="56">
        <f>VLOOKUP(A862,Sheet1!$A$2:$C$1140,3,FALSE)</f>
        <v>27.4</v>
      </c>
      <c r="AH862" s="58">
        <v>27.4</v>
      </c>
      <c r="AI862" s="56" t="str">
        <f t="shared" si="147"/>
        <v>Increase</v>
      </c>
      <c r="AJ862" s="81">
        <f t="shared" si="151"/>
        <v>26.6</v>
      </c>
      <c r="AK862" s="81">
        <f t="shared" si="152"/>
        <v>27.4</v>
      </c>
      <c r="AL862" s="58" t="s">
        <v>32</v>
      </c>
      <c r="AM862" s="58" t="s">
        <v>6703</v>
      </c>
      <c r="AN862" s="75">
        <v>8</v>
      </c>
      <c r="AO862" s="88">
        <v>27.4</v>
      </c>
      <c r="AP862" s="6" t="str">
        <f t="shared" si="148"/>
        <v>Increase</v>
      </c>
      <c r="AQ862" s="81">
        <f t="shared" si="149"/>
        <v>212.8</v>
      </c>
      <c r="AR862" s="81">
        <f t="shared" si="150"/>
        <v>219.2</v>
      </c>
      <c r="AS862" s="82">
        <f t="shared" si="153"/>
        <v>6.3999999999999773</v>
      </c>
    </row>
    <row r="863" spans="1:45" hidden="1" x14ac:dyDescent="0.3">
      <c r="A863">
        <v>5122410</v>
      </c>
      <c r="B863" s="15" t="s">
        <v>6199</v>
      </c>
      <c r="C863" s="16" t="s">
        <v>30</v>
      </c>
      <c r="D863" s="6" t="s">
        <v>31</v>
      </c>
      <c r="E863" t="s">
        <v>423</v>
      </c>
      <c r="F863" t="s">
        <v>423</v>
      </c>
      <c r="H863" s="11" t="s">
        <v>27</v>
      </c>
      <c r="I863" s="6" t="s">
        <v>28</v>
      </c>
      <c r="J863" s="6" t="s">
        <v>28</v>
      </c>
      <c r="K863" t="s">
        <v>32</v>
      </c>
      <c r="L863" s="35">
        <v>16.86</v>
      </c>
      <c r="M863" s="6" t="s">
        <v>29</v>
      </c>
      <c r="N863" s="6">
        <v>3105</v>
      </c>
      <c r="P863" s="18"/>
      <c r="Q863" s="17"/>
      <c r="R863" s="19">
        <v>16.86</v>
      </c>
      <c r="S863" s="19">
        <v>16.86</v>
      </c>
      <c r="T863" s="38">
        <v>1</v>
      </c>
      <c r="U863" s="38"/>
      <c r="V863" s="29">
        <v>16.86</v>
      </c>
      <c r="W863" s="35">
        <v>16.86</v>
      </c>
      <c r="X863" s="32">
        <f t="shared" si="143"/>
        <v>16.86</v>
      </c>
      <c r="Y863" s="32">
        <f t="shared" si="144"/>
        <v>16.86</v>
      </c>
      <c r="Z863" s="32">
        <f t="shared" si="145"/>
        <v>0</v>
      </c>
      <c r="AA863" s="38">
        <v>1</v>
      </c>
      <c r="AB863" s="37">
        <f>IFERROR(VLOOKUP(A863,'Tash Lookup'!A:E,3,FALSE),"")</f>
        <v>16.86</v>
      </c>
      <c r="AC863" s="6">
        <f t="shared" si="146"/>
        <v>0</v>
      </c>
      <c r="AD863" s="2" t="s">
        <v>6703</v>
      </c>
      <c r="AF863" s="56">
        <v>18.09</v>
      </c>
      <c r="AG863" s="56">
        <f>VLOOKUP(A863,Sheet1!$A$2:$C$1140,3,FALSE)</f>
        <v>18.63</v>
      </c>
      <c r="AH863" s="58">
        <v>18.63</v>
      </c>
      <c r="AI863" s="56" t="str">
        <f t="shared" si="147"/>
        <v>Increase</v>
      </c>
      <c r="AJ863" s="81">
        <f t="shared" si="151"/>
        <v>18.09</v>
      </c>
      <c r="AK863" s="81">
        <f t="shared" si="152"/>
        <v>18.63</v>
      </c>
      <c r="AL863" s="58" t="s">
        <v>32</v>
      </c>
      <c r="AM863" s="58" t="s">
        <v>6703</v>
      </c>
      <c r="AN863" s="75">
        <v>0</v>
      </c>
      <c r="AO863" s="88">
        <v>18.63</v>
      </c>
      <c r="AP863" s="6" t="str">
        <f t="shared" si="148"/>
        <v>Increase</v>
      </c>
      <c r="AQ863" s="81">
        <f t="shared" si="149"/>
        <v>0</v>
      </c>
      <c r="AR863" s="81">
        <f t="shared" si="150"/>
        <v>0</v>
      </c>
      <c r="AS863" s="82">
        <f t="shared" si="153"/>
        <v>0</v>
      </c>
    </row>
    <row r="864" spans="1:45" hidden="1" x14ac:dyDescent="0.3">
      <c r="A864">
        <v>6189841</v>
      </c>
      <c r="B864" s="15" t="s">
        <v>6200</v>
      </c>
      <c r="C864" s="16" t="s">
        <v>30</v>
      </c>
      <c r="D864" s="6" t="s">
        <v>31</v>
      </c>
      <c r="E864" t="s">
        <v>781</v>
      </c>
      <c r="F864" t="s">
        <v>781</v>
      </c>
      <c r="H864" s="11" t="s">
        <v>27</v>
      </c>
      <c r="I864" s="6" t="s">
        <v>28</v>
      </c>
      <c r="J864" s="6" t="s">
        <v>28</v>
      </c>
      <c r="K864" t="s">
        <v>32</v>
      </c>
      <c r="L864" s="35">
        <v>9.8800000000000008</v>
      </c>
      <c r="M864" s="6" t="s">
        <v>29</v>
      </c>
      <c r="N864" s="6">
        <v>3105</v>
      </c>
      <c r="P864" s="18"/>
      <c r="Q864" s="17"/>
      <c r="R864" s="19">
        <v>9.8800000000000008</v>
      </c>
      <c r="S864" s="19">
        <v>9.8800000000000008</v>
      </c>
      <c r="T864" s="38">
        <v>1</v>
      </c>
      <c r="U864" s="38"/>
      <c r="V864" s="30">
        <v>9.8800000000000008</v>
      </c>
      <c r="W864" s="35">
        <v>9.8800000000000008</v>
      </c>
      <c r="X864" s="32">
        <f t="shared" si="143"/>
        <v>9.8800000000000008</v>
      </c>
      <c r="Y864" s="32">
        <f t="shared" si="144"/>
        <v>9.8800000000000008</v>
      </c>
      <c r="Z864" s="32">
        <f t="shared" si="145"/>
        <v>0</v>
      </c>
      <c r="AA864" s="38">
        <v>1</v>
      </c>
      <c r="AB864" s="37">
        <f>IFERROR(VLOOKUP(A864,'Tash Lookup'!A:E,3,FALSE),"")</f>
        <v>9.8800000000000008</v>
      </c>
      <c r="AC864" s="6">
        <f t="shared" si="146"/>
        <v>0</v>
      </c>
      <c r="AD864" s="2" t="s">
        <v>6708</v>
      </c>
      <c r="AF864" s="56">
        <v>9.8800000000000008</v>
      </c>
      <c r="AG864" s="56">
        <f>VLOOKUP(A864,Sheet1!$A$2:$C$1140,3,FALSE)</f>
        <v>9.8800000000000008</v>
      </c>
      <c r="AH864" s="58">
        <v>9.8800000000000008</v>
      </c>
      <c r="AI864" s="56" t="str">
        <f t="shared" si="147"/>
        <v>Same</v>
      </c>
      <c r="AJ864" s="81">
        <f t="shared" si="151"/>
        <v>9.8800000000000008</v>
      </c>
      <c r="AK864" s="81">
        <f t="shared" si="152"/>
        <v>9.8800000000000008</v>
      </c>
      <c r="AL864" s="58" t="s">
        <v>7206</v>
      </c>
      <c r="AM864" s="58" t="s">
        <v>6708</v>
      </c>
      <c r="AN864" s="75">
        <v>1</v>
      </c>
      <c r="AO864" s="88">
        <v>9.8800000000000008</v>
      </c>
      <c r="AP864" s="6" t="str">
        <f t="shared" si="148"/>
        <v>Same</v>
      </c>
      <c r="AQ864" s="81">
        <f t="shared" si="149"/>
        <v>9.8800000000000008</v>
      </c>
      <c r="AR864" s="81">
        <f t="shared" si="150"/>
        <v>9.8800000000000008</v>
      </c>
      <c r="AS864" s="81">
        <f t="shared" si="153"/>
        <v>0</v>
      </c>
    </row>
    <row r="865" spans="1:45" hidden="1" x14ac:dyDescent="0.3">
      <c r="A865">
        <v>6352847</v>
      </c>
      <c r="B865" s="15" t="s">
        <v>6201</v>
      </c>
      <c r="C865" s="16" t="s">
        <v>30</v>
      </c>
      <c r="D865" s="6" t="s">
        <v>31</v>
      </c>
      <c r="E865" t="s">
        <v>810</v>
      </c>
      <c r="F865" t="s">
        <v>810</v>
      </c>
      <c r="H865" s="11" t="s">
        <v>27</v>
      </c>
      <c r="I865" s="6" t="s">
        <v>28</v>
      </c>
      <c r="J865" s="6" t="s">
        <v>28</v>
      </c>
      <c r="K865" t="s">
        <v>32</v>
      </c>
      <c r="L865" s="35">
        <v>26.29</v>
      </c>
      <c r="M865" s="6" t="s">
        <v>29</v>
      </c>
      <c r="N865" s="6">
        <v>3105</v>
      </c>
      <c r="P865" s="18"/>
      <c r="Q865" s="17"/>
      <c r="R865" s="19">
        <v>26.29</v>
      </c>
      <c r="S865" s="19">
        <v>26.29</v>
      </c>
      <c r="T865" s="38">
        <v>1</v>
      </c>
      <c r="U865" s="38"/>
      <c r="V865" s="30">
        <v>26.29</v>
      </c>
      <c r="W865" s="35">
        <v>26.29</v>
      </c>
      <c r="X865" s="32">
        <f t="shared" si="143"/>
        <v>26.29</v>
      </c>
      <c r="Y865" s="32">
        <f t="shared" si="144"/>
        <v>26.29</v>
      </c>
      <c r="Z865" s="32">
        <f t="shared" si="145"/>
        <v>0</v>
      </c>
      <c r="AA865" s="38">
        <v>1</v>
      </c>
      <c r="AB865" s="37">
        <f>IFERROR(VLOOKUP(A865,'Tash Lookup'!A:E,3,FALSE),"")</f>
        <v>25.16</v>
      </c>
      <c r="AC865" s="6">
        <f t="shared" si="146"/>
        <v>0</v>
      </c>
      <c r="AD865" s="2" t="s">
        <v>6711</v>
      </c>
      <c r="AE865" s="2" t="s">
        <v>6701</v>
      </c>
      <c r="AF865" s="56">
        <v>26.29</v>
      </c>
      <c r="AG865" s="56" t="e">
        <f>VLOOKUP(A865,Sheet1!$A$2:$C$1140,3,FALSE)</f>
        <v>#N/A</v>
      </c>
      <c r="AH865" s="58" t="e">
        <v>#N/A</v>
      </c>
      <c r="AI865" s="56" t="str">
        <f t="shared" si="147"/>
        <v>Delete</v>
      </c>
      <c r="AJ865" s="81">
        <f t="shared" si="151"/>
        <v>26.29</v>
      </c>
      <c r="AK865" s="81">
        <f t="shared" si="152"/>
        <v>0</v>
      </c>
      <c r="AL865" s="58" t="s">
        <v>7206</v>
      </c>
      <c r="AM865" s="58" t="s">
        <v>6711</v>
      </c>
      <c r="AN865" s="75">
        <v>0</v>
      </c>
      <c r="AO865" s="88">
        <v>26.29</v>
      </c>
      <c r="AP865" s="6" t="str">
        <f t="shared" si="148"/>
        <v>Delete</v>
      </c>
      <c r="AQ865" s="81">
        <f t="shared" si="149"/>
        <v>0</v>
      </c>
      <c r="AR865" s="81">
        <f t="shared" si="150"/>
        <v>0</v>
      </c>
      <c r="AS865" s="81">
        <f t="shared" si="153"/>
        <v>0</v>
      </c>
    </row>
    <row r="866" spans="1:45" hidden="1" x14ac:dyDescent="0.3">
      <c r="A866">
        <v>6392935</v>
      </c>
      <c r="B866" s="15" t="s">
        <v>6202</v>
      </c>
      <c r="C866" s="16" t="s">
        <v>30</v>
      </c>
      <c r="D866" s="6" t="s">
        <v>31</v>
      </c>
      <c r="E866" t="s">
        <v>2962</v>
      </c>
      <c r="F866" t="s">
        <v>2962</v>
      </c>
      <c r="H866" s="11" t="s">
        <v>27</v>
      </c>
      <c r="I866" s="6" t="s">
        <v>28</v>
      </c>
      <c r="J866" s="6" t="s">
        <v>28</v>
      </c>
      <c r="K866" t="s">
        <v>32</v>
      </c>
      <c r="L866" s="35">
        <v>19.38</v>
      </c>
      <c r="M866" s="6" t="s">
        <v>29</v>
      </c>
      <c r="N866" s="6">
        <v>3105</v>
      </c>
      <c r="P866" s="18"/>
      <c r="Q866" s="17"/>
      <c r="R866" s="19">
        <v>19.38</v>
      </c>
      <c r="S866" s="19">
        <v>19.38</v>
      </c>
      <c r="T866" s="38">
        <v>1</v>
      </c>
      <c r="U866" s="38"/>
      <c r="V866" s="30">
        <v>19.38</v>
      </c>
      <c r="W866" s="35">
        <v>19.38</v>
      </c>
      <c r="X866" s="32">
        <f t="shared" si="143"/>
        <v>19.38</v>
      </c>
      <c r="Y866" s="32">
        <f t="shared" si="144"/>
        <v>19.38</v>
      </c>
      <c r="Z866" s="32">
        <f t="shared" si="145"/>
        <v>0</v>
      </c>
      <c r="AA866" s="38">
        <v>1</v>
      </c>
      <c r="AB866" s="37">
        <f>IFERROR(VLOOKUP(A866,'Tash Lookup'!A:E,3,FALSE),"")</f>
        <v>6.92</v>
      </c>
      <c r="AC866" s="6">
        <f t="shared" si="146"/>
        <v>0</v>
      </c>
      <c r="AD866" s="2" t="s">
        <v>6704</v>
      </c>
      <c r="AF866" s="56">
        <v>19.38</v>
      </c>
      <c r="AG866" s="56" t="e">
        <f>VLOOKUP(A866,Sheet1!$A$2:$C$1140,3,FALSE)</f>
        <v>#N/A</v>
      </c>
      <c r="AH866" s="58" t="e">
        <v>#N/A</v>
      </c>
      <c r="AI866" s="56" t="str">
        <f t="shared" si="147"/>
        <v>Delete</v>
      </c>
      <c r="AJ866" s="81">
        <f t="shared" si="151"/>
        <v>19.38</v>
      </c>
      <c r="AK866" s="81">
        <f t="shared" si="152"/>
        <v>0</v>
      </c>
      <c r="AL866" s="58" t="s">
        <v>7206</v>
      </c>
      <c r="AM866" s="58" t="s">
        <v>6708</v>
      </c>
      <c r="AN866" s="75">
        <v>1</v>
      </c>
      <c r="AO866" s="88">
        <v>19.38</v>
      </c>
      <c r="AP866" s="6" t="str">
        <f t="shared" si="148"/>
        <v>Same</v>
      </c>
      <c r="AQ866" s="81">
        <f t="shared" si="149"/>
        <v>19.38</v>
      </c>
      <c r="AR866" s="81">
        <f t="shared" si="150"/>
        <v>19.38</v>
      </c>
      <c r="AS866" s="81">
        <f t="shared" si="153"/>
        <v>0</v>
      </c>
    </row>
    <row r="867" spans="1:45" hidden="1" x14ac:dyDescent="0.3">
      <c r="A867">
        <v>6352919</v>
      </c>
      <c r="B867" s="15" t="s">
        <v>6203</v>
      </c>
      <c r="C867" s="16" t="s">
        <v>30</v>
      </c>
      <c r="D867" s="6" t="s">
        <v>31</v>
      </c>
      <c r="E867" t="s">
        <v>898</v>
      </c>
      <c r="F867" t="s">
        <v>898</v>
      </c>
      <c r="H867" s="11" t="s">
        <v>27</v>
      </c>
      <c r="I867" s="6" t="s">
        <v>28</v>
      </c>
      <c r="J867" s="6" t="s">
        <v>28</v>
      </c>
      <c r="K867" t="s">
        <v>32</v>
      </c>
      <c r="L867" s="35">
        <v>21.92</v>
      </c>
      <c r="M867" s="6" t="s">
        <v>29</v>
      </c>
      <c r="N867" s="6">
        <v>3105</v>
      </c>
      <c r="P867" s="18"/>
      <c r="Q867" s="17"/>
      <c r="R867" s="19">
        <v>21.92</v>
      </c>
      <c r="S867" s="19">
        <v>21.92</v>
      </c>
      <c r="T867" s="38">
        <v>1</v>
      </c>
      <c r="U867" s="38"/>
      <c r="V867" s="30">
        <v>21.92</v>
      </c>
      <c r="W867" s="35">
        <v>21.92</v>
      </c>
      <c r="X867" s="32">
        <f t="shared" si="143"/>
        <v>21.92</v>
      </c>
      <c r="Y867" s="32">
        <f t="shared" si="144"/>
        <v>21.92</v>
      </c>
      <c r="Z867" s="32">
        <f t="shared" si="145"/>
        <v>0</v>
      </c>
      <c r="AA867" s="38">
        <v>1</v>
      </c>
      <c r="AB867" s="37">
        <f>IFERROR(VLOOKUP(A867,'Tash Lookup'!A:E,3,FALSE),"")</f>
        <v>21.92</v>
      </c>
      <c r="AC867" s="6">
        <f t="shared" si="146"/>
        <v>0</v>
      </c>
      <c r="AD867" s="2" t="s">
        <v>6711</v>
      </c>
      <c r="AE867" s="2" t="s">
        <v>6701</v>
      </c>
      <c r="AF867" s="56">
        <v>21.92</v>
      </c>
      <c r="AG867" s="56" t="e">
        <f>VLOOKUP(A867,Sheet1!$A$2:$C$1140,3,FALSE)</f>
        <v>#N/A</v>
      </c>
      <c r="AH867" s="58" t="e">
        <v>#N/A</v>
      </c>
      <c r="AI867" s="56" t="str">
        <f t="shared" si="147"/>
        <v>Delete</v>
      </c>
      <c r="AJ867" s="81">
        <f t="shared" si="151"/>
        <v>21.92</v>
      </c>
      <c r="AK867" s="81">
        <f t="shared" si="152"/>
        <v>0</v>
      </c>
      <c r="AL867" s="58" t="s">
        <v>7206</v>
      </c>
      <c r="AM867" s="58" t="s">
        <v>6711</v>
      </c>
      <c r="AN867" s="75">
        <v>0</v>
      </c>
      <c r="AO867" s="88">
        <v>21.92</v>
      </c>
      <c r="AP867" s="6" t="str">
        <f t="shared" si="148"/>
        <v>Delete</v>
      </c>
      <c r="AQ867" s="81">
        <f t="shared" si="149"/>
        <v>0</v>
      </c>
      <c r="AR867" s="81">
        <f t="shared" si="150"/>
        <v>0</v>
      </c>
      <c r="AS867" s="81">
        <f t="shared" si="153"/>
        <v>0</v>
      </c>
    </row>
    <row r="868" spans="1:45" hidden="1" x14ac:dyDescent="0.3">
      <c r="A868">
        <v>6352920</v>
      </c>
      <c r="B868" s="15" t="s">
        <v>6204</v>
      </c>
      <c r="C868" s="16" t="s">
        <v>30</v>
      </c>
      <c r="D868" s="6" t="s">
        <v>31</v>
      </c>
      <c r="E868" t="s">
        <v>899</v>
      </c>
      <c r="F868" t="s">
        <v>899</v>
      </c>
      <c r="H868" s="11" t="s">
        <v>27</v>
      </c>
      <c r="I868" s="6" t="s">
        <v>28</v>
      </c>
      <c r="J868" s="6" t="s">
        <v>28</v>
      </c>
      <c r="K868" t="s">
        <v>32</v>
      </c>
      <c r="L868" s="35">
        <v>21.92</v>
      </c>
      <c r="M868" s="6" t="s">
        <v>29</v>
      </c>
      <c r="N868" s="6">
        <v>3105</v>
      </c>
      <c r="P868" s="18"/>
      <c r="Q868" s="17"/>
      <c r="R868" s="19">
        <v>21.92</v>
      </c>
      <c r="S868" s="19">
        <v>21.92</v>
      </c>
      <c r="T868" s="38">
        <v>1</v>
      </c>
      <c r="U868" s="38"/>
      <c r="V868" s="30">
        <v>21.92</v>
      </c>
      <c r="W868" s="35">
        <v>21.92</v>
      </c>
      <c r="X868" s="32">
        <f t="shared" si="143"/>
        <v>21.92</v>
      </c>
      <c r="Y868" s="32">
        <f t="shared" si="144"/>
        <v>21.92</v>
      </c>
      <c r="Z868" s="32">
        <f t="shared" si="145"/>
        <v>0</v>
      </c>
      <c r="AA868" s="38">
        <v>1</v>
      </c>
      <c r="AB868" s="37">
        <f>IFERROR(VLOOKUP(A868,'Tash Lookup'!A:E,3,FALSE),"")</f>
        <v>21.92</v>
      </c>
      <c r="AC868" s="6">
        <f t="shared" si="146"/>
        <v>0</v>
      </c>
      <c r="AD868" s="2" t="s">
        <v>6711</v>
      </c>
      <c r="AE868" s="2" t="s">
        <v>6701</v>
      </c>
      <c r="AF868" s="56">
        <v>21.92</v>
      </c>
      <c r="AG868" s="56" t="e">
        <f>VLOOKUP(A868,Sheet1!$A$2:$C$1140,3,FALSE)</f>
        <v>#N/A</v>
      </c>
      <c r="AH868" s="58" t="e">
        <v>#N/A</v>
      </c>
      <c r="AI868" s="56" t="str">
        <f t="shared" si="147"/>
        <v>Delete</v>
      </c>
      <c r="AJ868" s="81">
        <f t="shared" si="151"/>
        <v>21.92</v>
      </c>
      <c r="AK868" s="81">
        <f t="shared" si="152"/>
        <v>0</v>
      </c>
      <c r="AL868" s="58" t="s">
        <v>7206</v>
      </c>
      <c r="AM868" s="58" t="s">
        <v>6711</v>
      </c>
      <c r="AN868" s="75">
        <v>0</v>
      </c>
      <c r="AO868" s="88">
        <v>21.92</v>
      </c>
      <c r="AP868" s="6" t="str">
        <f t="shared" si="148"/>
        <v>Delete</v>
      </c>
      <c r="AQ868" s="81">
        <f t="shared" si="149"/>
        <v>0</v>
      </c>
      <c r="AR868" s="81">
        <f t="shared" si="150"/>
        <v>0</v>
      </c>
      <c r="AS868" s="81">
        <f t="shared" si="153"/>
        <v>0</v>
      </c>
    </row>
    <row r="869" spans="1:45" hidden="1" x14ac:dyDescent="0.3">
      <c r="A869">
        <v>5183274</v>
      </c>
      <c r="B869" s="15" t="s">
        <v>6205</v>
      </c>
      <c r="C869" s="16" t="s">
        <v>30</v>
      </c>
      <c r="D869" s="6" t="s">
        <v>31</v>
      </c>
      <c r="E869" t="s">
        <v>437</v>
      </c>
      <c r="F869" t="s">
        <v>437</v>
      </c>
      <c r="H869" s="11" t="s">
        <v>27</v>
      </c>
      <c r="I869" s="6" t="s">
        <v>28</v>
      </c>
      <c r="J869" s="6" t="s">
        <v>28</v>
      </c>
      <c r="K869" t="s">
        <v>32</v>
      </c>
      <c r="L869" s="35">
        <v>15.8</v>
      </c>
      <c r="M869" s="6" t="s">
        <v>29</v>
      </c>
      <c r="N869" s="6">
        <v>3105</v>
      </c>
      <c r="P869" s="18"/>
      <c r="Q869" s="17"/>
      <c r="R869" s="19">
        <v>15.8</v>
      </c>
      <c r="S869" s="19">
        <v>15.8</v>
      </c>
      <c r="T869" s="38">
        <v>1</v>
      </c>
      <c r="U869" s="38"/>
      <c r="V869" s="30">
        <v>15.8</v>
      </c>
      <c r="W869" s="35">
        <v>15.8</v>
      </c>
      <c r="X869" s="32">
        <f t="shared" si="143"/>
        <v>15.8</v>
      </c>
      <c r="Y869" s="32">
        <f t="shared" si="144"/>
        <v>15.8</v>
      </c>
      <c r="Z869" s="32">
        <f t="shared" si="145"/>
        <v>0</v>
      </c>
      <c r="AA869" s="38">
        <v>1</v>
      </c>
      <c r="AB869" s="37">
        <f>IFERROR(VLOOKUP(A869,'Tash Lookup'!A:E,3,FALSE),"")</f>
        <v>15.8</v>
      </c>
      <c r="AC869" s="6">
        <f t="shared" si="146"/>
        <v>0</v>
      </c>
      <c r="AD869" s="2" t="s">
        <v>6703</v>
      </c>
      <c r="AF869" s="56">
        <v>16.2</v>
      </c>
      <c r="AG869" s="56">
        <f>VLOOKUP(A869,Sheet1!$A$2:$C$1140,3,FALSE)</f>
        <v>16.68</v>
      </c>
      <c r="AH869" s="58">
        <v>16.68</v>
      </c>
      <c r="AI869" s="56" t="str">
        <f t="shared" si="147"/>
        <v>Increase</v>
      </c>
      <c r="AJ869" s="81">
        <f t="shared" si="151"/>
        <v>16.2</v>
      </c>
      <c r="AK869" s="81">
        <f t="shared" si="152"/>
        <v>16.68</v>
      </c>
      <c r="AL869" s="58" t="s">
        <v>32</v>
      </c>
      <c r="AM869" s="58" t="s">
        <v>6703</v>
      </c>
      <c r="AN869" s="75">
        <v>0</v>
      </c>
      <c r="AO869" s="88">
        <v>16.68</v>
      </c>
      <c r="AP869" s="6" t="str">
        <f t="shared" si="148"/>
        <v>Increase</v>
      </c>
      <c r="AQ869" s="81">
        <f t="shared" si="149"/>
        <v>0</v>
      </c>
      <c r="AR869" s="81">
        <f t="shared" si="150"/>
        <v>0</v>
      </c>
      <c r="AS869" s="81">
        <f t="shared" si="153"/>
        <v>0</v>
      </c>
    </row>
    <row r="870" spans="1:45" hidden="1" x14ac:dyDescent="0.3">
      <c r="A870">
        <v>5183273</v>
      </c>
      <c r="B870" s="15" t="s">
        <v>6206</v>
      </c>
      <c r="C870" s="16" t="s">
        <v>30</v>
      </c>
      <c r="D870" s="6" t="s">
        <v>31</v>
      </c>
      <c r="E870" t="s">
        <v>441</v>
      </c>
      <c r="F870" t="s">
        <v>441</v>
      </c>
      <c r="H870" s="11" t="s">
        <v>27</v>
      </c>
      <c r="I870" s="6" t="s">
        <v>28</v>
      </c>
      <c r="J870" s="6" t="s">
        <v>28</v>
      </c>
      <c r="K870" t="s">
        <v>32</v>
      </c>
      <c r="L870" s="35">
        <v>14.67</v>
      </c>
      <c r="M870" s="6" t="s">
        <v>29</v>
      </c>
      <c r="N870" s="6">
        <v>3105</v>
      </c>
      <c r="P870" s="18"/>
      <c r="Q870" s="17"/>
      <c r="R870" s="19">
        <v>14.67</v>
      </c>
      <c r="S870" s="19">
        <v>14.67</v>
      </c>
      <c r="T870" s="38">
        <v>1</v>
      </c>
      <c r="U870" s="38"/>
      <c r="V870" s="30">
        <v>14.67</v>
      </c>
      <c r="W870" s="35">
        <v>14.67</v>
      </c>
      <c r="X870" s="32">
        <f t="shared" si="143"/>
        <v>14.67</v>
      </c>
      <c r="Y870" s="32">
        <f t="shared" si="144"/>
        <v>14.67</v>
      </c>
      <c r="Z870" s="32">
        <f t="shared" si="145"/>
        <v>0</v>
      </c>
      <c r="AA870" s="38">
        <v>1</v>
      </c>
      <c r="AB870" s="37">
        <f>IFERROR(VLOOKUP(A870,'Tash Lookup'!A:E,3,FALSE),"")</f>
        <v>14.67</v>
      </c>
      <c r="AC870" s="6">
        <f t="shared" si="146"/>
        <v>0</v>
      </c>
      <c r="AD870" s="2" t="s">
        <v>6703</v>
      </c>
      <c r="AF870" s="56">
        <v>15.34</v>
      </c>
      <c r="AG870" s="56">
        <f>VLOOKUP(A870,Sheet1!$A$2:$C$1140,3,FALSE)</f>
        <v>15.8</v>
      </c>
      <c r="AH870" s="58">
        <v>15.8</v>
      </c>
      <c r="AI870" s="56" t="str">
        <f t="shared" si="147"/>
        <v>Increase</v>
      </c>
      <c r="AJ870" s="81">
        <f t="shared" si="151"/>
        <v>15.34</v>
      </c>
      <c r="AK870" s="81">
        <f t="shared" si="152"/>
        <v>15.8</v>
      </c>
      <c r="AL870" s="58" t="s">
        <v>32</v>
      </c>
      <c r="AM870" s="58" t="s">
        <v>6703</v>
      </c>
      <c r="AN870" s="75">
        <v>1</v>
      </c>
      <c r="AO870" s="88">
        <v>15.8</v>
      </c>
      <c r="AP870" s="6" t="str">
        <f t="shared" si="148"/>
        <v>Increase</v>
      </c>
      <c r="AQ870" s="81">
        <f t="shared" si="149"/>
        <v>15.34</v>
      </c>
      <c r="AR870" s="81">
        <f t="shared" si="150"/>
        <v>15.8</v>
      </c>
      <c r="AS870" s="81">
        <f t="shared" si="153"/>
        <v>0.46000000000000085</v>
      </c>
    </row>
    <row r="871" spans="1:45" hidden="1" x14ac:dyDescent="0.3">
      <c r="A871">
        <v>5183277</v>
      </c>
      <c r="B871" s="15" t="s">
        <v>6207</v>
      </c>
      <c r="C871" s="16" t="s">
        <v>30</v>
      </c>
      <c r="D871" s="6" t="s">
        <v>31</v>
      </c>
      <c r="E871" t="s">
        <v>442</v>
      </c>
      <c r="F871" t="s">
        <v>442</v>
      </c>
      <c r="H871" s="11" t="s">
        <v>27</v>
      </c>
      <c r="I871" s="6" t="s">
        <v>28</v>
      </c>
      <c r="J871" s="6" t="s">
        <v>28</v>
      </c>
      <c r="K871" t="s">
        <v>32</v>
      </c>
      <c r="L871" s="35">
        <v>29.12</v>
      </c>
      <c r="M871" s="6" t="s">
        <v>29</v>
      </c>
      <c r="N871" s="6">
        <v>3105</v>
      </c>
      <c r="P871" s="18"/>
      <c r="Q871" s="17"/>
      <c r="R871" s="19">
        <v>29.12</v>
      </c>
      <c r="S871" s="19">
        <v>29.12</v>
      </c>
      <c r="T871" s="38">
        <v>1</v>
      </c>
      <c r="U871" s="38"/>
      <c r="V871" s="30">
        <v>29.12</v>
      </c>
      <c r="W871" s="35">
        <v>29.12</v>
      </c>
      <c r="X871" s="32">
        <f t="shared" si="143"/>
        <v>29.12</v>
      </c>
      <c r="Y871" s="32">
        <f t="shared" si="144"/>
        <v>29.12</v>
      </c>
      <c r="Z871" s="32">
        <f t="shared" si="145"/>
        <v>0</v>
      </c>
      <c r="AA871" s="38">
        <v>1</v>
      </c>
      <c r="AB871" s="37">
        <f>IFERROR(VLOOKUP(A871,'Tash Lookup'!A:E,3,FALSE),"")</f>
        <v>29.12</v>
      </c>
      <c r="AC871" s="6">
        <f t="shared" si="146"/>
        <v>0</v>
      </c>
      <c r="AD871" s="2" t="s">
        <v>6707</v>
      </c>
      <c r="AF871" s="56">
        <v>29.12</v>
      </c>
      <c r="AG871" s="56" t="e">
        <f>VLOOKUP(A871,Sheet1!$A$2:$C$1140,3,FALSE)</f>
        <v>#N/A</v>
      </c>
      <c r="AH871" s="58" t="e">
        <v>#N/A</v>
      </c>
      <c r="AI871" s="56" t="str">
        <f t="shared" si="147"/>
        <v>Delete</v>
      </c>
      <c r="AJ871" s="81">
        <f t="shared" si="151"/>
        <v>29.12</v>
      </c>
      <c r="AK871" s="81">
        <f t="shared" si="152"/>
        <v>0</v>
      </c>
      <c r="AL871" s="58" t="s">
        <v>32</v>
      </c>
      <c r="AM871" s="58" t="s">
        <v>6708</v>
      </c>
      <c r="AN871" s="75">
        <v>0</v>
      </c>
      <c r="AO871" s="88">
        <v>29.12</v>
      </c>
      <c r="AP871" s="6" t="str">
        <f t="shared" si="148"/>
        <v>Same</v>
      </c>
      <c r="AQ871" s="81">
        <f t="shared" si="149"/>
        <v>0</v>
      </c>
      <c r="AR871" s="81">
        <f t="shared" si="150"/>
        <v>0</v>
      </c>
      <c r="AS871" s="81">
        <f t="shared" si="153"/>
        <v>0</v>
      </c>
    </row>
    <row r="872" spans="1:45" hidden="1" x14ac:dyDescent="0.3">
      <c r="A872">
        <v>5083002</v>
      </c>
      <c r="B872" s="15" t="s">
        <v>6208</v>
      </c>
      <c r="C872" s="16" t="s">
        <v>30</v>
      </c>
      <c r="D872" s="6" t="s">
        <v>31</v>
      </c>
      <c r="E872" t="s">
        <v>463</v>
      </c>
      <c r="F872" t="s">
        <v>463</v>
      </c>
      <c r="H872" s="11" t="s">
        <v>27</v>
      </c>
      <c r="I872" s="6" t="s">
        <v>28</v>
      </c>
      <c r="J872" s="6" t="s">
        <v>28</v>
      </c>
      <c r="K872" t="s">
        <v>32</v>
      </c>
      <c r="L872" s="35">
        <v>24.11</v>
      </c>
      <c r="M872" s="6" t="s">
        <v>29</v>
      </c>
      <c r="N872" s="6">
        <v>3105</v>
      </c>
      <c r="P872" s="18"/>
      <c r="Q872" s="17"/>
      <c r="R872" s="19">
        <v>24.11</v>
      </c>
      <c r="S872" s="19">
        <v>24.11</v>
      </c>
      <c r="T872" s="38">
        <v>1</v>
      </c>
      <c r="U872" s="38"/>
      <c r="V872" s="29">
        <v>24.11</v>
      </c>
      <c r="W872" s="35">
        <v>24.11</v>
      </c>
      <c r="X872" s="32">
        <f t="shared" si="143"/>
        <v>24.11</v>
      </c>
      <c r="Y872" s="32">
        <f t="shared" si="144"/>
        <v>24.11</v>
      </c>
      <c r="Z872" s="32">
        <f t="shared" si="145"/>
        <v>0</v>
      </c>
      <c r="AA872" s="38">
        <v>1</v>
      </c>
      <c r="AB872" s="37">
        <f>IFERROR(VLOOKUP(A872,'Tash Lookup'!A:E,3,FALSE),"")</f>
        <v>24.11</v>
      </c>
      <c r="AC872" s="6">
        <f t="shared" si="146"/>
        <v>0</v>
      </c>
      <c r="AD872" s="2" t="s">
        <v>6703</v>
      </c>
      <c r="AF872" s="56">
        <v>25.41</v>
      </c>
      <c r="AG872" s="56">
        <f>VLOOKUP(A872,Sheet1!$A$2:$C$1140,3,FALSE)</f>
        <v>26.18</v>
      </c>
      <c r="AH872" s="58">
        <v>26.18</v>
      </c>
      <c r="AI872" s="56" t="str">
        <f t="shared" si="147"/>
        <v>Increase</v>
      </c>
      <c r="AJ872" s="81">
        <f t="shared" si="151"/>
        <v>25.41</v>
      </c>
      <c r="AK872" s="81">
        <f t="shared" si="152"/>
        <v>26.18</v>
      </c>
      <c r="AL872" s="58" t="s">
        <v>32</v>
      </c>
      <c r="AM872" s="58" t="s">
        <v>6703</v>
      </c>
      <c r="AN872" s="75">
        <v>0</v>
      </c>
      <c r="AO872" s="88">
        <v>26.18</v>
      </c>
      <c r="AP872" s="6" t="str">
        <f t="shared" si="148"/>
        <v>Increase</v>
      </c>
      <c r="AQ872" s="81">
        <f t="shared" si="149"/>
        <v>0</v>
      </c>
      <c r="AR872" s="81">
        <f t="shared" si="150"/>
        <v>0</v>
      </c>
      <c r="AS872" s="82">
        <f t="shared" si="153"/>
        <v>0</v>
      </c>
    </row>
    <row r="873" spans="1:45" hidden="1" x14ac:dyDescent="0.3">
      <c r="A873">
        <v>5282772</v>
      </c>
      <c r="B873" s="15" t="s">
        <v>6209</v>
      </c>
      <c r="C873" s="16" t="s">
        <v>30</v>
      </c>
      <c r="D873" s="6" t="s">
        <v>31</v>
      </c>
      <c r="E873" t="s">
        <v>101</v>
      </c>
      <c r="F873" t="s">
        <v>101</v>
      </c>
      <c r="H873" s="11" t="s">
        <v>27</v>
      </c>
      <c r="I873" s="6" t="s">
        <v>28</v>
      </c>
      <c r="J873" s="6" t="s">
        <v>28</v>
      </c>
      <c r="K873" t="s">
        <v>32</v>
      </c>
      <c r="L873" s="35">
        <v>14.79</v>
      </c>
      <c r="M873" s="6" t="s">
        <v>29</v>
      </c>
      <c r="N873" s="6">
        <v>3105</v>
      </c>
      <c r="P873" s="18"/>
      <c r="Q873" s="17"/>
      <c r="R873" s="19">
        <v>14.79</v>
      </c>
      <c r="S873" s="19">
        <v>14.79</v>
      </c>
      <c r="T873" s="38">
        <v>1</v>
      </c>
      <c r="U873" s="38"/>
      <c r="V873" s="29">
        <v>14.79</v>
      </c>
      <c r="W873" s="35">
        <v>14.79</v>
      </c>
      <c r="X873" s="32">
        <f t="shared" si="143"/>
        <v>14.79</v>
      </c>
      <c r="Y873" s="32">
        <f t="shared" si="144"/>
        <v>14.79</v>
      </c>
      <c r="Z873" s="32">
        <f t="shared" si="145"/>
        <v>0</v>
      </c>
      <c r="AA873" s="38">
        <v>1</v>
      </c>
      <c r="AB873" s="37">
        <f>IFERROR(VLOOKUP(A873,'Tash Lookup'!A:E,3,FALSE),"")</f>
        <v>14.79</v>
      </c>
      <c r="AC873" s="6">
        <f t="shared" si="146"/>
        <v>0</v>
      </c>
      <c r="AD873" s="2" t="s">
        <v>6703</v>
      </c>
      <c r="AF873" s="56">
        <v>15.29</v>
      </c>
      <c r="AG873" s="56">
        <f>VLOOKUP(A873,Sheet1!$A$2:$C$1140,3,FALSE)</f>
        <v>15.29</v>
      </c>
      <c r="AH873" s="58">
        <v>15.29</v>
      </c>
      <c r="AI873" s="56" t="str">
        <f t="shared" si="147"/>
        <v>Same</v>
      </c>
      <c r="AJ873" s="81">
        <f t="shared" si="151"/>
        <v>15.29</v>
      </c>
      <c r="AK873" s="81">
        <f t="shared" si="152"/>
        <v>15.29</v>
      </c>
      <c r="AL873" s="58" t="s">
        <v>32</v>
      </c>
      <c r="AM873" s="58" t="s">
        <v>6703</v>
      </c>
      <c r="AN873" s="75">
        <v>16</v>
      </c>
      <c r="AO873" s="88">
        <v>15.29</v>
      </c>
      <c r="AP873" s="6" t="str">
        <f t="shared" si="148"/>
        <v>Same</v>
      </c>
      <c r="AQ873" s="81">
        <f t="shared" si="149"/>
        <v>244.64</v>
      </c>
      <c r="AR873" s="81">
        <f t="shared" si="150"/>
        <v>244.64</v>
      </c>
      <c r="AS873" s="81">
        <f t="shared" si="153"/>
        <v>0</v>
      </c>
    </row>
    <row r="874" spans="1:45" hidden="1" x14ac:dyDescent="0.3">
      <c r="A874">
        <v>5180485</v>
      </c>
      <c r="B874" s="15" t="s">
        <v>6210</v>
      </c>
      <c r="C874" s="16" t="s">
        <v>30</v>
      </c>
      <c r="D874" s="6" t="s">
        <v>31</v>
      </c>
      <c r="E874" t="s">
        <v>521</v>
      </c>
      <c r="F874" t="s">
        <v>521</v>
      </c>
      <c r="H874" s="11" t="s">
        <v>27</v>
      </c>
      <c r="I874" s="6" t="s">
        <v>28</v>
      </c>
      <c r="J874" s="6" t="s">
        <v>28</v>
      </c>
      <c r="K874" t="s">
        <v>32</v>
      </c>
      <c r="L874" s="35">
        <v>29.67</v>
      </c>
      <c r="M874" s="6" t="s">
        <v>29</v>
      </c>
      <c r="N874" s="6">
        <v>3105</v>
      </c>
      <c r="P874" s="18"/>
      <c r="Q874" s="17"/>
      <c r="R874" s="19">
        <v>29.67</v>
      </c>
      <c r="S874" s="19">
        <v>29.67</v>
      </c>
      <c r="T874" s="38">
        <v>1</v>
      </c>
      <c r="U874" s="38"/>
      <c r="V874" s="29">
        <v>29.67</v>
      </c>
      <c r="W874" s="35">
        <v>29.67</v>
      </c>
      <c r="X874" s="32">
        <f t="shared" si="143"/>
        <v>29.67</v>
      </c>
      <c r="Y874" s="32">
        <f t="shared" si="144"/>
        <v>29.67</v>
      </c>
      <c r="Z874" s="32">
        <f t="shared" si="145"/>
        <v>0</v>
      </c>
      <c r="AA874" s="38">
        <v>1</v>
      </c>
      <c r="AB874" s="37">
        <f>IFERROR(VLOOKUP(A874,'Tash Lookup'!A:E,3,FALSE),"")</f>
        <v>29.67</v>
      </c>
      <c r="AC874" s="6">
        <f t="shared" si="146"/>
        <v>0</v>
      </c>
      <c r="AD874" s="2" t="s">
        <v>6703</v>
      </c>
      <c r="AF874" s="56">
        <v>32.53</v>
      </c>
      <c r="AG874" s="56">
        <f>VLOOKUP(A874,Sheet1!$A$2:$C$1140,3,FALSE)</f>
        <v>33.5</v>
      </c>
      <c r="AH874" s="58">
        <v>33.5</v>
      </c>
      <c r="AI874" s="56" t="str">
        <f t="shared" si="147"/>
        <v>Increase</v>
      </c>
      <c r="AJ874" s="81">
        <f t="shared" si="151"/>
        <v>32.53</v>
      </c>
      <c r="AK874" s="81">
        <f t="shared" si="152"/>
        <v>33.5</v>
      </c>
      <c r="AL874" s="58" t="s">
        <v>32</v>
      </c>
      <c r="AM874" s="58" t="s">
        <v>6703</v>
      </c>
      <c r="AN874" s="75">
        <v>2</v>
      </c>
      <c r="AO874" s="88">
        <v>33.5</v>
      </c>
      <c r="AP874" s="6" t="str">
        <f t="shared" si="148"/>
        <v>Increase</v>
      </c>
      <c r="AQ874" s="81">
        <f t="shared" si="149"/>
        <v>65.06</v>
      </c>
      <c r="AR874" s="81">
        <f t="shared" si="150"/>
        <v>67</v>
      </c>
      <c r="AS874" s="82">
        <f t="shared" si="153"/>
        <v>1.9399999999999977</v>
      </c>
    </row>
    <row r="875" spans="1:45" hidden="1" x14ac:dyDescent="0.3">
      <c r="A875">
        <v>5091668</v>
      </c>
      <c r="B875" s="15" t="s">
        <v>6211</v>
      </c>
      <c r="C875" s="16" t="s">
        <v>30</v>
      </c>
      <c r="D875" s="6" t="s">
        <v>31</v>
      </c>
      <c r="E875" t="s">
        <v>73</v>
      </c>
      <c r="F875" t="s">
        <v>73</v>
      </c>
      <c r="H875" s="11" t="s">
        <v>27</v>
      </c>
      <c r="I875" s="6" t="s">
        <v>28</v>
      </c>
      <c r="J875" s="6" t="s">
        <v>28</v>
      </c>
      <c r="K875" t="s">
        <v>32</v>
      </c>
      <c r="L875" s="35">
        <v>30.37</v>
      </c>
      <c r="M875" s="6" t="s">
        <v>29</v>
      </c>
      <c r="N875" s="6">
        <v>3105</v>
      </c>
      <c r="P875" s="18"/>
      <c r="Q875" s="17"/>
      <c r="R875" s="19">
        <v>30.37</v>
      </c>
      <c r="S875" s="19">
        <v>30.37</v>
      </c>
      <c r="T875" s="38">
        <v>1</v>
      </c>
      <c r="U875" s="38"/>
      <c r="V875" s="29">
        <v>30.37</v>
      </c>
      <c r="W875" s="35">
        <v>30.37</v>
      </c>
      <c r="X875" s="32">
        <f t="shared" si="143"/>
        <v>30.37</v>
      </c>
      <c r="Y875" s="32">
        <f t="shared" si="144"/>
        <v>30.37</v>
      </c>
      <c r="Z875" s="32">
        <f t="shared" si="145"/>
        <v>0</v>
      </c>
      <c r="AA875" s="38">
        <v>1</v>
      </c>
      <c r="AB875" s="37">
        <f>IFERROR(VLOOKUP(A875,'Tash Lookup'!A:E,3,FALSE),"")</f>
        <v>30.37</v>
      </c>
      <c r="AC875" s="6">
        <f t="shared" si="146"/>
        <v>0</v>
      </c>
      <c r="AD875" s="2" t="s">
        <v>6703</v>
      </c>
      <c r="AF875" s="56">
        <v>32.04</v>
      </c>
      <c r="AG875" s="56">
        <f>VLOOKUP(A875,Sheet1!$A$2:$C$1140,3,FALSE)</f>
        <v>32.04</v>
      </c>
      <c r="AH875" s="58">
        <v>32.04</v>
      </c>
      <c r="AI875" s="56" t="str">
        <f t="shared" si="147"/>
        <v>Same</v>
      </c>
      <c r="AJ875" s="81">
        <f t="shared" si="151"/>
        <v>32.04</v>
      </c>
      <c r="AK875" s="81">
        <f t="shared" si="152"/>
        <v>32.04</v>
      </c>
      <c r="AL875" s="58" t="s">
        <v>32</v>
      </c>
      <c r="AM875" s="58" t="s">
        <v>6703</v>
      </c>
      <c r="AN875" s="75">
        <v>43</v>
      </c>
      <c r="AO875" s="88">
        <v>32.04</v>
      </c>
      <c r="AP875" s="6" t="str">
        <f t="shared" si="148"/>
        <v>Same</v>
      </c>
      <c r="AQ875" s="81">
        <f t="shared" si="149"/>
        <v>1377.72</v>
      </c>
      <c r="AR875" s="81">
        <f t="shared" si="150"/>
        <v>1377.72</v>
      </c>
      <c r="AS875" s="81">
        <f t="shared" si="153"/>
        <v>0</v>
      </c>
    </row>
    <row r="876" spans="1:45" hidden="1" x14ac:dyDescent="0.3">
      <c r="A876">
        <v>5583704</v>
      </c>
      <c r="B876" s="15" t="s">
        <v>6212</v>
      </c>
      <c r="C876" s="16" t="s">
        <v>30</v>
      </c>
      <c r="D876" s="6" t="s">
        <v>31</v>
      </c>
      <c r="E876" t="s">
        <v>208</v>
      </c>
      <c r="F876" t="s">
        <v>208</v>
      </c>
      <c r="H876" s="11" t="s">
        <v>27</v>
      </c>
      <c r="I876" s="6" t="s">
        <v>28</v>
      </c>
      <c r="J876" s="6" t="s">
        <v>28</v>
      </c>
      <c r="K876" t="s">
        <v>32</v>
      </c>
      <c r="L876" s="35">
        <v>20.74</v>
      </c>
      <c r="M876" s="6" t="s">
        <v>29</v>
      </c>
      <c r="N876" s="6">
        <v>3105</v>
      </c>
      <c r="P876" s="18"/>
      <c r="Q876" s="17"/>
      <c r="R876" s="19">
        <v>20.74</v>
      </c>
      <c r="S876" s="19">
        <v>20.74</v>
      </c>
      <c r="T876" s="38">
        <v>1</v>
      </c>
      <c r="U876" s="38"/>
      <c r="V876" s="29">
        <v>20.74</v>
      </c>
      <c r="W876" s="35">
        <v>20.74</v>
      </c>
      <c r="X876" s="32">
        <f t="shared" si="143"/>
        <v>20.74</v>
      </c>
      <c r="Y876" s="32">
        <f t="shared" si="144"/>
        <v>20.74</v>
      </c>
      <c r="Z876" s="32">
        <f t="shared" si="145"/>
        <v>0</v>
      </c>
      <c r="AA876" s="38">
        <v>1</v>
      </c>
      <c r="AB876" s="37">
        <f>IFERROR(VLOOKUP(A876,'Tash Lookup'!A:E,3,FALSE),"")</f>
        <v>20.74</v>
      </c>
      <c r="AC876" s="6">
        <f t="shared" si="146"/>
        <v>0</v>
      </c>
      <c r="AD876" s="2" t="s">
        <v>6703</v>
      </c>
      <c r="AF876" s="56">
        <v>21.82</v>
      </c>
      <c r="AG876" s="56">
        <f>VLOOKUP(A876,Sheet1!$A$2:$C$1140,3,FALSE)</f>
        <v>21.82</v>
      </c>
      <c r="AH876" s="58">
        <v>21.82</v>
      </c>
      <c r="AI876" s="56" t="str">
        <f t="shared" si="147"/>
        <v>Same</v>
      </c>
      <c r="AJ876" s="81">
        <f t="shared" si="151"/>
        <v>21.82</v>
      </c>
      <c r="AK876" s="81">
        <f t="shared" si="152"/>
        <v>21.82</v>
      </c>
      <c r="AL876" s="58" t="s">
        <v>32</v>
      </c>
      <c r="AM876" s="58" t="s">
        <v>6703</v>
      </c>
      <c r="AN876" s="75">
        <v>1</v>
      </c>
      <c r="AO876" s="88">
        <v>21.82</v>
      </c>
      <c r="AP876" s="6" t="str">
        <f t="shared" si="148"/>
        <v>Same</v>
      </c>
      <c r="AQ876" s="81">
        <f t="shared" si="149"/>
        <v>21.82</v>
      </c>
      <c r="AR876" s="81">
        <f t="shared" si="150"/>
        <v>21.82</v>
      </c>
      <c r="AS876" s="81">
        <f t="shared" si="153"/>
        <v>0</v>
      </c>
    </row>
    <row r="877" spans="1:45" hidden="1" x14ac:dyDescent="0.3">
      <c r="A877">
        <v>5183280</v>
      </c>
      <c r="B877" s="15" t="s">
        <v>6213</v>
      </c>
      <c r="C877" s="16" t="s">
        <v>30</v>
      </c>
      <c r="D877" s="6" t="s">
        <v>31</v>
      </c>
      <c r="E877" t="s">
        <v>626</v>
      </c>
      <c r="F877" t="s">
        <v>626</v>
      </c>
      <c r="H877" s="11" t="s">
        <v>27</v>
      </c>
      <c r="I877" s="6" t="s">
        <v>28</v>
      </c>
      <c r="J877" s="6" t="s">
        <v>28</v>
      </c>
      <c r="K877" t="s">
        <v>32</v>
      </c>
      <c r="L877" s="35">
        <v>12.4</v>
      </c>
      <c r="M877" s="6" t="s">
        <v>29</v>
      </c>
      <c r="N877" s="6">
        <v>3105</v>
      </c>
      <c r="P877" s="18"/>
      <c r="Q877" s="17"/>
      <c r="R877" s="19">
        <v>12.4</v>
      </c>
      <c r="S877" s="19">
        <v>12.4</v>
      </c>
      <c r="T877" s="38">
        <v>1</v>
      </c>
      <c r="U877" s="38"/>
      <c r="V877" s="29">
        <v>12.4</v>
      </c>
      <c r="W877" s="35">
        <v>12.4</v>
      </c>
      <c r="X877" s="32">
        <f t="shared" si="143"/>
        <v>12.4</v>
      </c>
      <c r="Y877" s="32">
        <f t="shared" si="144"/>
        <v>12.4</v>
      </c>
      <c r="Z877" s="32">
        <f t="shared" si="145"/>
        <v>0</v>
      </c>
      <c r="AA877" s="38">
        <v>1</v>
      </c>
      <c r="AB877" s="37">
        <f>IFERROR(VLOOKUP(A877,'Tash Lookup'!A:E,3,FALSE),"")</f>
        <v>12.4</v>
      </c>
      <c r="AC877" s="6">
        <f t="shared" si="146"/>
        <v>0</v>
      </c>
      <c r="AD877" s="2" t="s">
        <v>6703</v>
      </c>
      <c r="AF877" s="56">
        <v>13.57</v>
      </c>
      <c r="AG877" s="56">
        <f>VLOOKUP(A877,Sheet1!$A$2:$C$1140,3,FALSE)</f>
        <v>13.98</v>
      </c>
      <c r="AH877" s="58">
        <v>13.98</v>
      </c>
      <c r="AI877" s="56" t="str">
        <f t="shared" si="147"/>
        <v>Increase</v>
      </c>
      <c r="AJ877" s="81">
        <f t="shared" si="151"/>
        <v>13.57</v>
      </c>
      <c r="AK877" s="81">
        <f t="shared" si="152"/>
        <v>13.98</v>
      </c>
      <c r="AL877" s="58" t="s">
        <v>32</v>
      </c>
      <c r="AM877" s="58" t="s">
        <v>6703</v>
      </c>
      <c r="AN877" s="75">
        <v>0</v>
      </c>
      <c r="AO877" s="88">
        <v>13.98</v>
      </c>
      <c r="AP877" s="6" t="str">
        <f t="shared" si="148"/>
        <v>Increase</v>
      </c>
      <c r="AQ877" s="81">
        <f t="shared" si="149"/>
        <v>0</v>
      </c>
      <c r="AR877" s="81">
        <f t="shared" si="150"/>
        <v>0</v>
      </c>
      <c r="AS877" s="81">
        <f t="shared" si="153"/>
        <v>0</v>
      </c>
    </row>
    <row r="878" spans="1:45" hidden="1" x14ac:dyDescent="0.3">
      <c r="A878">
        <v>6315732</v>
      </c>
      <c r="B878" s="15" t="s">
        <v>6214</v>
      </c>
      <c r="C878" s="16" t="s">
        <v>30</v>
      </c>
      <c r="D878" s="6" t="s">
        <v>31</v>
      </c>
      <c r="E878" t="s">
        <v>946</v>
      </c>
      <c r="F878" t="s">
        <v>946</v>
      </c>
      <c r="H878" s="11" t="s">
        <v>27</v>
      </c>
      <c r="I878" s="6" t="s">
        <v>28</v>
      </c>
      <c r="J878" s="6" t="s">
        <v>28</v>
      </c>
      <c r="K878" t="s">
        <v>32</v>
      </c>
      <c r="L878" s="35">
        <v>725.76</v>
      </c>
      <c r="M878" s="6" t="s">
        <v>29</v>
      </c>
      <c r="N878" s="6">
        <v>3105</v>
      </c>
      <c r="P878" s="18"/>
      <c r="Q878" s="17"/>
      <c r="R878" s="19">
        <v>0</v>
      </c>
      <c r="S878" s="19">
        <v>0</v>
      </c>
      <c r="T878" s="38">
        <v>1</v>
      </c>
      <c r="U878" s="38"/>
      <c r="V878" s="29">
        <v>725.76</v>
      </c>
      <c r="W878" s="35">
        <v>725.76</v>
      </c>
      <c r="X878" s="32">
        <f t="shared" si="143"/>
        <v>725.76</v>
      </c>
      <c r="Y878" s="32">
        <f t="shared" si="144"/>
        <v>725.76</v>
      </c>
      <c r="Z878" s="32">
        <f t="shared" si="145"/>
        <v>0</v>
      </c>
      <c r="AA878" s="38">
        <v>1</v>
      </c>
      <c r="AB878" s="37">
        <f>IFERROR(VLOOKUP(A878,'Tash Lookup'!A:E,3,FALSE),"")</f>
        <v>738.3</v>
      </c>
      <c r="AC878" s="6">
        <f t="shared" si="146"/>
        <v>0</v>
      </c>
      <c r="AD878" s="2" t="s">
        <v>6703</v>
      </c>
      <c r="AF878" s="56">
        <v>725.76</v>
      </c>
      <c r="AG878" s="56">
        <f>VLOOKUP(A878,Sheet1!$A$2:$C$1140,3,FALSE)</f>
        <v>725.76</v>
      </c>
      <c r="AH878" s="58">
        <v>725.76</v>
      </c>
      <c r="AI878" s="56" t="str">
        <f t="shared" si="147"/>
        <v>Same</v>
      </c>
      <c r="AJ878" s="81">
        <f t="shared" si="151"/>
        <v>725.76</v>
      </c>
      <c r="AK878" s="81">
        <f t="shared" si="152"/>
        <v>725.76</v>
      </c>
      <c r="AL878" s="58" t="s">
        <v>7206</v>
      </c>
      <c r="AM878" s="58" t="s">
        <v>6703</v>
      </c>
      <c r="AN878" s="75">
        <v>0</v>
      </c>
      <c r="AO878" s="88">
        <v>725.76</v>
      </c>
      <c r="AP878" s="6" t="str">
        <f t="shared" si="148"/>
        <v>Same</v>
      </c>
      <c r="AQ878" s="81">
        <f t="shared" si="149"/>
        <v>0</v>
      </c>
      <c r="AR878" s="81">
        <f t="shared" si="150"/>
        <v>0</v>
      </c>
      <c r="AS878" s="81">
        <f t="shared" si="153"/>
        <v>0</v>
      </c>
    </row>
    <row r="879" spans="1:45" hidden="1" x14ac:dyDescent="0.3">
      <c r="A879">
        <v>5222629</v>
      </c>
      <c r="B879" s="15" t="s">
        <v>6215</v>
      </c>
      <c r="C879" s="16" t="s">
        <v>30</v>
      </c>
      <c r="D879" s="6" t="s">
        <v>31</v>
      </c>
      <c r="E879" t="s">
        <v>967</v>
      </c>
      <c r="F879" t="s">
        <v>967</v>
      </c>
      <c r="H879" s="11" t="s">
        <v>27</v>
      </c>
      <c r="I879" s="6" t="s">
        <v>28</v>
      </c>
      <c r="J879" s="6" t="s">
        <v>28</v>
      </c>
      <c r="K879" t="s">
        <v>32</v>
      </c>
      <c r="L879" s="35">
        <v>25.76</v>
      </c>
      <c r="M879" s="6" t="s">
        <v>29</v>
      </c>
      <c r="N879" s="6">
        <v>3105</v>
      </c>
      <c r="P879" s="18"/>
      <c r="Q879" s="17"/>
      <c r="R879" s="19">
        <v>0</v>
      </c>
      <c r="S879" s="19">
        <v>0</v>
      </c>
      <c r="T879" s="38">
        <v>1</v>
      </c>
      <c r="U879" s="38"/>
      <c r="V879" s="29">
        <v>25.76</v>
      </c>
      <c r="W879" s="35">
        <v>25.76</v>
      </c>
      <c r="X879" s="32">
        <f t="shared" si="143"/>
        <v>25.76</v>
      </c>
      <c r="Y879" s="32">
        <f t="shared" si="144"/>
        <v>25.76</v>
      </c>
      <c r="Z879" s="32">
        <f t="shared" si="145"/>
        <v>0</v>
      </c>
      <c r="AA879" s="38">
        <v>1</v>
      </c>
      <c r="AB879" s="37">
        <f>IFERROR(VLOOKUP(A879,'Tash Lookup'!A:E,3,FALSE),"")</f>
        <v>25.76</v>
      </c>
      <c r="AC879" s="6">
        <f t="shared" si="146"/>
        <v>0</v>
      </c>
      <c r="AD879" s="2" t="s">
        <v>6703</v>
      </c>
      <c r="AF879" s="56">
        <v>25.76</v>
      </c>
      <c r="AG879" s="56">
        <f>VLOOKUP(A879,Sheet1!$A$2:$C$1140,3,FALSE)</f>
        <v>25.76</v>
      </c>
      <c r="AH879" s="58">
        <v>25.76</v>
      </c>
      <c r="AI879" s="56" t="str">
        <f t="shared" si="147"/>
        <v>Same</v>
      </c>
      <c r="AJ879" s="81">
        <f t="shared" si="151"/>
        <v>25.76</v>
      </c>
      <c r="AK879" s="81">
        <f t="shared" si="152"/>
        <v>25.76</v>
      </c>
      <c r="AL879" s="58" t="s">
        <v>7206</v>
      </c>
      <c r="AM879" s="58" t="s">
        <v>6708</v>
      </c>
      <c r="AN879" s="75">
        <v>1</v>
      </c>
      <c r="AO879" s="88">
        <v>25.76</v>
      </c>
      <c r="AP879" s="6" t="str">
        <f t="shared" si="148"/>
        <v>Same</v>
      </c>
      <c r="AQ879" s="81">
        <f t="shared" si="149"/>
        <v>25.76</v>
      </c>
      <c r="AR879" s="81">
        <f t="shared" si="150"/>
        <v>25.76</v>
      </c>
      <c r="AS879" s="81">
        <f t="shared" si="153"/>
        <v>0</v>
      </c>
    </row>
    <row r="880" spans="1:45" hidden="1" x14ac:dyDescent="0.3">
      <c r="A880">
        <v>6416433</v>
      </c>
      <c r="B880" s="15" t="s">
        <v>6216</v>
      </c>
      <c r="C880" s="16" t="s">
        <v>30</v>
      </c>
      <c r="D880" s="6" t="s">
        <v>31</v>
      </c>
      <c r="E880" t="s">
        <v>2983</v>
      </c>
      <c r="F880" t="s">
        <v>2983</v>
      </c>
      <c r="H880" s="11" t="s">
        <v>27</v>
      </c>
      <c r="I880" s="6" t="s">
        <v>28</v>
      </c>
      <c r="J880" s="6" t="s">
        <v>28</v>
      </c>
      <c r="K880" t="s">
        <v>32</v>
      </c>
      <c r="L880" s="35">
        <v>4.12</v>
      </c>
      <c r="M880" s="6" t="s">
        <v>29</v>
      </c>
      <c r="N880" s="6">
        <v>3105</v>
      </c>
      <c r="P880" s="18"/>
      <c r="Q880" s="17"/>
      <c r="R880" s="19">
        <v>4.12</v>
      </c>
      <c r="S880" s="19">
        <v>4.12</v>
      </c>
      <c r="T880" s="38">
        <v>1</v>
      </c>
      <c r="U880" s="38"/>
      <c r="V880" s="30">
        <v>4.12</v>
      </c>
      <c r="W880" s="35">
        <v>4.12</v>
      </c>
      <c r="X880" s="32">
        <f t="shared" si="143"/>
        <v>4.12</v>
      </c>
      <c r="Y880" s="32">
        <f t="shared" si="144"/>
        <v>4.12</v>
      </c>
      <c r="Z880" s="32">
        <f t="shared" si="145"/>
        <v>0</v>
      </c>
      <c r="AA880" s="38">
        <v>1</v>
      </c>
      <c r="AB880" s="37">
        <f>IFERROR(VLOOKUP(A880,'Tash Lookup'!A:E,3,FALSE),"")</f>
        <v>4.12</v>
      </c>
      <c r="AC880" s="6">
        <f t="shared" si="146"/>
        <v>0</v>
      </c>
      <c r="AD880" s="2" t="s">
        <v>6704</v>
      </c>
      <c r="AF880" s="56">
        <v>4.12</v>
      </c>
      <c r="AG880" s="56" t="e">
        <f>VLOOKUP(A880,Sheet1!$A$2:$C$1140,3,FALSE)</f>
        <v>#N/A</v>
      </c>
      <c r="AH880" s="58" t="e">
        <v>#N/A</v>
      </c>
      <c r="AI880" s="56" t="str">
        <f t="shared" si="147"/>
        <v>Delete</v>
      </c>
      <c r="AJ880" s="81">
        <f t="shared" si="151"/>
        <v>4.12</v>
      </c>
      <c r="AK880" s="81">
        <f t="shared" si="152"/>
        <v>0</v>
      </c>
      <c r="AL880" s="58" t="s">
        <v>7206</v>
      </c>
      <c r="AM880" s="58" t="s">
        <v>6708</v>
      </c>
      <c r="AN880" s="75">
        <v>0</v>
      </c>
      <c r="AO880" s="88">
        <v>4.12</v>
      </c>
      <c r="AP880" s="6" t="str">
        <f t="shared" si="148"/>
        <v>Same</v>
      </c>
      <c r="AQ880" s="81">
        <f t="shared" si="149"/>
        <v>0</v>
      </c>
      <c r="AR880" s="81">
        <f t="shared" si="150"/>
        <v>0</v>
      </c>
      <c r="AS880" s="81">
        <f t="shared" si="153"/>
        <v>0</v>
      </c>
    </row>
    <row r="881" spans="1:45" hidden="1" x14ac:dyDescent="0.3">
      <c r="A881">
        <v>6416432</v>
      </c>
      <c r="B881" s="15" t="s">
        <v>6217</v>
      </c>
      <c r="C881" s="16" t="s">
        <v>30</v>
      </c>
      <c r="D881" s="6" t="s">
        <v>31</v>
      </c>
      <c r="E881" t="s">
        <v>2984</v>
      </c>
      <c r="F881" t="s">
        <v>2984</v>
      </c>
      <c r="H881" s="11" t="s">
        <v>27</v>
      </c>
      <c r="I881" s="6" t="s">
        <v>28</v>
      </c>
      <c r="J881" s="6" t="s">
        <v>28</v>
      </c>
      <c r="K881" t="s">
        <v>32</v>
      </c>
      <c r="L881" s="35">
        <v>5.69</v>
      </c>
      <c r="M881" s="6" t="s">
        <v>29</v>
      </c>
      <c r="N881" s="6">
        <v>3105</v>
      </c>
      <c r="P881" s="18"/>
      <c r="Q881" s="17"/>
      <c r="R881" s="19">
        <v>5.69</v>
      </c>
      <c r="S881" s="19">
        <v>5.69</v>
      </c>
      <c r="T881" s="38">
        <v>1</v>
      </c>
      <c r="U881" s="38"/>
      <c r="V881" s="30">
        <v>5.69</v>
      </c>
      <c r="W881" s="35">
        <v>5.69</v>
      </c>
      <c r="X881" s="32">
        <f t="shared" si="143"/>
        <v>5.69</v>
      </c>
      <c r="Y881" s="32">
        <f t="shared" si="144"/>
        <v>5.69</v>
      </c>
      <c r="Z881" s="32">
        <f t="shared" si="145"/>
        <v>0</v>
      </c>
      <c r="AA881" s="38">
        <v>1</v>
      </c>
      <c r="AB881" s="37">
        <f>IFERROR(VLOOKUP(A881,'Tash Lookup'!A:E,3,FALSE),"")</f>
        <v>5.69</v>
      </c>
      <c r="AC881" s="6">
        <f t="shared" si="146"/>
        <v>0</v>
      </c>
      <c r="AD881" s="2" t="s">
        <v>6704</v>
      </c>
      <c r="AF881" s="56">
        <v>5.69</v>
      </c>
      <c r="AG881" s="56" t="e">
        <f>VLOOKUP(A881,Sheet1!$A$2:$C$1140,3,FALSE)</f>
        <v>#N/A</v>
      </c>
      <c r="AH881" s="58" t="e">
        <v>#N/A</v>
      </c>
      <c r="AI881" s="56" t="str">
        <f t="shared" si="147"/>
        <v>Delete</v>
      </c>
      <c r="AJ881" s="81">
        <f t="shared" si="151"/>
        <v>5.69</v>
      </c>
      <c r="AK881" s="81">
        <f t="shared" si="152"/>
        <v>0</v>
      </c>
      <c r="AL881" s="58" t="s">
        <v>7206</v>
      </c>
      <c r="AM881" s="58" t="s">
        <v>6708</v>
      </c>
      <c r="AN881" s="75">
        <v>0</v>
      </c>
      <c r="AO881" s="88">
        <v>5.69</v>
      </c>
      <c r="AP881" s="6" t="str">
        <f t="shared" si="148"/>
        <v>Same</v>
      </c>
      <c r="AQ881" s="81">
        <f t="shared" si="149"/>
        <v>0</v>
      </c>
      <c r="AR881" s="81">
        <f t="shared" si="150"/>
        <v>0</v>
      </c>
      <c r="AS881" s="81">
        <f t="shared" si="153"/>
        <v>0</v>
      </c>
    </row>
    <row r="882" spans="1:45" hidden="1" x14ac:dyDescent="0.3">
      <c r="A882">
        <v>5092965</v>
      </c>
      <c r="B882" s="15" t="s">
        <v>6218</v>
      </c>
      <c r="C882" s="16" t="s">
        <v>30</v>
      </c>
      <c r="D882" s="6" t="s">
        <v>31</v>
      </c>
      <c r="E882" t="s">
        <v>981</v>
      </c>
      <c r="F882" t="s">
        <v>981</v>
      </c>
      <c r="H882" s="11" t="s">
        <v>27</v>
      </c>
      <c r="I882" s="6" t="s">
        <v>28</v>
      </c>
      <c r="J882" s="6" t="s">
        <v>28</v>
      </c>
      <c r="K882" t="s">
        <v>32</v>
      </c>
      <c r="L882" s="35">
        <v>9.6300000000000008</v>
      </c>
      <c r="M882" s="6" t="s">
        <v>29</v>
      </c>
      <c r="N882" s="6">
        <v>3105</v>
      </c>
      <c r="P882" s="18"/>
      <c r="Q882" s="17"/>
      <c r="R882" s="19">
        <v>9.6300000000000008</v>
      </c>
      <c r="S882" s="19">
        <v>9.6300000000000008</v>
      </c>
      <c r="T882" s="38">
        <v>1</v>
      </c>
      <c r="U882" s="38"/>
      <c r="V882" s="30">
        <v>9.6300000000000008</v>
      </c>
      <c r="W882" s="35">
        <v>9.6300000000000008</v>
      </c>
      <c r="X882" s="32">
        <f t="shared" si="143"/>
        <v>9.6300000000000008</v>
      </c>
      <c r="Y882" s="32">
        <f t="shared" si="144"/>
        <v>9.6300000000000008</v>
      </c>
      <c r="Z882" s="32">
        <f t="shared" si="145"/>
        <v>0</v>
      </c>
      <c r="AA882" s="38">
        <v>1</v>
      </c>
      <c r="AB882" s="37">
        <f>IFERROR(VLOOKUP(A882,'Tash Lookup'!A:E,3,FALSE),"")</f>
        <v>9.6300000000000008</v>
      </c>
      <c r="AC882" s="6">
        <f t="shared" si="146"/>
        <v>0</v>
      </c>
      <c r="AD882" s="2" t="s">
        <v>6703</v>
      </c>
      <c r="AF882" s="56">
        <v>9.64</v>
      </c>
      <c r="AG882" s="56">
        <f>VLOOKUP(A882,Sheet1!$A$2:$C$1140,3,FALSE)</f>
        <v>9.64</v>
      </c>
      <c r="AH882" s="58">
        <v>9.64</v>
      </c>
      <c r="AI882" s="56" t="str">
        <f t="shared" si="147"/>
        <v>Same</v>
      </c>
      <c r="AJ882" s="81">
        <f t="shared" si="151"/>
        <v>9.64</v>
      </c>
      <c r="AK882" s="81">
        <f t="shared" si="152"/>
        <v>9.64</v>
      </c>
      <c r="AL882" s="58" t="s">
        <v>7206</v>
      </c>
      <c r="AM882" s="58" t="s">
        <v>6703</v>
      </c>
      <c r="AN882" s="75">
        <v>7</v>
      </c>
      <c r="AO882" s="88">
        <v>9.64</v>
      </c>
      <c r="AP882" s="6" t="str">
        <f t="shared" si="148"/>
        <v>Same</v>
      </c>
      <c r="AQ882" s="81">
        <f t="shared" si="149"/>
        <v>67.48</v>
      </c>
      <c r="AR882" s="81">
        <f t="shared" si="150"/>
        <v>67.48</v>
      </c>
      <c r="AS882" s="81">
        <f t="shared" si="153"/>
        <v>0</v>
      </c>
    </row>
    <row r="883" spans="1:45" hidden="1" x14ac:dyDescent="0.3">
      <c r="A883">
        <v>5084898</v>
      </c>
      <c r="B883" s="15" t="s">
        <v>6219</v>
      </c>
      <c r="C883" s="16" t="s">
        <v>30</v>
      </c>
      <c r="D883" s="6" t="s">
        <v>31</v>
      </c>
      <c r="E883" t="s">
        <v>984</v>
      </c>
      <c r="F883" t="s">
        <v>984</v>
      </c>
      <c r="H883" s="11" t="s">
        <v>27</v>
      </c>
      <c r="I883" s="6" t="s">
        <v>28</v>
      </c>
      <c r="J883" s="6" t="s">
        <v>28</v>
      </c>
      <c r="K883" t="s">
        <v>32</v>
      </c>
      <c r="L883" s="35">
        <v>77.48</v>
      </c>
      <c r="M883" s="6" t="s">
        <v>29</v>
      </c>
      <c r="N883" s="6">
        <v>3105</v>
      </c>
      <c r="P883" s="18"/>
      <c r="Q883" s="17"/>
      <c r="R883" s="19">
        <v>77.48</v>
      </c>
      <c r="S883" s="19">
        <v>77.48</v>
      </c>
      <c r="T883" s="38">
        <v>1</v>
      </c>
      <c r="U883" s="38"/>
      <c r="V883" s="30">
        <v>77.48</v>
      </c>
      <c r="W883" s="35">
        <v>77.48</v>
      </c>
      <c r="X883" s="32">
        <f t="shared" si="143"/>
        <v>77.48</v>
      </c>
      <c r="Y883" s="32">
        <f t="shared" si="144"/>
        <v>77.48</v>
      </c>
      <c r="Z883" s="32">
        <f t="shared" si="145"/>
        <v>0</v>
      </c>
      <c r="AA883" s="38">
        <v>1</v>
      </c>
      <c r="AB883" s="37">
        <f>IFERROR(VLOOKUP(A883,'Tash Lookup'!A:E,3,FALSE),"")</f>
        <v>77.48</v>
      </c>
      <c r="AC883" s="6">
        <f t="shared" si="146"/>
        <v>0</v>
      </c>
      <c r="AD883" s="2" t="s">
        <v>6703</v>
      </c>
      <c r="AF883" s="56">
        <v>53.23</v>
      </c>
      <c r="AG883" s="56">
        <f>VLOOKUP(A883,Sheet1!$A$2:$C$1140,3,FALSE)</f>
        <v>53.23</v>
      </c>
      <c r="AH883" s="58">
        <v>53.23</v>
      </c>
      <c r="AI883" s="56" t="str">
        <f t="shared" si="147"/>
        <v>Same</v>
      </c>
      <c r="AJ883" s="81">
        <f t="shared" si="151"/>
        <v>53.23</v>
      </c>
      <c r="AK883" s="81">
        <f t="shared" si="152"/>
        <v>53.23</v>
      </c>
      <c r="AL883" s="58" t="s">
        <v>7206</v>
      </c>
      <c r="AM883" s="58" t="s">
        <v>6703</v>
      </c>
      <c r="AN883" s="75">
        <v>12</v>
      </c>
      <c r="AO883" s="88">
        <v>53.23</v>
      </c>
      <c r="AP883" s="6" t="str">
        <f t="shared" si="148"/>
        <v>Same</v>
      </c>
      <c r="AQ883" s="81">
        <f t="shared" si="149"/>
        <v>638.76</v>
      </c>
      <c r="AR883" s="81">
        <f t="shared" si="150"/>
        <v>638.76</v>
      </c>
      <c r="AS883" s="81">
        <f t="shared" si="153"/>
        <v>0</v>
      </c>
    </row>
    <row r="884" spans="1:45" hidden="1" x14ac:dyDescent="0.3">
      <c r="A884">
        <v>6352980</v>
      </c>
      <c r="B884" s="15" t="s">
        <v>6220</v>
      </c>
      <c r="C884" s="16" t="s">
        <v>30</v>
      </c>
      <c r="D884" s="6" t="s">
        <v>31</v>
      </c>
      <c r="E884" t="s">
        <v>1016</v>
      </c>
      <c r="F884" t="s">
        <v>1016</v>
      </c>
      <c r="H884" s="11" t="s">
        <v>27</v>
      </c>
      <c r="I884" s="6" t="s">
        <v>28</v>
      </c>
      <c r="J884" s="6" t="s">
        <v>28</v>
      </c>
      <c r="K884" t="s">
        <v>32</v>
      </c>
      <c r="L884" s="35">
        <v>43.5</v>
      </c>
      <c r="M884" s="6" t="s">
        <v>29</v>
      </c>
      <c r="N884" s="6">
        <v>3105</v>
      </c>
      <c r="P884" s="18"/>
      <c r="Q884" s="17"/>
      <c r="R884" s="19">
        <v>43.5</v>
      </c>
      <c r="S884" s="19">
        <v>43.5</v>
      </c>
      <c r="T884" s="38">
        <v>1</v>
      </c>
      <c r="U884" s="38"/>
      <c r="V884" s="30">
        <v>43.5</v>
      </c>
      <c r="W884" s="35">
        <v>43.5</v>
      </c>
      <c r="X884" s="32">
        <f t="shared" si="143"/>
        <v>43.5</v>
      </c>
      <c r="Y884" s="32">
        <f t="shared" si="144"/>
        <v>43.5</v>
      </c>
      <c r="Z884" s="32">
        <f t="shared" si="145"/>
        <v>0</v>
      </c>
      <c r="AA884" s="38">
        <v>1</v>
      </c>
      <c r="AB884" s="37">
        <f>IFERROR(VLOOKUP(A884,'Tash Lookup'!A:E,3,FALSE),"")</f>
        <v>43.5</v>
      </c>
      <c r="AC884" s="6">
        <f t="shared" si="146"/>
        <v>0</v>
      </c>
      <c r="AD884" s="2" t="s">
        <v>6711</v>
      </c>
      <c r="AE884" s="2" t="s">
        <v>6701</v>
      </c>
      <c r="AF884" s="56">
        <v>43.5</v>
      </c>
      <c r="AG884" s="56" t="e">
        <f>VLOOKUP(A884,Sheet1!$A$2:$C$1140,3,FALSE)</f>
        <v>#N/A</v>
      </c>
      <c r="AH884" s="58" t="e">
        <v>#N/A</v>
      </c>
      <c r="AI884" s="56" t="str">
        <f t="shared" si="147"/>
        <v>Delete</v>
      </c>
      <c r="AJ884" s="81">
        <f t="shared" si="151"/>
        <v>43.5</v>
      </c>
      <c r="AK884" s="81">
        <f t="shared" si="152"/>
        <v>0</v>
      </c>
      <c r="AL884" s="58" t="s">
        <v>7206</v>
      </c>
      <c r="AM884" s="58" t="s">
        <v>6711</v>
      </c>
      <c r="AN884" s="75">
        <v>0</v>
      </c>
      <c r="AO884" s="88">
        <v>43.5</v>
      </c>
      <c r="AP884" s="6" t="str">
        <f t="shared" si="148"/>
        <v>Delete</v>
      </c>
      <c r="AQ884" s="81">
        <f t="shared" si="149"/>
        <v>0</v>
      </c>
      <c r="AR884" s="81">
        <f t="shared" si="150"/>
        <v>0</v>
      </c>
      <c r="AS884" s="81">
        <f t="shared" si="153"/>
        <v>0</v>
      </c>
    </row>
    <row r="885" spans="1:45" hidden="1" x14ac:dyDescent="0.3">
      <c r="A885">
        <v>6352971</v>
      </c>
      <c r="B885" s="15" t="s">
        <v>6221</v>
      </c>
      <c r="C885" s="16" t="s">
        <v>30</v>
      </c>
      <c r="D885" s="6" t="s">
        <v>31</v>
      </c>
      <c r="E885" t="s">
        <v>1017</v>
      </c>
      <c r="F885" t="s">
        <v>1017</v>
      </c>
      <c r="H885" s="11" t="s">
        <v>27</v>
      </c>
      <c r="I885" s="6" t="s">
        <v>28</v>
      </c>
      <c r="J885" s="6" t="s">
        <v>28</v>
      </c>
      <c r="K885" t="s">
        <v>32</v>
      </c>
      <c r="L885" s="35">
        <v>43.5</v>
      </c>
      <c r="M885" s="6" t="s">
        <v>29</v>
      </c>
      <c r="N885" s="6">
        <v>3105</v>
      </c>
      <c r="P885" s="18"/>
      <c r="Q885" s="17"/>
      <c r="R885" s="19">
        <v>43.5</v>
      </c>
      <c r="S885" s="19">
        <v>0</v>
      </c>
      <c r="T885" s="38">
        <v>1</v>
      </c>
      <c r="U885" s="38"/>
      <c r="V885" s="30">
        <v>43.5</v>
      </c>
      <c r="W885" s="35">
        <v>43.5</v>
      </c>
      <c r="X885" s="32">
        <f t="shared" si="143"/>
        <v>43.5</v>
      </c>
      <c r="Y885" s="32">
        <f t="shared" si="144"/>
        <v>43.5</v>
      </c>
      <c r="Z885" s="32">
        <f t="shared" si="145"/>
        <v>0</v>
      </c>
      <c r="AA885" s="38">
        <v>1</v>
      </c>
      <c r="AB885" s="37">
        <f>IFERROR(VLOOKUP(A885,'Tash Lookup'!A:E,3,FALSE),"")</f>
        <v>43.5</v>
      </c>
      <c r="AC885" s="6">
        <f t="shared" si="146"/>
        <v>0</v>
      </c>
      <c r="AD885" s="2" t="s">
        <v>6711</v>
      </c>
      <c r="AE885" s="2" t="s">
        <v>6701</v>
      </c>
      <c r="AF885" s="56">
        <v>43.5</v>
      </c>
      <c r="AG885" s="56" t="e">
        <f>VLOOKUP(A885,Sheet1!$A$2:$C$1140,3,FALSE)</f>
        <v>#N/A</v>
      </c>
      <c r="AH885" s="58" t="e">
        <v>#N/A</v>
      </c>
      <c r="AI885" s="56" t="str">
        <f t="shared" si="147"/>
        <v>Delete</v>
      </c>
      <c r="AJ885" s="81">
        <f t="shared" si="151"/>
        <v>43.5</v>
      </c>
      <c r="AK885" s="81">
        <f t="shared" si="152"/>
        <v>0</v>
      </c>
      <c r="AL885" s="58" t="s">
        <v>7206</v>
      </c>
      <c r="AM885" s="58" t="s">
        <v>6711</v>
      </c>
      <c r="AN885" s="75">
        <v>0</v>
      </c>
      <c r="AO885" s="88">
        <v>43.5</v>
      </c>
      <c r="AP885" s="6" t="str">
        <f t="shared" si="148"/>
        <v>Delete</v>
      </c>
      <c r="AQ885" s="81">
        <f t="shared" si="149"/>
        <v>0</v>
      </c>
      <c r="AR885" s="81">
        <f t="shared" si="150"/>
        <v>0</v>
      </c>
      <c r="AS885" s="81">
        <f t="shared" si="153"/>
        <v>0</v>
      </c>
    </row>
    <row r="886" spans="1:45" hidden="1" x14ac:dyDescent="0.3">
      <c r="A886">
        <v>6352982</v>
      </c>
      <c r="B886" s="15" t="s">
        <v>6222</v>
      </c>
      <c r="C886" s="16" t="s">
        <v>30</v>
      </c>
      <c r="D886" s="6" t="s">
        <v>31</v>
      </c>
      <c r="E886" t="s">
        <v>1020</v>
      </c>
      <c r="F886" t="s">
        <v>1020</v>
      </c>
      <c r="H886" s="11" t="s">
        <v>27</v>
      </c>
      <c r="I886" s="6" t="s">
        <v>28</v>
      </c>
      <c r="J886" s="6" t="s">
        <v>28</v>
      </c>
      <c r="K886" t="s">
        <v>32</v>
      </c>
      <c r="L886" s="35">
        <v>43.5</v>
      </c>
      <c r="M886" s="6" t="s">
        <v>29</v>
      </c>
      <c r="N886" s="6">
        <v>3105</v>
      </c>
      <c r="P886" s="18"/>
      <c r="Q886" s="17"/>
      <c r="R886" s="19">
        <v>43.5</v>
      </c>
      <c r="S886" s="19">
        <v>43.5</v>
      </c>
      <c r="T886" s="38">
        <v>1</v>
      </c>
      <c r="U886" s="38"/>
      <c r="V886" s="30">
        <v>43.5</v>
      </c>
      <c r="W886" s="35">
        <v>43.5</v>
      </c>
      <c r="X886" s="32">
        <f t="shared" si="143"/>
        <v>43.5</v>
      </c>
      <c r="Y886" s="32">
        <f t="shared" si="144"/>
        <v>43.5</v>
      </c>
      <c r="Z886" s="32">
        <f t="shared" si="145"/>
        <v>0</v>
      </c>
      <c r="AA886" s="38">
        <v>1</v>
      </c>
      <c r="AB886" s="37">
        <f>IFERROR(VLOOKUP(A886,'Tash Lookup'!A:E,3,FALSE),"")</f>
        <v>43.5</v>
      </c>
      <c r="AC886" s="6">
        <f t="shared" si="146"/>
        <v>0</v>
      </c>
      <c r="AD886" s="2" t="s">
        <v>6711</v>
      </c>
      <c r="AE886" s="2" t="s">
        <v>6701</v>
      </c>
      <c r="AF886" s="56">
        <v>43.5</v>
      </c>
      <c r="AG886" s="56" t="e">
        <f>VLOOKUP(A886,Sheet1!$A$2:$C$1140,3,FALSE)</f>
        <v>#N/A</v>
      </c>
      <c r="AH886" s="58" t="e">
        <v>#N/A</v>
      </c>
      <c r="AI886" s="56" t="str">
        <f t="shared" si="147"/>
        <v>Delete</v>
      </c>
      <c r="AJ886" s="81">
        <f t="shared" si="151"/>
        <v>43.5</v>
      </c>
      <c r="AK886" s="81">
        <f t="shared" si="152"/>
        <v>0</v>
      </c>
      <c r="AL886" s="58" t="s">
        <v>7206</v>
      </c>
      <c r="AM886" s="58" t="s">
        <v>6711</v>
      </c>
      <c r="AN886" s="75">
        <v>0</v>
      </c>
      <c r="AO886" s="88">
        <v>43.5</v>
      </c>
      <c r="AP886" s="6" t="str">
        <f t="shared" si="148"/>
        <v>Delete</v>
      </c>
      <c r="AQ886" s="81">
        <f t="shared" si="149"/>
        <v>0</v>
      </c>
      <c r="AR886" s="81">
        <f t="shared" si="150"/>
        <v>0</v>
      </c>
      <c r="AS886" s="81">
        <f t="shared" si="153"/>
        <v>0</v>
      </c>
    </row>
    <row r="887" spans="1:45" hidden="1" x14ac:dyDescent="0.3">
      <c r="A887">
        <v>6038889</v>
      </c>
      <c r="B887" s="15" t="s">
        <v>6223</v>
      </c>
      <c r="C887" s="16" t="s">
        <v>30</v>
      </c>
      <c r="D887" s="6" t="s">
        <v>31</v>
      </c>
      <c r="E887" t="s">
        <v>1033</v>
      </c>
      <c r="F887" t="s">
        <v>1033</v>
      </c>
      <c r="H887" s="11" t="s">
        <v>27</v>
      </c>
      <c r="I887" s="6" t="s">
        <v>28</v>
      </c>
      <c r="J887" s="6" t="s">
        <v>28</v>
      </c>
      <c r="K887" t="s">
        <v>32</v>
      </c>
      <c r="L887" s="35">
        <v>14.25</v>
      </c>
      <c r="M887" s="6" t="s">
        <v>29</v>
      </c>
      <c r="N887" s="6">
        <v>3105</v>
      </c>
      <c r="P887" s="18"/>
      <c r="Q887" s="17"/>
      <c r="R887" s="19">
        <v>0</v>
      </c>
      <c r="S887" s="19">
        <v>0</v>
      </c>
      <c r="T887" s="38">
        <v>1</v>
      </c>
      <c r="U887" s="38"/>
      <c r="V887" s="31">
        <v>14.25</v>
      </c>
      <c r="W887" s="35">
        <v>14.25</v>
      </c>
      <c r="X887" s="32">
        <f t="shared" si="143"/>
        <v>14.25</v>
      </c>
      <c r="Y887" s="32">
        <f t="shared" si="144"/>
        <v>14.25</v>
      </c>
      <c r="Z887" s="32">
        <f t="shared" si="145"/>
        <v>0</v>
      </c>
      <c r="AA887" s="38">
        <v>1</v>
      </c>
      <c r="AB887" s="37">
        <f>IFERROR(VLOOKUP(A887,'Tash Lookup'!A:E,3,FALSE),"")</f>
        <v>14.25</v>
      </c>
      <c r="AC887" s="6">
        <f t="shared" si="146"/>
        <v>0</v>
      </c>
      <c r="AD887" s="2" t="s">
        <v>6703</v>
      </c>
      <c r="AF887" s="56">
        <v>14.61</v>
      </c>
      <c r="AG887" s="56">
        <f>VLOOKUP(A887,Sheet1!$A$2:$C$1140,3,FALSE)</f>
        <v>14.9</v>
      </c>
      <c r="AH887" s="58">
        <v>14.9</v>
      </c>
      <c r="AI887" s="56" t="str">
        <f t="shared" si="147"/>
        <v>Increase</v>
      </c>
      <c r="AJ887" s="81">
        <f t="shared" si="151"/>
        <v>14.61</v>
      </c>
      <c r="AK887" s="81">
        <f t="shared" si="152"/>
        <v>14.9</v>
      </c>
      <c r="AL887" s="58" t="s">
        <v>7206</v>
      </c>
      <c r="AM887" s="58" t="s">
        <v>6703</v>
      </c>
      <c r="AN887" s="75">
        <v>1</v>
      </c>
      <c r="AO887" s="88">
        <v>14.9</v>
      </c>
      <c r="AP887" s="6" t="str">
        <f t="shared" si="148"/>
        <v>Increase</v>
      </c>
      <c r="AQ887" s="81">
        <f t="shared" si="149"/>
        <v>14.61</v>
      </c>
      <c r="AR887" s="81">
        <f t="shared" si="150"/>
        <v>14.9</v>
      </c>
      <c r="AS887" s="81">
        <f t="shared" si="153"/>
        <v>0.29000000000000092</v>
      </c>
    </row>
    <row r="888" spans="1:45" hidden="1" x14ac:dyDescent="0.3">
      <c r="A888">
        <v>6414041</v>
      </c>
      <c r="B888" s="15" t="s">
        <v>6224</v>
      </c>
      <c r="C888" s="16" t="s">
        <v>30</v>
      </c>
      <c r="D888" s="6" t="s">
        <v>31</v>
      </c>
      <c r="E888" t="s">
        <v>1055</v>
      </c>
      <c r="F888" t="s">
        <v>1055</v>
      </c>
      <c r="H888" s="11" t="s">
        <v>27</v>
      </c>
      <c r="I888" s="6" t="s">
        <v>28</v>
      </c>
      <c r="J888" s="6" t="s">
        <v>28</v>
      </c>
      <c r="K888" t="s">
        <v>32</v>
      </c>
      <c r="L888" s="35">
        <v>24.46</v>
      </c>
      <c r="M888" s="6" t="s">
        <v>29</v>
      </c>
      <c r="N888" s="6">
        <v>3105</v>
      </c>
      <c r="P888" s="18"/>
      <c r="Q888" s="17"/>
      <c r="R888" s="19">
        <v>0</v>
      </c>
      <c r="S888" s="19">
        <v>0</v>
      </c>
      <c r="T888" s="38">
        <v>1</v>
      </c>
      <c r="U888" s="38"/>
      <c r="V888" s="31">
        <v>24.46</v>
      </c>
      <c r="W888" s="35">
        <v>24.46</v>
      </c>
      <c r="X888" s="32">
        <f t="shared" si="143"/>
        <v>24.46</v>
      </c>
      <c r="Y888" s="32">
        <f t="shared" si="144"/>
        <v>24.46</v>
      </c>
      <c r="Z888" s="32">
        <f t="shared" si="145"/>
        <v>0</v>
      </c>
      <c r="AA888" s="38">
        <v>1</v>
      </c>
      <c r="AB888" s="37">
        <f>IFERROR(VLOOKUP(A888,'Tash Lookup'!A:E,3,FALSE),"")</f>
        <v>24.46</v>
      </c>
      <c r="AC888" s="6">
        <f t="shared" si="146"/>
        <v>0</v>
      </c>
      <c r="AD888" s="2" t="s">
        <v>6708</v>
      </c>
      <c r="AF888" s="56">
        <v>25.19</v>
      </c>
      <c r="AG888" s="56" t="e">
        <f>VLOOKUP(A888,Sheet1!$A$2:$C$1140,3,FALSE)</f>
        <v>#N/A</v>
      </c>
      <c r="AH888" s="58" t="e">
        <v>#N/A</v>
      </c>
      <c r="AI888" s="56" t="str">
        <f t="shared" si="147"/>
        <v>Delete</v>
      </c>
      <c r="AJ888" s="81">
        <f t="shared" si="151"/>
        <v>25.19</v>
      </c>
      <c r="AK888" s="81">
        <f t="shared" si="152"/>
        <v>0</v>
      </c>
      <c r="AL888" s="58" t="s">
        <v>7206</v>
      </c>
      <c r="AM888" s="58" t="s">
        <v>6708</v>
      </c>
      <c r="AN888" s="75">
        <v>0</v>
      </c>
      <c r="AO888" s="88">
        <v>25.19</v>
      </c>
      <c r="AP888" s="6" t="str">
        <f t="shared" si="148"/>
        <v>Same</v>
      </c>
      <c r="AQ888" s="81">
        <f t="shared" si="149"/>
        <v>0</v>
      </c>
      <c r="AR888" s="81">
        <f t="shared" si="150"/>
        <v>0</v>
      </c>
      <c r="AS888" s="81">
        <f t="shared" si="153"/>
        <v>0</v>
      </c>
    </row>
    <row r="889" spans="1:45" hidden="1" x14ac:dyDescent="0.3">
      <c r="A889">
        <v>6396803</v>
      </c>
      <c r="B889" s="15" t="s">
        <v>6225</v>
      </c>
      <c r="C889" s="16" t="s">
        <v>30</v>
      </c>
      <c r="D889" s="6" t="s">
        <v>31</v>
      </c>
      <c r="E889" t="s">
        <v>1066</v>
      </c>
      <c r="F889" t="s">
        <v>1066</v>
      </c>
      <c r="H889" s="11" t="s">
        <v>27</v>
      </c>
      <c r="I889" s="6" t="s">
        <v>28</v>
      </c>
      <c r="J889" s="6" t="s">
        <v>28</v>
      </c>
      <c r="K889" t="s">
        <v>32</v>
      </c>
      <c r="L889" s="35">
        <v>7.34</v>
      </c>
      <c r="M889" s="6" t="s">
        <v>29</v>
      </c>
      <c r="N889" s="6">
        <v>3105</v>
      </c>
      <c r="P889" s="18"/>
      <c r="Q889" s="17"/>
      <c r="R889" s="19">
        <v>0</v>
      </c>
      <c r="S889" s="19">
        <v>0</v>
      </c>
      <c r="T889" s="38">
        <v>1</v>
      </c>
      <c r="U889" s="38"/>
      <c r="V889" s="31">
        <v>7.34</v>
      </c>
      <c r="W889" s="35">
        <v>7.34</v>
      </c>
      <c r="X889" s="32">
        <f t="shared" si="143"/>
        <v>7.34</v>
      </c>
      <c r="Y889" s="32">
        <f t="shared" si="144"/>
        <v>7.34</v>
      </c>
      <c r="Z889" s="32">
        <f t="shared" si="145"/>
        <v>0</v>
      </c>
      <c r="AA889" s="38">
        <v>1</v>
      </c>
      <c r="AB889" s="37">
        <f>IFERROR(VLOOKUP(A889,'Tash Lookup'!A:E,3,FALSE),"")</f>
        <v>10.49</v>
      </c>
      <c r="AC889" s="6">
        <f t="shared" si="146"/>
        <v>0</v>
      </c>
      <c r="AD889" s="2" t="s">
        <v>6709</v>
      </c>
      <c r="AF889" s="56">
        <v>7.34</v>
      </c>
      <c r="AG889" s="56">
        <f>VLOOKUP(A889,Sheet1!$A$2:$C$1140,3,FALSE)</f>
        <v>7.34</v>
      </c>
      <c r="AH889" s="58">
        <v>7.34</v>
      </c>
      <c r="AI889" s="56" t="str">
        <f t="shared" si="147"/>
        <v>Same</v>
      </c>
      <c r="AJ889" s="81">
        <f t="shared" si="151"/>
        <v>7.34</v>
      </c>
      <c r="AK889" s="81">
        <f t="shared" si="152"/>
        <v>7.34</v>
      </c>
      <c r="AL889" s="58" t="s">
        <v>7206</v>
      </c>
      <c r="AM889" s="58" t="s">
        <v>6709</v>
      </c>
      <c r="AN889" s="75">
        <v>14</v>
      </c>
      <c r="AO889" s="88">
        <v>7.34</v>
      </c>
      <c r="AP889" s="6" t="str">
        <f t="shared" si="148"/>
        <v>Same</v>
      </c>
      <c r="AQ889" s="81">
        <f t="shared" si="149"/>
        <v>102.75999999999999</v>
      </c>
      <c r="AR889" s="81">
        <f t="shared" si="150"/>
        <v>102.75999999999999</v>
      </c>
      <c r="AS889" s="81">
        <f t="shared" si="153"/>
        <v>0</v>
      </c>
    </row>
    <row r="890" spans="1:45" hidden="1" x14ac:dyDescent="0.3">
      <c r="A890">
        <v>5085014</v>
      </c>
      <c r="B890" s="15" t="s">
        <v>6226</v>
      </c>
      <c r="C890" s="16" t="s">
        <v>30</v>
      </c>
      <c r="D890" s="6" t="s">
        <v>31</v>
      </c>
      <c r="E890" t="s">
        <v>1115</v>
      </c>
      <c r="F890" t="s">
        <v>1115</v>
      </c>
      <c r="H890" s="11" t="s">
        <v>27</v>
      </c>
      <c r="I890" s="6" t="s">
        <v>28</v>
      </c>
      <c r="J890" s="6" t="s">
        <v>28</v>
      </c>
      <c r="K890" t="s">
        <v>32</v>
      </c>
      <c r="L890" s="35">
        <v>8.11</v>
      </c>
      <c r="M890" s="6" t="s">
        <v>29</v>
      </c>
      <c r="N890" s="6">
        <v>3105</v>
      </c>
      <c r="P890" s="18"/>
      <c r="Q890" s="17"/>
      <c r="R890" s="19">
        <v>8.11</v>
      </c>
      <c r="S890" s="19">
        <v>8.11</v>
      </c>
      <c r="T890" s="38">
        <v>1</v>
      </c>
      <c r="U890" s="38"/>
      <c r="V890" s="30">
        <v>8.11</v>
      </c>
      <c r="W890" s="35">
        <v>8.11</v>
      </c>
      <c r="X890" s="32">
        <f t="shared" si="143"/>
        <v>8.11</v>
      </c>
      <c r="Y890" s="32">
        <f t="shared" si="144"/>
        <v>8.11</v>
      </c>
      <c r="Z890" s="32">
        <f t="shared" si="145"/>
        <v>0</v>
      </c>
      <c r="AA890" s="38">
        <v>1</v>
      </c>
      <c r="AB890" s="37">
        <f>IFERROR(VLOOKUP(A890,'Tash Lookup'!A:E,3,FALSE),"")</f>
        <v>8.11</v>
      </c>
      <c r="AC890" s="6">
        <f t="shared" si="146"/>
        <v>0</v>
      </c>
      <c r="AD890" s="2" t="s">
        <v>6703</v>
      </c>
      <c r="AF890" s="56">
        <v>8.6199999999999992</v>
      </c>
      <c r="AG890" s="56">
        <f>VLOOKUP(A890,Sheet1!$A$2:$C$1140,3,FALSE)</f>
        <v>8.6199999999999992</v>
      </c>
      <c r="AH890" s="58">
        <v>8.6199999999999992</v>
      </c>
      <c r="AI890" s="56" t="str">
        <f t="shared" si="147"/>
        <v>Same</v>
      </c>
      <c r="AJ890" s="81">
        <f t="shared" si="151"/>
        <v>8.6199999999999992</v>
      </c>
      <c r="AK890" s="81">
        <f t="shared" si="152"/>
        <v>8.6199999999999992</v>
      </c>
      <c r="AL890" s="58" t="s">
        <v>7206</v>
      </c>
      <c r="AM890" s="58" t="s">
        <v>6703</v>
      </c>
      <c r="AN890" s="75">
        <v>1</v>
      </c>
      <c r="AO890" s="88">
        <v>8.6199999999999992</v>
      </c>
      <c r="AP890" s="6" t="str">
        <f t="shared" si="148"/>
        <v>Same</v>
      </c>
      <c r="AQ890" s="81">
        <f t="shared" si="149"/>
        <v>8.6199999999999992</v>
      </c>
      <c r="AR890" s="81">
        <f t="shared" si="150"/>
        <v>8.6199999999999992</v>
      </c>
      <c r="AS890" s="81">
        <f t="shared" si="153"/>
        <v>0</v>
      </c>
    </row>
    <row r="891" spans="1:45" hidden="1" x14ac:dyDescent="0.3">
      <c r="A891">
        <v>5074297</v>
      </c>
      <c r="B891" s="15" t="s">
        <v>6227</v>
      </c>
      <c r="C891" s="16" t="s">
        <v>30</v>
      </c>
      <c r="D891" s="6" t="s">
        <v>31</v>
      </c>
      <c r="E891" t="s">
        <v>1161</v>
      </c>
      <c r="F891" t="s">
        <v>1161</v>
      </c>
      <c r="H891" s="11" t="s">
        <v>27</v>
      </c>
      <c r="I891" s="6" t="s">
        <v>28</v>
      </c>
      <c r="J891" s="6" t="s">
        <v>28</v>
      </c>
      <c r="K891" t="s">
        <v>32</v>
      </c>
      <c r="L891" s="35">
        <v>17.989999999999998</v>
      </c>
      <c r="M891" s="6" t="s">
        <v>29</v>
      </c>
      <c r="N891" s="6">
        <v>3105</v>
      </c>
      <c r="P891" s="18"/>
      <c r="Q891" s="17"/>
      <c r="R891" s="19">
        <v>17.989999999999998</v>
      </c>
      <c r="S891" s="19">
        <v>17.989999999999998</v>
      </c>
      <c r="T891" s="38">
        <v>1</v>
      </c>
      <c r="U891" s="38"/>
      <c r="V891" s="30">
        <v>17.989999999999998</v>
      </c>
      <c r="W891" s="35">
        <v>17.989999999999998</v>
      </c>
      <c r="X891" s="32">
        <f t="shared" si="143"/>
        <v>17.989999999999998</v>
      </c>
      <c r="Y891" s="32">
        <f t="shared" si="144"/>
        <v>17.989999999999998</v>
      </c>
      <c r="Z891" s="32">
        <f t="shared" si="145"/>
        <v>0</v>
      </c>
      <c r="AA891" s="38">
        <v>1</v>
      </c>
      <c r="AB891" s="37">
        <f>IFERROR(VLOOKUP(A891,'Tash Lookup'!A:E,3,FALSE),"")</f>
        <v>17.989999999999998</v>
      </c>
      <c r="AC891" s="6">
        <f t="shared" si="146"/>
        <v>0</v>
      </c>
      <c r="AD891" s="2" t="s">
        <v>6703</v>
      </c>
      <c r="AF891" s="56">
        <v>18.78</v>
      </c>
      <c r="AG891" s="56">
        <f>VLOOKUP(A891,Sheet1!$A$2:$C$1140,3,FALSE)</f>
        <v>18.78</v>
      </c>
      <c r="AH891" s="58">
        <v>18.78</v>
      </c>
      <c r="AI891" s="56" t="str">
        <f t="shared" si="147"/>
        <v>Same</v>
      </c>
      <c r="AJ891" s="81">
        <f t="shared" si="151"/>
        <v>18.78</v>
      </c>
      <c r="AK891" s="81">
        <f t="shared" si="152"/>
        <v>18.78</v>
      </c>
      <c r="AL891" s="58" t="s">
        <v>7206</v>
      </c>
      <c r="AM891" s="58" t="s">
        <v>6703</v>
      </c>
      <c r="AN891" s="75">
        <v>3</v>
      </c>
      <c r="AO891" s="88">
        <v>18.78</v>
      </c>
      <c r="AP891" s="6" t="str">
        <f t="shared" si="148"/>
        <v>Same</v>
      </c>
      <c r="AQ891" s="81">
        <f t="shared" si="149"/>
        <v>56.34</v>
      </c>
      <c r="AR891" s="81">
        <f t="shared" si="150"/>
        <v>56.34</v>
      </c>
      <c r="AS891" s="81">
        <f t="shared" si="153"/>
        <v>0</v>
      </c>
    </row>
    <row r="892" spans="1:45" x14ac:dyDescent="0.3">
      <c r="A892">
        <v>5085900</v>
      </c>
      <c r="B892" s="15" t="s">
        <v>6228</v>
      </c>
      <c r="C892" s="16" t="s">
        <v>30</v>
      </c>
      <c r="D892" s="6" t="s">
        <v>31</v>
      </c>
      <c r="E892" t="s">
        <v>1165</v>
      </c>
      <c r="F892" t="s">
        <v>1165</v>
      </c>
      <c r="H892" s="11" t="s">
        <v>27</v>
      </c>
      <c r="I892" s="6" t="s">
        <v>28</v>
      </c>
      <c r="J892" s="6" t="s">
        <v>28</v>
      </c>
      <c r="K892" t="s">
        <v>32</v>
      </c>
      <c r="L892" s="35">
        <v>26.24</v>
      </c>
      <c r="M892" s="6" t="s">
        <v>29</v>
      </c>
      <c r="N892" s="6">
        <v>3105</v>
      </c>
      <c r="P892" s="18"/>
      <c r="Q892" s="17"/>
      <c r="R892" s="19">
        <v>26.24</v>
      </c>
      <c r="S892" s="19">
        <v>26.24</v>
      </c>
      <c r="T892" s="38">
        <v>1</v>
      </c>
      <c r="U892" s="38"/>
      <c r="V892" s="30">
        <v>26.24</v>
      </c>
      <c r="W892" s="35">
        <v>26.24</v>
      </c>
      <c r="X892" s="32">
        <f t="shared" si="143"/>
        <v>26.24</v>
      </c>
      <c r="Y892" s="32">
        <f t="shared" si="144"/>
        <v>26.24</v>
      </c>
      <c r="Z892" s="32">
        <f t="shared" si="145"/>
        <v>0</v>
      </c>
      <c r="AA892" s="38">
        <v>1</v>
      </c>
      <c r="AB892" s="37">
        <f>IFERROR(VLOOKUP(A892,'Tash Lookup'!A:E,3,FALSE),"")</f>
        <v>26.24</v>
      </c>
      <c r="AC892" s="6">
        <f t="shared" si="146"/>
        <v>0</v>
      </c>
      <c r="AD892" s="2" t="s">
        <v>6703</v>
      </c>
      <c r="AF892" s="56">
        <v>26.32</v>
      </c>
      <c r="AG892" s="56">
        <f>VLOOKUP(A892,Sheet1!$A$2:$C$1140,3,FALSE)</f>
        <v>26.32</v>
      </c>
      <c r="AH892" s="58">
        <v>26.32</v>
      </c>
      <c r="AI892" s="56" t="str">
        <f t="shared" si="147"/>
        <v>Same</v>
      </c>
      <c r="AJ892" s="81">
        <f t="shared" si="151"/>
        <v>26.32</v>
      </c>
      <c r="AK892" s="81">
        <f t="shared" si="152"/>
        <v>26.32</v>
      </c>
      <c r="AL892" s="58" t="s">
        <v>7206</v>
      </c>
      <c r="AM892" s="58" t="s">
        <v>6703</v>
      </c>
      <c r="AN892" s="75">
        <v>1</v>
      </c>
      <c r="AO892" s="88">
        <v>26.32</v>
      </c>
      <c r="AP892" s="6" t="str">
        <f t="shared" si="148"/>
        <v>Same</v>
      </c>
      <c r="AQ892" s="81">
        <f t="shared" si="149"/>
        <v>26.32</v>
      </c>
      <c r="AR892" s="81">
        <f t="shared" si="150"/>
        <v>26.32</v>
      </c>
      <c r="AS892" s="81">
        <f t="shared" si="153"/>
        <v>0</v>
      </c>
    </row>
    <row r="893" spans="1:45" x14ac:dyDescent="0.3">
      <c r="A893">
        <v>5085936</v>
      </c>
      <c r="B893" s="15" t="s">
        <v>6229</v>
      </c>
      <c r="C893" s="16" t="s">
        <v>30</v>
      </c>
      <c r="D893" s="6" t="s">
        <v>31</v>
      </c>
      <c r="E893" t="s">
        <v>1173</v>
      </c>
      <c r="F893" t="s">
        <v>1173</v>
      </c>
      <c r="H893" s="11" t="s">
        <v>27</v>
      </c>
      <c r="I893" s="6" t="s">
        <v>28</v>
      </c>
      <c r="J893" s="6" t="s">
        <v>28</v>
      </c>
      <c r="K893" t="s">
        <v>32</v>
      </c>
      <c r="L893" s="35">
        <v>49.11</v>
      </c>
      <c r="M893" s="6" t="s">
        <v>29</v>
      </c>
      <c r="N893" s="6">
        <v>3105</v>
      </c>
      <c r="P893" s="18"/>
      <c r="Q893" s="17"/>
      <c r="R893" s="19">
        <v>49.11</v>
      </c>
      <c r="S893" s="19">
        <v>49.11</v>
      </c>
      <c r="T893" s="38">
        <v>1</v>
      </c>
      <c r="U893" s="38"/>
      <c r="V893" s="30">
        <v>49.11</v>
      </c>
      <c r="W893" s="35">
        <v>49.11</v>
      </c>
      <c r="X893" s="32">
        <f t="shared" si="143"/>
        <v>49.11</v>
      </c>
      <c r="Y893" s="32">
        <f t="shared" si="144"/>
        <v>49.11</v>
      </c>
      <c r="Z893" s="32">
        <f t="shared" si="145"/>
        <v>0</v>
      </c>
      <c r="AA893" s="38">
        <v>1</v>
      </c>
      <c r="AB893" s="37">
        <f>IFERROR(VLOOKUP(A893,'Tash Lookup'!A:E,3,FALSE),"")</f>
        <v>49.11</v>
      </c>
      <c r="AC893" s="6">
        <f t="shared" si="146"/>
        <v>0</v>
      </c>
      <c r="AD893" s="2" t="s">
        <v>6703</v>
      </c>
      <c r="AF893" s="56">
        <v>53.82</v>
      </c>
      <c r="AG893" s="56">
        <f>VLOOKUP(A893,Sheet1!$A$2:$C$1140,3,FALSE)</f>
        <v>53.82</v>
      </c>
      <c r="AH893" s="58">
        <v>53.82</v>
      </c>
      <c r="AI893" s="56" t="str">
        <f t="shared" si="147"/>
        <v>Same</v>
      </c>
      <c r="AJ893" s="81">
        <f t="shared" si="151"/>
        <v>53.82</v>
      </c>
      <c r="AK893" s="81">
        <f t="shared" si="152"/>
        <v>53.82</v>
      </c>
      <c r="AL893" s="58" t="s">
        <v>7206</v>
      </c>
      <c r="AM893" s="58" t="s">
        <v>6703</v>
      </c>
      <c r="AN893" s="75">
        <v>0</v>
      </c>
      <c r="AO893" s="88">
        <v>53.82</v>
      </c>
      <c r="AP893" s="6" t="str">
        <f t="shared" si="148"/>
        <v>Same</v>
      </c>
      <c r="AQ893" s="81">
        <f t="shared" si="149"/>
        <v>0</v>
      </c>
      <c r="AR893" s="81">
        <f t="shared" si="150"/>
        <v>0</v>
      </c>
      <c r="AS893" s="81">
        <f t="shared" si="153"/>
        <v>0</v>
      </c>
    </row>
    <row r="894" spans="1:45" x14ac:dyDescent="0.3">
      <c r="A894">
        <v>5086544</v>
      </c>
      <c r="B894" s="15" t="s">
        <v>6230</v>
      </c>
      <c r="C894" s="16" t="s">
        <v>30</v>
      </c>
      <c r="D894" s="6" t="s">
        <v>31</v>
      </c>
      <c r="E894" t="s">
        <v>1182</v>
      </c>
      <c r="F894" t="s">
        <v>1182</v>
      </c>
      <c r="H894" s="11" t="s">
        <v>27</v>
      </c>
      <c r="I894" s="6" t="s">
        <v>28</v>
      </c>
      <c r="J894" s="6" t="s">
        <v>28</v>
      </c>
      <c r="K894" t="s">
        <v>32</v>
      </c>
      <c r="L894" s="35">
        <v>69.569999999999993</v>
      </c>
      <c r="M894" s="6" t="s">
        <v>29</v>
      </c>
      <c r="N894" s="6">
        <v>3105</v>
      </c>
      <c r="P894" s="18"/>
      <c r="Q894" s="17"/>
      <c r="R894" s="19">
        <v>69.569999999999993</v>
      </c>
      <c r="S894" s="19">
        <v>69.569999999999993</v>
      </c>
      <c r="T894" s="38">
        <v>1</v>
      </c>
      <c r="U894" s="38"/>
      <c r="V894" s="30">
        <v>69.569999999999993</v>
      </c>
      <c r="W894" s="35">
        <v>69.569999999999993</v>
      </c>
      <c r="X894" s="32">
        <f t="shared" si="143"/>
        <v>69.569999999999993</v>
      </c>
      <c r="Y894" s="32">
        <f t="shared" si="144"/>
        <v>69.569999999999993</v>
      </c>
      <c r="Z894" s="32">
        <f t="shared" si="145"/>
        <v>0</v>
      </c>
      <c r="AA894" s="38">
        <v>1</v>
      </c>
      <c r="AB894" s="37">
        <f>IFERROR(VLOOKUP(A894,'Tash Lookup'!A:E,3,FALSE),"")</f>
        <v>69.569999999999993</v>
      </c>
      <c r="AC894" s="6">
        <f t="shared" si="146"/>
        <v>0</v>
      </c>
      <c r="AD894" s="2" t="s">
        <v>6703</v>
      </c>
      <c r="AF894" s="56">
        <v>69.34</v>
      </c>
      <c r="AG894" s="56">
        <f>VLOOKUP(A894,Sheet1!$A$2:$C$1140,3,FALSE)</f>
        <v>69.34</v>
      </c>
      <c r="AH894" s="58">
        <v>69.34</v>
      </c>
      <c r="AI894" s="56" t="str">
        <f t="shared" si="147"/>
        <v>Same</v>
      </c>
      <c r="AJ894" s="81">
        <f t="shared" si="151"/>
        <v>69.34</v>
      </c>
      <c r="AK894" s="81">
        <f t="shared" si="152"/>
        <v>69.34</v>
      </c>
      <c r="AL894" s="58" t="s">
        <v>7206</v>
      </c>
      <c r="AM894" s="58" t="s">
        <v>6703</v>
      </c>
      <c r="AN894" s="75">
        <v>0</v>
      </c>
      <c r="AO894" s="88">
        <v>69.34</v>
      </c>
      <c r="AP894" s="6" t="str">
        <f t="shared" si="148"/>
        <v>Same</v>
      </c>
      <c r="AQ894" s="81">
        <f t="shared" si="149"/>
        <v>0</v>
      </c>
      <c r="AR894" s="81">
        <f t="shared" si="150"/>
        <v>0</v>
      </c>
      <c r="AS894" s="81">
        <f t="shared" si="153"/>
        <v>0</v>
      </c>
    </row>
    <row r="895" spans="1:45" hidden="1" x14ac:dyDescent="0.3">
      <c r="A895">
        <v>6390506</v>
      </c>
      <c r="B895" s="15" t="s">
        <v>6231</v>
      </c>
      <c r="C895" s="16" t="s">
        <v>30</v>
      </c>
      <c r="D895" s="6" t="s">
        <v>31</v>
      </c>
      <c r="E895" t="s">
        <v>1206</v>
      </c>
      <c r="F895" t="s">
        <v>1206</v>
      </c>
      <c r="H895" s="11" t="s">
        <v>27</v>
      </c>
      <c r="I895" s="6" t="s">
        <v>28</v>
      </c>
      <c r="J895" s="6" t="s">
        <v>28</v>
      </c>
      <c r="K895" t="s">
        <v>32</v>
      </c>
      <c r="L895" s="35">
        <v>11.47</v>
      </c>
      <c r="M895" s="6" t="s">
        <v>29</v>
      </c>
      <c r="N895" s="6">
        <v>3105</v>
      </c>
      <c r="P895" s="18"/>
      <c r="Q895" s="17"/>
      <c r="R895" s="19">
        <v>11.47</v>
      </c>
      <c r="S895" s="19">
        <v>11.47</v>
      </c>
      <c r="T895" s="38">
        <v>1</v>
      </c>
      <c r="U895" s="38"/>
      <c r="V895" s="30">
        <v>11.47</v>
      </c>
      <c r="W895" s="35">
        <v>11.47</v>
      </c>
      <c r="X895" s="32">
        <f t="shared" si="143"/>
        <v>11.47</v>
      </c>
      <c r="Y895" s="32">
        <f t="shared" si="144"/>
        <v>11.47</v>
      </c>
      <c r="Z895" s="32">
        <f t="shared" si="145"/>
        <v>0</v>
      </c>
      <c r="AA895" s="38">
        <v>1</v>
      </c>
      <c r="AB895" s="37">
        <f>IFERROR(VLOOKUP(A895,'Tash Lookup'!A:E,3,FALSE),"")</f>
        <v>10.98</v>
      </c>
      <c r="AC895" s="6">
        <f t="shared" si="146"/>
        <v>0</v>
      </c>
      <c r="AD895" s="2" t="s">
        <v>6707</v>
      </c>
      <c r="AF895" s="56">
        <v>11.47</v>
      </c>
      <c r="AG895" s="56" t="e">
        <f>VLOOKUP(A895,Sheet1!$A$2:$C$1140,3,FALSE)</f>
        <v>#N/A</v>
      </c>
      <c r="AH895" s="58" t="e">
        <v>#N/A</v>
      </c>
      <c r="AI895" s="56" t="str">
        <f t="shared" si="147"/>
        <v>Delete</v>
      </c>
      <c r="AJ895" s="81">
        <f t="shared" si="151"/>
        <v>11.47</v>
      </c>
      <c r="AK895" s="81">
        <f t="shared" si="152"/>
        <v>0</v>
      </c>
      <c r="AL895" s="58" t="s">
        <v>7206</v>
      </c>
      <c r="AM895" s="58" t="s">
        <v>6709</v>
      </c>
      <c r="AN895" s="75">
        <v>0</v>
      </c>
      <c r="AO895" s="88">
        <v>11.47</v>
      </c>
      <c r="AP895" s="6" t="str">
        <f t="shared" si="148"/>
        <v>Same</v>
      </c>
      <c r="AQ895" s="81">
        <f t="shared" si="149"/>
        <v>0</v>
      </c>
      <c r="AR895" s="81">
        <f t="shared" si="150"/>
        <v>0</v>
      </c>
      <c r="AS895" s="81">
        <f t="shared" si="153"/>
        <v>0</v>
      </c>
    </row>
    <row r="896" spans="1:45" hidden="1" x14ac:dyDescent="0.3">
      <c r="A896">
        <v>6390522</v>
      </c>
      <c r="B896" s="15" t="s">
        <v>6232</v>
      </c>
      <c r="C896" s="16" t="s">
        <v>30</v>
      </c>
      <c r="D896" s="6" t="s">
        <v>31</v>
      </c>
      <c r="E896" t="s">
        <v>1222</v>
      </c>
      <c r="F896" t="s">
        <v>1222</v>
      </c>
      <c r="H896" s="11" t="s">
        <v>27</v>
      </c>
      <c r="I896" s="6" t="s">
        <v>28</v>
      </c>
      <c r="J896" s="6" t="s">
        <v>28</v>
      </c>
      <c r="K896" t="s">
        <v>32</v>
      </c>
      <c r="L896" s="35">
        <v>19.27</v>
      </c>
      <c r="M896" s="6" t="s">
        <v>29</v>
      </c>
      <c r="N896" s="6">
        <v>3105</v>
      </c>
      <c r="P896" s="18"/>
      <c r="Q896" s="17"/>
      <c r="R896" s="19">
        <v>19.27</v>
      </c>
      <c r="S896" s="19">
        <v>19.27</v>
      </c>
      <c r="T896" s="38">
        <v>1</v>
      </c>
      <c r="U896" s="38"/>
      <c r="V896" s="30">
        <v>19.27</v>
      </c>
      <c r="W896" s="35">
        <v>19.27</v>
      </c>
      <c r="X896" s="32">
        <f t="shared" si="143"/>
        <v>19.27</v>
      </c>
      <c r="Y896" s="32">
        <f t="shared" si="144"/>
        <v>19.27</v>
      </c>
      <c r="Z896" s="32">
        <f t="shared" si="145"/>
        <v>0</v>
      </c>
      <c r="AA896" s="38">
        <v>1</v>
      </c>
      <c r="AB896" s="37">
        <f>IFERROR(VLOOKUP(A896,'Tash Lookup'!A:E,3,FALSE),"")</f>
        <v>19.27</v>
      </c>
      <c r="AC896" s="6">
        <f t="shared" si="146"/>
        <v>0</v>
      </c>
      <c r="AD896" s="2" t="s">
        <v>6703</v>
      </c>
      <c r="AF896" s="56">
        <v>19.27</v>
      </c>
      <c r="AG896" s="56">
        <f>VLOOKUP(A896,Sheet1!$A$2:$C$1140,3,FALSE)</f>
        <v>19.66</v>
      </c>
      <c r="AH896" s="58">
        <v>19.66</v>
      </c>
      <c r="AI896" s="56" t="str">
        <f t="shared" si="147"/>
        <v>Increase</v>
      </c>
      <c r="AJ896" s="81">
        <f t="shared" si="151"/>
        <v>19.27</v>
      </c>
      <c r="AK896" s="81">
        <f t="shared" si="152"/>
        <v>19.66</v>
      </c>
      <c r="AL896" s="58" t="s">
        <v>7206</v>
      </c>
      <c r="AM896" s="58" t="s">
        <v>6703</v>
      </c>
      <c r="AN896" s="75">
        <v>0</v>
      </c>
      <c r="AO896" s="88">
        <v>19.66</v>
      </c>
      <c r="AP896" s="6" t="str">
        <f t="shared" si="148"/>
        <v>Increase</v>
      </c>
      <c r="AQ896" s="81">
        <f t="shared" si="149"/>
        <v>0</v>
      </c>
      <c r="AR896" s="81">
        <f t="shared" si="150"/>
        <v>0</v>
      </c>
      <c r="AS896" s="81">
        <f t="shared" si="153"/>
        <v>0</v>
      </c>
    </row>
    <row r="897" spans="1:45" hidden="1" x14ac:dyDescent="0.3">
      <c r="A897">
        <v>6390523</v>
      </c>
      <c r="B897" s="15" t="s">
        <v>6233</v>
      </c>
      <c r="C897" s="16" t="s">
        <v>30</v>
      </c>
      <c r="D897" s="6" t="s">
        <v>31</v>
      </c>
      <c r="E897" t="s">
        <v>1223</v>
      </c>
      <c r="F897" t="s">
        <v>1223</v>
      </c>
      <c r="H897" s="11" t="s">
        <v>27</v>
      </c>
      <c r="I897" s="6" t="s">
        <v>28</v>
      </c>
      <c r="J897" s="6" t="s">
        <v>28</v>
      </c>
      <c r="K897" t="s">
        <v>32</v>
      </c>
      <c r="L897" s="35">
        <v>5.67</v>
      </c>
      <c r="M897" s="6" t="s">
        <v>29</v>
      </c>
      <c r="N897" s="6">
        <v>3105</v>
      </c>
      <c r="P897" s="18"/>
      <c r="Q897" s="17"/>
      <c r="R897" s="19">
        <v>5.67</v>
      </c>
      <c r="S897" s="19">
        <v>5.67</v>
      </c>
      <c r="T897" s="38">
        <v>1</v>
      </c>
      <c r="U897" s="38"/>
      <c r="V897" s="30">
        <v>5.67</v>
      </c>
      <c r="W897" s="35">
        <v>5.67</v>
      </c>
      <c r="X897" s="32">
        <f t="shared" si="143"/>
        <v>5.67</v>
      </c>
      <c r="Y897" s="32">
        <f t="shared" si="144"/>
        <v>5.67</v>
      </c>
      <c r="Z897" s="32">
        <f t="shared" si="145"/>
        <v>0</v>
      </c>
      <c r="AA897" s="38">
        <v>1</v>
      </c>
      <c r="AB897" s="37">
        <f>IFERROR(VLOOKUP(A897,'Tash Lookup'!A:E,3,FALSE),"")</f>
        <v>5.67</v>
      </c>
      <c r="AC897" s="6">
        <f t="shared" si="146"/>
        <v>0</v>
      </c>
      <c r="AD897" s="2" t="s">
        <v>6703</v>
      </c>
      <c r="AF897" s="56">
        <v>5.67</v>
      </c>
      <c r="AG897" s="56">
        <f>VLOOKUP(A897,Sheet1!$A$2:$C$1140,3,FALSE)</f>
        <v>5.79</v>
      </c>
      <c r="AH897" s="58">
        <v>5.79</v>
      </c>
      <c r="AI897" s="56" t="str">
        <f t="shared" si="147"/>
        <v>Increase</v>
      </c>
      <c r="AJ897" s="81">
        <f t="shared" si="151"/>
        <v>5.67</v>
      </c>
      <c r="AK897" s="81">
        <f t="shared" si="152"/>
        <v>5.79</v>
      </c>
      <c r="AL897" s="58" t="s">
        <v>7206</v>
      </c>
      <c r="AM897" s="58" t="s">
        <v>6703</v>
      </c>
      <c r="AN897" s="75">
        <v>0</v>
      </c>
      <c r="AO897" s="88">
        <v>5.79</v>
      </c>
      <c r="AP897" s="6" t="str">
        <f t="shared" si="148"/>
        <v>Increase</v>
      </c>
      <c r="AQ897" s="81">
        <f t="shared" si="149"/>
        <v>0</v>
      </c>
      <c r="AR897" s="81">
        <f t="shared" si="150"/>
        <v>0</v>
      </c>
      <c r="AS897" s="81">
        <f t="shared" si="153"/>
        <v>0</v>
      </c>
    </row>
    <row r="898" spans="1:45" hidden="1" x14ac:dyDescent="0.3">
      <c r="A898">
        <v>6352827</v>
      </c>
      <c r="B898" s="15" t="s">
        <v>6234</v>
      </c>
      <c r="C898" s="16" t="s">
        <v>30</v>
      </c>
      <c r="D898" s="6" t="s">
        <v>31</v>
      </c>
      <c r="E898" t="s">
        <v>1238</v>
      </c>
      <c r="F898" t="s">
        <v>1238</v>
      </c>
      <c r="H898" s="11" t="s">
        <v>27</v>
      </c>
      <c r="I898" s="6" t="s">
        <v>28</v>
      </c>
      <c r="J898" s="6" t="s">
        <v>28</v>
      </c>
      <c r="K898" t="s">
        <v>32</v>
      </c>
      <c r="L898" s="35">
        <v>22.29</v>
      </c>
      <c r="M898" s="6" t="s">
        <v>29</v>
      </c>
      <c r="N898" s="6">
        <v>3105</v>
      </c>
      <c r="P898" s="18"/>
      <c r="Q898" s="17"/>
      <c r="R898" s="19">
        <v>22.29</v>
      </c>
      <c r="S898" s="19">
        <v>22.29</v>
      </c>
      <c r="T898" s="38">
        <v>1</v>
      </c>
      <c r="U898" s="38"/>
      <c r="V898" s="30">
        <v>22.29</v>
      </c>
      <c r="W898" s="35">
        <v>22.29</v>
      </c>
      <c r="X898" s="32">
        <f t="shared" si="143"/>
        <v>22.29</v>
      </c>
      <c r="Y898" s="32">
        <f t="shared" si="144"/>
        <v>22.29</v>
      </c>
      <c r="Z898" s="32">
        <f t="shared" si="145"/>
        <v>0</v>
      </c>
      <c r="AA898" s="38">
        <v>1</v>
      </c>
      <c r="AB898" s="37">
        <f>IFERROR(VLOOKUP(A898,'Tash Lookup'!A:E,3,FALSE),"")</f>
        <v>22.29</v>
      </c>
      <c r="AC898" s="6">
        <f t="shared" si="146"/>
        <v>0</v>
      </c>
      <c r="AD898" s="2" t="s">
        <v>6711</v>
      </c>
      <c r="AE898" s="2" t="s">
        <v>6701</v>
      </c>
      <c r="AF898" s="56">
        <v>22.96</v>
      </c>
      <c r="AG898" s="56" t="e">
        <f>VLOOKUP(A898,Sheet1!$A$2:$C$1140,3,FALSE)</f>
        <v>#N/A</v>
      </c>
      <c r="AH898" s="58" t="e">
        <v>#N/A</v>
      </c>
      <c r="AI898" s="56" t="str">
        <f t="shared" si="147"/>
        <v>Delete</v>
      </c>
      <c r="AJ898" s="81">
        <f t="shared" si="151"/>
        <v>22.96</v>
      </c>
      <c r="AK898" s="81">
        <f t="shared" si="152"/>
        <v>0</v>
      </c>
      <c r="AL898" s="58" t="s">
        <v>7206</v>
      </c>
      <c r="AM898" s="58" t="s">
        <v>6711</v>
      </c>
      <c r="AN898" s="75">
        <v>0</v>
      </c>
      <c r="AO898" s="88">
        <v>22.96</v>
      </c>
      <c r="AP898" s="6" t="str">
        <f t="shared" si="148"/>
        <v>Delete</v>
      </c>
      <c r="AQ898" s="81">
        <f t="shared" si="149"/>
        <v>0</v>
      </c>
      <c r="AR898" s="81">
        <f t="shared" si="150"/>
        <v>0</v>
      </c>
      <c r="AS898" s="81">
        <f t="shared" si="153"/>
        <v>0</v>
      </c>
    </row>
    <row r="899" spans="1:45" hidden="1" x14ac:dyDescent="0.3">
      <c r="A899">
        <v>6377091</v>
      </c>
      <c r="B899" s="15" t="s">
        <v>6235</v>
      </c>
      <c r="C899" s="16" t="s">
        <v>30</v>
      </c>
      <c r="D899" s="6" t="s">
        <v>31</v>
      </c>
      <c r="E899" t="s">
        <v>1262</v>
      </c>
      <c r="F899" t="s">
        <v>1262</v>
      </c>
      <c r="H899" s="11" t="s">
        <v>27</v>
      </c>
      <c r="I899" s="6" t="s">
        <v>28</v>
      </c>
      <c r="J899" s="6" t="s">
        <v>28</v>
      </c>
      <c r="K899" t="s">
        <v>32</v>
      </c>
      <c r="L899" s="35">
        <v>15.81</v>
      </c>
      <c r="M899" s="6" t="s">
        <v>29</v>
      </c>
      <c r="N899" s="6">
        <v>3105</v>
      </c>
      <c r="P899" s="18"/>
      <c r="Q899" s="17"/>
      <c r="R899" s="19">
        <v>15.81</v>
      </c>
      <c r="S899" s="19">
        <v>15.81</v>
      </c>
      <c r="T899" s="38">
        <v>1</v>
      </c>
      <c r="U899" s="38"/>
      <c r="V899" s="30">
        <v>15.81</v>
      </c>
      <c r="W899" s="35">
        <v>15.81</v>
      </c>
      <c r="X899" s="32">
        <f t="shared" si="143"/>
        <v>15.81</v>
      </c>
      <c r="Y899" s="32">
        <f t="shared" si="144"/>
        <v>15.81</v>
      </c>
      <c r="Z899" s="32">
        <f t="shared" si="145"/>
        <v>0</v>
      </c>
      <c r="AA899" s="38">
        <v>1</v>
      </c>
      <c r="AB899" s="37">
        <f>IFERROR(VLOOKUP(A899,'Tash Lookup'!A:E,3,FALSE),"")</f>
        <v>15.81</v>
      </c>
      <c r="AC899" s="6">
        <f t="shared" si="146"/>
        <v>0</v>
      </c>
      <c r="AD899" s="2" t="s">
        <v>6704</v>
      </c>
      <c r="AF899" s="56">
        <v>15.81</v>
      </c>
      <c r="AG899" s="56" t="e">
        <f>VLOOKUP(A899,Sheet1!$A$2:$C$1140,3,FALSE)</f>
        <v>#N/A</v>
      </c>
      <c r="AH899" s="58" t="e">
        <v>#N/A</v>
      </c>
      <c r="AI899" s="56" t="str">
        <f t="shared" si="147"/>
        <v>Delete</v>
      </c>
      <c r="AJ899" s="81">
        <f t="shared" si="151"/>
        <v>15.81</v>
      </c>
      <c r="AK899" s="81">
        <f t="shared" si="152"/>
        <v>0</v>
      </c>
      <c r="AL899" s="58" t="s">
        <v>7206</v>
      </c>
      <c r="AM899" s="58" t="s">
        <v>6708</v>
      </c>
      <c r="AN899" s="75">
        <v>0</v>
      </c>
      <c r="AO899" s="88">
        <v>15.81</v>
      </c>
      <c r="AP899" s="6" t="str">
        <f t="shared" si="148"/>
        <v>Same</v>
      </c>
      <c r="AQ899" s="81">
        <f t="shared" si="149"/>
        <v>0</v>
      </c>
      <c r="AR899" s="81">
        <f t="shared" si="150"/>
        <v>0</v>
      </c>
      <c r="AS899" s="81">
        <f t="shared" si="153"/>
        <v>0</v>
      </c>
    </row>
    <row r="900" spans="1:45" hidden="1" x14ac:dyDescent="0.3">
      <c r="A900">
        <v>6373274</v>
      </c>
      <c r="B900" s="15" t="s">
        <v>6236</v>
      </c>
      <c r="C900" s="16" t="s">
        <v>30</v>
      </c>
      <c r="D900" s="6" t="s">
        <v>31</v>
      </c>
      <c r="E900" t="s">
        <v>1271</v>
      </c>
      <c r="F900" t="s">
        <v>1271</v>
      </c>
      <c r="H900" s="11" t="s">
        <v>27</v>
      </c>
      <c r="I900" s="6" t="s">
        <v>28</v>
      </c>
      <c r="J900" s="6" t="s">
        <v>28</v>
      </c>
      <c r="K900" t="s">
        <v>32</v>
      </c>
      <c r="L900" s="35">
        <v>88.9</v>
      </c>
      <c r="M900" s="6" t="s">
        <v>29</v>
      </c>
      <c r="N900" s="6">
        <v>3105</v>
      </c>
      <c r="P900" s="18"/>
      <c r="Q900" s="17"/>
      <c r="R900" s="19">
        <v>88.9</v>
      </c>
      <c r="S900" s="19">
        <v>88.9</v>
      </c>
      <c r="T900" s="38">
        <v>1</v>
      </c>
      <c r="U900" s="38"/>
      <c r="V900" s="30">
        <v>88.9</v>
      </c>
      <c r="W900" s="35">
        <v>88.9</v>
      </c>
      <c r="X900" s="32">
        <f t="shared" si="143"/>
        <v>88.9</v>
      </c>
      <c r="Y900" s="32">
        <f t="shared" si="144"/>
        <v>88.9</v>
      </c>
      <c r="Z900" s="32">
        <f t="shared" si="145"/>
        <v>0</v>
      </c>
      <c r="AA900" s="38">
        <v>1</v>
      </c>
      <c r="AB900" s="37">
        <f>IFERROR(VLOOKUP(A900,'Tash Lookup'!A:E,3,FALSE),"")</f>
        <v>88.9</v>
      </c>
      <c r="AC900" s="6">
        <f t="shared" si="146"/>
        <v>0</v>
      </c>
      <c r="AD900" s="2" t="s">
        <v>6703</v>
      </c>
      <c r="AF900" s="56">
        <v>88.72</v>
      </c>
      <c r="AG900" s="56">
        <f>VLOOKUP(A900,Sheet1!$A$2:$C$1140,3,FALSE)</f>
        <v>80.989999999999995</v>
      </c>
      <c r="AH900" s="58">
        <v>80.989999999999995</v>
      </c>
      <c r="AI900" s="56" t="str">
        <f t="shared" si="147"/>
        <v>Decrease</v>
      </c>
      <c r="AJ900" s="81">
        <f t="shared" si="151"/>
        <v>88.72</v>
      </c>
      <c r="AK900" s="81">
        <f t="shared" si="152"/>
        <v>80.989999999999995</v>
      </c>
      <c r="AL900" s="58" t="s">
        <v>7206</v>
      </c>
      <c r="AM900" s="58" t="s">
        <v>6703</v>
      </c>
      <c r="AN900" s="75">
        <v>0</v>
      </c>
      <c r="AO900" s="88">
        <v>80.989999999999995</v>
      </c>
      <c r="AP900" s="6" t="str">
        <f t="shared" si="148"/>
        <v>Decrease</v>
      </c>
      <c r="AQ900" s="81">
        <f t="shared" si="149"/>
        <v>0</v>
      </c>
      <c r="AR900" s="81">
        <f t="shared" si="150"/>
        <v>0</v>
      </c>
      <c r="AS900" s="83">
        <f t="shared" si="153"/>
        <v>0</v>
      </c>
    </row>
    <row r="901" spans="1:45" hidden="1" x14ac:dyDescent="0.3">
      <c r="A901">
        <v>6394165</v>
      </c>
      <c r="B901" s="15" t="s">
        <v>6237</v>
      </c>
      <c r="C901" s="16" t="s">
        <v>30</v>
      </c>
      <c r="D901" s="6" t="s">
        <v>31</v>
      </c>
      <c r="E901" t="s">
        <v>1292</v>
      </c>
      <c r="F901" t="s">
        <v>1292</v>
      </c>
      <c r="H901" s="11" t="s">
        <v>27</v>
      </c>
      <c r="I901" s="6" t="s">
        <v>28</v>
      </c>
      <c r="J901" s="6" t="s">
        <v>28</v>
      </c>
      <c r="K901" t="s">
        <v>32</v>
      </c>
      <c r="L901" s="35">
        <v>87.05</v>
      </c>
      <c r="M901" s="6" t="s">
        <v>29</v>
      </c>
      <c r="N901" s="6">
        <v>3105</v>
      </c>
      <c r="P901" s="18"/>
      <c r="Q901" s="17"/>
      <c r="R901" s="19">
        <v>87.05</v>
      </c>
      <c r="S901" s="19">
        <v>87.05</v>
      </c>
      <c r="T901" s="38">
        <v>1</v>
      </c>
      <c r="U901" s="38"/>
      <c r="V901" s="30">
        <v>87.05</v>
      </c>
      <c r="W901" s="35">
        <v>87.05</v>
      </c>
      <c r="X901" s="32">
        <f t="shared" si="143"/>
        <v>87.05</v>
      </c>
      <c r="Y901" s="32">
        <f t="shared" si="144"/>
        <v>87.05</v>
      </c>
      <c r="Z901" s="32">
        <f t="shared" si="145"/>
        <v>0</v>
      </c>
      <c r="AA901" s="38">
        <v>1</v>
      </c>
      <c r="AB901" s="37">
        <f>IFERROR(VLOOKUP(A901,'Tash Lookup'!A:E,3,FALSE),"")</f>
        <v>87.05</v>
      </c>
      <c r="AC901" s="6">
        <f t="shared" si="146"/>
        <v>0</v>
      </c>
      <c r="AD901" s="2" t="s">
        <v>6703</v>
      </c>
      <c r="AF901" s="56">
        <v>97</v>
      </c>
      <c r="AG901" s="56">
        <f>VLOOKUP(A901,Sheet1!$A$2:$C$1140,3,FALSE)</f>
        <v>97</v>
      </c>
      <c r="AH901" s="58">
        <v>97</v>
      </c>
      <c r="AI901" s="56" t="str">
        <f t="shared" si="147"/>
        <v>Same</v>
      </c>
      <c r="AJ901" s="81">
        <f t="shared" si="151"/>
        <v>97</v>
      </c>
      <c r="AK901" s="81">
        <f t="shared" si="152"/>
        <v>97</v>
      </c>
      <c r="AL901" s="58" t="s">
        <v>7206</v>
      </c>
      <c r="AM901" s="58" t="s">
        <v>6703</v>
      </c>
      <c r="AN901" s="75">
        <v>2</v>
      </c>
      <c r="AO901" s="88">
        <v>97</v>
      </c>
      <c r="AP901" s="6" t="str">
        <f t="shared" si="148"/>
        <v>Same</v>
      </c>
      <c r="AQ901" s="81">
        <f t="shared" si="149"/>
        <v>194</v>
      </c>
      <c r="AR901" s="81">
        <f t="shared" si="150"/>
        <v>194</v>
      </c>
      <c r="AS901" s="81">
        <f t="shared" si="153"/>
        <v>0</v>
      </c>
    </row>
    <row r="902" spans="1:45" hidden="1" x14ac:dyDescent="0.3">
      <c r="A902">
        <v>5315864</v>
      </c>
      <c r="B902" s="15" t="s">
        <v>6238</v>
      </c>
      <c r="C902" s="16" t="s">
        <v>30</v>
      </c>
      <c r="D902" s="6" t="s">
        <v>31</v>
      </c>
      <c r="E902" t="s">
        <v>1304</v>
      </c>
      <c r="F902" t="s">
        <v>1304</v>
      </c>
      <c r="H902" s="11" t="s">
        <v>27</v>
      </c>
      <c r="I902" s="6" t="s">
        <v>28</v>
      </c>
      <c r="J902" s="6" t="s">
        <v>28</v>
      </c>
      <c r="K902" t="s">
        <v>32</v>
      </c>
      <c r="L902" s="35">
        <v>17.37</v>
      </c>
      <c r="M902" s="6" t="s">
        <v>29</v>
      </c>
      <c r="N902" s="6">
        <v>3105</v>
      </c>
      <c r="P902" s="18"/>
      <c r="Q902" s="17"/>
      <c r="R902" s="19">
        <v>17.37</v>
      </c>
      <c r="S902" s="19">
        <v>17.37</v>
      </c>
      <c r="T902" s="38">
        <v>1</v>
      </c>
      <c r="U902" s="38"/>
      <c r="V902" s="30">
        <v>17.37</v>
      </c>
      <c r="W902" s="35">
        <v>17.37</v>
      </c>
      <c r="X902" s="32">
        <f t="shared" ref="X902:X965" si="154">SUM(V902*T902)</f>
        <v>17.37</v>
      </c>
      <c r="Y902" s="32">
        <f t="shared" ref="Y902:Y965" si="155">SUM(L902*T902)</f>
        <v>17.37</v>
      </c>
      <c r="Z902" s="32">
        <f t="shared" ref="Z902:Z965" si="156">SUM(X902-Y902)</f>
        <v>0</v>
      </c>
      <c r="AA902" s="38">
        <v>1</v>
      </c>
      <c r="AB902" s="37">
        <f>IFERROR(VLOOKUP(A902,'Tash Lookup'!A:E,3,FALSE),"")</f>
        <v>17.37</v>
      </c>
      <c r="AC902" s="6">
        <f t="shared" ref="AC902:AC965" si="157">IFERROR(AA902-T902,"")</f>
        <v>0</v>
      </c>
      <c r="AD902" s="2" t="s">
        <v>6703</v>
      </c>
      <c r="AF902" s="56">
        <v>19.350000000000001</v>
      </c>
      <c r="AG902" s="56">
        <f>VLOOKUP(A902,Sheet1!$A$2:$C$1140,3,FALSE)</f>
        <v>19.350000000000001</v>
      </c>
      <c r="AH902" s="58">
        <v>19.350000000000001</v>
      </c>
      <c r="AI902" s="56" t="str">
        <f t="shared" ref="AI902:AI965" si="158">IF(ISNA(AH902),"Delete",IF(AH902=AF902,"Same",IF(AH902&gt;AF902,"Increase","Decrease")))</f>
        <v>Same</v>
      </c>
      <c r="AJ902" s="81">
        <f t="shared" si="151"/>
        <v>19.350000000000001</v>
      </c>
      <c r="AK902" s="81">
        <f t="shared" si="152"/>
        <v>19.350000000000001</v>
      </c>
      <c r="AL902" s="58" t="s">
        <v>7206</v>
      </c>
      <c r="AM902" s="58" t="s">
        <v>6703</v>
      </c>
      <c r="AN902" s="75">
        <v>2</v>
      </c>
      <c r="AO902" s="88">
        <v>19.350000000000001</v>
      </c>
      <c r="AP902" s="6" t="str">
        <f t="shared" ref="AP902:AP965" si="159">IF(AM902="Delete","Delete",IF(AO902=AF902,"Same",IF(AO902&gt;AF902,"Increase","Decrease")))</f>
        <v>Same</v>
      </c>
      <c r="AQ902" s="81">
        <f t="shared" ref="AQ902:AQ965" si="160">AN902*AF902</f>
        <v>38.700000000000003</v>
      </c>
      <c r="AR902" s="81">
        <f t="shared" ref="AR902:AR965" si="161">AN902*AO902</f>
        <v>38.700000000000003</v>
      </c>
      <c r="AS902" s="81">
        <f t="shared" si="153"/>
        <v>0</v>
      </c>
    </row>
    <row r="903" spans="1:45" hidden="1" x14ac:dyDescent="0.3">
      <c r="A903">
        <v>6390521</v>
      </c>
      <c r="B903" s="15" t="s">
        <v>6239</v>
      </c>
      <c r="C903" s="16" t="s">
        <v>30</v>
      </c>
      <c r="D903" s="6" t="s">
        <v>31</v>
      </c>
      <c r="E903" t="s">
        <v>1221</v>
      </c>
      <c r="F903" t="s">
        <v>1221</v>
      </c>
      <c r="H903" s="11" t="s">
        <v>27</v>
      </c>
      <c r="I903" s="6" t="s">
        <v>28</v>
      </c>
      <c r="J903" s="6" t="s">
        <v>28</v>
      </c>
      <c r="K903" t="s">
        <v>32</v>
      </c>
      <c r="L903" s="35">
        <v>10.64</v>
      </c>
      <c r="M903" s="6" t="s">
        <v>29</v>
      </c>
      <c r="N903" s="6">
        <v>3105</v>
      </c>
      <c r="P903" s="18"/>
      <c r="Q903" s="17"/>
      <c r="R903" s="19">
        <v>10.11</v>
      </c>
      <c r="S903" s="19">
        <v>0</v>
      </c>
      <c r="T903" s="38">
        <v>1</v>
      </c>
      <c r="U903" s="38"/>
      <c r="V903" s="30">
        <v>10.11</v>
      </c>
      <c r="W903" s="35">
        <v>39.4</v>
      </c>
      <c r="X903" s="32">
        <f t="shared" si="154"/>
        <v>10.11</v>
      </c>
      <c r="Y903" s="32">
        <f t="shared" si="155"/>
        <v>10.64</v>
      </c>
      <c r="Z903" s="32">
        <f t="shared" si="156"/>
        <v>-0.53000000000000114</v>
      </c>
      <c r="AA903" s="38">
        <v>1</v>
      </c>
      <c r="AB903" s="37">
        <f>IFERROR(VLOOKUP(A903,'Tash Lookup'!A:E,3,FALSE),"")</f>
        <v>10.64</v>
      </c>
      <c r="AC903" s="6">
        <f t="shared" si="157"/>
        <v>0</v>
      </c>
      <c r="AD903" s="2" t="s">
        <v>6703</v>
      </c>
      <c r="AF903" s="56">
        <v>10.41</v>
      </c>
      <c r="AG903" s="56">
        <f>VLOOKUP(A903,Sheet1!$A$2:$C$1140,3,FALSE)</f>
        <v>10.62</v>
      </c>
      <c r="AH903" s="58">
        <v>10.62</v>
      </c>
      <c r="AI903" s="56" t="str">
        <f t="shared" si="158"/>
        <v>Increase</v>
      </c>
      <c r="AJ903" s="81">
        <f t="shared" ref="AJ903:AJ966" si="162">IFERROR(AA903*AF903,0)</f>
        <v>10.41</v>
      </c>
      <c r="AK903" s="81">
        <f t="shared" ref="AK903:AK966" si="163">IFERROR(AA903*AH903,0)</f>
        <v>10.62</v>
      </c>
      <c r="AL903" s="58" t="s">
        <v>7206</v>
      </c>
      <c r="AM903" s="58" t="s">
        <v>6703</v>
      </c>
      <c r="AN903" s="75">
        <v>3</v>
      </c>
      <c r="AO903" s="88">
        <v>10.62</v>
      </c>
      <c r="AP903" s="6" t="str">
        <f t="shared" si="159"/>
        <v>Increase</v>
      </c>
      <c r="AQ903" s="81">
        <f t="shared" si="160"/>
        <v>31.23</v>
      </c>
      <c r="AR903" s="81">
        <f t="shared" si="161"/>
        <v>31.86</v>
      </c>
      <c r="AS903" s="81">
        <f t="shared" ref="AS903:AS966" si="164">AR903-AQ903</f>
        <v>0.62999999999999901</v>
      </c>
    </row>
    <row r="904" spans="1:45" hidden="1" x14ac:dyDescent="0.3">
      <c r="A904">
        <v>6390516</v>
      </c>
      <c r="B904" s="15" t="s">
        <v>6240</v>
      </c>
      <c r="C904" s="16" t="s">
        <v>30</v>
      </c>
      <c r="D904" s="6" t="s">
        <v>31</v>
      </c>
      <c r="E904" t="s">
        <v>1212</v>
      </c>
      <c r="F904" t="s">
        <v>1212</v>
      </c>
      <c r="H904" s="11" t="s">
        <v>27</v>
      </c>
      <c r="I904" s="6" t="s">
        <v>28</v>
      </c>
      <c r="J904" s="6" t="s">
        <v>28</v>
      </c>
      <c r="K904" t="s">
        <v>32</v>
      </c>
      <c r="L904" s="35">
        <v>16.84</v>
      </c>
      <c r="M904" s="6" t="s">
        <v>29</v>
      </c>
      <c r="N904" s="6">
        <v>3105</v>
      </c>
      <c r="P904" s="18"/>
      <c r="Q904" s="17"/>
      <c r="R904" s="19">
        <v>16</v>
      </c>
      <c r="S904" s="19">
        <v>0</v>
      </c>
      <c r="T904" s="38">
        <v>1</v>
      </c>
      <c r="U904" s="38"/>
      <c r="V904" s="30">
        <v>16</v>
      </c>
      <c r="W904" s="35">
        <v>24.11</v>
      </c>
      <c r="X904" s="32">
        <f t="shared" si="154"/>
        <v>16</v>
      </c>
      <c r="Y904" s="32">
        <f t="shared" si="155"/>
        <v>16.84</v>
      </c>
      <c r="Z904" s="32">
        <f t="shared" si="156"/>
        <v>-0.83999999999999986</v>
      </c>
      <c r="AA904" s="38">
        <v>1</v>
      </c>
      <c r="AB904" s="37">
        <f>IFERROR(VLOOKUP(A904,'Tash Lookup'!A:E,3,FALSE),"")</f>
        <v>14.74</v>
      </c>
      <c r="AC904" s="6">
        <f t="shared" si="157"/>
        <v>0</v>
      </c>
      <c r="AD904" s="2" t="s">
        <v>6703</v>
      </c>
      <c r="AF904" s="56">
        <v>16</v>
      </c>
      <c r="AG904" s="56">
        <f>VLOOKUP(A904,Sheet1!$A$2:$C$1140,3,FALSE)</f>
        <v>16.32</v>
      </c>
      <c r="AH904" s="58">
        <v>16.32</v>
      </c>
      <c r="AI904" s="56" t="str">
        <f t="shared" si="158"/>
        <v>Increase</v>
      </c>
      <c r="AJ904" s="81">
        <f t="shared" si="162"/>
        <v>16</v>
      </c>
      <c r="AK904" s="81">
        <f t="shared" si="163"/>
        <v>16.32</v>
      </c>
      <c r="AL904" s="58" t="s">
        <v>7206</v>
      </c>
      <c r="AM904" s="58" t="s">
        <v>6703</v>
      </c>
      <c r="AN904" s="75">
        <v>4</v>
      </c>
      <c r="AO904" s="88">
        <v>16.32</v>
      </c>
      <c r="AP904" s="6" t="str">
        <f t="shared" si="159"/>
        <v>Increase</v>
      </c>
      <c r="AQ904" s="81">
        <f t="shared" si="160"/>
        <v>64</v>
      </c>
      <c r="AR904" s="81">
        <f t="shared" si="161"/>
        <v>65.28</v>
      </c>
      <c r="AS904" s="81">
        <f t="shared" si="164"/>
        <v>1.2800000000000011</v>
      </c>
    </row>
    <row r="905" spans="1:45" hidden="1" x14ac:dyDescent="0.3">
      <c r="A905">
        <v>6390517</v>
      </c>
      <c r="B905" s="15" t="s">
        <v>6241</v>
      </c>
      <c r="C905" s="16" t="s">
        <v>30</v>
      </c>
      <c r="D905" s="6" t="s">
        <v>31</v>
      </c>
      <c r="E905" t="s">
        <v>1214</v>
      </c>
      <c r="F905" t="s">
        <v>1214</v>
      </c>
      <c r="H905" s="11" t="s">
        <v>27</v>
      </c>
      <c r="I905" s="6" t="s">
        <v>28</v>
      </c>
      <c r="J905" s="6" t="s">
        <v>28</v>
      </c>
      <c r="K905" t="s">
        <v>32</v>
      </c>
      <c r="L905" s="35">
        <v>14.14</v>
      </c>
      <c r="M905" s="6" t="s">
        <v>29</v>
      </c>
      <c r="N905" s="6">
        <v>3105</v>
      </c>
      <c r="P905" s="18"/>
      <c r="Q905" s="17"/>
      <c r="R905" s="19">
        <v>12.73</v>
      </c>
      <c r="S905" s="19">
        <v>0</v>
      </c>
      <c r="T905" s="38">
        <v>1</v>
      </c>
      <c r="U905" s="38"/>
      <c r="V905" s="30">
        <v>12.73</v>
      </c>
      <c r="W905" s="35">
        <v>11.1</v>
      </c>
      <c r="X905" s="32">
        <f t="shared" si="154"/>
        <v>12.73</v>
      </c>
      <c r="Y905" s="32">
        <f t="shared" si="155"/>
        <v>14.14</v>
      </c>
      <c r="Z905" s="32">
        <f t="shared" si="156"/>
        <v>-1.4100000000000001</v>
      </c>
      <c r="AA905" s="38">
        <v>1</v>
      </c>
      <c r="AB905" s="37">
        <f>IFERROR(VLOOKUP(A905,'Tash Lookup'!A:E,3,FALSE),"")</f>
        <v>14.14</v>
      </c>
      <c r="AC905" s="6">
        <f t="shared" si="157"/>
        <v>0</v>
      </c>
      <c r="AD905" s="2" t="s">
        <v>6703</v>
      </c>
      <c r="AF905" s="56">
        <v>12.73</v>
      </c>
      <c r="AG905" s="56">
        <f>VLOOKUP(A905,Sheet1!$A$2:$C$1140,3,FALSE)</f>
        <v>12.98</v>
      </c>
      <c r="AH905" s="58">
        <v>12.98</v>
      </c>
      <c r="AI905" s="56" t="str">
        <f t="shared" si="158"/>
        <v>Increase</v>
      </c>
      <c r="AJ905" s="81">
        <f t="shared" si="162"/>
        <v>12.73</v>
      </c>
      <c r="AK905" s="81">
        <f t="shared" si="163"/>
        <v>12.98</v>
      </c>
      <c r="AL905" s="58" t="s">
        <v>7206</v>
      </c>
      <c r="AM905" s="58" t="s">
        <v>6703</v>
      </c>
      <c r="AN905" s="75">
        <v>2</v>
      </c>
      <c r="AO905" s="88">
        <v>12.98</v>
      </c>
      <c r="AP905" s="6" t="str">
        <f t="shared" si="159"/>
        <v>Increase</v>
      </c>
      <c r="AQ905" s="81">
        <f t="shared" si="160"/>
        <v>25.46</v>
      </c>
      <c r="AR905" s="81">
        <f t="shared" si="161"/>
        <v>25.96</v>
      </c>
      <c r="AS905" s="81">
        <f t="shared" si="164"/>
        <v>0.5</v>
      </c>
    </row>
    <row r="906" spans="1:45" hidden="1" x14ac:dyDescent="0.3">
      <c r="A906">
        <v>6396929</v>
      </c>
      <c r="B906" s="15" t="s">
        <v>6242</v>
      </c>
      <c r="C906" s="16" t="s">
        <v>30</v>
      </c>
      <c r="D906" s="6" t="s">
        <v>31</v>
      </c>
      <c r="E906" t="s">
        <v>1083</v>
      </c>
      <c r="F906" t="s">
        <v>1083</v>
      </c>
      <c r="H906" s="11" t="s">
        <v>27</v>
      </c>
      <c r="I906" s="6" t="s">
        <v>28</v>
      </c>
      <c r="J906" s="6" t="s">
        <v>28</v>
      </c>
      <c r="K906" t="s">
        <v>32</v>
      </c>
      <c r="L906" s="35">
        <v>22.93</v>
      </c>
      <c r="M906" s="6" t="s">
        <v>29</v>
      </c>
      <c r="N906" s="6">
        <v>3105</v>
      </c>
      <c r="P906" s="18"/>
      <c r="Q906" s="17"/>
      <c r="R906" s="19">
        <v>20.41</v>
      </c>
      <c r="S906" s="19">
        <v>0</v>
      </c>
      <c r="T906" s="38">
        <v>1</v>
      </c>
      <c r="U906" s="38"/>
      <c r="V906" s="30">
        <v>20.41</v>
      </c>
      <c r="W906" s="35">
        <v>3648.65</v>
      </c>
      <c r="X906" s="32">
        <f t="shared" si="154"/>
        <v>20.41</v>
      </c>
      <c r="Y906" s="32">
        <f t="shared" si="155"/>
        <v>22.93</v>
      </c>
      <c r="Z906" s="32">
        <f t="shared" si="156"/>
        <v>-2.5199999999999996</v>
      </c>
      <c r="AA906" s="38">
        <v>1</v>
      </c>
      <c r="AB906" s="37">
        <f>IFERROR(VLOOKUP(A906,'Tash Lookup'!A:E,3,FALSE),"")</f>
        <v>20.41</v>
      </c>
      <c r="AC906" s="6">
        <f t="shared" si="157"/>
        <v>0</v>
      </c>
      <c r="AD906" s="2" t="s">
        <v>6703</v>
      </c>
      <c r="AF906" s="56">
        <v>20.41</v>
      </c>
      <c r="AG906" s="56">
        <f>VLOOKUP(A906,Sheet1!$A$2:$C$1140,3,FALSE)</f>
        <v>20.82</v>
      </c>
      <c r="AH906" s="58">
        <v>20.82</v>
      </c>
      <c r="AI906" s="56" t="str">
        <f t="shared" si="158"/>
        <v>Increase</v>
      </c>
      <c r="AJ906" s="81">
        <f t="shared" si="162"/>
        <v>20.41</v>
      </c>
      <c r="AK906" s="81">
        <f t="shared" si="163"/>
        <v>20.82</v>
      </c>
      <c r="AL906" s="58" t="s">
        <v>7206</v>
      </c>
      <c r="AM906" s="58" t="s">
        <v>6703</v>
      </c>
      <c r="AN906" s="75">
        <v>0</v>
      </c>
      <c r="AO906" s="88">
        <v>20.82</v>
      </c>
      <c r="AP906" s="6" t="str">
        <f t="shared" si="159"/>
        <v>Increase</v>
      </c>
      <c r="AQ906" s="81">
        <f t="shared" si="160"/>
        <v>0</v>
      </c>
      <c r="AR906" s="81">
        <f t="shared" si="161"/>
        <v>0</v>
      </c>
      <c r="AS906" s="81">
        <f t="shared" si="164"/>
        <v>0</v>
      </c>
    </row>
    <row r="907" spans="1:45" hidden="1" x14ac:dyDescent="0.3">
      <c r="A907">
        <v>6396958</v>
      </c>
      <c r="B907" s="15" t="s">
        <v>6243</v>
      </c>
      <c r="C907" s="16" t="s">
        <v>30</v>
      </c>
      <c r="D907" s="6" t="s">
        <v>31</v>
      </c>
      <c r="E907" t="s">
        <v>1081</v>
      </c>
      <c r="F907" t="s">
        <v>1081</v>
      </c>
      <c r="H907" s="11" t="s">
        <v>27</v>
      </c>
      <c r="I907" s="6" t="s">
        <v>28</v>
      </c>
      <c r="J907" s="6" t="s">
        <v>28</v>
      </c>
      <c r="K907" t="s">
        <v>32</v>
      </c>
      <c r="L907" s="35">
        <v>27.36</v>
      </c>
      <c r="M907" s="6" t="s">
        <v>29</v>
      </c>
      <c r="N907" s="6">
        <v>3105</v>
      </c>
      <c r="P907" s="18"/>
      <c r="Q907" s="17"/>
      <c r="R907" s="19">
        <v>24.62</v>
      </c>
      <c r="S907" s="19">
        <v>0</v>
      </c>
      <c r="T907" s="38">
        <v>1</v>
      </c>
      <c r="U907" s="38"/>
      <c r="V907" s="30">
        <v>24.62</v>
      </c>
      <c r="W907" s="35">
        <v>26.24</v>
      </c>
      <c r="X907" s="32">
        <f t="shared" si="154"/>
        <v>24.62</v>
      </c>
      <c r="Y907" s="32">
        <f t="shared" si="155"/>
        <v>27.36</v>
      </c>
      <c r="Z907" s="32">
        <f t="shared" si="156"/>
        <v>-2.7399999999999984</v>
      </c>
      <c r="AA907" s="38">
        <v>1</v>
      </c>
      <c r="AB907" s="37">
        <f>IFERROR(VLOOKUP(A907,'Tash Lookup'!A:E,3,FALSE),"")</f>
        <v>27.36</v>
      </c>
      <c r="AC907" s="6">
        <f t="shared" si="157"/>
        <v>0</v>
      </c>
      <c r="AD907" s="2" t="s">
        <v>6703</v>
      </c>
      <c r="AF907" s="56">
        <v>24.62</v>
      </c>
      <c r="AG907" s="56">
        <f>VLOOKUP(A907,Sheet1!$A$2:$C$1140,3,FALSE)</f>
        <v>25.11</v>
      </c>
      <c r="AH907" s="58">
        <v>25.11</v>
      </c>
      <c r="AI907" s="56" t="str">
        <f t="shared" si="158"/>
        <v>Increase</v>
      </c>
      <c r="AJ907" s="81">
        <f t="shared" si="162"/>
        <v>24.62</v>
      </c>
      <c r="AK907" s="81">
        <f t="shared" si="163"/>
        <v>25.11</v>
      </c>
      <c r="AL907" s="58" t="s">
        <v>7206</v>
      </c>
      <c r="AM907" s="58" t="s">
        <v>6703</v>
      </c>
      <c r="AN907" s="75">
        <v>2</v>
      </c>
      <c r="AO907" s="88">
        <v>25.11</v>
      </c>
      <c r="AP907" s="6" t="str">
        <f t="shared" si="159"/>
        <v>Increase</v>
      </c>
      <c r="AQ907" s="81">
        <f t="shared" si="160"/>
        <v>49.24</v>
      </c>
      <c r="AR907" s="81">
        <f t="shared" si="161"/>
        <v>50.22</v>
      </c>
      <c r="AS907" s="81">
        <f t="shared" si="164"/>
        <v>0.97999999999999687</v>
      </c>
    </row>
    <row r="908" spans="1:45" hidden="1" x14ac:dyDescent="0.3">
      <c r="A908">
        <v>6383564</v>
      </c>
      <c r="B908" s="15" t="s">
        <v>6244</v>
      </c>
      <c r="C908" s="16" t="s">
        <v>30</v>
      </c>
      <c r="D908" s="6" t="s">
        <v>31</v>
      </c>
      <c r="E908" t="s">
        <v>749</v>
      </c>
      <c r="F908" t="s">
        <v>749</v>
      </c>
      <c r="H908" s="11" t="s">
        <v>27</v>
      </c>
      <c r="I908" s="6" t="s">
        <v>28</v>
      </c>
      <c r="J908" s="6" t="s">
        <v>28</v>
      </c>
      <c r="K908" t="s">
        <v>32</v>
      </c>
      <c r="L908" s="35">
        <v>39.4</v>
      </c>
      <c r="M908" s="6" t="s">
        <v>29</v>
      </c>
      <c r="N908" s="6">
        <v>3105</v>
      </c>
      <c r="P908" s="18"/>
      <c r="Q908" s="17"/>
      <c r="R908" s="19">
        <v>39.4</v>
      </c>
      <c r="S908" s="19">
        <v>39.4</v>
      </c>
      <c r="T908" s="38">
        <v>1</v>
      </c>
      <c r="U908" s="38"/>
      <c r="V908" s="30">
        <v>39.4</v>
      </c>
      <c r="W908" s="35">
        <v>39.03</v>
      </c>
      <c r="X908" s="32">
        <f t="shared" si="154"/>
        <v>39.4</v>
      </c>
      <c r="Y908" s="32">
        <f t="shared" si="155"/>
        <v>39.4</v>
      </c>
      <c r="Z908" s="32">
        <f t="shared" si="156"/>
        <v>0</v>
      </c>
      <c r="AA908" s="38">
        <v>1</v>
      </c>
      <c r="AB908" s="37">
        <f>IFERROR(VLOOKUP(A908,'Tash Lookup'!A:E,3,FALSE),"")</f>
        <v>39.4</v>
      </c>
      <c r="AC908" s="6">
        <f t="shared" si="157"/>
        <v>0</v>
      </c>
      <c r="AD908" s="2" t="s">
        <v>6703</v>
      </c>
      <c r="AF908" s="56">
        <v>40.98</v>
      </c>
      <c r="AG908" s="56">
        <f>VLOOKUP(A908,Sheet1!$A$2:$C$1140,3,FALSE)</f>
        <v>40.98</v>
      </c>
      <c r="AH908" s="58">
        <v>40.98</v>
      </c>
      <c r="AI908" s="56" t="str">
        <f t="shared" si="158"/>
        <v>Same</v>
      </c>
      <c r="AJ908" s="81">
        <f t="shared" si="162"/>
        <v>40.98</v>
      </c>
      <c r="AK908" s="81">
        <f t="shared" si="163"/>
        <v>40.98</v>
      </c>
      <c r="AL908" s="58" t="s">
        <v>7206</v>
      </c>
      <c r="AM908" s="58" t="s">
        <v>6703</v>
      </c>
      <c r="AN908" s="75">
        <v>0</v>
      </c>
      <c r="AO908" s="88">
        <v>40.98</v>
      </c>
      <c r="AP908" s="6" t="str">
        <f t="shared" si="159"/>
        <v>Same</v>
      </c>
      <c r="AQ908" s="81">
        <f t="shared" si="160"/>
        <v>0</v>
      </c>
      <c r="AR908" s="81">
        <f t="shared" si="161"/>
        <v>0</v>
      </c>
      <c r="AS908" s="81">
        <f t="shared" si="164"/>
        <v>0</v>
      </c>
    </row>
    <row r="909" spans="1:45" hidden="1" x14ac:dyDescent="0.3">
      <c r="A909">
        <v>5083003</v>
      </c>
      <c r="B909" s="15" t="s">
        <v>6245</v>
      </c>
      <c r="C909" s="16" t="s">
        <v>30</v>
      </c>
      <c r="D909" s="6" t="s">
        <v>31</v>
      </c>
      <c r="E909" t="s">
        <v>466</v>
      </c>
      <c r="F909" t="s">
        <v>466</v>
      </c>
      <c r="H909" s="11" t="s">
        <v>27</v>
      </c>
      <c r="I909" s="6" t="s">
        <v>28</v>
      </c>
      <c r="J909" s="6" t="s">
        <v>28</v>
      </c>
      <c r="K909" t="s">
        <v>32</v>
      </c>
      <c r="L909" s="35">
        <v>24.11</v>
      </c>
      <c r="M909" s="6" t="s">
        <v>29</v>
      </c>
      <c r="N909" s="6">
        <v>3105</v>
      </c>
      <c r="P909" s="18"/>
      <c r="Q909" s="17"/>
      <c r="R909" s="19">
        <v>24.11</v>
      </c>
      <c r="S909" s="19">
        <v>24.11</v>
      </c>
      <c r="T909" s="38">
        <v>1</v>
      </c>
      <c r="U909" s="38"/>
      <c r="V909" s="29">
        <v>24.11</v>
      </c>
      <c r="W909" s="35">
        <v>18.34</v>
      </c>
      <c r="X909" s="32">
        <f t="shared" si="154"/>
        <v>24.11</v>
      </c>
      <c r="Y909" s="32">
        <f t="shared" si="155"/>
        <v>24.11</v>
      </c>
      <c r="Z909" s="32">
        <f t="shared" si="156"/>
        <v>0</v>
      </c>
      <c r="AA909" s="38">
        <v>1</v>
      </c>
      <c r="AB909" s="37">
        <f>IFERROR(VLOOKUP(A909,'Tash Lookup'!A:E,3,FALSE),"")</f>
        <v>24.11</v>
      </c>
      <c r="AC909" s="6">
        <f t="shared" si="157"/>
        <v>0</v>
      </c>
      <c r="AD909" s="2" t="s">
        <v>6703</v>
      </c>
      <c r="AF909" s="56">
        <v>25.41</v>
      </c>
      <c r="AG909" s="56">
        <f>VLOOKUP(A909,Sheet1!$A$2:$C$1140,3,FALSE)</f>
        <v>26.18</v>
      </c>
      <c r="AH909" s="58">
        <v>26.18</v>
      </c>
      <c r="AI909" s="56" t="str">
        <f t="shared" si="158"/>
        <v>Increase</v>
      </c>
      <c r="AJ909" s="81">
        <f t="shared" si="162"/>
        <v>25.41</v>
      </c>
      <c r="AK909" s="81">
        <f t="shared" si="163"/>
        <v>26.18</v>
      </c>
      <c r="AL909" s="58" t="s">
        <v>32</v>
      </c>
      <c r="AM909" s="58" t="s">
        <v>6703</v>
      </c>
      <c r="AN909" s="75">
        <v>1</v>
      </c>
      <c r="AO909" s="88">
        <v>26.18</v>
      </c>
      <c r="AP909" s="6" t="str">
        <f t="shared" si="159"/>
        <v>Increase</v>
      </c>
      <c r="AQ909" s="81">
        <f t="shared" si="160"/>
        <v>25.41</v>
      </c>
      <c r="AR909" s="81">
        <f t="shared" si="161"/>
        <v>26.18</v>
      </c>
      <c r="AS909" s="82">
        <f t="shared" si="164"/>
        <v>0.76999999999999957</v>
      </c>
    </row>
    <row r="910" spans="1:45" hidden="1" x14ac:dyDescent="0.3">
      <c r="A910">
        <v>6040274</v>
      </c>
      <c r="B910" s="15" t="s">
        <v>6246</v>
      </c>
      <c r="C910" s="16" t="s">
        <v>30</v>
      </c>
      <c r="D910" s="6" t="s">
        <v>31</v>
      </c>
      <c r="E910" t="s">
        <v>944</v>
      </c>
      <c r="F910" t="s">
        <v>944</v>
      </c>
      <c r="H910" s="11" t="s">
        <v>27</v>
      </c>
      <c r="I910" s="6" t="s">
        <v>28</v>
      </c>
      <c r="J910" s="6" t="s">
        <v>28</v>
      </c>
      <c r="K910" t="s">
        <v>32</v>
      </c>
      <c r="L910" s="35">
        <v>11.1</v>
      </c>
      <c r="M910" s="6" t="s">
        <v>29</v>
      </c>
      <c r="N910" s="6">
        <v>3105</v>
      </c>
      <c r="P910" s="18"/>
      <c r="Q910" s="17"/>
      <c r="R910" s="19">
        <v>0</v>
      </c>
      <c r="S910" s="19">
        <v>0</v>
      </c>
      <c r="T910" s="38">
        <v>1</v>
      </c>
      <c r="U910" s="38"/>
      <c r="V910" s="29">
        <v>11.1</v>
      </c>
      <c r="W910" s="35">
        <v>15.78</v>
      </c>
      <c r="X910" s="32">
        <f t="shared" si="154"/>
        <v>11.1</v>
      </c>
      <c r="Y910" s="32">
        <f t="shared" si="155"/>
        <v>11.1</v>
      </c>
      <c r="Z910" s="32">
        <f t="shared" si="156"/>
        <v>0</v>
      </c>
      <c r="AA910" s="38">
        <v>1</v>
      </c>
      <c r="AB910" s="37">
        <f>IFERROR(VLOOKUP(A910,'Tash Lookup'!A:E,3,FALSE),"")</f>
        <v>11.1</v>
      </c>
      <c r="AC910" s="6">
        <f t="shared" si="157"/>
        <v>0</v>
      </c>
      <c r="AD910" s="2" t="s">
        <v>6703</v>
      </c>
      <c r="AF910" s="56">
        <v>11.43</v>
      </c>
      <c r="AG910" s="56">
        <f>VLOOKUP(A910,Sheet1!$A$2:$C$1140,3,FALSE)</f>
        <v>11.66</v>
      </c>
      <c r="AH910" s="58">
        <v>11.66</v>
      </c>
      <c r="AI910" s="56" t="str">
        <f t="shared" si="158"/>
        <v>Increase</v>
      </c>
      <c r="AJ910" s="81">
        <f t="shared" si="162"/>
        <v>11.43</v>
      </c>
      <c r="AK910" s="81">
        <f t="shared" si="163"/>
        <v>11.66</v>
      </c>
      <c r="AL910" s="58" t="s">
        <v>7206</v>
      </c>
      <c r="AM910" s="58" t="s">
        <v>6703</v>
      </c>
      <c r="AN910" s="75">
        <v>5</v>
      </c>
      <c r="AO910" s="88">
        <v>11.66</v>
      </c>
      <c r="AP910" s="6" t="str">
        <f t="shared" si="159"/>
        <v>Increase</v>
      </c>
      <c r="AQ910" s="81">
        <f t="shared" si="160"/>
        <v>57.15</v>
      </c>
      <c r="AR910" s="81">
        <f t="shared" si="161"/>
        <v>58.3</v>
      </c>
      <c r="AS910" s="81">
        <f t="shared" si="164"/>
        <v>1.1499999999999986</v>
      </c>
    </row>
    <row r="911" spans="1:45" hidden="1" x14ac:dyDescent="0.3">
      <c r="A911">
        <v>6390792</v>
      </c>
      <c r="B911" s="15" t="s">
        <v>6247</v>
      </c>
      <c r="C911" s="16" t="s">
        <v>30</v>
      </c>
      <c r="D911" s="6" t="s">
        <v>31</v>
      </c>
      <c r="E911" t="s">
        <v>947</v>
      </c>
      <c r="F911" t="s">
        <v>947</v>
      </c>
      <c r="H911" s="11" t="s">
        <v>27</v>
      </c>
      <c r="I911" s="6" t="s">
        <v>28</v>
      </c>
      <c r="J911" s="6" t="s">
        <v>28</v>
      </c>
      <c r="K911" t="s">
        <v>32</v>
      </c>
      <c r="L911" s="35">
        <v>3648.65</v>
      </c>
      <c r="M911" s="6" t="s">
        <v>29</v>
      </c>
      <c r="N911" s="6">
        <v>3105</v>
      </c>
      <c r="P911" s="18"/>
      <c r="Q911" s="17"/>
      <c r="R911" s="19">
        <v>0</v>
      </c>
      <c r="S911" s="19">
        <v>0</v>
      </c>
      <c r="T911" s="38">
        <v>1</v>
      </c>
      <c r="U911" s="38"/>
      <c r="V911" s="29">
        <v>3648.65</v>
      </c>
      <c r="W911" s="35">
        <v>11.78</v>
      </c>
      <c r="X911" s="32">
        <f t="shared" si="154"/>
        <v>3648.65</v>
      </c>
      <c r="Y911" s="32">
        <f t="shared" si="155"/>
        <v>3648.65</v>
      </c>
      <c r="Z911" s="32">
        <f t="shared" si="156"/>
        <v>0</v>
      </c>
      <c r="AA911" s="38">
        <v>1</v>
      </c>
      <c r="AB911" s="37">
        <f>IFERROR(VLOOKUP(A911,'Tash Lookup'!A:E,3,FALSE),"")</f>
        <v>3004.75</v>
      </c>
      <c r="AC911" s="6">
        <f t="shared" si="157"/>
        <v>0</v>
      </c>
      <c r="AD911" s="2" t="s">
        <v>6707</v>
      </c>
      <c r="AF911" s="56">
        <v>3648.65</v>
      </c>
      <c r="AG911" s="56" t="e">
        <f>VLOOKUP(A911,Sheet1!$A$2:$C$1140,3,FALSE)</f>
        <v>#N/A</v>
      </c>
      <c r="AH911" s="58" t="e">
        <v>#N/A</v>
      </c>
      <c r="AI911" s="56" t="str">
        <f t="shared" si="158"/>
        <v>Delete</v>
      </c>
      <c r="AJ911" s="81">
        <f t="shared" si="162"/>
        <v>3648.65</v>
      </c>
      <c r="AK911" s="81">
        <f t="shared" si="163"/>
        <v>0</v>
      </c>
      <c r="AL911" s="58" t="s">
        <v>7206</v>
      </c>
      <c r="AM911" s="58" t="s">
        <v>6709</v>
      </c>
      <c r="AN911" s="75">
        <v>0</v>
      </c>
      <c r="AO911" s="88">
        <v>3648.65</v>
      </c>
      <c r="AP911" s="6" t="str">
        <f t="shared" si="159"/>
        <v>Same</v>
      </c>
      <c r="AQ911" s="81">
        <f t="shared" si="160"/>
        <v>0</v>
      </c>
      <c r="AR911" s="81">
        <f t="shared" si="161"/>
        <v>0</v>
      </c>
      <c r="AS911" s="81">
        <f t="shared" si="164"/>
        <v>0</v>
      </c>
    </row>
    <row r="912" spans="1:45" x14ac:dyDescent="0.3">
      <c r="A912">
        <v>5085906</v>
      </c>
      <c r="B912" s="15" t="s">
        <v>6248</v>
      </c>
      <c r="C912" s="16" t="s">
        <v>30</v>
      </c>
      <c r="D912" s="6" t="s">
        <v>31</v>
      </c>
      <c r="E912" t="s">
        <v>1168</v>
      </c>
      <c r="F912" t="s">
        <v>1168</v>
      </c>
      <c r="H912" s="11" t="s">
        <v>27</v>
      </c>
      <c r="I912" s="6" t="s">
        <v>28</v>
      </c>
      <c r="J912" s="6" t="s">
        <v>28</v>
      </c>
      <c r="K912" t="s">
        <v>32</v>
      </c>
      <c r="L912" s="35">
        <v>26.24</v>
      </c>
      <c r="M912" s="6" t="s">
        <v>29</v>
      </c>
      <c r="N912" s="6">
        <v>3105</v>
      </c>
      <c r="P912" s="18"/>
      <c r="Q912" s="17"/>
      <c r="R912" s="19">
        <v>26.24</v>
      </c>
      <c r="S912" s="19">
        <v>26.24</v>
      </c>
      <c r="T912" s="38">
        <v>1</v>
      </c>
      <c r="U912" s="38"/>
      <c r="V912" s="30">
        <v>26.24</v>
      </c>
      <c r="W912" s="35">
        <v>11.34</v>
      </c>
      <c r="X912" s="32">
        <f t="shared" si="154"/>
        <v>26.24</v>
      </c>
      <c r="Y912" s="32">
        <f t="shared" si="155"/>
        <v>26.24</v>
      </c>
      <c r="Z912" s="32">
        <f t="shared" si="156"/>
        <v>0</v>
      </c>
      <c r="AA912" s="38">
        <v>1</v>
      </c>
      <c r="AB912" s="37">
        <f>IFERROR(VLOOKUP(A912,'Tash Lookup'!A:E,3,FALSE),"")</f>
        <v>26.24</v>
      </c>
      <c r="AC912" s="6">
        <f t="shared" si="157"/>
        <v>0</v>
      </c>
      <c r="AD912" s="2" t="s">
        <v>6703</v>
      </c>
      <c r="AF912" s="56">
        <v>27.65</v>
      </c>
      <c r="AG912" s="56">
        <f>VLOOKUP(A912,Sheet1!$A$2:$C$1140,3,FALSE)</f>
        <v>27.65</v>
      </c>
      <c r="AH912" s="58">
        <v>27.65</v>
      </c>
      <c r="AI912" s="56" t="str">
        <f t="shared" si="158"/>
        <v>Same</v>
      </c>
      <c r="AJ912" s="81">
        <f t="shared" si="162"/>
        <v>27.65</v>
      </c>
      <c r="AK912" s="81">
        <f t="shared" si="163"/>
        <v>27.65</v>
      </c>
      <c r="AL912" s="58" t="s">
        <v>7206</v>
      </c>
      <c r="AM912" s="58" t="s">
        <v>6703</v>
      </c>
      <c r="AN912" s="75">
        <v>0</v>
      </c>
      <c r="AO912" s="88">
        <v>27.65</v>
      </c>
      <c r="AP912" s="6" t="str">
        <f t="shared" si="159"/>
        <v>Same</v>
      </c>
      <c r="AQ912" s="81">
        <f t="shared" si="160"/>
        <v>0</v>
      </c>
      <c r="AR912" s="81">
        <f t="shared" si="161"/>
        <v>0</v>
      </c>
      <c r="AS912" s="81">
        <f t="shared" si="164"/>
        <v>0</v>
      </c>
    </row>
    <row r="913" spans="1:45" x14ac:dyDescent="0.3">
      <c r="A913">
        <v>5085925</v>
      </c>
      <c r="B913" s="15" t="s">
        <v>6249</v>
      </c>
      <c r="C913" s="16" t="s">
        <v>30</v>
      </c>
      <c r="D913" s="6" t="s">
        <v>31</v>
      </c>
      <c r="E913" t="s">
        <v>1178</v>
      </c>
      <c r="F913" t="s">
        <v>1178</v>
      </c>
      <c r="H913" s="11" t="s">
        <v>27</v>
      </c>
      <c r="I913" s="6" t="s">
        <v>28</v>
      </c>
      <c r="J913" s="6" t="s">
        <v>28</v>
      </c>
      <c r="K913" t="s">
        <v>32</v>
      </c>
      <c r="L913" s="35">
        <v>39.03</v>
      </c>
      <c r="M913" s="6" t="s">
        <v>29</v>
      </c>
      <c r="N913" s="6">
        <v>3105</v>
      </c>
      <c r="P913" s="18"/>
      <c r="Q913" s="17"/>
      <c r="R913" s="19">
        <v>39.03</v>
      </c>
      <c r="S913" s="19">
        <v>39.03</v>
      </c>
      <c r="T913" s="38">
        <v>1</v>
      </c>
      <c r="U913" s="38"/>
      <c r="V913" s="30">
        <v>39.03</v>
      </c>
      <c r="W913" s="35">
        <v>10.64</v>
      </c>
      <c r="X913" s="32">
        <f t="shared" si="154"/>
        <v>39.03</v>
      </c>
      <c r="Y913" s="32">
        <f t="shared" si="155"/>
        <v>39.03</v>
      </c>
      <c r="Z913" s="32">
        <f t="shared" si="156"/>
        <v>0</v>
      </c>
      <c r="AA913" s="38">
        <v>1</v>
      </c>
      <c r="AB913" s="37">
        <f>IFERROR(VLOOKUP(A913,'Tash Lookup'!A:E,3,FALSE),"")</f>
        <v>39.03</v>
      </c>
      <c r="AC913" s="6">
        <f t="shared" si="157"/>
        <v>0</v>
      </c>
      <c r="AD913" s="2" t="s">
        <v>6703</v>
      </c>
      <c r="AF913" s="56">
        <v>43.04</v>
      </c>
      <c r="AG913" s="56">
        <f>VLOOKUP(A913,Sheet1!$A$2:$C$1140,3,FALSE)</f>
        <v>43.04</v>
      </c>
      <c r="AH913" s="58">
        <v>43.04</v>
      </c>
      <c r="AI913" s="56" t="str">
        <f t="shared" si="158"/>
        <v>Same</v>
      </c>
      <c r="AJ913" s="81">
        <f t="shared" si="162"/>
        <v>43.04</v>
      </c>
      <c r="AK913" s="81">
        <f t="shared" si="163"/>
        <v>43.04</v>
      </c>
      <c r="AL913" s="58" t="s">
        <v>7206</v>
      </c>
      <c r="AM913" s="58" t="s">
        <v>6703</v>
      </c>
      <c r="AN913" s="75">
        <v>0</v>
      </c>
      <c r="AO913" s="88">
        <v>43.04</v>
      </c>
      <c r="AP913" s="6" t="str">
        <f t="shared" si="159"/>
        <v>Same</v>
      </c>
      <c r="AQ913" s="81">
        <f t="shared" si="160"/>
        <v>0</v>
      </c>
      <c r="AR913" s="81">
        <f t="shared" si="161"/>
        <v>0</v>
      </c>
      <c r="AS913" s="81">
        <f t="shared" si="164"/>
        <v>0</v>
      </c>
    </row>
    <row r="914" spans="1:45" x14ac:dyDescent="0.3">
      <c r="A914">
        <v>5085965</v>
      </c>
      <c r="B914" s="15" t="s">
        <v>6250</v>
      </c>
      <c r="C914" s="16" t="s">
        <v>30</v>
      </c>
      <c r="D914" s="6" t="s">
        <v>31</v>
      </c>
      <c r="E914" t="s">
        <v>1180</v>
      </c>
      <c r="F914" t="s">
        <v>1180</v>
      </c>
      <c r="H914" s="11" t="s">
        <v>27</v>
      </c>
      <c r="I914" s="6" t="s">
        <v>28</v>
      </c>
      <c r="J914" s="6" t="s">
        <v>28</v>
      </c>
      <c r="K914" t="s">
        <v>32</v>
      </c>
      <c r="L914" s="35">
        <v>18.34</v>
      </c>
      <c r="M914" s="6" t="s">
        <v>29</v>
      </c>
      <c r="N914" s="6">
        <v>3105</v>
      </c>
      <c r="P914" s="18"/>
      <c r="Q914" s="17"/>
      <c r="R914" s="19">
        <v>18.34</v>
      </c>
      <c r="S914" s="19">
        <v>18.34</v>
      </c>
      <c r="T914" s="38">
        <v>1</v>
      </c>
      <c r="U914" s="38"/>
      <c r="V914" s="30">
        <v>18.34</v>
      </c>
      <c r="W914" s="35">
        <v>16.84</v>
      </c>
      <c r="X914" s="32">
        <f t="shared" si="154"/>
        <v>18.34</v>
      </c>
      <c r="Y914" s="32">
        <f t="shared" si="155"/>
        <v>18.34</v>
      </c>
      <c r="Z914" s="32">
        <f t="shared" si="156"/>
        <v>0</v>
      </c>
      <c r="AA914" s="38">
        <v>1</v>
      </c>
      <c r="AB914" s="37">
        <f>IFERROR(VLOOKUP(A914,'Tash Lookup'!A:E,3,FALSE),"")</f>
        <v>18.34</v>
      </c>
      <c r="AC914" s="6">
        <f t="shared" si="157"/>
        <v>0</v>
      </c>
      <c r="AD914" s="2" t="s">
        <v>6703</v>
      </c>
      <c r="AF914" s="56">
        <v>22.11</v>
      </c>
      <c r="AG914" s="56">
        <f>VLOOKUP(A914,Sheet1!$A$2:$C$1140,3,FALSE)</f>
        <v>22.11</v>
      </c>
      <c r="AH914" s="58">
        <v>22.11</v>
      </c>
      <c r="AI914" s="56" t="str">
        <f t="shared" si="158"/>
        <v>Same</v>
      </c>
      <c r="AJ914" s="81">
        <f t="shared" si="162"/>
        <v>22.11</v>
      </c>
      <c r="AK914" s="81">
        <f t="shared" si="163"/>
        <v>22.11</v>
      </c>
      <c r="AL914" s="58" t="s">
        <v>7206</v>
      </c>
      <c r="AM914" s="58" t="s">
        <v>6703</v>
      </c>
      <c r="AN914" s="75">
        <v>0</v>
      </c>
      <c r="AO914" s="88">
        <v>22.11</v>
      </c>
      <c r="AP914" s="6" t="str">
        <f t="shared" si="159"/>
        <v>Same</v>
      </c>
      <c r="AQ914" s="81">
        <f t="shared" si="160"/>
        <v>0</v>
      </c>
      <c r="AR914" s="81">
        <f t="shared" si="161"/>
        <v>0</v>
      </c>
      <c r="AS914" s="81">
        <f t="shared" si="164"/>
        <v>0</v>
      </c>
    </row>
    <row r="915" spans="1:45" hidden="1" x14ac:dyDescent="0.3">
      <c r="A915">
        <v>5315853</v>
      </c>
      <c r="B915" s="15" t="s">
        <v>6251</v>
      </c>
      <c r="C915" s="16" t="s">
        <v>30</v>
      </c>
      <c r="D915" s="6" t="s">
        <v>31</v>
      </c>
      <c r="E915" t="s">
        <v>1294</v>
      </c>
      <c r="F915" t="s">
        <v>1294</v>
      </c>
      <c r="H915" s="11" t="s">
        <v>27</v>
      </c>
      <c r="I915" s="6" t="s">
        <v>28</v>
      </c>
      <c r="J915" s="6" t="s">
        <v>28</v>
      </c>
      <c r="K915" t="s">
        <v>32</v>
      </c>
      <c r="L915" s="35">
        <v>15.78</v>
      </c>
      <c r="M915" s="6" t="s">
        <v>29</v>
      </c>
      <c r="N915" s="6">
        <v>3105</v>
      </c>
      <c r="P915" s="18"/>
      <c r="Q915" s="17"/>
      <c r="R915" s="19">
        <v>15.78</v>
      </c>
      <c r="S915" s="19">
        <v>15.78</v>
      </c>
      <c r="T915" s="38">
        <v>1</v>
      </c>
      <c r="U915" s="38"/>
      <c r="V915" s="30">
        <v>15.78</v>
      </c>
      <c r="W915" s="35">
        <v>14.14</v>
      </c>
      <c r="X915" s="32">
        <f t="shared" si="154"/>
        <v>15.78</v>
      </c>
      <c r="Y915" s="32">
        <f t="shared" si="155"/>
        <v>15.78</v>
      </c>
      <c r="Z915" s="32">
        <f t="shared" si="156"/>
        <v>0</v>
      </c>
      <c r="AA915" s="38">
        <v>1</v>
      </c>
      <c r="AB915" s="37">
        <f>IFERROR(VLOOKUP(A915,'Tash Lookup'!A:E,3,FALSE),"")</f>
        <v>15.1</v>
      </c>
      <c r="AC915" s="6">
        <f t="shared" si="157"/>
        <v>0</v>
      </c>
      <c r="AD915" s="2" t="s">
        <v>6703</v>
      </c>
      <c r="AF915" s="56">
        <v>17.579999999999998</v>
      </c>
      <c r="AG915" s="56">
        <f>VLOOKUP(A915,Sheet1!$A$2:$C$1140,3,FALSE)</f>
        <v>17.579999999999998</v>
      </c>
      <c r="AH915" s="58">
        <v>17.579999999999998</v>
      </c>
      <c r="AI915" s="56" t="str">
        <f t="shared" si="158"/>
        <v>Same</v>
      </c>
      <c r="AJ915" s="81">
        <f t="shared" si="162"/>
        <v>17.579999999999998</v>
      </c>
      <c r="AK915" s="81">
        <f t="shared" si="163"/>
        <v>17.579999999999998</v>
      </c>
      <c r="AL915" s="58" t="s">
        <v>7206</v>
      </c>
      <c r="AM915" s="58" t="s">
        <v>6703</v>
      </c>
      <c r="AN915" s="75">
        <v>0</v>
      </c>
      <c r="AO915" s="88">
        <v>17.579999999999998</v>
      </c>
      <c r="AP915" s="6" t="str">
        <f t="shared" si="159"/>
        <v>Same</v>
      </c>
      <c r="AQ915" s="81">
        <f t="shared" si="160"/>
        <v>0</v>
      </c>
      <c r="AR915" s="81">
        <f t="shared" si="161"/>
        <v>0</v>
      </c>
      <c r="AS915" s="81">
        <f t="shared" si="164"/>
        <v>0</v>
      </c>
    </row>
    <row r="916" spans="1:45" hidden="1" x14ac:dyDescent="0.3">
      <c r="A916">
        <v>5090811</v>
      </c>
      <c r="B916" s="15" t="s">
        <v>6252</v>
      </c>
      <c r="C916" s="16" t="s">
        <v>30</v>
      </c>
      <c r="D916" s="6" t="s">
        <v>31</v>
      </c>
      <c r="E916" t="s">
        <v>564</v>
      </c>
      <c r="F916" t="s">
        <v>564</v>
      </c>
      <c r="H916" s="11" t="s">
        <v>27</v>
      </c>
      <c r="I916" s="6" t="s">
        <v>28</v>
      </c>
      <c r="J916" s="6" t="s">
        <v>28</v>
      </c>
      <c r="K916" t="s">
        <v>32</v>
      </c>
      <c r="L916" s="35">
        <v>11.78</v>
      </c>
      <c r="M916" s="6" t="s">
        <v>29</v>
      </c>
      <c r="N916" s="6">
        <v>3105</v>
      </c>
      <c r="P916" s="18"/>
      <c r="Q916" s="17"/>
      <c r="R916" s="19">
        <v>11.78</v>
      </c>
      <c r="S916" s="19">
        <v>11.78</v>
      </c>
      <c r="T916" s="38">
        <v>1</v>
      </c>
      <c r="U916" s="38"/>
      <c r="V916" s="29">
        <v>11.78</v>
      </c>
      <c r="W916" s="35">
        <v>22.93</v>
      </c>
      <c r="X916" s="32">
        <f t="shared" si="154"/>
        <v>11.78</v>
      </c>
      <c r="Y916" s="32">
        <f t="shared" si="155"/>
        <v>11.78</v>
      </c>
      <c r="Z916" s="32">
        <f t="shared" si="156"/>
        <v>0</v>
      </c>
      <c r="AA916" s="38">
        <v>1</v>
      </c>
      <c r="AB916" s="37">
        <f>IFERROR(VLOOKUP(A916,'Tash Lookup'!A:E,3,FALSE),"")</f>
        <v>11.78</v>
      </c>
      <c r="AC916" s="6">
        <f t="shared" si="157"/>
        <v>0</v>
      </c>
      <c r="AD916" s="2" t="s">
        <v>6703</v>
      </c>
      <c r="AF916" s="56">
        <v>12.42</v>
      </c>
      <c r="AG916" s="56">
        <f>VLOOKUP(A916,Sheet1!$A$2:$C$1140,3,FALSE)</f>
        <v>12.79</v>
      </c>
      <c r="AH916" s="58">
        <v>12.79</v>
      </c>
      <c r="AI916" s="56" t="str">
        <f t="shared" si="158"/>
        <v>Increase</v>
      </c>
      <c r="AJ916" s="81">
        <f t="shared" si="162"/>
        <v>12.42</v>
      </c>
      <c r="AK916" s="81">
        <f t="shared" si="163"/>
        <v>12.79</v>
      </c>
      <c r="AL916" s="58" t="s">
        <v>32</v>
      </c>
      <c r="AM916" s="58" t="s">
        <v>6703</v>
      </c>
      <c r="AN916" s="75">
        <v>5</v>
      </c>
      <c r="AO916" s="88">
        <v>12.79</v>
      </c>
      <c r="AP916" s="6" t="str">
        <f t="shared" si="159"/>
        <v>Increase</v>
      </c>
      <c r="AQ916" s="81">
        <f t="shared" si="160"/>
        <v>62.1</v>
      </c>
      <c r="AR916" s="81">
        <f t="shared" si="161"/>
        <v>63.949999999999996</v>
      </c>
      <c r="AS916" s="81">
        <f t="shared" si="164"/>
        <v>1.8499999999999943</v>
      </c>
    </row>
    <row r="917" spans="1:45" hidden="1" x14ac:dyDescent="0.3">
      <c r="A917">
        <v>5090758</v>
      </c>
      <c r="B917" s="15" t="s">
        <v>6253</v>
      </c>
      <c r="C917" s="16" t="s">
        <v>30</v>
      </c>
      <c r="D917" s="6" t="s">
        <v>31</v>
      </c>
      <c r="E917" t="s">
        <v>585</v>
      </c>
      <c r="F917" t="s">
        <v>585</v>
      </c>
      <c r="H917" s="11" t="s">
        <v>27</v>
      </c>
      <c r="I917" s="6" t="s">
        <v>28</v>
      </c>
      <c r="J917" s="6" t="s">
        <v>28</v>
      </c>
      <c r="K917" t="s">
        <v>32</v>
      </c>
      <c r="L917" s="35">
        <v>11.34</v>
      </c>
      <c r="M917" s="6" t="s">
        <v>29</v>
      </c>
      <c r="N917" s="6">
        <v>3105</v>
      </c>
      <c r="P917" s="18"/>
      <c r="Q917" s="17"/>
      <c r="R917" s="19">
        <v>11.34</v>
      </c>
      <c r="S917" s="19">
        <v>11.34</v>
      </c>
      <c r="T917" s="38">
        <v>1</v>
      </c>
      <c r="U917" s="38"/>
      <c r="V917" s="29">
        <v>11.34</v>
      </c>
      <c r="W917" s="35">
        <v>27.36</v>
      </c>
      <c r="X917" s="32">
        <f t="shared" si="154"/>
        <v>11.34</v>
      </c>
      <c r="Y917" s="32">
        <f t="shared" si="155"/>
        <v>11.34</v>
      </c>
      <c r="Z917" s="32">
        <f t="shared" si="156"/>
        <v>0</v>
      </c>
      <c r="AA917" s="38">
        <v>1</v>
      </c>
      <c r="AB917" s="37">
        <f>IFERROR(VLOOKUP(A917,'Tash Lookup'!A:E,3,FALSE),"")</f>
        <v>11.34</v>
      </c>
      <c r="AC917" s="6">
        <f t="shared" si="157"/>
        <v>0</v>
      </c>
      <c r="AD917" s="2" t="s">
        <v>6703</v>
      </c>
      <c r="AF917" s="56">
        <v>12.18</v>
      </c>
      <c r="AG917" s="56">
        <f>VLOOKUP(A917,Sheet1!$A$2:$C$1140,3,FALSE)</f>
        <v>12.54</v>
      </c>
      <c r="AH917" s="58">
        <v>12.54</v>
      </c>
      <c r="AI917" s="56" t="str">
        <f t="shared" si="158"/>
        <v>Increase</v>
      </c>
      <c r="AJ917" s="81">
        <f t="shared" si="162"/>
        <v>12.18</v>
      </c>
      <c r="AK917" s="81">
        <f t="shared" si="163"/>
        <v>12.54</v>
      </c>
      <c r="AL917" s="58" t="s">
        <v>32</v>
      </c>
      <c r="AM917" s="58" t="s">
        <v>6703</v>
      </c>
      <c r="AN917" s="75">
        <v>1</v>
      </c>
      <c r="AO917" s="88">
        <v>12.54</v>
      </c>
      <c r="AP917" s="6" t="str">
        <f t="shared" si="159"/>
        <v>Increase</v>
      </c>
      <c r="AQ917" s="81">
        <f t="shared" si="160"/>
        <v>12.18</v>
      </c>
      <c r="AR917" s="81">
        <f t="shared" si="161"/>
        <v>12.54</v>
      </c>
      <c r="AS917" s="81">
        <f t="shared" si="164"/>
        <v>0.35999999999999943</v>
      </c>
    </row>
    <row r="918" spans="1:45" hidden="1" x14ac:dyDescent="0.3">
      <c r="A918">
        <v>6188854</v>
      </c>
      <c r="B918" s="15" t="s">
        <v>6254</v>
      </c>
      <c r="C918" s="16" t="s">
        <v>30</v>
      </c>
      <c r="D918" s="6" t="s">
        <v>31</v>
      </c>
      <c r="E918" t="s">
        <v>842</v>
      </c>
      <c r="F918" t="s">
        <v>842</v>
      </c>
      <c r="H918" s="11" t="s">
        <v>27</v>
      </c>
      <c r="I918" s="6" t="s">
        <v>28</v>
      </c>
      <c r="J918" s="6" t="s">
        <v>28</v>
      </c>
      <c r="K918" t="s">
        <v>32</v>
      </c>
      <c r="L918" s="35">
        <v>6.28</v>
      </c>
      <c r="M918" s="6" t="s">
        <v>29</v>
      </c>
      <c r="N918" s="6">
        <v>3105</v>
      </c>
      <c r="P918" s="18"/>
      <c r="Q918" s="17"/>
      <c r="R918" s="19">
        <v>6.6</v>
      </c>
      <c r="S918" s="19">
        <v>0</v>
      </c>
      <c r="T918" s="38">
        <v>0</v>
      </c>
      <c r="U918" s="38"/>
      <c r="V918" s="30">
        <v>6.6</v>
      </c>
      <c r="W918" s="35">
        <v>6.28</v>
      </c>
      <c r="X918" s="32">
        <f t="shared" si="154"/>
        <v>0</v>
      </c>
      <c r="Y918" s="32">
        <f t="shared" si="155"/>
        <v>0</v>
      </c>
      <c r="Z918" s="32">
        <f t="shared" si="156"/>
        <v>0</v>
      </c>
      <c r="AA918" s="38">
        <v>0</v>
      </c>
      <c r="AB918" s="37">
        <f>IFERROR(VLOOKUP(A918,'Tash Lookup'!A:E,3,FALSE),"")</f>
        <v>0</v>
      </c>
      <c r="AC918" s="6">
        <f t="shared" si="157"/>
        <v>0</v>
      </c>
      <c r="AD918" s="2" t="s">
        <v>6703</v>
      </c>
      <c r="AF918" s="56">
        <v>6.6</v>
      </c>
      <c r="AG918" s="56">
        <f>VLOOKUP(A918,Sheet1!$A$2:$C$1140,3,FALSE)</f>
        <v>6.73</v>
      </c>
      <c r="AH918" s="58">
        <v>6.73</v>
      </c>
      <c r="AI918" s="56" t="str">
        <f t="shared" si="158"/>
        <v>Increase</v>
      </c>
      <c r="AJ918" s="81">
        <f t="shared" si="162"/>
        <v>0</v>
      </c>
      <c r="AK918" s="81">
        <f t="shared" si="163"/>
        <v>0</v>
      </c>
      <c r="AL918" s="58" t="s">
        <v>7206</v>
      </c>
      <c r="AM918" s="58" t="s">
        <v>6703</v>
      </c>
      <c r="AN918" s="75">
        <v>2</v>
      </c>
      <c r="AO918" s="88">
        <v>6.73</v>
      </c>
      <c r="AP918" s="6" t="str">
        <f t="shared" si="159"/>
        <v>Increase</v>
      </c>
      <c r="AQ918" s="81">
        <f t="shared" si="160"/>
        <v>13.2</v>
      </c>
      <c r="AR918" s="81">
        <f t="shared" si="161"/>
        <v>13.46</v>
      </c>
      <c r="AS918" s="81">
        <f t="shared" si="164"/>
        <v>0.26000000000000156</v>
      </c>
    </row>
    <row r="919" spans="1:45" hidden="1" x14ac:dyDescent="0.3">
      <c r="A919">
        <v>5180702</v>
      </c>
      <c r="B919" s="15" t="s">
        <v>6255</v>
      </c>
      <c r="C919" s="16" t="s">
        <v>30</v>
      </c>
      <c r="D919" s="6" t="s">
        <v>31</v>
      </c>
      <c r="E919" t="s">
        <v>607</v>
      </c>
      <c r="F919" t="s">
        <v>607</v>
      </c>
      <c r="H919" s="11" t="s">
        <v>27</v>
      </c>
      <c r="I919" s="6" t="s">
        <v>28</v>
      </c>
      <c r="J919" s="6" t="s">
        <v>28</v>
      </c>
      <c r="K919" t="s">
        <v>32</v>
      </c>
      <c r="L919" s="35">
        <v>61.05</v>
      </c>
      <c r="M919" s="6" t="s">
        <v>29</v>
      </c>
      <c r="N919" s="6">
        <v>3105</v>
      </c>
      <c r="P919" s="18"/>
      <c r="Q919" s="17"/>
      <c r="R919" s="19">
        <v>58</v>
      </c>
      <c r="S919" s="19">
        <v>0</v>
      </c>
      <c r="T919" s="38">
        <v>0</v>
      </c>
      <c r="U919" s="38"/>
      <c r="V919" s="29">
        <v>61.05</v>
      </c>
      <c r="W919" s="35">
        <v>61.05</v>
      </c>
      <c r="X919" s="32">
        <f t="shared" si="154"/>
        <v>0</v>
      </c>
      <c r="Y919" s="32">
        <f t="shared" si="155"/>
        <v>0</v>
      </c>
      <c r="Z919" s="32">
        <f t="shared" si="156"/>
        <v>0</v>
      </c>
      <c r="AA919" s="38">
        <v>0</v>
      </c>
      <c r="AB919" s="37">
        <f>IFERROR(VLOOKUP(A919,'Tash Lookup'!A:E,3,FALSE),"")</f>
        <v>0</v>
      </c>
      <c r="AC919" s="6">
        <f t="shared" si="157"/>
        <v>0</v>
      </c>
      <c r="AD919" s="2" t="s">
        <v>6703</v>
      </c>
      <c r="AF919" s="56">
        <v>68.44</v>
      </c>
      <c r="AG919" s="56">
        <f>VLOOKUP(A919,Sheet1!$A$2:$C$1140,3,FALSE)</f>
        <v>70.489999999999995</v>
      </c>
      <c r="AH919" s="58">
        <v>70.489999999999995</v>
      </c>
      <c r="AI919" s="56" t="str">
        <f t="shared" si="158"/>
        <v>Increase</v>
      </c>
      <c r="AJ919" s="81">
        <f t="shared" si="162"/>
        <v>0</v>
      </c>
      <c r="AK919" s="81">
        <f t="shared" si="163"/>
        <v>0</v>
      </c>
      <c r="AL919" s="58" t="s">
        <v>32</v>
      </c>
      <c r="AM919" s="58" t="s">
        <v>6703</v>
      </c>
      <c r="AN919" s="75">
        <v>1</v>
      </c>
      <c r="AO919" s="88">
        <v>70.489999999999995</v>
      </c>
      <c r="AP919" s="6" t="str">
        <f t="shared" si="159"/>
        <v>Increase</v>
      </c>
      <c r="AQ919" s="81">
        <f t="shared" si="160"/>
        <v>68.44</v>
      </c>
      <c r="AR919" s="81">
        <f t="shared" si="161"/>
        <v>70.489999999999995</v>
      </c>
      <c r="AS919" s="81">
        <f t="shared" si="164"/>
        <v>2.0499999999999972</v>
      </c>
    </row>
    <row r="920" spans="1:45" hidden="1" x14ac:dyDescent="0.3">
      <c r="A920">
        <v>5180483</v>
      </c>
      <c r="B920" s="15" t="s">
        <v>6256</v>
      </c>
      <c r="C920" s="16" t="s">
        <v>30</v>
      </c>
      <c r="D920" s="6" t="s">
        <v>31</v>
      </c>
      <c r="E920" t="s">
        <v>623</v>
      </c>
      <c r="F920" t="s">
        <v>623</v>
      </c>
      <c r="H920" s="11" t="s">
        <v>27</v>
      </c>
      <c r="I920" s="6" t="s">
        <v>28</v>
      </c>
      <c r="J920" s="6" t="s">
        <v>28</v>
      </c>
      <c r="K920" t="s">
        <v>32</v>
      </c>
      <c r="L920" s="35">
        <v>18.23</v>
      </c>
      <c r="M920" s="6" t="s">
        <v>29</v>
      </c>
      <c r="N920" s="6">
        <v>3105</v>
      </c>
      <c r="P920" s="18"/>
      <c r="Q920" s="17"/>
      <c r="R920" s="19">
        <v>18.23</v>
      </c>
      <c r="S920" s="19">
        <v>18.23</v>
      </c>
      <c r="T920" s="38">
        <v>0</v>
      </c>
      <c r="U920" s="38"/>
      <c r="V920" s="29">
        <v>18.23</v>
      </c>
      <c r="W920" s="35">
        <v>18.23</v>
      </c>
      <c r="X920" s="32">
        <f t="shared" si="154"/>
        <v>0</v>
      </c>
      <c r="Y920" s="32">
        <f t="shared" si="155"/>
        <v>0</v>
      </c>
      <c r="Z920" s="32">
        <f t="shared" si="156"/>
        <v>0</v>
      </c>
      <c r="AA920" s="38">
        <v>0</v>
      </c>
      <c r="AB920" s="37">
        <f>IFERROR(VLOOKUP(A920,'Tash Lookup'!A:E,3,FALSE),"")</f>
        <v>0</v>
      </c>
      <c r="AC920" s="6">
        <f t="shared" si="157"/>
        <v>0</v>
      </c>
      <c r="AD920" s="2" t="s">
        <v>6703</v>
      </c>
      <c r="AF920" s="56">
        <v>19.170000000000002</v>
      </c>
      <c r="AG920" s="56">
        <f>VLOOKUP(A920,Sheet1!$A$2:$C$1140,3,FALSE)</f>
        <v>19.75</v>
      </c>
      <c r="AH920" s="58">
        <v>19.75</v>
      </c>
      <c r="AI920" s="56" t="str">
        <f t="shared" si="158"/>
        <v>Increase</v>
      </c>
      <c r="AJ920" s="81">
        <f t="shared" si="162"/>
        <v>0</v>
      </c>
      <c r="AK920" s="81">
        <f t="shared" si="163"/>
        <v>0</v>
      </c>
      <c r="AL920" s="58" t="s">
        <v>32</v>
      </c>
      <c r="AM920" s="58" t="s">
        <v>6703</v>
      </c>
      <c r="AN920" s="75">
        <v>0</v>
      </c>
      <c r="AO920" s="88">
        <v>19.75</v>
      </c>
      <c r="AP920" s="6" t="str">
        <f t="shared" si="159"/>
        <v>Increase</v>
      </c>
      <c r="AQ920" s="81">
        <f t="shared" si="160"/>
        <v>0</v>
      </c>
      <c r="AR920" s="81">
        <f t="shared" si="161"/>
        <v>0</v>
      </c>
      <c r="AS920" s="81">
        <f t="shared" si="164"/>
        <v>0</v>
      </c>
    </row>
    <row r="921" spans="1:45" hidden="1" x14ac:dyDescent="0.3">
      <c r="A921">
        <v>5218566</v>
      </c>
      <c r="B921" s="15" t="s">
        <v>6257</v>
      </c>
      <c r="C921" s="16" t="s">
        <v>30</v>
      </c>
      <c r="D921" s="6" t="s">
        <v>31</v>
      </c>
      <c r="E921" t="s">
        <v>241</v>
      </c>
      <c r="F921" t="s">
        <v>241</v>
      </c>
      <c r="H921" s="11" t="s">
        <v>27</v>
      </c>
      <c r="I921" s="6" t="s">
        <v>28</v>
      </c>
      <c r="J921" s="6" t="s">
        <v>28</v>
      </c>
      <c r="K921" t="s">
        <v>32</v>
      </c>
      <c r="L921" s="35">
        <v>40.85</v>
      </c>
      <c r="M921" s="6" t="s">
        <v>29</v>
      </c>
      <c r="N921" s="6">
        <v>3105</v>
      </c>
      <c r="P921" s="18"/>
      <c r="Q921" s="17"/>
      <c r="R921" s="19">
        <v>44.93</v>
      </c>
      <c r="S921" s="19">
        <v>44.93</v>
      </c>
      <c r="T921" s="38">
        <v>0</v>
      </c>
      <c r="U921" s="38"/>
      <c r="V921" s="29">
        <v>44.93</v>
      </c>
      <c r="W921" s="35">
        <v>40.85</v>
      </c>
      <c r="X921" s="32">
        <f t="shared" si="154"/>
        <v>0</v>
      </c>
      <c r="Y921" s="32">
        <f t="shared" si="155"/>
        <v>0</v>
      </c>
      <c r="Z921" s="32">
        <f t="shared" si="156"/>
        <v>0</v>
      </c>
      <c r="AA921" s="38" t="s">
        <v>2573</v>
      </c>
      <c r="AB921" s="37" t="str">
        <f>IFERROR(VLOOKUP(A921,'Tash Lookup'!A:E,3,FALSE),"")</f>
        <v/>
      </c>
      <c r="AC921" s="6" t="str">
        <f t="shared" si="157"/>
        <v/>
      </c>
      <c r="AD921" s="2" t="s">
        <v>6703</v>
      </c>
      <c r="AF921" s="56">
        <v>47.71</v>
      </c>
      <c r="AG921" s="56">
        <f>VLOOKUP(A921,Sheet1!$A$2:$C$1140,3,FALSE)</f>
        <v>49.14</v>
      </c>
      <c r="AH921" s="58">
        <v>49.14</v>
      </c>
      <c r="AI921" s="56" t="str">
        <f t="shared" si="158"/>
        <v>Increase</v>
      </c>
      <c r="AJ921" s="81">
        <f t="shared" si="162"/>
        <v>0</v>
      </c>
      <c r="AK921" s="81">
        <f t="shared" si="163"/>
        <v>0</v>
      </c>
      <c r="AL921" s="58" t="s">
        <v>32</v>
      </c>
      <c r="AM921" s="58" t="s">
        <v>6703</v>
      </c>
      <c r="AN921" s="75">
        <v>0</v>
      </c>
      <c r="AO921" s="88">
        <v>49.14</v>
      </c>
      <c r="AP921" s="6" t="str">
        <f t="shared" si="159"/>
        <v>Increase</v>
      </c>
      <c r="AQ921" s="81">
        <f t="shared" si="160"/>
        <v>0</v>
      </c>
      <c r="AR921" s="81">
        <f t="shared" si="161"/>
        <v>0</v>
      </c>
      <c r="AS921" s="81">
        <f t="shared" si="164"/>
        <v>0</v>
      </c>
    </row>
    <row r="922" spans="1:45" hidden="1" x14ac:dyDescent="0.3">
      <c r="A922">
        <v>5218585</v>
      </c>
      <c r="B922" s="15" t="s">
        <v>6258</v>
      </c>
      <c r="C922" s="16" t="s">
        <v>30</v>
      </c>
      <c r="D922" s="6" t="s">
        <v>31</v>
      </c>
      <c r="E922" t="s">
        <v>81</v>
      </c>
      <c r="F922" t="s">
        <v>81</v>
      </c>
      <c r="H922" s="11" t="s">
        <v>27</v>
      </c>
      <c r="I922" s="6" t="s">
        <v>28</v>
      </c>
      <c r="J922" s="6" t="s">
        <v>28</v>
      </c>
      <c r="K922" t="s">
        <v>32</v>
      </c>
      <c r="L922" s="35">
        <v>26.2</v>
      </c>
      <c r="M922" s="6" t="s">
        <v>29</v>
      </c>
      <c r="N922" s="6">
        <v>3105</v>
      </c>
      <c r="P922" s="18"/>
      <c r="Q922" s="17"/>
      <c r="R922" s="19">
        <v>27.04</v>
      </c>
      <c r="S922" s="19">
        <v>27.04</v>
      </c>
      <c r="T922" s="38">
        <v>0</v>
      </c>
      <c r="U922" s="38"/>
      <c r="V922" s="29">
        <v>27.04</v>
      </c>
      <c r="W922" s="35">
        <v>26.2</v>
      </c>
      <c r="X922" s="32">
        <f t="shared" si="154"/>
        <v>0</v>
      </c>
      <c r="Y922" s="32">
        <f t="shared" si="155"/>
        <v>0</v>
      </c>
      <c r="Z922" s="32">
        <f t="shared" si="156"/>
        <v>0</v>
      </c>
      <c r="AA922" s="38" t="s">
        <v>2573</v>
      </c>
      <c r="AB922" s="37" t="str">
        <f>IFERROR(VLOOKUP(A922,'Tash Lookup'!A:E,3,FALSE),"")</f>
        <v/>
      </c>
      <c r="AC922" s="6" t="str">
        <f t="shared" si="157"/>
        <v/>
      </c>
      <c r="AD922" s="2" t="s">
        <v>6703</v>
      </c>
      <c r="AF922" s="56">
        <v>24.61</v>
      </c>
      <c r="AG922" s="56">
        <f>VLOOKUP(A922,Sheet1!$A$2:$C$1140,3,FALSE)</f>
        <v>24.61</v>
      </c>
      <c r="AH922" s="58">
        <v>24.61</v>
      </c>
      <c r="AI922" s="56" t="str">
        <f t="shared" si="158"/>
        <v>Same</v>
      </c>
      <c r="AJ922" s="81">
        <f t="shared" si="162"/>
        <v>0</v>
      </c>
      <c r="AK922" s="81">
        <f t="shared" si="163"/>
        <v>0</v>
      </c>
      <c r="AL922" s="58" t="s">
        <v>32</v>
      </c>
      <c r="AM922" s="58" t="s">
        <v>6703</v>
      </c>
      <c r="AN922" s="75">
        <v>0</v>
      </c>
      <c r="AO922" s="88">
        <v>24.61</v>
      </c>
      <c r="AP922" s="6" t="str">
        <f t="shared" si="159"/>
        <v>Same</v>
      </c>
      <c r="AQ922" s="81">
        <f t="shared" si="160"/>
        <v>0</v>
      </c>
      <c r="AR922" s="81">
        <f t="shared" si="161"/>
        <v>0</v>
      </c>
      <c r="AS922" s="81">
        <f t="shared" si="164"/>
        <v>0</v>
      </c>
    </row>
    <row r="923" spans="1:45" hidden="1" x14ac:dyDescent="0.3">
      <c r="A923">
        <v>5218589</v>
      </c>
      <c r="B923" s="15" t="s">
        <v>6259</v>
      </c>
      <c r="C923" s="16" t="s">
        <v>30</v>
      </c>
      <c r="D923" s="6" t="s">
        <v>31</v>
      </c>
      <c r="E923" t="s">
        <v>245</v>
      </c>
      <c r="F923" t="s">
        <v>245</v>
      </c>
      <c r="H923" s="11" t="s">
        <v>27</v>
      </c>
      <c r="I923" s="6" t="s">
        <v>28</v>
      </c>
      <c r="J923" s="6" t="s">
        <v>28</v>
      </c>
      <c r="K923" t="s">
        <v>32</v>
      </c>
      <c r="L923" s="29">
        <v>19.920000000000002</v>
      </c>
      <c r="M923" s="6" t="s">
        <v>29</v>
      </c>
      <c r="N923" s="6">
        <v>3105</v>
      </c>
      <c r="P923" s="18"/>
      <c r="Q923" s="17"/>
      <c r="R923" s="19">
        <v>19.920000000000002</v>
      </c>
      <c r="S923" s="19">
        <v>19.920000000000002</v>
      </c>
      <c r="T923" s="38">
        <v>0</v>
      </c>
      <c r="U923" s="38"/>
      <c r="V923" s="29">
        <v>19.920000000000002</v>
      </c>
      <c r="W923" s="46">
        <v>19.920000000000002</v>
      </c>
      <c r="X923" s="32">
        <f t="shared" si="154"/>
        <v>0</v>
      </c>
      <c r="Y923" s="32">
        <f t="shared" si="155"/>
        <v>0</v>
      </c>
      <c r="Z923" s="32">
        <f t="shared" si="156"/>
        <v>0</v>
      </c>
      <c r="AA923" s="38" t="s">
        <v>2573</v>
      </c>
      <c r="AB923" s="37" t="str">
        <f>IFERROR(VLOOKUP(A923,'Tash Lookup'!A:E,3,FALSE),"")</f>
        <v/>
      </c>
      <c r="AC923" s="6" t="str">
        <f t="shared" si="157"/>
        <v/>
      </c>
      <c r="AD923" s="2" t="s">
        <v>6711</v>
      </c>
      <c r="AE923" s="2" t="s">
        <v>6701</v>
      </c>
      <c r="AF923" s="56">
        <v>19.920000000000002</v>
      </c>
      <c r="AG923" s="56" t="e">
        <f>VLOOKUP(A923,Sheet1!$A$2:$C$1140,3,FALSE)</f>
        <v>#N/A</v>
      </c>
      <c r="AH923" s="58" t="e">
        <v>#N/A</v>
      </c>
      <c r="AI923" s="56" t="str">
        <f t="shared" si="158"/>
        <v>Delete</v>
      </c>
      <c r="AJ923" s="81">
        <f t="shared" si="162"/>
        <v>0</v>
      </c>
      <c r="AK923" s="81">
        <f t="shared" si="163"/>
        <v>0</v>
      </c>
      <c r="AL923" s="58" t="s">
        <v>32</v>
      </c>
      <c r="AM923" s="58" t="s">
        <v>6711</v>
      </c>
      <c r="AN923" s="75">
        <v>0</v>
      </c>
      <c r="AO923" s="88">
        <v>19.920000000000002</v>
      </c>
      <c r="AP923" s="6" t="str">
        <f t="shared" si="159"/>
        <v>Delete</v>
      </c>
      <c r="AQ923" s="81">
        <f t="shared" si="160"/>
        <v>0</v>
      </c>
      <c r="AR923" s="81">
        <f t="shared" si="161"/>
        <v>0</v>
      </c>
      <c r="AS923" s="81">
        <f t="shared" si="164"/>
        <v>0</v>
      </c>
    </row>
    <row r="924" spans="1:45" hidden="1" x14ac:dyDescent="0.3">
      <c r="A924">
        <v>5218609</v>
      </c>
      <c r="B924" s="15" t="s">
        <v>6260</v>
      </c>
      <c r="C924" s="16" t="s">
        <v>30</v>
      </c>
      <c r="D924" s="6" t="s">
        <v>31</v>
      </c>
      <c r="E924" t="s">
        <v>248</v>
      </c>
      <c r="F924" t="s">
        <v>248</v>
      </c>
      <c r="H924" s="11" t="s">
        <v>27</v>
      </c>
      <c r="I924" s="6" t="s">
        <v>28</v>
      </c>
      <c r="J924" s="6" t="s">
        <v>28</v>
      </c>
      <c r="K924" t="s">
        <v>32</v>
      </c>
      <c r="L924" s="29">
        <v>28.47</v>
      </c>
      <c r="M924" s="6" t="s">
        <v>29</v>
      </c>
      <c r="N924" s="6">
        <v>3105</v>
      </c>
      <c r="P924" s="18"/>
      <c r="Q924" s="17"/>
      <c r="R924" s="19">
        <v>28.47</v>
      </c>
      <c r="S924" s="19">
        <v>28.47</v>
      </c>
      <c r="T924" s="38">
        <v>0</v>
      </c>
      <c r="U924" s="38"/>
      <c r="V924" s="29">
        <v>28.47</v>
      </c>
      <c r="W924" s="46">
        <v>28.47</v>
      </c>
      <c r="X924" s="32">
        <f t="shared" si="154"/>
        <v>0</v>
      </c>
      <c r="Y924" s="32">
        <f t="shared" si="155"/>
        <v>0</v>
      </c>
      <c r="Z924" s="32">
        <f t="shared" si="156"/>
        <v>0</v>
      </c>
      <c r="AA924" s="38" t="s">
        <v>2573</v>
      </c>
      <c r="AB924" s="37" t="str">
        <f>IFERROR(VLOOKUP(A924,'Tash Lookup'!A:E,3,FALSE),"")</f>
        <v/>
      </c>
      <c r="AC924" s="6" t="str">
        <f t="shared" si="157"/>
        <v/>
      </c>
      <c r="AD924" s="2" t="s">
        <v>6703</v>
      </c>
      <c r="AF924" s="56">
        <v>28.95</v>
      </c>
      <c r="AG924" s="56">
        <f>VLOOKUP(A924,Sheet1!$A$2:$C$1140,3,FALSE)</f>
        <v>29.82</v>
      </c>
      <c r="AH924" s="58">
        <v>29.82</v>
      </c>
      <c r="AI924" s="56" t="str">
        <f t="shared" si="158"/>
        <v>Increase</v>
      </c>
      <c r="AJ924" s="81">
        <f t="shared" si="162"/>
        <v>0</v>
      </c>
      <c r="AK924" s="81">
        <f t="shared" si="163"/>
        <v>0</v>
      </c>
      <c r="AL924" s="58" t="s">
        <v>32</v>
      </c>
      <c r="AM924" s="58" t="s">
        <v>6703</v>
      </c>
      <c r="AN924" s="75">
        <v>13</v>
      </c>
      <c r="AO924" s="88">
        <v>29.82</v>
      </c>
      <c r="AP924" s="6" t="str">
        <f t="shared" si="159"/>
        <v>Increase</v>
      </c>
      <c r="AQ924" s="81">
        <f t="shared" si="160"/>
        <v>376.34999999999997</v>
      </c>
      <c r="AR924" s="81">
        <f t="shared" si="161"/>
        <v>387.66</v>
      </c>
      <c r="AS924" s="81">
        <f t="shared" si="164"/>
        <v>11.310000000000059</v>
      </c>
    </row>
    <row r="925" spans="1:45" hidden="1" x14ac:dyDescent="0.3">
      <c r="A925">
        <v>5218673</v>
      </c>
      <c r="B925" s="15" t="s">
        <v>6261</v>
      </c>
      <c r="C925" s="16" t="s">
        <v>30</v>
      </c>
      <c r="D925" s="6" t="s">
        <v>31</v>
      </c>
      <c r="E925" t="s">
        <v>89</v>
      </c>
      <c r="F925" t="s">
        <v>89</v>
      </c>
      <c r="H925" s="11" t="s">
        <v>27</v>
      </c>
      <c r="I925" s="6" t="s">
        <v>28</v>
      </c>
      <c r="J925" s="6" t="s">
        <v>28</v>
      </c>
      <c r="K925" t="s">
        <v>32</v>
      </c>
      <c r="L925" s="29">
        <v>19.98</v>
      </c>
      <c r="M925" s="6" t="s">
        <v>29</v>
      </c>
      <c r="N925" s="6">
        <v>3105</v>
      </c>
      <c r="P925" s="18"/>
      <c r="Q925" s="17"/>
      <c r="R925" s="19">
        <v>19.98</v>
      </c>
      <c r="S925" s="19">
        <v>19.98</v>
      </c>
      <c r="T925" s="38">
        <v>0</v>
      </c>
      <c r="U925" s="38"/>
      <c r="V925" s="29">
        <v>19.98</v>
      </c>
      <c r="W925" s="46">
        <v>19.98</v>
      </c>
      <c r="X925" s="32">
        <f t="shared" si="154"/>
        <v>0</v>
      </c>
      <c r="Y925" s="32">
        <f t="shared" si="155"/>
        <v>0</v>
      </c>
      <c r="Z925" s="32">
        <f t="shared" si="156"/>
        <v>0</v>
      </c>
      <c r="AA925" s="38" t="s">
        <v>2573</v>
      </c>
      <c r="AB925" s="37" t="str">
        <f>IFERROR(VLOOKUP(A925,'Tash Lookup'!A:E,3,FALSE),"")</f>
        <v/>
      </c>
      <c r="AC925" s="6" t="str">
        <f t="shared" si="157"/>
        <v/>
      </c>
      <c r="AD925" s="2" t="s">
        <v>6703</v>
      </c>
      <c r="AF925" s="56">
        <v>21.56</v>
      </c>
      <c r="AG925" s="56">
        <f>VLOOKUP(A925,Sheet1!$A$2:$C$1140,3,FALSE)</f>
        <v>21.56</v>
      </c>
      <c r="AH925" s="58">
        <v>21.56</v>
      </c>
      <c r="AI925" s="56" t="str">
        <f t="shared" si="158"/>
        <v>Same</v>
      </c>
      <c r="AJ925" s="81">
        <f t="shared" si="162"/>
        <v>0</v>
      </c>
      <c r="AK925" s="81">
        <f t="shared" si="163"/>
        <v>0</v>
      </c>
      <c r="AL925" s="58" t="s">
        <v>32</v>
      </c>
      <c r="AM925" s="58" t="s">
        <v>6703</v>
      </c>
      <c r="AN925" s="75">
        <v>0</v>
      </c>
      <c r="AO925" s="88">
        <v>21.56</v>
      </c>
      <c r="AP925" s="6" t="str">
        <f t="shared" si="159"/>
        <v>Same</v>
      </c>
      <c r="AQ925" s="81">
        <f t="shared" si="160"/>
        <v>0</v>
      </c>
      <c r="AR925" s="81">
        <f t="shared" si="161"/>
        <v>0</v>
      </c>
      <c r="AS925" s="81">
        <f t="shared" si="164"/>
        <v>0</v>
      </c>
    </row>
    <row r="926" spans="1:45" hidden="1" x14ac:dyDescent="0.3">
      <c r="A926">
        <v>5219326</v>
      </c>
      <c r="B926" s="15" t="s">
        <v>6262</v>
      </c>
      <c r="C926" s="16" t="s">
        <v>30</v>
      </c>
      <c r="D926" s="6" t="s">
        <v>31</v>
      </c>
      <c r="E926" t="s">
        <v>295</v>
      </c>
      <c r="F926" t="s">
        <v>295</v>
      </c>
      <c r="H926" s="11" t="s">
        <v>27</v>
      </c>
      <c r="I926" s="6" t="s">
        <v>28</v>
      </c>
      <c r="J926" s="6" t="s">
        <v>28</v>
      </c>
      <c r="K926" t="s">
        <v>32</v>
      </c>
      <c r="L926" s="29">
        <v>15.71</v>
      </c>
      <c r="M926" s="6" t="s">
        <v>29</v>
      </c>
      <c r="N926" s="6">
        <v>3105</v>
      </c>
      <c r="P926" s="18"/>
      <c r="Q926" s="17"/>
      <c r="R926" s="19">
        <v>15.71</v>
      </c>
      <c r="S926" s="19">
        <v>15.71</v>
      </c>
      <c r="T926" s="38">
        <v>0</v>
      </c>
      <c r="U926" s="38"/>
      <c r="V926" s="29">
        <v>15.71</v>
      </c>
      <c r="W926" s="46">
        <v>15.71</v>
      </c>
      <c r="X926" s="32">
        <f t="shared" si="154"/>
        <v>0</v>
      </c>
      <c r="Y926" s="32">
        <f t="shared" si="155"/>
        <v>0</v>
      </c>
      <c r="Z926" s="32">
        <f t="shared" si="156"/>
        <v>0</v>
      </c>
      <c r="AA926" s="38" t="s">
        <v>2573</v>
      </c>
      <c r="AB926" s="37" t="str">
        <f>IFERROR(VLOOKUP(A926,'Tash Lookup'!A:E,3,FALSE),"")</f>
        <v/>
      </c>
      <c r="AC926" s="6" t="str">
        <f t="shared" si="157"/>
        <v/>
      </c>
      <c r="AD926" s="2" t="s">
        <v>6703</v>
      </c>
      <c r="AF926" s="56">
        <v>16.55</v>
      </c>
      <c r="AG926" s="56">
        <f>VLOOKUP(A926,Sheet1!$A$2:$C$1140,3,FALSE)</f>
        <v>17.04</v>
      </c>
      <c r="AH926" s="58">
        <v>17.04</v>
      </c>
      <c r="AI926" s="56" t="str">
        <f t="shared" si="158"/>
        <v>Increase</v>
      </c>
      <c r="AJ926" s="81">
        <f t="shared" si="162"/>
        <v>0</v>
      </c>
      <c r="AK926" s="81">
        <f t="shared" si="163"/>
        <v>0</v>
      </c>
      <c r="AL926" s="58" t="s">
        <v>32</v>
      </c>
      <c r="AM926" s="58" t="s">
        <v>6703</v>
      </c>
      <c r="AN926" s="75">
        <v>0</v>
      </c>
      <c r="AO926" s="88">
        <v>17.04</v>
      </c>
      <c r="AP926" s="6" t="str">
        <f t="shared" si="159"/>
        <v>Increase</v>
      </c>
      <c r="AQ926" s="81">
        <f t="shared" si="160"/>
        <v>0</v>
      </c>
      <c r="AR926" s="81">
        <f t="shared" si="161"/>
        <v>0</v>
      </c>
      <c r="AS926" s="81">
        <f t="shared" si="164"/>
        <v>0</v>
      </c>
    </row>
    <row r="927" spans="1:45" hidden="1" x14ac:dyDescent="0.3">
      <c r="A927">
        <v>5219328</v>
      </c>
      <c r="B927" s="15" t="s">
        <v>6263</v>
      </c>
      <c r="C927" s="16" t="s">
        <v>30</v>
      </c>
      <c r="D927" s="6" t="s">
        <v>31</v>
      </c>
      <c r="E927" t="s">
        <v>301</v>
      </c>
      <c r="F927" t="s">
        <v>301</v>
      </c>
      <c r="H927" s="11" t="s">
        <v>27</v>
      </c>
      <c r="I927" s="6" t="s">
        <v>28</v>
      </c>
      <c r="J927" s="6" t="s">
        <v>28</v>
      </c>
      <c r="K927" t="s">
        <v>32</v>
      </c>
      <c r="L927" s="29">
        <v>16.39</v>
      </c>
      <c r="M927" s="6" t="s">
        <v>29</v>
      </c>
      <c r="N927" s="6">
        <v>3105</v>
      </c>
      <c r="P927" s="18"/>
      <c r="Q927" s="17"/>
      <c r="R927" s="19">
        <v>16.39</v>
      </c>
      <c r="S927" s="19">
        <v>16.39</v>
      </c>
      <c r="T927" s="38">
        <v>0</v>
      </c>
      <c r="U927" s="38"/>
      <c r="V927" s="29">
        <v>16.39</v>
      </c>
      <c r="W927" s="46">
        <v>16.39</v>
      </c>
      <c r="X927" s="32">
        <f t="shared" si="154"/>
        <v>0</v>
      </c>
      <c r="Y927" s="32">
        <f t="shared" si="155"/>
        <v>0</v>
      </c>
      <c r="Z927" s="32">
        <f t="shared" si="156"/>
        <v>0</v>
      </c>
      <c r="AA927" s="38" t="s">
        <v>2573</v>
      </c>
      <c r="AB927" s="37" t="str">
        <f>IFERROR(VLOOKUP(A927,'Tash Lookup'!A:E,3,FALSE),"")</f>
        <v/>
      </c>
      <c r="AC927" s="6" t="str">
        <f t="shared" si="157"/>
        <v/>
      </c>
      <c r="AD927" s="2" t="s">
        <v>6703</v>
      </c>
      <c r="AF927" s="56">
        <v>16.54</v>
      </c>
      <c r="AG927" s="56">
        <f>VLOOKUP(A927,Sheet1!$A$2:$C$1140,3,FALSE)</f>
        <v>17.04</v>
      </c>
      <c r="AH927" s="58">
        <v>17.04</v>
      </c>
      <c r="AI927" s="56" t="str">
        <f t="shared" si="158"/>
        <v>Increase</v>
      </c>
      <c r="AJ927" s="81">
        <f t="shared" si="162"/>
        <v>0</v>
      </c>
      <c r="AK927" s="81">
        <f t="shared" si="163"/>
        <v>0</v>
      </c>
      <c r="AL927" s="58" t="s">
        <v>32</v>
      </c>
      <c r="AM927" s="58" t="s">
        <v>6703</v>
      </c>
      <c r="AN927" s="75">
        <v>0</v>
      </c>
      <c r="AO927" s="88">
        <v>17.04</v>
      </c>
      <c r="AP927" s="6" t="str">
        <f t="shared" si="159"/>
        <v>Increase</v>
      </c>
      <c r="AQ927" s="81">
        <f t="shared" si="160"/>
        <v>0</v>
      </c>
      <c r="AR927" s="81">
        <f t="shared" si="161"/>
        <v>0</v>
      </c>
      <c r="AS927" s="81">
        <f t="shared" si="164"/>
        <v>0</v>
      </c>
    </row>
    <row r="928" spans="1:45" hidden="1" x14ac:dyDescent="0.3">
      <c r="A928">
        <v>5218700</v>
      </c>
      <c r="B928" s="15" t="s">
        <v>6264</v>
      </c>
      <c r="C928" s="16" t="s">
        <v>30</v>
      </c>
      <c r="D928" s="6" t="s">
        <v>31</v>
      </c>
      <c r="E928" t="s">
        <v>303</v>
      </c>
      <c r="F928" t="s">
        <v>303</v>
      </c>
      <c r="H928" s="11" t="s">
        <v>27</v>
      </c>
      <c r="I928" s="6" t="s">
        <v>28</v>
      </c>
      <c r="J928" s="6" t="s">
        <v>28</v>
      </c>
      <c r="K928" t="s">
        <v>32</v>
      </c>
      <c r="L928" s="35">
        <v>15.67</v>
      </c>
      <c r="M928" s="6" t="s">
        <v>29</v>
      </c>
      <c r="N928" s="6">
        <v>3105</v>
      </c>
      <c r="P928" s="18"/>
      <c r="Q928" s="17"/>
      <c r="R928" s="19">
        <v>17.239999999999998</v>
      </c>
      <c r="S928" s="19">
        <v>17.239999999999998</v>
      </c>
      <c r="T928" s="38">
        <v>0</v>
      </c>
      <c r="U928" s="38"/>
      <c r="V928" s="30">
        <v>17.239999999999998</v>
      </c>
      <c r="W928" s="35">
        <v>15.67</v>
      </c>
      <c r="X928" s="32">
        <f t="shared" si="154"/>
        <v>0</v>
      </c>
      <c r="Y928" s="32">
        <f t="shared" si="155"/>
        <v>0</v>
      </c>
      <c r="Z928" s="32">
        <f t="shared" si="156"/>
        <v>0</v>
      </c>
      <c r="AA928" s="38" t="s">
        <v>2573</v>
      </c>
      <c r="AB928" s="37" t="str">
        <f>IFERROR(VLOOKUP(A928,'Tash Lookup'!A:E,3,FALSE),"")</f>
        <v/>
      </c>
      <c r="AC928" s="6" t="str">
        <f t="shared" si="157"/>
        <v/>
      </c>
      <c r="AD928" s="2" t="s">
        <v>6707</v>
      </c>
      <c r="AF928" s="56">
        <v>17.920000000000002</v>
      </c>
      <c r="AG928" s="56">
        <f>VLOOKUP(A928,Sheet1!$A$2:$C$1140,3,FALSE)</f>
        <v>17.920000000000002</v>
      </c>
      <c r="AH928" s="58">
        <v>17.920000000000002</v>
      </c>
      <c r="AI928" s="56" t="str">
        <f t="shared" si="158"/>
        <v>Same</v>
      </c>
      <c r="AJ928" s="81">
        <f t="shared" si="162"/>
        <v>0</v>
      </c>
      <c r="AK928" s="81">
        <f t="shared" si="163"/>
        <v>0</v>
      </c>
      <c r="AL928" s="58" t="s">
        <v>32</v>
      </c>
      <c r="AM928" s="58" t="s">
        <v>6708</v>
      </c>
      <c r="AN928" s="75">
        <v>0</v>
      </c>
      <c r="AO928" s="88">
        <v>17.920000000000002</v>
      </c>
      <c r="AP928" s="6" t="str">
        <f t="shared" si="159"/>
        <v>Same</v>
      </c>
      <c r="AQ928" s="81">
        <f t="shared" si="160"/>
        <v>0</v>
      </c>
      <c r="AR928" s="81">
        <f t="shared" si="161"/>
        <v>0</v>
      </c>
      <c r="AS928" s="81">
        <f t="shared" si="164"/>
        <v>0</v>
      </c>
    </row>
    <row r="929" spans="1:45" hidden="1" x14ac:dyDescent="0.3">
      <c r="A929">
        <v>5218701</v>
      </c>
      <c r="B929" s="15" t="s">
        <v>6265</v>
      </c>
      <c r="C929" s="16" t="s">
        <v>30</v>
      </c>
      <c r="D929" s="6" t="s">
        <v>31</v>
      </c>
      <c r="E929" t="s">
        <v>304</v>
      </c>
      <c r="F929" t="s">
        <v>304</v>
      </c>
      <c r="H929" s="11" t="s">
        <v>27</v>
      </c>
      <c r="I929" s="6" t="s">
        <v>28</v>
      </c>
      <c r="J929" s="6" t="s">
        <v>28</v>
      </c>
      <c r="K929" t="s">
        <v>32</v>
      </c>
      <c r="L929" s="35">
        <v>20.87</v>
      </c>
      <c r="M929" s="6" t="s">
        <v>29</v>
      </c>
      <c r="N929" s="6">
        <v>3105</v>
      </c>
      <c r="P929" s="18"/>
      <c r="Q929" s="17"/>
      <c r="R929" s="19">
        <v>27.16</v>
      </c>
      <c r="S929" s="19">
        <v>27.16</v>
      </c>
      <c r="T929" s="38">
        <v>0</v>
      </c>
      <c r="U929" s="38"/>
      <c r="V929" s="29">
        <v>27.16</v>
      </c>
      <c r="W929" s="35">
        <v>20.87</v>
      </c>
      <c r="X929" s="32">
        <f t="shared" si="154"/>
        <v>0</v>
      </c>
      <c r="Y929" s="32">
        <f t="shared" si="155"/>
        <v>0</v>
      </c>
      <c r="Z929" s="32">
        <f t="shared" si="156"/>
        <v>0</v>
      </c>
      <c r="AA929" s="38" t="s">
        <v>2573</v>
      </c>
      <c r="AB929" s="37" t="str">
        <f>IFERROR(VLOOKUP(A929,'Tash Lookup'!A:E,3,FALSE),"")</f>
        <v/>
      </c>
      <c r="AC929" s="6" t="str">
        <f t="shared" si="157"/>
        <v/>
      </c>
      <c r="AD929" s="2" t="s">
        <v>6707</v>
      </c>
      <c r="AF929" s="56">
        <v>27.16</v>
      </c>
      <c r="AG929" s="56" t="e">
        <f>VLOOKUP(A929,Sheet1!$A$2:$C$1140,3,FALSE)</f>
        <v>#N/A</v>
      </c>
      <c r="AH929" s="58" t="e">
        <v>#N/A</v>
      </c>
      <c r="AI929" s="56" t="str">
        <f t="shared" si="158"/>
        <v>Delete</v>
      </c>
      <c r="AJ929" s="81">
        <f t="shared" si="162"/>
        <v>0</v>
      </c>
      <c r="AK929" s="81">
        <f t="shared" si="163"/>
        <v>0</v>
      </c>
      <c r="AL929" s="58" t="s">
        <v>32</v>
      </c>
      <c r="AM929" s="58" t="s">
        <v>6708</v>
      </c>
      <c r="AN929" s="75">
        <v>0</v>
      </c>
      <c r="AO929" s="88">
        <v>27.16</v>
      </c>
      <c r="AP929" s="6" t="str">
        <f t="shared" si="159"/>
        <v>Same</v>
      </c>
      <c r="AQ929" s="81">
        <f t="shared" si="160"/>
        <v>0</v>
      </c>
      <c r="AR929" s="81">
        <f t="shared" si="161"/>
        <v>0</v>
      </c>
      <c r="AS929" s="81">
        <f t="shared" si="164"/>
        <v>0</v>
      </c>
    </row>
    <row r="930" spans="1:45" hidden="1" x14ac:dyDescent="0.3">
      <c r="A930">
        <v>6034025</v>
      </c>
      <c r="B930" s="15" t="s">
        <v>6266</v>
      </c>
      <c r="C930" s="16" t="s">
        <v>30</v>
      </c>
      <c r="D930" s="6" t="s">
        <v>31</v>
      </c>
      <c r="E930" t="s">
        <v>705</v>
      </c>
      <c r="F930" t="s">
        <v>705</v>
      </c>
      <c r="H930" s="11" t="s">
        <v>27</v>
      </c>
      <c r="I930" s="6" t="s">
        <v>28</v>
      </c>
      <c r="J930" s="6" t="s">
        <v>28</v>
      </c>
      <c r="K930" t="s">
        <v>32</v>
      </c>
      <c r="L930" s="35">
        <v>15.65</v>
      </c>
      <c r="M930" s="6" t="s">
        <v>29</v>
      </c>
      <c r="N930" s="6">
        <v>3105</v>
      </c>
      <c r="P930" s="18"/>
      <c r="Q930" s="17"/>
      <c r="R930" s="19">
        <v>15.65</v>
      </c>
      <c r="S930" s="19">
        <v>15.65</v>
      </c>
      <c r="T930" s="38">
        <v>0</v>
      </c>
      <c r="U930" s="38"/>
      <c r="V930" s="30">
        <v>15.65</v>
      </c>
      <c r="W930" s="35">
        <v>15.65</v>
      </c>
      <c r="X930" s="32">
        <f t="shared" si="154"/>
        <v>0</v>
      </c>
      <c r="Y930" s="32">
        <f t="shared" si="155"/>
        <v>0</v>
      </c>
      <c r="Z930" s="32">
        <f t="shared" si="156"/>
        <v>0</v>
      </c>
      <c r="AA930" s="38" t="s">
        <v>2573</v>
      </c>
      <c r="AB930" s="37" t="str">
        <f>IFERROR(VLOOKUP(A930,'Tash Lookup'!A:E,3,FALSE),"")</f>
        <v/>
      </c>
      <c r="AC930" s="6" t="str">
        <f t="shared" si="157"/>
        <v/>
      </c>
      <c r="AD930" s="2" t="s">
        <v>6711</v>
      </c>
      <c r="AE930" s="2" t="s">
        <v>6701</v>
      </c>
      <c r="AF930" s="56">
        <v>15.65</v>
      </c>
      <c r="AG930" s="56" t="e">
        <f>VLOOKUP(A930,Sheet1!$A$2:$C$1140,3,FALSE)</f>
        <v>#N/A</v>
      </c>
      <c r="AH930" s="58" t="e">
        <v>#N/A</v>
      </c>
      <c r="AI930" s="56" t="str">
        <f t="shared" si="158"/>
        <v>Delete</v>
      </c>
      <c r="AJ930" s="81">
        <f t="shared" si="162"/>
        <v>0</v>
      </c>
      <c r="AK930" s="81">
        <f t="shared" si="163"/>
        <v>0</v>
      </c>
      <c r="AL930" s="58" t="s">
        <v>7206</v>
      </c>
      <c r="AM930" s="58" t="s">
        <v>6711</v>
      </c>
      <c r="AN930" s="75">
        <v>0</v>
      </c>
      <c r="AO930" s="88">
        <v>15.65</v>
      </c>
      <c r="AP930" s="6" t="str">
        <f t="shared" si="159"/>
        <v>Delete</v>
      </c>
      <c r="AQ930" s="81">
        <f t="shared" si="160"/>
        <v>0</v>
      </c>
      <c r="AR930" s="81">
        <f t="shared" si="161"/>
        <v>0</v>
      </c>
      <c r="AS930" s="81">
        <f t="shared" si="164"/>
        <v>0</v>
      </c>
    </row>
    <row r="931" spans="1:45" hidden="1" x14ac:dyDescent="0.3">
      <c r="A931">
        <v>6316974</v>
      </c>
      <c r="B931" s="15" t="s">
        <v>6267</v>
      </c>
      <c r="C931" s="16" t="s">
        <v>30</v>
      </c>
      <c r="D931" s="6" t="s">
        <v>31</v>
      </c>
      <c r="E931" t="s">
        <v>716</v>
      </c>
      <c r="F931" t="s">
        <v>716</v>
      </c>
      <c r="H931" s="11" t="s">
        <v>27</v>
      </c>
      <c r="I931" s="6" t="s">
        <v>28</v>
      </c>
      <c r="J931" s="6" t="s">
        <v>28</v>
      </c>
      <c r="K931" t="s">
        <v>32</v>
      </c>
      <c r="L931" s="35">
        <v>3.43</v>
      </c>
      <c r="M931" s="6" t="s">
        <v>29</v>
      </c>
      <c r="N931" s="6">
        <v>3105</v>
      </c>
      <c r="P931" s="18"/>
      <c r="Q931" s="17"/>
      <c r="R931" s="19">
        <v>3.43</v>
      </c>
      <c r="S931" s="19">
        <v>3.43</v>
      </c>
      <c r="T931" s="38">
        <v>0</v>
      </c>
      <c r="U931" s="38"/>
      <c r="V931" s="30">
        <v>3.43</v>
      </c>
      <c r="W931" s="35">
        <v>3.43</v>
      </c>
      <c r="X931" s="32">
        <f t="shared" si="154"/>
        <v>0</v>
      </c>
      <c r="Y931" s="32">
        <f t="shared" si="155"/>
        <v>0</v>
      </c>
      <c r="Z931" s="32">
        <f t="shared" si="156"/>
        <v>0</v>
      </c>
      <c r="AA931" s="38" t="s">
        <v>2573</v>
      </c>
      <c r="AB931" s="37" t="str">
        <f>IFERROR(VLOOKUP(A931,'Tash Lookup'!A:E,3,FALSE),"")</f>
        <v/>
      </c>
      <c r="AC931" s="6" t="str">
        <f t="shared" si="157"/>
        <v/>
      </c>
      <c r="AD931" s="2" t="s">
        <v>6703</v>
      </c>
      <c r="AF931" s="56">
        <v>3.54</v>
      </c>
      <c r="AG931" s="56">
        <f>VLOOKUP(A931,Sheet1!$A$2:$C$1140,3,FALSE)</f>
        <v>3.61</v>
      </c>
      <c r="AH931" s="58">
        <v>3.61</v>
      </c>
      <c r="AI931" s="56" t="str">
        <f t="shared" si="158"/>
        <v>Increase</v>
      </c>
      <c r="AJ931" s="81">
        <f t="shared" si="162"/>
        <v>0</v>
      </c>
      <c r="AK931" s="81">
        <f t="shared" si="163"/>
        <v>0</v>
      </c>
      <c r="AL931" s="58" t="s">
        <v>7206</v>
      </c>
      <c r="AM931" s="58" t="s">
        <v>6703</v>
      </c>
      <c r="AN931" s="75">
        <v>1</v>
      </c>
      <c r="AO931" s="88">
        <v>3.61</v>
      </c>
      <c r="AP931" s="6" t="str">
        <f t="shared" si="159"/>
        <v>Increase</v>
      </c>
      <c r="AQ931" s="81">
        <f t="shared" si="160"/>
        <v>3.54</v>
      </c>
      <c r="AR931" s="81">
        <f t="shared" si="161"/>
        <v>3.61</v>
      </c>
      <c r="AS931" s="81">
        <f t="shared" si="164"/>
        <v>6.999999999999984E-2</v>
      </c>
    </row>
    <row r="932" spans="1:45" hidden="1" x14ac:dyDescent="0.3">
      <c r="A932">
        <v>6316997</v>
      </c>
      <c r="B932" s="15" t="s">
        <v>6268</v>
      </c>
      <c r="C932" s="16" t="s">
        <v>30</v>
      </c>
      <c r="D932" s="6" t="s">
        <v>31</v>
      </c>
      <c r="E932" t="s">
        <v>717</v>
      </c>
      <c r="F932" t="s">
        <v>717</v>
      </c>
      <c r="H932" s="11" t="s">
        <v>27</v>
      </c>
      <c r="I932" s="6" t="s">
        <v>28</v>
      </c>
      <c r="J932" s="6" t="s">
        <v>28</v>
      </c>
      <c r="K932" t="s">
        <v>32</v>
      </c>
      <c r="L932" s="35">
        <v>2.97</v>
      </c>
      <c r="M932" s="6" t="s">
        <v>29</v>
      </c>
      <c r="N932" s="6">
        <v>3105</v>
      </c>
      <c r="P932" s="18"/>
      <c r="Q932" s="17"/>
      <c r="R932" s="19">
        <v>2.97</v>
      </c>
      <c r="S932" s="19">
        <v>2.97</v>
      </c>
      <c r="T932" s="38">
        <v>0</v>
      </c>
      <c r="U932" s="38"/>
      <c r="V932" s="30">
        <v>2.97</v>
      </c>
      <c r="W932" s="35">
        <v>2.97</v>
      </c>
      <c r="X932" s="32">
        <f t="shared" si="154"/>
        <v>0</v>
      </c>
      <c r="Y932" s="32">
        <f t="shared" si="155"/>
        <v>0</v>
      </c>
      <c r="Z932" s="32">
        <f t="shared" si="156"/>
        <v>0</v>
      </c>
      <c r="AA932" s="38" t="s">
        <v>2573</v>
      </c>
      <c r="AB932" s="37" t="str">
        <f>IFERROR(VLOOKUP(A932,'Tash Lookup'!A:E,3,FALSE),"")</f>
        <v/>
      </c>
      <c r="AC932" s="6" t="str">
        <f t="shared" si="157"/>
        <v/>
      </c>
      <c r="AD932" s="2" t="s">
        <v>6703</v>
      </c>
      <c r="AF932" s="56">
        <v>3.06</v>
      </c>
      <c r="AG932" s="56">
        <f>VLOOKUP(A932,Sheet1!$A$2:$C$1140,3,FALSE)</f>
        <v>3.12</v>
      </c>
      <c r="AH932" s="58">
        <v>3.12</v>
      </c>
      <c r="AI932" s="56" t="str">
        <f t="shared" si="158"/>
        <v>Increase</v>
      </c>
      <c r="AJ932" s="81">
        <f t="shared" si="162"/>
        <v>0</v>
      </c>
      <c r="AK932" s="81">
        <f t="shared" si="163"/>
        <v>0</v>
      </c>
      <c r="AL932" s="58" t="s">
        <v>7206</v>
      </c>
      <c r="AM932" s="58" t="s">
        <v>6703</v>
      </c>
      <c r="AN932" s="75">
        <v>0</v>
      </c>
      <c r="AO932" s="88">
        <v>3.12</v>
      </c>
      <c r="AP932" s="6" t="str">
        <f t="shared" si="159"/>
        <v>Increase</v>
      </c>
      <c r="AQ932" s="81">
        <f t="shared" si="160"/>
        <v>0</v>
      </c>
      <c r="AR932" s="81">
        <f t="shared" si="161"/>
        <v>0</v>
      </c>
      <c r="AS932" s="81">
        <f t="shared" si="164"/>
        <v>0</v>
      </c>
    </row>
    <row r="933" spans="1:45" hidden="1" x14ac:dyDescent="0.3">
      <c r="A933">
        <v>5316000</v>
      </c>
      <c r="B933" s="15" t="s">
        <v>6269</v>
      </c>
      <c r="C933" s="16" t="s">
        <v>30</v>
      </c>
      <c r="D933" s="6" t="s">
        <v>31</v>
      </c>
      <c r="E933" t="s">
        <v>727</v>
      </c>
      <c r="F933" t="s">
        <v>727</v>
      </c>
      <c r="H933" s="11" t="s">
        <v>27</v>
      </c>
      <c r="I933" s="6" t="s">
        <v>28</v>
      </c>
      <c r="J933" s="6" t="s">
        <v>28</v>
      </c>
      <c r="K933" t="s">
        <v>32</v>
      </c>
      <c r="L933" s="35">
        <v>44.77</v>
      </c>
      <c r="M933" s="6" t="s">
        <v>29</v>
      </c>
      <c r="N933" s="6">
        <v>3105</v>
      </c>
      <c r="P933" s="18"/>
      <c r="Q933" s="17"/>
      <c r="R933" s="19">
        <v>44.77</v>
      </c>
      <c r="S933" s="19">
        <v>44.77</v>
      </c>
      <c r="T933" s="38">
        <v>0</v>
      </c>
      <c r="U933" s="38"/>
      <c r="V933" s="30">
        <v>44.77</v>
      </c>
      <c r="W933" s="35">
        <v>44.77</v>
      </c>
      <c r="X933" s="32">
        <f t="shared" si="154"/>
        <v>0</v>
      </c>
      <c r="Y933" s="32">
        <f t="shared" si="155"/>
        <v>0</v>
      </c>
      <c r="Z933" s="32">
        <f t="shared" si="156"/>
        <v>0</v>
      </c>
      <c r="AA933" s="38" t="s">
        <v>2573</v>
      </c>
      <c r="AB933" s="37" t="str">
        <f>IFERROR(VLOOKUP(A933,'Tash Lookup'!A:E,3,FALSE),"")</f>
        <v/>
      </c>
      <c r="AC933" s="6" t="str">
        <f t="shared" si="157"/>
        <v/>
      </c>
      <c r="AD933" s="2" t="s">
        <v>6703</v>
      </c>
      <c r="AF933" s="56">
        <v>46.11</v>
      </c>
      <c r="AG933" s="56">
        <f>VLOOKUP(A933,Sheet1!$A$2:$C$1140,3,FALSE)</f>
        <v>47.03</v>
      </c>
      <c r="AH933" s="58">
        <v>47.03</v>
      </c>
      <c r="AI933" s="56" t="str">
        <f t="shared" si="158"/>
        <v>Increase</v>
      </c>
      <c r="AJ933" s="81">
        <f t="shared" si="162"/>
        <v>0</v>
      </c>
      <c r="AK933" s="81">
        <f t="shared" si="163"/>
        <v>0</v>
      </c>
      <c r="AL933" s="58" t="s">
        <v>7206</v>
      </c>
      <c r="AM933" s="58" t="s">
        <v>6703</v>
      </c>
      <c r="AN933" s="75">
        <v>0</v>
      </c>
      <c r="AO933" s="88">
        <v>47.03</v>
      </c>
      <c r="AP933" s="6" t="str">
        <f t="shared" si="159"/>
        <v>Increase</v>
      </c>
      <c r="AQ933" s="81">
        <f t="shared" si="160"/>
        <v>0</v>
      </c>
      <c r="AR933" s="81">
        <f t="shared" si="161"/>
        <v>0</v>
      </c>
      <c r="AS933" s="81">
        <f t="shared" si="164"/>
        <v>0</v>
      </c>
    </row>
    <row r="934" spans="1:45" hidden="1" x14ac:dyDescent="0.3">
      <c r="A934">
        <v>5315986</v>
      </c>
      <c r="B934" s="15" t="s">
        <v>6270</v>
      </c>
      <c r="C934" s="16" t="s">
        <v>30</v>
      </c>
      <c r="D934" s="6" t="s">
        <v>31</v>
      </c>
      <c r="E934" t="s">
        <v>728</v>
      </c>
      <c r="F934" t="s">
        <v>728</v>
      </c>
      <c r="H934" s="11" t="s">
        <v>27</v>
      </c>
      <c r="I934" s="6" t="s">
        <v>28</v>
      </c>
      <c r="J934" s="6" t="s">
        <v>28</v>
      </c>
      <c r="K934" t="s">
        <v>32</v>
      </c>
      <c r="L934" s="35">
        <v>44.77</v>
      </c>
      <c r="M934" s="6" t="s">
        <v>29</v>
      </c>
      <c r="N934" s="6">
        <v>3105</v>
      </c>
      <c r="P934" s="18"/>
      <c r="Q934" s="17"/>
      <c r="R934" s="19">
        <v>44.77</v>
      </c>
      <c r="S934" s="19">
        <v>44.77</v>
      </c>
      <c r="T934" s="38">
        <v>0</v>
      </c>
      <c r="U934" s="38"/>
      <c r="V934" s="30">
        <v>44.77</v>
      </c>
      <c r="W934" s="35">
        <v>44.77</v>
      </c>
      <c r="X934" s="32">
        <f t="shared" si="154"/>
        <v>0</v>
      </c>
      <c r="Y934" s="32">
        <f t="shared" si="155"/>
        <v>0</v>
      </c>
      <c r="Z934" s="32">
        <f t="shared" si="156"/>
        <v>0</v>
      </c>
      <c r="AA934" s="38" t="s">
        <v>2573</v>
      </c>
      <c r="AB934" s="37" t="str">
        <f>IFERROR(VLOOKUP(A934,'Tash Lookup'!A:E,3,FALSE),"")</f>
        <v/>
      </c>
      <c r="AC934" s="6" t="str">
        <f t="shared" si="157"/>
        <v/>
      </c>
      <c r="AD934" s="2" t="s">
        <v>6703</v>
      </c>
      <c r="AF934" s="56">
        <v>46.11</v>
      </c>
      <c r="AG934" s="56">
        <f>VLOOKUP(A934,Sheet1!$A$2:$C$1140,3,FALSE)</f>
        <v>47.03</v>
      </c>
      <c r="AH934" s="58">
        <v>47.03</v>
      </c>
      <c r="AI934" s="56" t="str">
        <f t="shared" si="158"/>
        <v>Increase</v>
      </c>
      <c r="AJ934" s="81">
        <f t="shared" si="162"/>
        <v>0</v>
      </c>
      <c r="AK934" s="81">
        <f t="shared" si="163"/>
        <v>0</v>
      </c>
      <c r="AL934" s="58" t="s">
        <v>7206</v>
      </c>
      <c r="AM934" s="58" t="s">
        <v>6703</v>
      </c>
      <c r="AN934" s="75">
        <v>1</v>
      </c>
      <c r="AO934" s="88">
        <v>47.03</v>
      </c>
      <c r="AP934" s="6" t="str">
        <f t="shared" si="159"/>
        <v>Increase</v>
      </c>
      <c r="AQ934" s="81">
        <f t="shared" si="160"/>
        <v>46.11</v>
      </c>
      <c r="AR934" s="81">
        <f t="shared" si="161"/>
        <v>47.03</v>
      </c>
      <c r="AS934" s="81">
        <f t="shared" si="164"/>
        <v>0.92000000000000171</v>
      </c>
    </row>
    <row r="935" spans="1:45" hidden="1" x14ac:dyDescent="0.3">
      <c r="A935">
        <v>5222643</v>
      </c>
      <c r="B935" s="15" t="s">
        <v>6271</v>
      </c>
      <c r="C935" s="16" t="s">
        <v>30</v>
      </c>
      <c r="D935" s="6" t="s">
        <v>31</v>
      </c>
      <c r="E935" t="s">
        <v>729</v>
      </c>
      <c r="F935" t="s">
        <v>729</v>
      </c>
      <c r="H935" s="11" t="s">
        <v>27</v>
      </c>
      <c r="I935" s="6" t="s">
        <v>28</v>
      </c>
      <c r="J935" s="6" t="s">
        <v>28</v>
      </c>
      <c r="K935" t="s">
        <v>32</v>
      </c>
      <c r="L935" s="35">
        <v>44.77</v>
      </c>
      <c r="M935" s="6" t="s">
        <v>29</v>
      </c>
      <c r="N935" s="6">
        <v>3105</v>
      </c>
      <c r="P935" s="18"/>
      <c r="Q935" s="17"/>
      <c r="R935" s="19">
        <v>44.77</v>
      </c>
      <c r="S935" s="19">
        <v>44.77</v>
      </c>
      <c r="T935" s="38">
        <v>0</v>
      </c>
      <c r="U935" s="38"/>
      <c r="V935" s="30">
        <v>44.77</v>
      </c>
      <c r="W935" s="35">
        <v>44.77</v>
      </c>
      <c r="X935" s="32">
        <f t="shared" si="154"/>
        <v>0</v>
      </c>
      <c r="Y935" s="32">
        <f t="shared" si="155"/>
        <v>0</v>
      </c>
      <c r="Z935" s="32">
        <f t="shared" si="156"/>
        <v>0</v>
      </c>
      <c r="AA935" s="38" t="s">
        <v>2573</v>
      </c>
      <c r="AB935" s="37" t="str">
        <f>IFERROR(VLOOKUP(A935,'Tash Lookup'!A:E,3,FALSE),"")</f>
        <v/>
      </c>
      <c r="AC935" s="6" t="str">
        <f t="shared" si="157"/>
        <v/>
      </c>
      <c r="AD935" s="2" t="s">
        <v>6703</v>
      </c>
      <c r="AF935" s="56">
        <v>46.11</v>
      </c>
      <c r="AG935" s="56">
        <f>VLOOKUP(A935,Sheet1!$A$2:$C$1140,3,FALSE)</f>
        <v>47.03</v>
      </c>
      <c r="AH935" s="58">
        <v>47.03</v>
      </c>
      <c r="AI935" s="56" t="str">
        <f t="shared" si="158"/>
        <v>Increase</v>
      </c>
      <c r="AJ935" s="81">
        <f t="shared" si="162"/>
        <v>0</v>
      </c>
      <c r="AK935" s="81">
        <f t="shared" si="163"/>
        <v>0</v>
      </c>
      <c r="AL935" s="58" t="s">
        <v>7206</v>
      </c>
      <c r="AM935" s="58" t="s">
        <v>6703</v>
      </c>
      <c r="AN935" s="75">
        <v>0</v>
      </c>
      <c r="AO935" s="88">
        <v>47.03</v>
      </c>
      <c r="AP935" s="6" t="str">
        <f t="shared" si="159"/>
        <v>Increase</v>
      </c>
      <c r="AQ935" s="81">
        <f t="shared" si="160"/>
        <v>0</v>
      </c>
      <c r="AR935" s="81">
        <f t="shared" si="161"/>
        <v>0</v>
      </c>
      <c r="AS935" s="81">
        <f t="shared" si="164"/>
        <v>0</v>
      </c>
    </row>
    <row r="936" spans="1:45" hidden="1" x14ac:dyDescent="0.3">
      <c r="A936">
        <v>5222644</v>
      </c>
      <c r="B936" s="15" t="s">
        <v>6272</v>
      </c>
      <c r="C936" s="16" t="s">
        <v>30</v>
      </c>
      <c r="D936" s="6" t="s">
        <v>31</v>
      </c>
      <c r="E936" t="s">
        <v>730</v>
      </c>
      <c r="F936" t="s">
        <v>730</v>
      </c>
      <c r="H936" s="11" t="s">
        <v>27</v>
      </c>
      <c r="I936" s="6" t="s">
        <v>28</v>
      </c>
      <c r="J936" s="6" t="s">
        <v>28</v>
      </c>
      <c r="K936" t="s">
        <v>32</v>
      </c>
      <c r="L936" s="35">
        <v>44.77</v>
      </c>
      <c r="M936" s="6" t="s">
        <v>29</v>
      </c>
      <c r="N936" s="6">
        <v>3105</v>
      </c>
      <c r="P936" s="18"/>
      <c r="Q936" s="17"/>
      <c r="R936" s="19">
        <v>44.77</v>
      </c>
      <c r="S936" s="19">
        <v>44.77</v>
      </c>
      <c r="T936" s="38">
        <v>0</v>
      </c>
      <c r="U936" s="38"/>
      <c r="V936" s="30">
        <v>44.77</v>
      </c>
      <c r="W936" s="35">
        <v>44.77</v>
      </c>
      <c r="X936" s="32">
        <f t="shared" si="154"/>
        <v>0</v>
      </c>
      <c r="Y936" s="32">
        <f t="shared" si="155"/>
        <v>0</v>
      </c>
      <c r="Z936" s="32">
        <f t="shared" si="156"/>
        <v>0</v>
      </c>
      <c r="AA936" s="38" t="s">
        <v>2573</v>
      </c>
      <c r="AB936" s="37" t="str">
        <f>IFERROR(VLOOKUP(A936,'Tash Lookup'!A:E,3,FALSE),"")</f>
        <v/>
      </c>
      <c r="AC936" s="6" t="str">
        <f t="shared" si="157"/>
        <v/>
      </c>
      <c r="AD936" s="2" t="s">
        <v>6703</v>
      </c>
      <c r="AF936" s="56">
        <v>46.11</v>
      </c>
      <c r="AG936" s="56">
        <f>VLOOKUP(A936,Sheet1!$A$2:$C$1140,3,FALSE)</f>
        <v>47.03</v>
      </c>
      <c r="AH936" s="58">
        <v>47.03</v>
      </c>
      <c r="AI936" s="56" t="str">
        <f t="shared" si="158"/>
        <v>Increase</v>
      </c>
      <c r="AJ936" s="81">
        <f t="shared" si="162"/>
        <v>0</v>
      </c>
      <c r="AK936" s="81">
        <f t="shared" si="163"/>
        <v>0</v>
      </c>
      <c r="AL936" s="58" t="s">
        <v>7206</v>
      </c>
      <c r="AM936" s="58" t="s">
        <v>6703</v>
      </c>
      <c r="AN936" s="75">
        <v>1</v>
      </c>
      <c r="AO936" s="88">
        <v>47.03</v>
      </c>
      <c r="AP936" s="6" t="str">
        <f t="shared" si="159"/>
        <v>Increase</v>
      </c>
      <c r="AQ936" s="81">
        <f t="shared" si="160"/>
        <v>46.11</v>
      </c>
      <c r="AR936" s="81">
        <f t="shared" si="161"/>
        <v>47.03</v>
      </c>
      <c r="AS936" s="81">
        <f t="shared" si="164"/>
        <v>0.92000000000000171</v>
      </c>
    </row>
    <row r="937" spans="1:45" hidden="1" x14ac:dyDescent="0.3">
      <c r="A937">
        <v>6394828</v>
      </c>
      <c r="B937" s="15" t="s">
        <v>6273</v>
      </c>
      <c r="C937" s="16" t="s">
        <v>30</v>
      </c>
      <c r="D937" s="6" t="s">
        <v>31</v>
      </c>
      <c r="E937" t="s">
        <v>733</v>
      </c>
      <c r="F937" t="s">
        <v>733</v>
      </c>
      <c r="H937" s="11" t="s">
        <v>27</v>
      </c>
      <c r="I937" s="6" t="s">
        <v>28</v>
      </c>
      <c r="J937" s="6" t="s">
        <v>28</v>
      </c>
      <c r="K937" t="s">
        <v>32</v>
      </c>
      <c r="L937" s="35">
        <v>6.64</v>
      </c>
      <c r="M937" s="6" t="s">
        <v>29</v>
      </c>
      <c r="N937" s="6">
        <v>3105</v>
      </c>
      <c r="P937" s="18"/>
      <c r="Q937" s="17"/>
      <c r="R937" s="19">
        <v>6.64</v>
      </c>
      <c r="S937" s="19">
        <v>6.64</v>
      </c>
      <c r="T937" s="38">
        <v>0</v>
      </c>
      <c r="U937" s="38"/>
      <c r="V937" s="30">
        <v>6.64</v>
      </c>
      <c r="W937" s="35">
        <v>6.64</v>
      </c>
      <c r="X937" s="32">
        <f t="shared" si="154"/>
        <v>0</v>
      </c>
      <c r="Y937" s="32">
        <f t="shared" si="155"/>
        <v>0</v>
      </c>
      <c r="Z937" s="32">
        <f t="shared" si="156"/>
        <v>0</v>
      </c>
      <c r="AA937" s="38" t="s">
        <v>2573</v>
      </c>
      <c r="AB937" s="37" t="str">
        <f>IFERROR(VLOOKUP(A937,'Tash Lookup'!A:E,3,FALSE),"")</f>
        <v/>
      </c>
      <c r="AC937" s="6" t="str">
        <f t="shared" si="157"/>
        <v/>
      </c>
      <c r="AD937" s="2" t="s">
        <v>6703</v>
      </c>
      <c r="AF937" s="56">
        <v>6.83</v>
      </c>
      <c r="AG937" s="56">
        <f>VLOOKUP(A937,Sheet1!$A$2:$C$1140,3,FALSE)</f>
        <v>6.97</v>
      </c>
      <c r="AH937" s="58">
        <v>6.97</v>
      </c>
      <c r="AI937" s="56" t="str">
        <f t="shared" si="158"/>
        <v>Increase</v>
      </c>
      <c r="AJ937" s="81">
        <f t="shared" si="162"/>
        <v>0</v>
      </c>
      <c r="AK937" s="81">
        <f t="shared" si="163"/>
        <v>0</v>
      </c>
      <c r="AL937" s="58" t="s">
        <v>7206</v>
      </c>
      <c r="AM937" s="58" t="s">
        <v>6703</v>
      </c>
      <c r="AN937" s="75">
        <v>0</v>
      </c>
      <c r="AO937" s="88">
        <v>6.97</v>
      </c>
      <c r="AP937" s="6" t="str">
        <f t="shared" si="159"/>
        <v>Increase</v>
      </c>
      <c r="AQ937" s="81">
        <f t="shared" si="160"/>
        <v>0</v>
      </c>
      <c r="AR937" s="81">
        <f t="shared" si="161"/>
        <v>0</v>
      </c>
      <c r="AS937" s="81">
        <f t="shared" si="164"/>
        <v>0</v>
      </c>
    </row>
    <row r="938" spans="1:45" hidden="1" x14ac:dyDescent="0.3">
      <c r="A938">
        <v>6394759</v>
      </c>
      <c r="B938" s="15" t="s">
        <v>6274</v>
      </c>
      <c r="C938" s="16" t="s">
        <v>30</v>
      </c>
      <c r="D938" s="6" t="s">
        <v>31</v>
      </c>
      <c r="E938" t="s">
        <v>734</v>
      </c>
      <c r="F938" t="s">
        <v>734</v>
      </c>
      <c r="H938" s="11" t="s">
        <v>27</v>
      </c>
      <c r="I938" s="6" t="s">
        <v>28</v>
      </c>
      <c r="J938" s="6" t="s">
        <v>28</v>
      </c>
      <c r="K938" t="s">
        <v>32</v>
      </c>
      <c r="L938" s="35">
        <v>6.64</v>
      </c>
      <c r="M938" s="6" t="s">
        <v>29</v>
      </c>
      <c r="N938" s="6">
        <v>3105</v>
      </c>
      <c r="P938" s="18"/>
      <c r="Q938" s="17"/>
      <c r="R938" s="19">
        <v>6.64</v>
      </c>
      <c r="S938" s="19">
        <v>6.64</v>
      </c>
      <c r="T938" s="38">
        <v>0</v>
      </c>
      <c r="U938" s="38"/>
      <c r="V938" s="30">
        <v>6.64</v>
      </c>
      <c r="W938" s="35">
        <v>6.64</v>
      </c>
      <c r="X938" s="32">
        <f t="shared" si="154"/>
        <v>0</v>
      </c>
      <c r="Y938" s="32">
        <f t="shared" si="155"/>
        <v>0</v>
      </c>
      <c r="Z938" s="32">
        <f t="shared" si="156"/>
        <v>0</v>
      </c>
      <c r="AA938" s="38" t="s">
        <v>2573</v>
      </c>
      <c r="AB938" s="37" t="str">
        <f>IFERROR(VLOOKUP(A938,'Tash Lookup'!A:E,3,FALSE),"")</f>
        <v/>
      </c>
      <c r="AC938" s="6" t="str">
        <f t="shared" si="157"/>
        <v/>
      </c>
      <c r="AD938" s="2" t="s">
        <v>6703</v>
      </c>
      <c r="AF938" s="56">
        <v>6.83</v>
      </c>
      <c r="AG938" s="56">
        <f>VLOOKUP(A938,Sheet1!$A$2:$C$1140,3,FALSE)</f>
        <v>6.97</v>
      </c>
      <c r="AH938" s="58">
        <v>6.97</v>
      </c>
      <c r="AI938" s="56" t="str">
        <f t="shared" si="158"/>
        <v>Increase</v>
      </c>
      <c r="AJ938" s="81">
        <f t="shared" si="162"/>
        <v>0</v>
      </c>
      <c r="AK938" s="81">
        <f t="shared" si="163"/>
        <v>0</v>
      </c>
      <c r="AL938" s="58" t="s">
        <v>7206</v>
      </c>
      <c r="AM938" s="58" t="s">
        <v>6703</v>
      </c>
      <c r="AN938" s="75">
        <v>0</v>
      </c>
      <c r="AO938" s="88">
        <v>6.97</v>
      </c>
      <c r="AP938" s="6" t="str">
        <f t="shared" si="159"/>
        <v>Increase</v>
      </c>
      <c r="AQ938" s="81">
        <f t="shared" si="160"/>
        <v>0</v>
      </c>
      <c r="AR938" s="81">
        <f t="shared" si="161"/>
        <v>0</v>
      </c>
      <c r="AS938" s="81">
        <f t="shared" si="164"/>
        <v>0</v>
      </c>
    </row>
    <row r="939" spans="1:45" hidden="1" x14ac:dyDescent="0.3">
      <c r="A939">
        <v>6394837</v>
      </c>
      <c r="B939" s="15" t="s">
        <v>6275</v>
      </c>
      <c r="C939" s="16" t="s">
        <v>30</v>
      </c>
      <c r="D939" s="6" t="s">
        <v>31</v>
      </c>
      <c r="E939" t="s">
        <v>736</v>
      </c>
      <c r="F939" t="s">
        <v>736</v>
      </c>
      <c r="H939" s="11" t="s">
        <v>27</v>
      </c>
      <c r="I939" s="6" t="s">
        <v>28</v>
      </c>
      <c r="J939" s="6" t="s">
        <v>28</v>
      </c>
      <c r="K939" t="s">
        <v>32</v>
      </c>
      <c r="L939" s="35">
        <v>6.64</v>
      </c>
      <c r="M939" s="6" t="s">
        <v>29</v>
      </c>
      <c r="N939" s="6">
        <v>3105</v>
      </c>
      <c r="P939" s="18"/>
      <c r="Q939" s="17"/>
      <c r="R939" s="19">
        <v>6.64</v>
      </c>
      <c r="S939" s="19">
        <v>6.64</v>
      </c>
      <c r="T939" s="38">
        <v>0</v>
      </c>
      <c r="U939" s="38"/>
      <c r="V939" s="30">
        <v>6.64</v>
      </c>
      <c r="W939" s="35">
        <v>6.64</v>
      </c>
      <c r="X939" s="32">
        <f t="shared" si="154"/>
        <v>0</v>
      </c>
      <c r="Y939" s="32">
        <f t="shared" si="155"/>
        <v>0</v>
      </c>
      <c r="Z939" s="32">
        <f t="shared" si="156"/>
        <v>0</v>
      </c>
      <c r="AA939" s="38" t="s">
        <v>2573</v>
      </c>
      <c r="AB939" s="37" t="str">
        <f>IFERROR(VLOOKUP(A939,'Tash Lookup'!A:E,3,FALSE),"")</f>
        <v/>
      </c>
      <c r="AC939" s="6" t="str">
        <f t="shared" si="157"/>
        <v/>
      </c>
      <c r="AD939" s="2" t="s">
        <v>6703</v>
      </c>
      <c r="AF939" s="56">
        <v>6.83</v>
      </c>
      <c r="AG939" s="56">
        <f>VLOOKUP(A939,Sheet1!$A$2:$C$1140,3,FALSE)</f>
        <v>6.97</v>
      </c>
      <c r="AH939" s="58">
        <v>6.97</v>
      </c>
      <c r="AI939" s="56" t="str">
        <f t="shared" si="158"/>
        <v>Increase</v>
      </c>
      <c r="AJ939" s="81">
        <f t="shared" si="162"/>
        <v>0</v>
      </c>
      <c r="AK939" s="81">
        <f t="shared" si="163"/>
        <v>0</v>
      </c>
      <c r="AL939" s="58" t="s">
        <v>7206</v>
      </c>
      <c r="AM939" s="58" t="s">
        <v>6703</v>
      </c>
      <c r="AN939" s="75">
        <v>0</v>
      </c>
      <c r="AO939" s="88">
        <v>6.97</v>
      </c>
      <c r="AP939" s="6" t="str">
        <f t="shared" si="159"/>
        <v>Increase</v>
      </c>
      <c r="AQ939" s="81">
        <f t="shared" si="160"/>
        <v>0</v>
      </c>
      <c r="AR939" s="81">
        <f t="shared" si="161"/>
        <v>0</v>
      </c>
      <c r="AS939" s="81">
        <f t="shared" si="164"/>
        <v>0</v>
      </c>
    </row>
    <row r="940" spans="1:45" hidden="1" x14ac:dyDescent="0.3">
      <c r="A940">
        <v>6394892</v>
      </c>
      <c r="B940" s="15" t="s">
        <v>6276</v>
      </c>
      <c r="C940" s="16" t="s">
        <v>30</v>
      </c>
      <c r="D940" s="6" t="s">
        <v>31</v>
      </c>
      <c r="E940" t="s">
        <v>738</v>
      </c>
      <c r="F940" t="s">
        <v>738</v>
      </c>
      <c r="H940" s="11" t="s">
        <v>27</v>
      </c>
      <c r="I940" s="6" t="s">
        <v>28</v>
      </c>
      <c r="J940" s="6" t="s">
        <v>28</v>
      </c>
      <c r="K940" t="s">
        <v>32</v>
      </c>
      <c r="L940" s="35">
        <v>6.64</v>
      </c>
      <c r="M940" s="6" t="s">
        <v>29</v>
      </c>
      <c r="N940" s="6">
        <v>3105</v>
      </c>
      <c r="P940" s="18"/>
      <c r="Q940" s="17"/>
      <c r="R940" s="19">
        <v>6.64</v>
      </c>
      <c r="S940" s="19">
        <v>6.64</v>
      </c>
      <c r="T940" s="38">
        <v>0</v>
      </c>
      <c r="U940" s="38"/>
      <c r="V940" s="30">
        <v>6.64</v>
      </c>
      <c r="W940" s="35">
        <v>6.64</v>
      </c>
      <c r="X940" s="32">
        <f t="shared" si="154"/>
        <v>0</v>
      </c>
      <c r="Y940" s="32">
        <f t="shared" si="155"/>
        <v>0</v>
      </c>
      <c r="Z940" s="32">
        <f t="shared" si="156"/>
        <v>0</v>
      </c>
      <c r="AA940" s="38" t="s">
        <v>2573</v>
      </c>
      <c r="AB940" s="37" t="str">
        <f>IFERROR(VLOOKUP(A940,'Tash Lookup'!A:E,3,FALSE),"")</f>
        <v/>
      </c>
      <c r="AC940" s="6" t="str">
        <f t="shared" si="157"/>
        <v/>
      </c>
      <c r="AD940" s="2" t="s">
        <v>6703</v>
      </c>
      <c r="AF940" s="56">
        <v>6.83</v>
      </c>
      <c r="AG940" s="56">
        <f>VLOOKUP(A940,Sheet1!$A$2:$C$1140,3,FALSE)</f>
        <v>6.97</v>
      </c>
      <c r="AH940" s="58">
        <v>6.97</v>
      </c>
      <c r="AI940" s="56" t="str">
        <f t="shared" si="158"/>
        <v>Increase</v>
      </c>
      <c r="AJ940" s="81">
        <f t="shared" si="162"/>
        <v>0</v>
      </c>
      <c r="AK940" s="81">
        <f t="shared" si="163"/>
        <v>0</v>
      </c>
      <c r="AL940" s="58" t="s">
        <v>7206</v>
      </c>
      <c r="AM940" s="58" t="s">
        <v>6703</v>
      </c>
      <c r="AN940" s="75">
        <v>0</v>
      </c>
      <c r="AO940" s="88">
        <v>6.97</v>
      </c>
      <c r="AP940" s="6" t="str">
        <f t="shared" si="159"/>
        <v>Increase</v>
      </c>
      <c r="AQ940" s="81">
        <f t="shared" si="160"/>
        <v>0</v>
      </c>
      <c r="AR940" s="81">
        <f t="shared" si="161"/>
        <v>0</v>
      </c>
      <c r="AS940" s="81">
        <f t="shared" si="164"/>
        <v>0</v>
      </c>
    </row>
    <row r="941" spans="1:45" hidden="1" x14ac:dyDescent="0.3">
      <c r="A941">
        <v>6360765</v>
      </c>
      <c r="B941" s="15" t="s">
        <v>6277</v>
      </c>
      <c r="C941" s="16" t="s">
        <v>30</v>
      </c>
      <c r="D941" s="6" t="s">
        <v>31</v>
      </c>
      <c r="E941" t="s">
        <v>744</v>
      </c>
      <c r="F941" t="s">
        <v>744</v>
      </c>
      <c r="H941" s="11" t="s">
        <v>27</v>
      </c>
      <c r="I941" s="6" t="s">
        <v>28</v>
      </c>
      <c r="J941" s="6" t="s">
        <v>28</v>
      </c>
      <c r="K941" t="s">
        <v>32</v>
      </c>
      <c r="L941" s="35">
        <v>17.87</v>
      </c>
      <c r="M941" s="6" t="s">
        <v>29</v>
      </c>
      <c r="N941" s="6">
        <v>3105</v>
      </c>
      <c r="P941" s="18"/>
      <c r="Q941" s="17"/>
      <c r="R941" s="19">
        <v>17.87</v>
      </c>
      <c r="S941" s="19">
        <v>17.87</v>
      </c>
      <c r="T941" s="38">
        <v>0</v>
      </c>
      <c r="U941" s="38"/>
      <c r="V941" s="30">
        <v>17.87</v>
      </c>
      <c r="W941" s="35">
        <v>17.87</v>
      </c>
      <c r="X941" s="32">
        <f t="shared" si="154"/>
        <v>0</v>
      </c>
      <c r="Y941" s="32">
        <f t="shared" si="155"/>
        <v>0</v>
      </c>
      <c r="Z941" s="32">
        <f t="shared" si="156"/>
        <v>0</v>
      </c>
      <c r="AA941" s="38" t="s">
        <v>2573</v>
      </c>
      <c r="AB941" s="37" t="str">
        <f>IFERROR(VLOOKUP(A941,'Tash Lookup'!A:E,3,FALSE),"")</f>
        <v/>
      </c>
      <c r="AC941" s="6" t="str">
        <f t="shared" si="157"/>
        <v/>
      </c>
      <c r="AD941" s="2" t="s">
        <v>6703</v>
      </c>
      <c r="AF941" s="56">
        <v>18.59</v>
      </c>
      <c r="AG941" s="56">
        <f>VLOOKUP(A941,Sheet1!$A$2:$C$1140,3,FALSE)</f>
        <v>18.59</v>
      </c>
      <c r="AH941" s="58">
        <v>18.59</v>
      </c>
      <c r="AI941" s="56" t="str">
        <f t="shared" si="158"/>
        <v>Same</v>
      </c>
      <c r="AJ941" s="81">
        <f t="shared" si="162"/>
        <v>0</v>
      </c>
      <c r="AK941" s="81">
        <f t="shared" si="163"/>
        <v>0</v>
      </c>
      <c r="AL941" s="58" t="s">
        <v>7206</v>
      </c>
      <c r="AM941" s="58" t="s">
        <v>6703</v>
      </c>
      <c r="AN941" s="75">
        <v>4</v>
      </c>
      <c r="AO941" s="88">
        <v>18.59</v>
      </c>
      <c r="AP941" s="6" t="str">
        <f t="shared" si="159"/>
        <v>Same</v>
      </c>
      <c r="AQ941" s="81">
        <f t="shared" si="160"/>
        <v>74.36</v>
      </c>
      <c r="AR941" s="81">
        <f t="shared" si="161"/>
        <v>74.36</v>
      </c>
      <c r="AS941" s="81">
        <f t="shared" si="164"/>
        <v>0</v>
      </c>
    </row>
    <row r="942" spans="1:45" hidden="1" x14ac:dyDescent="0.3">
      <c r="A942">
        <v>6378726</v>
      </c>
      <c r="B942" s="15" t="s">
        <v>6278</v>
      </c>
      <c r="C942" s="16" t="s">
        <v>30</v>
      </c>
      <c r="D942" s="6" t="s">
        <v>31</v>
      </c>
      <c r="E942" t="s">
        <v>747</v>
      </c>
      <c r="F942" t="s">
        <v>747</v>
      </c>
      <c r="H942" s="11" t="s">
        <v>27</v>
      </c>
      <c r="I942" s="6" t="s">
        <v>28</v>
      </c>
      <c r="J942" s="6" t="s">
        <v>28</v>
      </c>
      <c r="K942" t="s">
        <v>32</v>
      </c>
      <c r="L942" s="35">
        <v>46.61</v>
      </c>
      <c r="M942" s="6" t="s">
        <v>29</v>
      </c>
      <c r="N942" s="6">
        <v>3105</v>
      </c>
      <c r="P942" s="18"/>
      <c r="Q942" s="17"/>
      <c r="R942" s="19">
        <v>46.61</v>
      </c>
      <c r="S942" s="19">
        <v>46.61</v>
      </c>
      <c r="T942" s="38">
        <v>0</v>
      </c>
      <c r="U942" s="38"/>
      <c r="V942" s="30">
        <v>46.61</v>
      </c>
      <c r="W942" s="35">
        <v>46.61</v>
      </c>
      <c r="X942" s="32">
        <f t="shared" si="154"/>
        <v>0</v>
      </c>
      <c r="Y942" s="32">
        <f t="shared" si="155"/>
        <v>0</v>
      </c>
      <c r="Z942" s="32">
        <f t="shared" si="156"/>
        <v>0</v>
      </c>
      <c r="AA942" s="38" t="s">
        <v>2573</v>
      </c>
      <c r="AB942" s="37" t="str">
        <f>IFERROR(VLOOKUP(A942,'Tash Lookup'!A:E,3,FALSE),"")</f>
        <v/>
      </c>
      <c r="AC942" s="6" t="str">
        <f t="shared" si="157"/>
        <v/>
      </c>
      <c r="AD942" s="2" t="s">
        <v>6703</v>
      </c>
      <c r="AF942" s="56">
        <v>48.47</v>
      </c>
      <c r="AG942" s="56">
        <f>VLOOKUP(A942,Sheet1!$A$2:$C$1140,3,FALSE)</f>
        <v>48.47</v>
      </c>
      <c r="AH942" s="58">
        <v>48.47</v>
      </c>
      <c r="AI942" s="56" t="str">
        <f t="shared" si="158"/>
        <v>Same</v>
      </c>
      <c r="AJ942" s="81">
        <f t="shared" si="162"/>
        <v>0</v>
      </c>
      <c r="AK942" s="81">
        <f t="shared" si="163"/>
        <v>0</v>
      </c>
      <c r="AL942" s="58" t="s">
        <v>7206</v>
      </c>
      <c r="AM942" s="58" t="s">
        <v>6703</v>
      </c>
      <c r="AN942" s="75">
        <v>0</v>
      </c>
      <c r="AO942" s="88">
        <v>48.47</v>
      </c>
      <c r="AP942" s="6" t="str">
        <f t="shared" si="159"/>
        <v>Same</v>
      </c>
      <c r="AQ942" s="81">
        <f t="shared" si="160"/>
        <v>0</v>
      </c>
      <c r="AR942" s="81">
        <f t="shared" si="161"/>
        <v>0</v>
      </c>
      <c r="AS942" s="81">
        <f t="shared" si="164"/>
        <v>0</v>
      </c>
    </row>
    <row r="943" spans="1:45" hidden="1" x14ac:dyDescent="0.3">
      <c r="A943">
        <v>6378736</v>
      </c>
      <c r="B943" s="15" t="s">
        <v>6279</v>
      </c>
      <c r="C943" s="16" t="s">
        <v>30</v>
      </c>
      <c r="D943" s="6" t="s">
        <v>31</v>
      </c>
      <c r="E943" t="s">
        <v>748</v>
      </c>
      <c r="F943" t="s">
        <v>748</v>
      </c>
      <c r="H943" s="11" t="s">
        <v>27</v>
      </c>
      <c r="I943" s="6" t="s">
        <v>28</v>
      </c>
      <c r="J943" s="6" t="s">
        <v>28</v>
      </c>
      <c r="K943" t="s">
        <v>32</v>
      </c>
      <c r="L943" s="35">
        <v>46.61</v>
      </c>
      <c r="M943" s="6" t="s">
        <v>29</v>
      </c>
      <c r="N943" s="6">
        <v>3105</v>
      </c>
      <c r="P943" s="18"/>
      <c r="Q943" s="17"/>
      <c r="R943" s="19">
        <v>46.61</v>
      </c>
      <c r="S943" s="19">
        <v>46.61</v>
      </c>
      <c r="T943" s="38">
        <v>0</v>
      </c>
      <c r="U943" s="38"/>
      <c r="V943" s="30">
        <v>46.61</v>
      </c>
      <c r="W943" s="35">
        <v>46.61</v>
      </c>
      <c r="X943" s="32">
        <f t="shared" si="154"/>
        <v>0</v>
      </c>
      <c r="Y943" s="32">
        <f t="shared" si="155"/>
        <v>0</v>
      </c>
      <c r="Z943" s="32">
        <f t="shared" si="156"/>
        <v>0</v>
      </c>
      <c r="AA943" s="38" t="s">
        <v>2573</v>
      </c>
      <c r="AB943" s="37" t="str">
        <f>IFERROR(VLOOKUP(A943,'Tash Lookup'!A:E,3,FALSE),"")</f>
        <v/>
      </c>
      <c r="AC943" s="6" t="str">
        <f t="shared" si="157"/>
        <v/>
      </c>
      <c r="AD943" s="2" t="s">
        <v>6703</v>
      </c>
      <c r="AF943" s="56">
        <v>48.47</v>
      </c>
      <c r="AG943" s="56">
        <f>VLOOKUP(A943,Sheet1!$A$2:$C$1140,3,FALSE)</f>
        <v>48.47</v>
      </c>
      <c r="AH943" s="58">
        <v>48.47</v>
      </c>
      <c r="AI943" s="56" t="str">
        <f t="shared" si="158"/>
        <v>Same</v>
      </c>
      <c r="AJ943" s="81">
        <f t="shared" si="162"/>
        <v>0</v>
      </c>
      <c r="AK943" s="81">
        <f t="shared" si="163"/>
        <v>0</v>
      </c>
      <c r="AL943" s="58" t="s">
        <v>7206</v>
      </c>
      <c r="AM943" s="58" t="s">
        <v>6703</v>
      </c>
      <c r="AN943" s="75">
        <v>0</v>
      </c>
      <c r="AO943" s="88">
        <v>48.47</v>
      </c>
      <c r="AP943" s="6" t="str">
        <f t="shared" si="159"/>
        <v>Same</v>
      </c>
      <c r="AQ943" s="81">
        <f t="shared" si="160"/>
        <v>0</v>
      </c>
      <c r="AR943" s="81">
        <f t="shared" si="161"/>
        <v>0</v>
      </c>
      <c r="AS943" s="81">
        <f t="shared" si="164"/>
        <v>0</v>
      </c>
    </row>
    <row r="944" spans="1:45" hidden="1" x14ac:dyDescent="0.3">
      <c r="A944">
        <v>6394223</v>
      </c>
      <c r="B944" s="15" t="s">
        <v>6280</v>
      </c>
      <c r="C944" s="16" t="s">
        <v>30</v>
      </c>
      <c r="D944" s="6" t="s">
        <v>31</v>
      </c>
      <c r="E944" t="s">
        <v>752</v>
      </c>
      <c r="F944" t="s">
        <v>752</v>
      </c>
      <c r="H944" s="11" t="s">
        <v>27</v>
      </c>
      <c r="I944" s="6" t="s">
        <v>28</v>
      </c>
      <c r="J944" s="6" t="s">
        <v>28</v>
      </c>
      <c r="K944" t="s">
        <v>32</v>
      </c>
      <c r="L944" s="35">
        <v>16.579999999999998</v>
      </c>
      <c r="M944" s="6" t="s">
        <v>29</v>
      </c>
      <c r="N944" s="6">
        <v>3105</v>
      </c>
      <c r="P944" s="18"/>
      <c r="Q944" s="17"/>
      <c r="R944" s="19">
        <v>16.579999999999998</v>
      </c>
      <c r="S944" s="19">
        <v>16.579999999999998</v>
      </c>
      <c r="T944" s="38">
        <v>0</v>
      </c>
      <c r="U944" s="38"/>
      <c r="V944" s="30">
        <v>16.579999999999998</v>
      </c>
      <c r="W944" s="35">
        <v>16.579999999999998</v>
      </c>
      <c r="X944" s="32">
        <f t="shared" si="154"/>
        <v>0</v>
      </c>
      <c r="Y944" s="32">
        <f t="shared" si="155"/>
        <v>0</v>
      </c>
      <c r="Z944" s="32">
        <f t="shared" si="156"/>
        <v>0</v>
      </c>
      <c r="AA944" s="38" t="s">
        <v>2573</v>
      </c>
      <c r="AB944" s="37" t="str">
        <f>IFERROR(VLOOKUP(A944,'Tash Lookup'!A:E,3,FALSE),"")</f>
        <v/>
      </c>
      <c r="AC944" s="6" t="str">
        <f t="shared" si="157"/>
        <v/>
      </c>
      <c r="AD944" s="2" t="s">
        <v>6703</v>
      </c>
      <c r="AF944" s="56">
        <v>16.579999999999998</v>
      </c>
      <c r="AG944" s="56">
        <f>VLOOKUP(A944,Sheet1!$A$2:$C$1140,3,FALSE)</f>
        <v>16.91</v>
      </c>
      <c r="AH944" s="58">
        <v>16.91</v>
      </c>
      <c r="AI944" s="56" t="str">
        <f t="shared" si="158"/>
        <v>Increase</v>
      </c>
      <c r="AJ944" s="81">
        <f t="shared" si="162"/>
        <v>0</v>
      </c>
      <c r="AK944" s="81">
        <f t="shared" si="163"/>
        <v>0</v>
      </c>
      <c r="AL944" s="58" t="s">
        <v>7206</v>
      </c>
      <c r="AM944" s="58" t="s">
        <v>6703</v>
      </c>
      <c r="AN944" s="75">
        <v>0</v>
      </c>
      <c r="AO944" s="88">
        <v>16.91</v>
      </c>
      <c r="AP944" s="6" t="str">
        <f t="shared" si="159"/>
        <v>Increase</v>
      </c>
      <c r="AQ944" s="81">
        <f t="shared" si="160"/>
        <v>0</v>
      </c>
      <c r="AR944" s="81">
        <f t="shared" si="161"/>
        <v>0</v>
      </c>
      <c r="AS944" s="81">
        <f t="shared" si="164"/>
        <v>0</v>
      </c>
    </row>
    <row r="945" spans="1:45" hidden="1" x14ac:dyDescent="0.3">
      <c r="A945">
        <v>6394224</v>
      </c>
      <c r="B945" s="15" t="s">
        <v>6281</v>
      </c>
      <c r="C945" s="16" t="s">
        <v>30</v>
      </c>
      <c r="D945" s="6" t="s">
        <v>31</v>
      </c>
      <c r="E945" t="s">
        <v>754</v>
      </c>
      <c r="F945" t="s">
        <v>754</v>
      </c>
      <c r="H945" s="11" t="s">
        <v>27</v>
      </c>
      <c r="I945" s="6" t="s">
        <v>28</v>
      </c>
      <c r="J945" s="6" t="s">
        <v>28</v>
      </c>
      <c r="K945" t="s">
        <v>32</v>
      </c>
      <c r="L945" s="35">
        <v>59.3</v>
      </c>
      <c r="M945" s="6" t="s">
        <v>29</v>
      </c>
      <c r="N945" s="6">
        <v>3105</v>
      </c>
      <c r="P945" s="18"/>
      <c r="Q945" s="17"/>
      <c r="R945" s="19">
        <v>59.3</v>
      </c>
      <c r="S945" s="19">
        <v>59.3</v>
      </c>
      <c r="T945" s="38">
        <v>0</v>
      </c>
      <c r="U945" s="38"/>
      <c r="V945" s="30">
        <v>59.3</v>
      </c>
      <c r="W945" s="35">
        <v>59.3</v>
      </c>
      <c r="X945" s="32">
        <f t="shared" si="154"/>
        <v>0</v>
      </c>
      <c r="Y945" s="32">
        <f t="shared" si="155"/>
        <v>0</v>
      </c>
      <c r="Z945" s="32">
        <f t="shared" si="156"/>
        <v>0</v>
      </c>
      <c r="AA945" s="38" t="s">
        <v>2573</v>
      </c>
      <c r="AB945" s="37" t="str">
        <f>IFERROR(VLOOKUP(A945,'Tash Lookup'!A:E,3,FALSE),"")</f>
        <v/>
      </c>
      <c r="AC945" s="6" t="str">
        <f t="shared" si="157"/>
        <v/>
      </c>
      <c r="AD945" s="2" t="s">
        <v>6703</v>
      </c>
      <c r="AF945" s="56">
        <v>59.3</v>
      </c>
      <c r="AG945" s="56">
        <f>VLOOKUP(A945,Sheet1!$A$2:$C$1140,3,FALSE)</f>
        <v>60.48</v>
      </c>
      <c r="AH945" s="58">
        <v>60.48</v>
      </c>
      <c r="AI945" s="56" t="str">
        <f t="shared" si="158"/>
        <v>Increase</v>
      </c>
      <c r="AJ945" s="81">
        <f t="shared" si="162"/>
        <v>0</v>
      </c>
      <c r="AK945" s="81">
        <f t="shared" si="163"/>
        <v>0</v>
      </c>
      <c r="AL945" s="58" t="s">
        <v>7206</v>
      </c>
      <c r="AM945" s="58" t="s">
        <v>6703</v>
      </c>
      <c r="AN945" s="75">
        <v>0</v>
      </c>
      <c r="AO945" s="88">
        <v>60.48</v>
      </c>
      <c r="AP945" s="6" t="str">
        <f t="shared" si="159"/>
        <v>Increase</v>
      </c>
      <c r="AQ945" s="81">
        <f t="shared" si="160"/>
        <v>0</v>
      </c>
      <c r="AR945" s="81">
        <f t="shared" si="161"/>
        <v>0</v>
      </c>
      <c r="AS945" s="81">
        <f t="shared" si="164"/>
        <v>0</v>
      </c>
    </row>
    <row r="946" spans="1:45" hidden="1" x14ac:dyDescent="0.3">
      <c r="A946">
        <v>6125153</v>
      </c>
      <c r="B946" s="15" t="s">
        <v>6282</v>
      </c>
      <c r="C946" s="16" t="s">
        <v>30</v>
      </c>
      <c r="D946" s="6" t="s">
        <v>31</v>
      </c>
      <c r="E946" t="s">
        <v>756</v>
      </c>
      <c r="F946" t="s">
        <v>756</v>
      </c>
      <c r="H946" s="11" t="s">
        <v>27</v>
      </c>
      <c r="I946" s="6" t="s">
        <v>28</v>
      </c>
      <c r="J946" s="6" t="s">
        <v>28</v>
      </c>
      <c r="K946" t="s">
        <v>32</v>
      </c>
      <c r="L946" s="35">
        <v>12.84</v>
      </c>
      <c r="M946" s="6" t="s">
        <v>29</v>
      </c>
      <c r="N946" s="6">
        <v>3105</v>
      </c>
      <c r="P946" s="18"/>
      <c r="Q946" s="17"/>
      <c r="R946" s="19">
        <v>0</v>
      </c>
      <c r="S946" s="19">
        <v>0</v>
      </c>
      <c r="T946" s="38">
        <v>0</v>
      </c>
      <c r="U946" s="38"/>
      <c r="V946" s="31">
        <v>12.84</v>
      </c>
      <c r="W946" s="35">
        <v>12.84</v>
      </c>
      <c r="X946" s="32">
        <f t="shared" si="154"/>
        <v>0</v>
      </c>
      <c r="Y946" s="32">
        <f t="shared" si="155"/>
        <v>0</v>
      </c>
      <c r="Z946" s="32">
        <f t="shared" si="156"/>
        <v>0</v>
      </c>
      <c r="AA946" s="38" t="s">
        <v>2573</v>
      </c>
      <c r="AB946" s="37" t="str">
        <f>IFERROR(VLOOKUP(A946,'Tash Lookup'!A:E,3,FALSE),"")</f>
        <v/>
      </c>
      <c r="AC946" s="6" t="str">
        <f t="shared" si="157"/>
        <v/>
      </c>
      <c r="AD946" s="2" t="s">
        <v>6703</v>
      </c>
      <c r="AF946" s="56">
        <v>13.23</v>
      </c>
      <c r="AG946" s="56">
        <f>VLOOKUP(A946,Sheet1!$A$2:$C$1140,3,FALSE)</f>
        <v>13.49</v>
      </c>
      <c r="AH946" s="58">
        <v>13.49</v>
      </c>
      <c r="AI946" s="56" t="str">
        <f t="shared" si="158"/>
        <v>Increase</v>
      </c>
      <c r="AJ946" s="81">
        <f t="shared" si="162"/>
        <v>0</v>
      </c>
      <c r="AK946" s="81">
        <f t="shared" si="163"/>
        <v>0</v>
      </c>
      <c r="AL946" s="58" t="s">
        <v>7206</v>
      </c>
      <c r="AM946" s="58" t="s">
        <v>6703</v>
      </c>
      <c r="AN946" s="75">
        <v>0</v>
      </c>
      <c r="AO946" s="88">
        <v>13.49</v>
      </c>
      <c r="AP946" s="6" t="str">
        <f t="shared" si="159"/>
        <v>Increase</v>
      </c>
      <c r="AQ946" s="81">
        <f t="shared" si="160"/>
        <v>0</v>
      </c>
      <c r="AR946" s="81">
        <f t="shared" si="161"/>
        <v>0</v>
      </c>
      <c r="AS946" s="81">
        <f t="shared" si="164"/>
        <v>0</v>
      </c>
    </row>
    <row r="947" spans="1:45" hidden="1" x14ac:dyDescent="0.3">
      <c r="A947">
        <v>5317834</v>
      </c>
      <c r="B947" s="15" t="s">
        <v>6283</v>
      </c>
      <c r="C947" s="16" t="s">
        <v>30</v>
      </c>
      <c r="D947" s="6" t="s">
        <v>31</v>
      </c>
      <c r="E947" t="s">
        <v>767</v>
      </c>
      <c r="F947" t="s">
        <v>767</v>
      </c>
      <c r="H947" s="11" t="s">
        <v>27</v>
      </c>
      <c r="I947" s="6" t="s">
        <v>28</v>
      </c>
      <c r="J947" s="6" t="s">
        <v>28</v>
      </c>
      <c r="K947" t="s">
        <v>32</v>
      </c>
      <c r="L947" s="35">
        <v>50.79</v>
      </c>
      <c r="M947" s="6" t="s">
        <v>29</v>
      </c>
      <c r="N947" s="6">
        <v>3105</v>
      </c>
      <c r="P947" s="18"/>
      <c r="Q947" s="17"/>
      <c r="R947" s="19">
        <v>50.79</v>
      </c>
      <c r="S947" s="19">
        <v>50.79</v>
      </c>
      <c r="T947" s="38">
        <v>0</v>
      </c>
      <c r="U947" s="38"/>
      <c r="V947" s="30">
        <v>50.79</v>
      </c>
      <c r="W947" s="35">
        <v>50.79</v>
      </c>
      <c r="X947" s="32">
        <f t="shared" si="154"/>
        <v>0</v>
      </c>
      <c r="Y947" s="32">
        <f t="shared" si="155"/>
        <v>0</v>
      </c>
      <c r="Z947" s="32">
        <f t="shared" si="156"/>
        <v>0</v>
      </c>
      <c r="AA947" s="38" t="s">
        <v>2573</v>
      </c>
      <c r="AB947" s="37" t="str">
        <f>IFERROR(VLOOKUP(A947,'Tash Lookup'!A:E,3,FALSE),"")</f>
        <v/>
      </c>
      <c r="AC947" s="6" t="str">
        <f t="shared" si="157"/>
        <v/>
      </c>
      <c r="AD947" s="2" t="s">
        <v>6703</v>
      </c>
      <c r="AF947" s="56">
        <v>58.98</v>
      </c>
      <c r="AG947" s="56">
        <f>VLOOKUP(A947,Sheet1!$A$2:$C$1140,3,FALSE)</f>
        <v>60.16</v>
      </c>
      <c r="AH947" s="58">
        <v>60.16</v>
      </c>
      <c r="AI947" s="56" t="str">
        <f t="shared" si="158"/>
        <v>Increase</v>
      </c>
      <c r="AJ947" s="81">
        <f t="shared" si="162"/>
        <v>0</v>
      </c>
      <c r="AK947" s="81">
        <f t="shared" si="163"/>
        <v>0</v>
      </c>
      <c r="AL947" s="58" t="s">
        <v>7206</v>
      </c>
      <c r="AM947" s="58" t="s">
        <v>6703</v>
      </c>
      <c r="AN947" s="75">
        <v>8</v>
      </c>
      <c r="AO947" s="88">
        <v>60.16</v>
      </c>
      <c r="AP947" s="6" t="str">
        <f t="shared" si="159"/>
        <v>Increase</v>
      </c>
      <c r="AQ947" s="81">
        <f t="shared" si="160"/>
        <v>471.84</v>
      </c>
      <c r="AR947" s="81">
        <f t="shared" si="161"/>
        <v>481.28</v>
      </c>
      <c r="AS947" s="81">
        <f t="shared" si="164"/>
        <v>9.4399999999999977</v>
      </c>
    </row>
    <row r="948" spans="1:45" hidden="1" x14ac:dyDescent="0.3">
      <c r="A948">
        <v>6344593</v>
      </c>
      <c r="B948" s="15" t="s">
        <v>6284</v>
      </c>
      <c r="C948" s="16" t="s">
        <v>30</v>
      </c>
      <c r="D948" s="6" t="s">
        <v>31</v>
      </c>
      <c r="E948" t="s">
        <v>768</v>
      </c>
      <c r="F948" t="s">
        <v>768</v>
      </c>
      <c r="H948" s="11" t="s">
        <v>27</v>
      </c>
      <c r="I948" s="6" t="s">
        <v>28</v>
      </c>
      <c r="J948" s="6" t="s">
        <v>28</v>
      </c>
      <c r="K948" t="s">
        <v>32</v>
      </c>
      <c r="L948" s="35">
        <v>142.63</v>
      </c>
      <c r="M948" s="6" t="s">
        <v>29</v>
      </c>
      <c r="N948" s="6">
        <v>3105</v>
      </c>
      <c r="P948" s="18"/>
      <c r="Q948" s="17"/>
      <c r="R948" s="19">
        <v>142.63</v>
      </c>
      <c r="S948" s="19">
        <v>142.63</v>
      </c>
      <c r="T948" s="38">
        <v>0</v>
      </c>
      <c r="U948" s="38"/>
      <c r="V948" s="30">
        <v>142.63</v>
      </c>
      <c r="W948" s="35">
        <v>142.63</v>
      </c>
      <c r="X948" s="32">
        <f t="shared" si="154"/>
        <v>0</v>
      </c>
      <c r="Y948" s="32">
        <f t="shared" si="155"/>
        <v>0</v>
      </c>
      <c r="Z948" s="32">
        <f t="shared" si="156"/>
        <v>0</v>
      </c>
      <c r="AA948" s="38" t="s">
        <v>2573</v>
      </c>
      <c r="AB948" s="37" t="str">
        <f>IFERROR(VLOOKUP(A948,'Tash Lookup'!A:E,3,FALSE),"")</f>
        <v/>
      </c>
      <c r="AC948" s="6" t="str">
        <f t="shared" si="157"/>
        <v/>
      </c>
      <c r="AD948" s="2" t="s">
        <v>6703</v>
      </c>
      <c r="AF948" s="56">
        <v>152.63</v>
      </c>
      <c r="AG948" s="56">
        <f>VLOOKUP(A948,Sheet1!$A$2:$C$1140,3,FALSE)</f>
        <v>155.68</v>
      </c>
      <c r="AH948" s="58">
        <v>155.68</v>
      </c>
      <c r="AI948" s="56" t="str">
        <f t="shared" si="158"/>
        <v>Increase</v>
      </c>
      <c r="AJ948" s="81">
        <f t="shared" si="162"/>
        <v>0</v>
      </c>
      <c r="AK948" s="81">
        <f t="shared" si="163"/>
        <v>0</v>
      </c>
      <c r="AL948" s="58" t="s">
        <v>7206</v>
      </c>
      <c r="AM948" s="58" t="s">
        <v>6703</v>
      </c>
      <c r="AN948" s="75">
        <v>0</v>
      </c>
      <c r="AO948" s="88">
        <v>155.68</v>
      </c>
      <c r="AP948" s="6" t="str">
        <f t="shared" si="159"/>
        <v>Increase</v>
      </c>
      <c r="AQ948" s="81">
        <f t="shared" si="160"/>
        <v>0</v>
      </c>
      <c r="AR948" s="81">
        <f t="shared" si="161"/>
        <v>0</v>
      </c>
      <c r="AS948" s="81">
        <f t="shared" si="164"/>
        <v>0</v>
      </c>
    </row>
    <row r="949" spans="1:45" hidden="1" x14ac:dyDescent="0.3">
      <c r="A949">
        <v>6344599</v>
      </c>
      <c r="B949" s="15" t="s">
        <v>6285</v>
      </c>
      <c r="C949" s="16" t="s">
        <v>30</v>
      </c>
      <c r="D949" s="6" t="s">
        <v>31</v>
      </c>
      <c r="E949" t="s">
        <v>772</v>
      </c>
      <c r="F949" t="s">
        <v>772</v>
      </c>
      <c r="H949" s="11" t="s">
        <v>27</v>
      </c>
      <c r="I949" s="6" t="s">
        <v>28</v>
      </c>
      <c r="J949" s="6" t="s">
        <v>28</v>
      </c>
      <c r="K949" t="s">
        <v>32</v>
      </c>
      <c r="L949" s="35">
        <v>111.75</v>
      </c>
      <c r="M949" s="6" t="s">
        <v>29</v>
      </c>
      <c r="N949" s="6">
        <v>3105</v>
      </c>
      <c r="P949" s="18"/>
      <c r="Q949" s="17"/>
      <c r="R949" s="19">
        <v>111.75</v>
      </c>
      <c r="S949" s="19">
        <v>111.75</v>
      </c>
      <c r="T949" s="38">
        <v>0</v>
      </c>
      <c r="U949" s="38"/>
      <c r="V949" s="30">
        <v>111.75</v>
      </c>
      <c r="W949" s="35">
        <v>111.75</v>
      </c>
      <c r="X949" s="32">
        <f t="shared" si="154"/>
        <v>0</v>
      </c>
      <c r="Y949" s="32">
        <f t="shared" si="155"/>
        <v>0</v>
      </c>
      <c r="Z949" s="32">
        <f t="shared" si="156"/>
        <v>0</v>
      </c>
      <c r="AA949" s="38" t="s">
        <v>2573</v>
      </c>
      <c r="AB949" s="37" t="str">
        <f>IFERROR(VLOOKUP(A949,'Tash Lookup'!A:E,3,FALSE),"")</f>
        <v/>
      </c>
      <c r="AC949" s="6" t="str">
        <f t="shared" si="157"/>
        <v/>
      </c>
      <c r="AD949" s="2" t="s">
        <v>6703</v>
      </c>
      <c r="AF949" s="56">
        <v>123.18</v>
      </c>
      <c r="AG949" s="56">
        <f>VLOOKUP(A949,Sheet1!$A$2:$C$1140,3,FALSE)</f>
        <v>125.64</v>
      </c>
      <c r="AH949" s="58">
        <v>125.64</v>
      </c>
      <c r="AI949" s="56" t="str">
        <f t="shared" si="158"/>
        <v>Increase</v>
      </c>
      <c r="AJ949" s="81">
        <f t="shared" si="162"/>
        <v>0</v>
      </c>
      <c r="AK949" s="81">
        <f t="shared" si="163"/>
        <v>0</v>
      </c>
      <c r="AL949" s="58" t="s">
        <v>7206</v>
      </c>
      <c r="AM949" s="58" t="s">
        <v>6703</v>
      </c>
      <c r="AN949" s="75">
        <v>0</v>
      </c>
      <c r="AO949" s="88">
        <v>125.64</v>
      </c>
      <c r="AP949" s="6" t="str">
        <f t="shared" si="159"/>
        <v>Increase</v>
      </c>
      <c r="AQ949" s="81">
        <f t="shared" si="160"/>
        <v>0</v>
      </c>
      <c r="AR949" s="81">
        <f t="shared" si="161"/>
        <v>0</v>
      </c>
      <c r="AS949" s="81">
        <f t="shared" si="164"/>
        <v>0</v>
      </c>
    </row>
    <row r="950" spans="1:45" hidden="1" x14ac:dyDescent="0.3">
      <c r="A950">
        <v>6344597</v>
      </c>
      <c r="B950" s="15" t="s">
        <v>6286</v>
      </c>
      <c r="C950" s="16" t="s">
        <v>30</v>
      </c>
      <c r="D950" s="6" t="s">
        <v>31</v>
      </c>
      <c r="E950" t="s">
        <v>773</v>
      </c>
      <c r="F950" t="s">
        <v>773</v>
      </c>
      <c r="H950" s="11" t="s">
        <v>27</v>
      </c>
      <c r="I950" s="6" t="s">
        <v>28</v>
      </c>
      <c r="J950" s="6" t="s">
        <v>28</v>
      </c>
      <c r="K950" t="s">
        <v>32</v>
      </c>
      <c r="L950" s="35">
        <v>108.49</v>
      </c>
      <c r="M950" s="6" t="s">
        <v>29</v>
      </c>
      <c r="N950" s="6">
        <v>3105</v>
      </c>
      <c r="P950" s="18"/>
      <c r="Q950" s="17"/>
      <c r="R950" s="19">
        <v>108.49</v>
      </c>
      <c r="S950" s="19">
        <v>108.49</v>
      </c>
      <c r="T950" s="38">
        <v>0</v>
      </c>
      <c r="U950" s="38"/>
      <c r="V950" s="30">
        <v>108.49</v>
      </c>
      <c r="W950" s="35">
        <v>108.49</v>
      </c>
      <c r="X950" s="32">
        <f t="shared" si="154"/>
        <v>0</v>
      </c>
      <c r="Y950" s="32">
        <f t="shared" si="155"/>
        <v>0</v>
      </c>
      <c r="Z950" s="32">
        <f t="shared" si="156"/>
        <v>0</v>
      </c>
      <c r="AA950" s="38" t="s">
        <v>2573</v>
      </c>
      <c r="AB950" s="37" t="str">
        <f>IFERROR(VLOOKUP(A950,'Tash Lookup'!A:E,3,FALSE),"")</f>
        <v/>
      </c>
      <c r="AC950" s="6" t="str">
        <f t="shared" si="157"/>
        <v/>
      </c>
      <c r="AD950" s="2" t="s">
        <v>6703</v>
      </c>
      <c r="AF950" s="56">
        <v>119.59</v>
      </c>
      <c r="AG950" s="56">
        <f>VLOOKUP(A950,Sheet1!$A$2:$C$1140,3,FALSE)</f>
        <v>121.98</v>
      </c>
      <c r="AH950" s="58">
        <v>121.98</v>
      </c>
      <c r="AI950" s="56" t="str">
        <f t="shared" si="158"/>
        <v>Increase</v>
      </c>
      <c r="AJ950" s="81">
        <f t="shared" si="162"/>
        <v>0</v>
      </c>
      <c r="AK950" s="81">
        <f t="shared" si="163"/>
        <v>0</v>
      </c>
      <c r="AL950" s="58" t="s">
        <v>7206</v>
      </c>
      <c r="AM950" s="58" t="s">
        <v>6703</v>
      </c>
      <c r="AN950" s="75">
        <v>0</v>
      </c>
      <c r="AO950" s="88">
        <v>121.98</v>
      </c>
      <c r="AP950" s="6" t="str">
        <f t="shared" si="159"/>
        <v>Increase</v>
      </c>
      <c r="AQ950" s="81">
        <f t="shared" si="160"/>
        <v>0</v>
      </c>
      <c r="AR950" s="81">
        <f t="shared" si="161"/>
        <v>0</v>
      </c>
      <c r="AS950" s="81">
        <f t="shared" si="164"/>
        <v>0</v>
      </c>
    </row>
    <row r="951" spans="1:45" hidden="1" x14ac:dyDescent="0.3">
      <c r="A951">
        <v>6092836</v>
      </c>
      <c r="B951" s="15" t="s">
        <v>6287</v>
      </c>
      <c r="C951" s="16" t="s">
        <v>30</v>
      </c>
      <c r="D951" s="6" t="s">
        <v>31</v>
      </c>
      <c r="E951" t="s">
        <v>775</v>
      </c>
      <c r="F951" t="s">
        <v>775</v>
      </c>
      <c r="H951" s="11" t="s">
        <v>27</v>
      </c>
      <c r="I951" s="6" t="s">
        <v>28</v>
      </c>
      <c r="J951" s="6" t="s">
        <v>28</v>
      </c>
      <c r="K951" t="s">
        <v>32</v>
      </c>
      <c r="L951" s="35">
        <v>4.97</v>
      </c>
      <c r="M951" s="6" t="s">
        <v>29</v>
      </c>
      <c r="N951" s="6">
        <v>3105</v>
      </c>
      <c r="P951" s="18"/>
      <c r="Q951" s="17"/>
      <c r="R951" s="19">
        <v>4.97</v>
      </c>
      <c r="S951" s="19">
        <v>4.97</v>
      </c>
      <c r="T951" s="38">
        <v>0</v>
      </c>
      <c r="U951" s="38"/>
      <c r="V951" s="30">
        <v>4.97</v>
      </c>
      <c r="W951" s="35">
        <v>4.97</v>
      </c>
      <c r="X951" s="32">
        <f t="shared" si="154"/>
        <v>0</v>
      </c>
      <c r="Y951" s="32">
        <f t="shared" si="155"/>
        <v>0</v>
      </c>
      <c r="Z951" s="32">
        <f t="shared" si="156"/>
        <v>0</v>
      </c>
      <c r="AA951" s="38" t="s">
        <v>2573</v>
      </c>
      <c r="AB951" s="37" t="str">
        <f>IFERROR(VLOOKUP(A951,'Tash Lookup'!A:E,3,FALSE),"")</f>
        <v/>
      </c>
      <c r="AC951" s="6" t="str">
        <f t="shared" si="157"/>
        <v/>
      </c>
      <c r="AD951" s="2" t="s">
        <v>6708</v>
      </c>
      <c r="AF951" s="56">
        <v>4.97</v>
      </c>
      <c r="AG951" s="56" t="e">
        <f>VLOOKUP(A951,Sheet1!$A$2:$C$1140,3,FALSE)</f>
        <v>#N/A</v>
      </c>
      <c r="AH951" s="58" t="e">
        <v>#N/A</v>
      </c>
      <c r="AI951" s="56" t="str">
        <f t="shared" si="158"/>
        <v>Delete</v>
      </c>
      <c r="AJ951" s="81">
        <f t="shared" si="162"/>
        <v>0</v>
      </c>
      <c r="AK951" s="81">
        <f t="shared" si="163"/>
        <v>0</v>
      </c>
      <c r="AL951" s="58" t="s">
        <v>7206</v>
      </c>
      <c r="AM951" s="58" t="s">
        <v>6708</v>
      </c>
      <c r="AN951" s="75">
        <v>0</v>
      </c>
      <c r="AO951" s="88">
        <v>4.97</v>
      </c>
      <c r="AP951" s="6" t="str">
        <f t="shared" si="159"/>
        <v>Same</v>
      </c>
      <c r="AQ951" s="81">
        <f t="shared" si="160"/>
        <v>0</v>
      </c>
      <c r="AR951" s="81">
        <f t="shared" si="161"/>
        <v>0</v>
      </c>
      <c r="AS951" s="81">
        <f t="shared" si="164"/>
        <v>0</v>
      </c>
    </row>
    <row r="952" spans="1:45" hidden="1" x14ac:dyDescent="0.3">
      <c r="A952">
        <v>5092432</v>
      </c>
      <c r="B952" s="15" t="s">
        <v>6288</v>
      </c>
      <c r="C952" s="16" t="s">
        <v>30</v>
      </c>
      <c r="D952" s="6" t="s">
        <v>31</v>
      </c>
      <c r="E952" t="s">
        <v>778</v>
      </c>
      <c r="F952" t="s">
        <v>778</v>
      </c>
      <c r="H952" s="11" t="s">
        <v>27</v>
      </c>
      <c r="I952" s="6" t="s">
        <v>28</v>
      </c>
      <c r="J952" s="6" t="s">
        <v>28</v>
      </c>
      <c r="K952" t="s">
        <v>32</v>
      </c>
      <c r="L952" s="35">
        <v>16.96</v>
      </c>
      <c r="M952" s="6" t="s">
        <v>29</v>
      </c>
      <c r="N952" s="6">
        <v>3105</v>
      </c>
      <c r="P952" s="18"/>
      <c r="Q952" s="17"/>
      <c r="R952" s="19">
        <v>16.96</v>
      </c>
      <c r="S952" s="19">
        <v>16.96</v>
      </c>
      <c r="T952" s="38">
        <v>0</v>
      </c>
      <c r="U952" s="38"/>
      <c r="V952" s="30">
        <v>16.96</v>
      </c>
      <c r="W952" s="35">
        <v>16.96</v>
      </c>
      <c r="X952" s="32">
        <f t="shared" si="154"/>
        <v>0</v>
      </c>
      <c r="Y952" s="32">
        <f t="shared" si="155"/>
        <v>0</v>
      </c>
      <c r="Z952" s="32">
        <f t="shared" si="156"/>
        <v>0</v>
      </c>
      <c r="AA952" s="38" t="s">
        <v>2573</v>
      </c>
      <c r="AB952" s="37" t="str">
        <f>IFERROR(VLOOKUP(A952,'Tash Lookup'!A:E,3,FALSE),"")</f>
        <v/>
      </c>
      <c r="AC952" s="6" t="str">
        <f t="shared" si="157"/>
        <v/>
      </c>
      <c r="AD952" s="2" t="s">
        <v>6703</v>
      </c>
      <c r="AF952" s="56">
        <v>18.14</v>
      </c>
      <c r="AG952" s="56">
        <f>VLOOKUP(A952,Sheet1!$A$2:$C$1140,3,FALSE)</f>
        <v>18.14</v>
      </c>
      <c r="AH952" s="58">
        <v>18.14</v>
      </c>
      <c r="AI952" s="56" t="str">
        <f t="shared" si="158"/>
        <v>Same</v>
      </c>
      <c r="AJ952" s="81">
        <f t="shared" si="162"/>
        <v>0</v>
      </c>
      <c r="AK952" s="81">
        <f t="shared" si="163"/>
        <v>0</v>
      </c>
      <c r="AL952" s="58" t="s">
        <v>7206</v>
      </c>
      <c r="AM952" s="58" t="s">
        <v>6703</v>
      </c>
      <c r="AN952" s="75">
        <v>4</v>
      </c>
      <c r="AO952" s="88">
        <v>18.14</v>
      </c>
      <c r="AP952" s="6" t="str">
        <f t="shared" si="159"/>
        <v>Same</v>
      </c>
      <c r="AQ952" s="81">
        <f t="shared" si="160"/>
        <v>72.56</v>
      </c>
      <c r="AR952" s="81">
        <f t="shared" si="161"/>
        <v>72.56</v>
      </c>
      <c r="AS952" s="81">
        <f t="shared" si="164"/>
        <v>0</v>
      </c>
    </row>
    <row r="953" spans="1:45" hidden="1" x14ac:dyDescent="0.3">
      <c r="A953">
        <v>5083424</v>
      </c>
      <c r="B953" s="15" t="s">
        <v>6289</v>
      </c>
      <c r="C953" s="16" t="s">
        <v>30</v>
      </c>
      <c r="D953" s="6" t="s">
        <v>31</v>
      </c>
      <c r="E953" t="s">
        <v>309</v>
      </c>
      <c r="F953" t="s">
        <v>309</v>
      </c>
      <c r="H953" s="11" t="s">
        <v>27</v>
      </c>
      <c r="I953" s="6" t="s">
        <v>28</v>
      </c>
      <c r="J953" s="6" t="s">
        <v>28</v>
      </c>
      <c r="K953" t="s">
        <v>32</v>
      </c>
      <c r="L953" s="35">
        <v>2.77</v>
      </c>
      <c r="M953" s="6" t="s">
        <v>29</v>
      </c>
      <c r="N953" s="6">
        <v>3105</v>
      </c>
      <c r="P953" s="18"/>
      <c r="Q953" s="17"/>
      <c r="R953" s="19">
        <v>2.77</v>
      </c>
      <c r="S953" s="19">
        <v>2.77</v>
      </c>
      <c r="T953" s="38">
        <v>0</v>
      </c>
      <c r="U953" s="38"/>
      <c r="V953" s="29">
        <v>2.77</v>
      </c>
      <c r="W953" s="35">
        <v>2.77</v>
      </c>
      <c r="X953" s="32">
        <f t="shared" si="154"/>
        <v>0</v>
      </c>
      <c r="Y953" s="32">
        <f t="shared" si="155"/>
        <v>0</v>
      </c>
      <c r="Z953" s="32">
        <f t="shared" si="156"/>
        <v>0</v>
      </c>
      <c r="AA953" s="38" t="s">
        <v>2573</v>
      </c>
      <c r="AB953" s="37" t="str">
        <f>IFERROR(VLOOKUP(A953,'Tash Lookup'!A:E,3,FALSE),"")</f>
        <v/>
      </c>
      <c r="AC953" s="6" t="str">
        <f t="shared" si="157"/>
        <v/>
      </c>
      <c r="AD953" s="2" t="s">
        <v>6703</v>
      </c>
      <c r="AF953" s="56">
        <v>3.09</v>
      </c>
      <c r="AG953" s="56">
        <f>VLOOKUP(A953,Sheet1!$A$2:$C$1140,3,FALSE)</f>
        <v>3.18</v>
      </c>
      <c r="AH953" s="58">
        <v>3.18</v>
      </c>
      <c r="AI953" s="56" t="str">
        <f t="shared" si="158"/>
        <v>Increase</v>
      </c>
      <c r="AJ953" s="81">
        <f t="shared" si="162"/>
        <v>0</v>
      </c>
      <c r="AK953" s="81">
        <f t="shared" si="163"/>
        <v>0</v>
      </c>
      <c r="AL953" s="58" t="s">
        <v>32</v>
      </c>
      <c r="AM953" s="58" t="s">
        <v>6703</v>
      </c>
      <c r="AN953" s="75">
        <v>0</v>
      </c>
      <c r="AO953" s="88">
        <v>3.18</v>
      </c>
      <c r="AP953" s="6" t="str">
        <f t="shared" si="159"/>
        <v>Increase</v>
      </c>
      <c r="AQ953" s="81">
        <f t="shared" si="160"/>
        <v>0</v>
      </c>
      <c r="AR953" s="81">
        <f t="shared" si="161"/>
        <v>0</v>
      </c>
      <c r="AS953" s="81">
        <f t="shared" si="164"/>
        <v>0</v>
      </c>
    </row>
    <row r="954" spans="1:45" hidden="1" x14ac:dyDescent="0.3">
      <c r="A954">
        <v>5097039</v>
      </c>
      <c r="B954" s="15" t="s">
        <v>6290</v>
      </c>
      <c r="C954" s="16" t="s">
        <v>30</v>
      </c>
      <c r="D954" s="6" t="s">
        <v>31</v>
      </c>
      <c r="E954" t="s">
        <v>312</v>
      </c>
      <c r="F954" t="s">
        <v>312</v>
      </c>
      <c r="H954" s="11" t="s">
        <v>27</v>
      </c>
      <c r="I954" s="6" t="s">
        <v>28</v>
      </c>
      <c r="J954" s="6" t="s">
        <v>28</v>
      </c>
      <c r="K954" t="s">
        <v>32</v>
      </c>
      <c r="L954" s="35">
        <v>28.18</v>
      </c>
      <c r="M954" s="6" t="s">
        <v>29</v>
      </c>
      <c r="N954" s="6">
        <v>3105</v>
      </c>
      <c r="P954" s="18"/>
      <c r="Q954" s="17"/>
      <c r="R954" s="19">
        <v>28.18</v>
      </c>
      <c r="S954" s="19">
        <v>28.18</v>
      </c>
      <c r="T954" s="38">
        <v>0</v>
      </c>
      <c r="U954" s="38"/>
      <c r="V954" s="29">
        <v>28.18</v>
      </c>
      <c r="W954" s="35">
        <v>28.18</v>
      </c>
      <c r="X954" s="32">
        <f t="shared" si="154"/>
        <v>0</v>
      </c>
      <c r="Y954" s="32">
        <f t="shared" si="155"/>
        <v>0</v>
      </c>
      <c r="Z954" s="32">
        <f t="shared" si="156"/>
        <v>0</v>
      </c>
      <c r="AA954" s="38" t="s">
        <v>2573</v>
      </c>
      <c r="AB954" s="37" t="str">
        <f>IFERROR(VLOOKUP(A954,'Tash Lookup'!A:E,3,FALSE),"")</f>
        <v/>
      </c>
      <c r="AC954" s="6" t="str">
        <f t="shared" si="157"/>
        <v/>
      </c>
      <c r="AD954" s="2" t="s">
        <v>6703</v>
      </c>
      <c r="AF954" s="56">
        <v>29.08</v>
      </c>
      <c r="AG954" s="56">
        <f>VLOOKUP(A954,Sheet1!$A$2:$C$1140,3,FALSE)</f>
        <v>29.96</v>
      </c>
      <c r="AH954" s="58">
        <v>29.96</v>
      </c>
      <c r="AI954" s="56" t="str">
        <f t="shared" si="158"/>
        <v>Increase</v>
      </c>
      <c r="AJ954" s="81">
        <f t="shared" si="162"/>
        <v>0</v>
      </c>
      <c r="AK954" s="81">
        <f t="shared" si="163"/>
        <v>0</v>
      </c>
      <c r="AL954" s="58" t="s">
        <v>32</v>
      </c>
      <c r="AM954" s="58" t="s">
        <v>6703</v>
      </c>
      <c r="AN954" s="75">
        <v>2</v>
      </c>
      <c r="AO954" s="88">
        <v>29.96</v>
      </c>
      <c r="AP954" s="6" t="str">
        <f t="shared" si="159"/>
        <v>Increase</v>
      </c>
      <c r="AQ954" s="81">
        <f t="shared" si="160"/>
        <v>58.16</v>
      </c>
      <c r="AR954" s="81">
        <f t="shared" si="161"/>
        <v>59.92</v>
      </c>
      <c r="AS954" s="81">
        <f t="shared" si="164"/>
        <v>1.7600000000000051</v>
      </c>
    </row>
    <row r="955" spans="1:45" hidden="1" x14ac:dyDescent="0.3">
      <c r="A955">
        <v>5097040</v>
      </c>
      <c r="B955" s="15" t="s">
        <v>6291</v>
      </c>
      <c r="C955" s="16" t="s">
        <v>30</v>
      </c>
      <c r="D955" s="6" t="s">
        <v>31</v>
      </c>
      <c r="E955" t="s">
        <v>313</v>
      </c>
      <c r="F955" t="s">
        <v>313</v>
      </c>
      <c r="H955" s="11" t="s">
        <v>27</v>
      </c>
      <c r="I955" s="6" t="s">
        <v>28</v>
      </c>
      <c r="J955" s="6" t="s">
        <v>28</v>
      </c>
      <c r="K955" t="s">
        <v>32</v>
      </c>
      <c r="L955" s="35">
        <v>28.18</v>
      </c>
      <c r="M955" s="6" t="s">
        <v>29</v>
      </c>
      <c r="N955" s="6">
        <v>3105</v>
      </c>
      <c r="P955" s="18"/>
      <c r="Q955" s="17"/>
      <c r="R955" s="19">
        <v>28.18</v>
      </c>
      <c r="S955" s="19">
        <v>28.18</v>
      </c>
      <c r="T955" s="38">
        <v>0</v>
      </c>
      <c r="U955" s="38"/>
      <c r="V955" s="29">
        <v>28.18</v>
      </c>
      <c r="W955" s="35">
        <v>28.18</v>
      </c>
      <c r="X955" s="32">
        <f t="shared" si="154"/>
        <v>0</v>
      </c>
      <c r="Y955" s="32">
        <f t="shared" si="155"/>
        <v>0</v>
      </c>
      <c r="Z955" s="32">
        <f t="shared" si="156"/>
        <v>0</v>
      </c>
      <c r="AA955" s="38" t="s">
        <v>2573</v>
      </c>
      <c r="AB955" s="37" t="str">
        <f>IFERROR(VLOOKUP(A955,'Tash Lookup'!A:E,3,FALSE),"")</f>
        <v/>
      </c>
      <c r="AC955" s="6" t="str">
        <f t="shared" si="157"/>
        <v/>
      </c>
      <c r="AD955" s="2" t="s">
        <v>6703</v>
      </c>
      <c r="AF955" s="56">
        <v>29.08</v>
      </c>
      <c r="AG955" s="56">
        <f>VLOOKUP(A955,Sheet1!$A$2:$C$1140,3,FALSE)</f>
        <v>29.96</v>
      </c>
      <c r="AH955" s="58">
        <v>29.96</v>
      </c>
      <c r="AI955" s="56" t="str">
        <f t="shared" si="158"/>
        <v>Increase</v>
      </c>
      <c r="AJ955" s="81">
        <f t="shared" si="162"/>
        <v>0</v>
      </c>
      <c r="AK955" s="81">
        <f t="shared" si="163"/>
        <v>0</v>
      </c>
      <c r="AL955" s="58" t="s">
        <v>32</v>
      </c>
      <c r="AM955" s="58" t="s">
        <v>6703</v>
      </c>
      <c r="AN955" s="75">
        <v>1</v>
      </c>
      <c r="AO955" s="88">
        <v>29.96</v>
      </c>
      <c r="AP955" s="6" t="str">
        <f t="shared" si="159"/>
        <v>Increase</v>
      </c>
      <c r="AQ955" s="81">
        <f t="shared" si="160"/>
        <v>29.08</v>
      </c>
      <c r="AR955" s="81">
        <f t="shared" si="161"/>
        <v>29.96</v>
      </c>
      <c r="AS955" s="81">
        <f t="shared" si="164"/>
        <v>0.88000000000000256</v>
      </c>
    </row>
    <row r="956" spans="1:45" hidden="1" x14ac:dyDescent="0.3">
      <c r="A956">
        <v>5122409</v>
      </c>
      <c r="B956" s="15" t="s">
        <v>6292</v>
      </c>
      <c r="C956" s="16" t="s">
        <v>30</v>
      </c>
      <c r="D956" s="6" t="s">
        <v>31</v>
      </c>
      <c r="E956" t="s">
        <v>314</v>
      </c>
      <c r="F956" t="s">
        <v>314</v>
      </c>
      <c r="H956" s="11" t="s">
        <v>27</v>
      </c>
      <c r="I956" s="6" t="s">
        <v>28</v>
      </c>
      <c r="J956" s="6" t="s">
        <v>28</v>
      </c>
      <c r="K956" t="s">
        <v>32</v>
      </c>
      <c r="L956" s="35">
        <v>28.18</v>
      </c>
      <c r="M956" s="6" t="s">
        <v>29</v>
      </c>
      <c r="N956" s="6">
        <v>3105</v>
      </c>
      <c r="P956" s="18"/>
      <c r="Q956" s="17"/>
      <c r="R956" s="19">
        <v>28.18</v>
      </c>
      <c r="S956" s="19">
        <v>28.18</v>
      </c>
      <c r="T956" s="38">
        <v>0</v>
      </c>
      <c r="U956" s="38"/>
      <c r="V956" s="29">
        <v>28.18</v>
      </c>
      <c r="W956" s="35">
        <v>28.18</v>
      </c>
      <c r="X956" s="32">
        <f t="shared" si="154"/>
        <v>0</v>
      </c>
      <c r="Y956" s="32">
        <f t="shared" si="155"/>
        <v>0</v>
      </c>
      <c r="Z956" s="32">
        <f t="shared" si="156"/>
        <v>0</v>
      </c>
      <c r="AA956" s="38" t="s">
        <v>2573</v>
      </c>
      <c r="AB956" s="37" t="str">
        <f>IFERROR(VLOOKUP(A956,'Tash Lookup'!A:E,3,FALSE),"")</f>
        <v/>
      </c>
      <c r="AC956" s="6" t="str">
        <f t="shared" si="157"/>
        <v/>
      </c>
      <c r="AD956" s="2" t="s">
        <v>6703</v>
      </c>
      <c r="AF956" s="56">
        <v>28.24</v>
      </c>
      <c r="AG956" s="56">
        <f>VLOOKUP(A956,Sheet1!$A$2:$C$1140,3,FALSE)</f>
        <v>29.09</v>
      </c>
      <c r="AH956" s="58">
        <v>29.09</v>
      </c>
      <c r="AI956" s="56" t="str">
        <f t="shared" si="158"/>
        <v>Increase</v>
      </c>
      <c r="AJ956" s="81">
        <f t="shared" si="162"/>
        <v>0</v>
      </c>
      <c r="AK956" s="81">
        <f t="shared" si="163"/>
        <v>0</v>
      </c>
      <c r="AL956" s="58" t="s">
        <v>32</v>
      </c>
      <c r="AM956" s="58" t="s">
        <v>6703</v>
      </c>
      <c r="AN956" s="75">
        <v>1</v>
      </c>
      <c r="AO956" s="88">
        <v>29.09</v>
      </c>
      <c r="AP956" s="6" t="str">
        <f t="shared" si="159"/>
        <v>Increase</v>
      </c>
      <c r="AQ956" s="81">
        <f t="shared" si="160"/>
        <v>28.24</v>
      </c>
      <c r="AR956" s="81">
        <f t="shared" si="161"/>
        <v>29.09</v>
      </c>
      <c r="AS956" s="81">
        <f t="shared" si="164"/>
        <v>0.85000000000000142</v>
      </c>
    </row>
    <row r="957" spans="1:45" hidden="1" x14ac:dyDescent="0.3">
      <c r="A957">
        <v>5092615</v>
      </c>
      <c r="B957" s="15" t="s">
        <v>6293</v>
      </c>
      <c r="C957" s="16" t="s">
        <v>30</v>
      </c>
      <c r="D957" s="6" t="s">
        <v>31</v>
      </c>
      <c r="E957" t="s">
        <v>315</v>
      </c>
      <c r="F957" t="s">
        <v>315</v>
      </c>
      <c r="H957" s="11" t="s">
        <v>27</v>
      </c>
      <c r="I957" s="6" t="s">
        <v>28</v>
      </c>
      <c r="J957" s="6" t="s">
        <v>28</v>
      </c>
      <c r="K957" t="s">
        <v>32</v>
      </c>
      <c r="L957" s="35">
        <v>18.41</v>
      </c>
      <c r="M957" s="6" t="s">
        <v>29</v>
      </c>
      <c r="N957" s="6">
        <v>3105</v>
      </c>
      <c r="P957" s="18"/>
      <c r="Q957" s="17"/>
      <c r="R957" s="19">
        <v>18.41</v>
      </c>
      <c r="S957" s="19">
        <v>18.41</v>
      </c>
      <c r="T957" s="38">
        <v>0</v>
      </c>
      <c r="U957" s="38"/>
      <c r="V957" s="29">
        <v>18.41</v>
      </c>
      <c r="W957" s="35">
        <v>18.41</v>
      </c>
      <c r="X957" s="32">
        <f t="shared" si="154"/>
        <v>0</v>
      </c>
      <c r="Y957" s="32">
        <f t="shared" si="155"/>
        <v>0</v>
      </c>
      <c r="Z957" s="32">
        <f t="shared" si="156"/>
        <v>0</v>
      </c>
      <c r="AA957" s="38" t="s">
        <v>2573</v>
      </c>
      <c r="AB957" s="37" t="str">
        <f>IFERROR(VLOOKUP(A957,'Tash Lookup'!A:E,3,FALSE),"")</f>
        <v/>
      </c>
      <c r="AC957" s="6" t="str">
        <f t="shared" si="157"/>
        <v/>
      </c>
      <c r="AD957" s="2" t="s">
        <v>6703</v>
      </c>
      <c r="AF957" s="56">
        <v>20.329999999999998</v>
      </c>
      <c r="AG957" s="56">
        <f>VLOOKUP(A957,Sheet1!$A$2:$C$1140,3,FALSE)</f>
        <v>20.94</v>
      </c>
      <c r="AH957" s="58">
        <v>20.94</v>
      </c>
      <c r="AI957" s="56" t="str">
        <f t="shared" si="158"/>
        <v>Increase</v>
      </c>
      <c r="AJ957" s="81">
        <f t="shared" si="162"/>
        <v>0</v>
      </c>
      <c r="AK957" s="81">
        <f t="shared" si="163"/>
        <v>0</v>
      </c>
      <c r="AL957" s="58" t="s">
        <v>32</v>
      </c>
      <c r="AM957" s="58" t="s">
        <v>6703</v>
      </c>
      <c r="AN957" s="75">
        <v>0</v>
      </c>
      <c r="AO957" s="88">
        <v>20.94</v>
      </c>
      <c r="AP957" s="6" t="str">
        <f t="shared" si="159"/>
        <v>Increase</v>
      </c>
      <c r="AQ957" s="81">
        <f t="shared" si="160"/>
        <v>0</v>
      </c>
      <c r="AR957" s="81">
        <f t="shared" si="161"/>
        <v>0</v>
      </c>
      <c r="AS957" s="81">
        <f t="shared" si="164"/>
        <v>0</v>
      </c>
    </row>
    <row r="958" spans="1:45" hidden="1" x14ac:dyDescent="0.3">
      <c r="A958">
        <v>5092617</v>
      </c>
      <c r="B958" s="15" t="s">
        <v>6294</v>
      </c>
      <c r="C958" s="16" t="s">
        <v>30</v>
      </c>
      <c r="D958" s="6" t="s">
        <v>31</v>
      </c>
      <c r="E958" t="s">
        <v>316</v>
      </c>
      <c r="F958" t="s">
        <v>316</v>
      </c>
      <c r="H958" s="11" t="s">
        <v>27</v>
      </c>
      <c r="I958" s="6" t="s">
        <v>28</v>
      </c>
      <c r="J958" s="6" t="s">
        <v>28</v>
      </c>
      <c r="K958" t="s">
        <v>32</v>
      </c>
      <c r="L958" s="35">
        <v>18.41</v>
      </c>
      <c r="M958" s="6" t="s">
        <v>29</v>
      </c>
      <c r="N958" s="6">
        <v>3105</v>
      </c>
      <c r="P958" s="18"/>
      <c r="Q958" s="17"/>
      <c r="R958" s="19">
        <v>18.41</v>
      </c>
      <c r="S958" s="19">
        <v>18.41</v>
      </c>
      <c r="T958" s="38">
        <v>0</v>
      </c>
      <c r="U958" s="38"/>
      <c r="V958" s="29">
        <v>18.41</v>
      </c>
      <c r="W958" s="35">
        <v>18.41</v>
      </c>
      <c r="X958" s="32">
        <f t="shared" si="154"/>
        <v>0</v>
      </c>
      <c r="Y958" s="32">
        <f t="shared" si="155"/>
        <v>0</v>
      </c>
      <c r="Z958" s="32">
        <f t="shared" si="156"/>
        <v>0</v>
      </c>
      <c r="AA958" s="38" t="s">
        <v>2573</v>
      </c>
      <c r="AB958" s="37" t="str">
        <f>IFERROR(VLOOKUP(A958,'Tash Lookup'!A:E,3,FALSE),"")</f>
        <v/>
      </c>
      <c r="AC958" s="6" t="str">
        <f t="shared" si="157"/>
        <v/>
      </c>
      <c r="AD958" s="2" t="s">
        <v>6703</v>
      </c>
      <c r="AF958" s="56">
        <v>20.329999999999998</v>
      </c>
      <c r="AG958" s="56">
        <f>VLOOKUP(A958,Sheet1!$A$2:$C$1140,3,FALSE)</f>
        <v>20.94</v>
      </c>
      <c r="AH958" s="58">
        <v>20.94</v>
      </c>
      <c r="AI958" s="56" t="str">
        <f t="shared" si="158"/>
        <v>Increase</v>
      </c>
      <c r="AJ958" s="81">
        <f t="shared" si="162"/>
        <v>0</v>
      </c>
      <c r="AK958" s="81">
        <f t="shared" si="163"/>
        <v>0</v>
      </c>
      <c r="AL958" s="58" t="s">
        <v>32</v>
      </c>
      <c r="AM958" s="58" t="s">
        <v>6703</v>
      </c>
      <c r="AN958" s="75">
        <v>0</v>
      </c>
      <c r="AO958" s="88">
        <v>20.94</v>
      </c>
      <c r="AP958" s="6" t="str">
        <f t="shared" si="159"/>
        <v>Increase</v>
      </c>
      <c r="AQ958" s="81">
        <f t="shared" si="160"/>
        <v>0</v>
      </c>
      <c r="AR958" s="81">
        <f t="shared" si="161"/>
        <v>0</v>
      </c>
      <c r="AS958" s="81">
        <f t="shared" si="164"/>
        <v>0</v>
      </c>
    </row>
    <row r="959" spans="1:45" hidden="1" x14ac:dyDescent="0.3">
      <c r="A959">
        <v>5122408</v>
      </c>
      <c r="B959" s="15" t="s">
        <v>6295</v>
      </c>
      <c r="C959" s="16" t="s">
        <v>30</v>
      </c>
      <c r="D959" s="6" t="s">
        <v>31</v>
      </c>
      <c r="E959" t="s">
        <v>318</v>
      </c>
      <c r="F959" t="s">
        <v>318</v>
      </c>
      <c r="H959" s="11" t="s">
        <v>27</v>
      </c>
      <c r="I959" s="6" t="s">
        <v>28</v>
      </c>
      <c r="J959" s="6" t="s">
        <v>28</v>
      </c>
      <c r="K959" t="s">
        <v>32</v>
      </c>
      <c r="L959" s="35">
        <v>18.41</v>
      </c>
      <c r="M959" s="6" t="s">
        <v>29</v>
      </c>
      <c r="N959" s="6">
        <v>3105</v>
      </c>
      <c r="P959" s="18"/>
      <c r="Q959" s="17"/>
      <c r="R959" s="19">
        <v>18.41</v>
      </c>
      <c r="S959" s="19">
        <v>18.41</v>
      </c>
      <c r="T959" s="38">
        <v>0</v>
      </c>
      <c r="U959" s="38"/>
      <c r="V959" s="29">
        <v>18.41</v>
      </c>
      <c r="W959" s="35">
        <v>18.41</v>
      </c>
      <c r="X959" s="32">
        <f t="shared" si="154"/>
        <v>0</v>
      </c>
      <c r="Y959" s="32">
        <f t="shared" si="155"/>
        <v>0</v>
      </c>
      <c r="Z959" s="32">
        <f t="shared" si="156"/>
        <v>0</v>
      </c>
      <c r="AA959" s="38" t="s">
        <v>2573</v>
      </c>
      <c r="AB959" s="37" t="str">
        <f>IFERROR(VLOOKUP(A959,'Tash Lookup'!A:E,3,FALSE),"")</f>
        <v/>
      </c>
      <c r="AC959" s="6" t="str">
        <f t="shared" si="157"/>
        <v/>
      </c>
      <c r="AD959" s="2" t="s">
        <v>6703</v>
      </c>
      <c r="AF959" s="56">
        <v>20.329999999999998</v>
      </c>
      <c r="AG959" s="56">
        <f>VLOOKUP(A959,Sheet1!$A$2:$C$1140,3,FALSE)</f>
        <v>20.94</v>
      </c>
      <c r="AH959" s="58">
        <v>20.94</v>
      </c>
      <c r="AI959" s="56" t="str">
        <f t="shared" si="158"/>
        <v>Increase</v>
      </c>
      <c r="AJ959" s="81">
        <f t="shared" si="162"/>
        <v>0</v>
      </c>
      <c r="AK959" s="81">
        <f t="shared" si="163"/>
        <v>0</v>
      </c>
      <c r="AL959" s="58" t="s">
        <v>32</v>
      </c>
      <c r="AM959" s="58" t="s">
        <v>6703</v>
      </c>
      <c r="AN959" s="75">
        <v>22</v>
      </c>
      <c r="AO959" s="88">
        <v>20.94</v>
      </c>
      <c r="AP959" s="6" t="str">
        <f t="shared" si="159"/>
        <v>Increase</v>
      </c>
      <c r="AQ959" s="81">
        <f t="shared" si="160"/>
        <v>447.26</v>
      </c>
      <c r="AR959" s="81">
        <f t="shared" si="161"/>
        <v>460.68</v>
      </c>
      <c r="AS959" s="81">
        <f t="shared" si="164"/>
        <v>13.420000000000016</v>
      </c>
    </row>
    <row r="960" spans="1:45" hidden="1" x14ac:dyDescent="0.3">
      <c r="A960">
        <v>5092618</v>
      </c>
      <c r="B960" s="15" t="s">
        <v>6296</v>
      </c>
      <c r="C960" s="16" t="s">
        <v>30</v>
      </c>
      <c r="D960" s="6" t="s">
        <v>31</v>
      </c>
      <c r="E960" t="s">
        <v>319</v>
      </c>
      <c r="F960" t="s">
        <v>319</v>
      </c>
      <c r="H960" s="11" t="s">
        <v>27</v>
      </c>
      <c r="I960" s="6" t="s">
        <v>28</v>
      </c>
      <c r="J960" s="6" t="s">
        <v>28</v>
      </c>
      <c r="K960" t="s">
        <v>32</v>
      </c>
      <c r="L960" s="35">
        <v>18.41</v>
      </c>
      <c r="M960" s="6" t="s">
        <v>29</v>
      </c>
      <c r="N960" s="6">
        <v>3105</v>
      </c>
      <c r="P960" s="18"/>
      <c r="Q960" s="17"/>
      <c r="R960" s="19">
        <v>18.41</v>
      </c>
      <c r="S960" s="19">
        <v>18.41</v>
      </c>
      <c r="T960" s="38">
        <v>0</v>
      </c>
      <c r="U960" s="38"/>
      <c r="V960" s="29">
        <v>18.41</v>
      </c>
      <c r="W960" s="35">
        <v>18.41</v>
      </c>
      <c r="X960" s="32">
        <f t="shared" si="154"/>
        <v>0</v>
      </c>
      <c r="Y960" s="32">
        <f t="shared" si="155"/>
        <v>0</v>
      </c>
      <c r="Z960" s="32">
        <f t="shared" si="156"/>
        <v>0</v>
      </c>
      <c r="AA960" s="38" t="s">
        <v>2573</v>
      </c>
      <c r="AB960" s="37" t="str">
        <f>IFERROR(VLOOKUP(A960,'Tash Lookup'!A:E,3,FALSE),"")</f>
        <v/>
      </c>
      <c r="AC960" s="6" t="str">
        <f t="shared" si="157"/>
        <v/>
      </c>
      <c r="AD960" s="2" t="s">
        <v>6703</v>
      </c>
      <c r="AF960" s="56">
        <v>20.329999999999998</v>
      </c>
      <c r="AG960" s="56">
        <f>VLOOKUP(A960,Sheet1!$A$2:$C$1140,3,FALSE)</f>
        <v>20.94</v>
      </c>
      <c r="AH960" s="58">
        <v>20.94</v>
      </c>
      <c r="AI960" s="56" t="str">
        <f t="shared" si="158"/>
        <v>Increase</v>
      </c>
      <c r="AJ960" s="81">
        <f t="shared" si="162"/>
        <v>0</v>
      </c>
      <c r="AK960" s="81">
        <f t="shared" si="163"/>
        <v>0</v>
      </c>
      <c r="AL960" s="58" t="s">
        <v>32</v>
      </c>
      <c r="AM960" s="58" t="s">
        <v>6703</v>
      </c>
      <c r="AN960" s="75">
        <v>0</v>
      </c>
      <c r="AO960" s="88">
        <v>20.94</v>
      </c>
      <c r="AP960" s="6" t="str">
        <f t="shared" si="159"/>
        <v>Increase</v>
      </c>
      <c r="AQ960" s="81">
        <f t="shared" si="160"/>
        <v>0</v>
      </c>
      <c r="AR960" s="81">
        <f t="shared" si="161"/>
        <v>0</v>
      </c>
      <c r="AS960" s="81">
        <f t="shared" si="164"/>
        <v>0</v>
      </c>
    </row>
    <row r="961" spans="1:45" hidden="1" x14ac:dyDescent="0.3">
      <c r="A961">
        <v>5083465</v>
      </c>
      <c r="B961" s="15" t="s">
        <v>6297</v>
      </c>
      <c r="C961" s="16" t="s">
        <v>30</v>
      </c>
      <c r="D961" s="6" t="s">
        <v>31</v>
      </c>
      <c r="E961" t="s">
        <v>320</v>
      </c>
      <c r="F961" t="s">
        <v>320</v>
      </c>
      <c r="H961" s="11" t="s">
        <v>27</v>
      </c>
      <c r="I961" s="6" t="s">
        <v>28</v>
      </c>
      <c r="J961" s="6" t="s">
        <v>28</v>
      </c>
      <c r="K961" t="s">
        <v>32</v>
      </c>
      <c r="L961" s="35">
        <v>18.41</v>
      </c>
      <c r="M961" s="6" t="s">
        <v>29</v>
      </c>
      <c r="N961" s="6">
        <v>3105</v>
      </c>
      <c r="P961" s="18"/>
      <c r="Q961" s="17"/>
      <c r="R961" s="19">
        <v>18.41</v>
      </c>
      <c r="S961" s="19">
        <v>18.41</v>
      </c>
      <c r="T961" s="38">
        <v>0</v>
      </c>
      <c r="U961" s="38"/>
      <c r="V961" s="29">
        <v>18.41</v>
      </c>
      <c r="W961" s="35">
        <v>18.41</v>
      </c>
      <c r="X961" s="32">
        <f t="shared" si="154"/>
        <v>0</v>
      </c>
      <c r="Y961" s="32">
        <f t="shared" si="155"/>
        <v>0</v>
      </c>
      <c r="Z961" s="32">
        <f t="shared" si="156"/>
        <v>0</v>
      </c>
      <c r="AA961" s="38" t="s">
        <v>2573</v>
      </c>
      <c r="AB961" s="37" t="str">
        <f>IFERROR(VLOOKUP(A961,'Tash Lookup'!A:E,3,FALSE),"")</f>
        <v/>
      </c>
      <c r="AC961" s="6" t="str">
        <f t="shared" si="157"/>
        <v/>
      </c>
      <c r="AD961" s="2" t="s">
        <v>6703</v>
      </c>
      <c r="AF961" s="56">
        <v>20.329999999999998</v>
      </c>
      <c r="AG961" s="56">
        <f>VLOOKUP(A961,Sheet1!$A$2:$C$1140,3,FALSE)</f>
        <v>20.94</v>
      </c>
      <c r="AH961" s="58">
        <v>20.94</v>
      </c>
      <c r="AI961" s="56" t="str">
        <f t="shared" si="158"/>
        <v>Increase</v>
      </c>
      <c r="AJ961" s="81">
        <f t="shared" si="162"/>
        <v>0</v>
      </c>
      <c r="AK961" s="81">
        <f t="shared" si="163"/>
        <v>0</v>
      </c>
      <c r="AL961" s="58" t="s">
        <v>32</v>
      </c>
      <c r="AM961" s="58" t="s">
        <v>6703</v>
      </c>
      <c r="AN961" s="75">
        <v>0</v>
      </c>
      <c r="AO961" s="88">
        <v>20.94</v>
      </c>
      <c r="AP961" s="6" t="str">
        <f t="shared" si="159"/>
        <v>Increase</v>
      </c>
      <c r="AQ961" s="81">
        <f t="shared" si="160"/>
        <v>0</v>
      </c>
      <c r="AR961" s="81">
        <f t="shared" si="161"/>
        <v>0</v>
      </c>
      <c r="AS961" s="81">
        <f t="shared" si="164"/>
        <v>0</v>
      </c>
    </row>
    <row r="962" spans="1:45" hidden="1" x14ac:dyDescent="0.3">
      <c r="A962">
        <v>5083458</v>
      </c>
      <c r="B962" s="15" t="s">
        <v>6298</v>
      </c>
      <c r="C962" s="16" t="s">
        <v>30</v>
      </c>
      <c r="D962" s="6" t="s">
        <v>31</v>
      </c>
      <c r="E962" t="s">
        <v>324</v>
      </c>
      <c r="F962" t="s">
        <v>324</v>
      </c>
      <c r="H962" s="11" t="s">
        <v>27</v>
      </c>
      <c r="I962" s="6" t="s">
        <v>28</v>
      </c>
      <c r="J962" s="6" t="s">
        <v>28</v>
      </c>
      <c r="K962" t="s">
        <v>32</v>
      </c>
      <c r="L962" s="35">
        <v>18.41</v>
      </c>
      <c r="M962" s="6" t="s">
        <v>29</v>
      </c>
      <c r="N962" s="6">
        <v>3105</v>
      </c>
      <c r="P962" s="18"/>
      <c r="Q962" s="17"/>
      <c r="R962" s="19">
        <v>18.41</v>
      </c>
      <c r="S962" s="19">
        <v>18.41</v>
      </c>
      <c r="T962" s="38">
        <v>0</v>
      </c>
      <c r="U962" s="38"/>
      <c r="V962" s="29">
        <v>18.41</v>
      </c>
      <c r="W962" s="35">
        <v>18.41</v>
      </c>
      <c r="X962" s="32">
        <f t="shared" si="154"/>
        <v>0</v>
      </c>
      <c r="Y962" s="32">
        <f t="shared" si="155"/>
        <v>0</v>
      </c>
      <c r="Z962" s="32">
        <f t="shared" si="156"/>
        <v>0</v>
      </c>
      <c r="AA962" s="38" t="s">
        <v>2573</v>
      </c>
      <c r="AB962" s="37" t="str">
        <f>IFERROR(VLOOKUP(A962,'Tash Lookup'!A:E,3,FALSE),"")</f>
        <v/>
      </c>
      <c r="AC962" s="6" t="str">
        <f t="shared" si="157"/>
        <v/>
      </c>
      <c r="AD962" s="2" t="s">
        <v>6703</v>
      </c>
      <c r="AF962" s="56">
        <v>20.329999999999998</v>
      </c>
      <c r="AG962" s="56">
        <f>VLOOKUP(A962,Sheet1!$A$2:$C$1140,3,FALSE)</f>
        <v>20.94</v>
      </c>
      <c r="AH962" s="58">
        <v>20.94</v>
      </c>
      <c r="AI962" s="56" t="str">
        <f t="shared" si="158"/>
        <v>Increase</v>
      </c>
      <c r="AJ962" s="81">
        <f t="shared" si="162"/>
        <v>0</v>
      </c>
      <c r="AK962" s="81">
        <f t="shared" si="163"/>
        <v>0</v>
      </c>
      <c r="AL962" s="58" t="s">
        <v>32</v>
      </c>
      <c r="AM962" s="58" t="s">
        <v>6703</v>
      </c>
      <c r="AN962" s="75">
        <v>0</v>
      </c>
      <c r="AO962" s="88">
        <v>20.94</v>
      </c>
      <c r="AP962" s="6" t="str">
        <f t="shared" si="159"/>
        <v>Increase</v>
      </c>
      <c r="AQ962" s="81">
        <f t="shared" si="160"/>
        <v>0</v>
      </c>
      <c r="AR962" s="81">
        <f t="shared" si="161"/>
        <v>0</v>
      </c>
      <c r="AS962" s="81">
        <f t="shared" si="164"/>
        <v>0</v>
      </c>
    </row>
    <row r="963" spans="1:45" hidden="1" x14ac:dyDescent="0.3">
      <c r="A963">
        <v>5083456</v>
      </c>
      <c r="B963" s="15" t="s">
        <v>6299</v>
      </c>
      <c r="C963" s="16" t="s">
        <v>30</v>
      </c>
      <c r="D963" s="6" t="s">
        <v>31</v>
      </c>
      <c r="E963" t="s">
        <v>331</v>
      </c>
      <c r="F963" t="s">
        <v>331</v>
      </c>
      <c r="H963" s="11" t="s">
        <v>27</v>
      </c>
      <c r="I963" s="6" t="s">
        <v>28</v>
      </c>
      <c r="J963" s="6" t="s">
        <v>28</v>
      </c>
      <c r="K963" t="s">
        <v>32</v>
      </c>
      <c r="L963" s="35">
        <v>9.5500000000000007</v>
      </c>
      <c r="M963" s="6" t="s">
        <v>29</v>
      </c>
      <c r="N963" s="6">
        <v>3105</v>
      </c>
      <c r="P963" s="18"/>
      <c r="Q963" s="17"/>
      <c r="R963" s="19">
        <v>9.5500000000000007</v>
      </c>
      <c r="S963" s="19">
        <v>9.5500000000000007</v>
      </c>
      <c r="T963" s="38">
        <v>0</v>
      </c>
      <c r="U963" s="38"/>
      <c r="V963" s="30">
        <v>9.5500000000000007</v>
      </c>
      <c r="W963" s="35">
        <v>9.5500000000000007</v>
      </c>
      <c r="X963" s="32">
        <f t="shared" si="154"/>
        <v>0</v>
      </c>
      <c r="Y963" s="32">
        <f t="shared" si="155"/>
        <v>0</v>
      </c>
      <c r="Z963" s="32">
        <f t="shared" si="156"/>
        <v>0</v>
      </c>
      <c r="AA963" s="38" t="s">
        <v>2573</v>
      </c>
      <c r="AB963" s="37" t="str">
        <f>IFERROR(VLOOKUP(A963,'Tash Lookup'!A:E,3,FALSE),"")</f>
        <v/>
      </c>
      <c r="AC963" s="6" t="str">
        <f t="shared" si="157"/>
        <v/>
      </c>
      <c r="AD963" s="2" t="s">
        <v>6704</v>
      </c>
      <c r="AF963" s="56">
        <v>10.38</v>
      </c>
      <c r="AG963" s="56" t="e">
        <f>VLOOKUP(A963,Sheet1!$A$2:$C$1140,3,FALSE)</f>
        <v>#N/A</v>
      </c>
      <c r="AH963" s="58" t="e">
        <v>#N/A</v>
      </c>
      <c r="AI963" s="56" t="str">
        <f t="shared" si="158"/>
        <v>Delete</v>
      </c>
      <c r="AJ963" s="81">
        <f t="shared" si="162"/>
        <v>0</v>
      </c>
      <c r="AK963" s="81">
        <f t="shared" si="163"/>
        <v>0</v>
      </c>
      <c r="AL963" s="58" t="s">
        <v>32</v>
      </c>
      <c r="AM963" s="58" t="s">
        <v>6708</v>
      </c>
      <c r="AN963" s="75">
        <v>0</v>
      </c>
      <c r="AO963" s="88">
        <v>10.38</v>
      </c>
      <c r="AP963" s="6" t="str">
        <f t="shared" si="159"/>
        <v>Same</v>
      </c>
      <c r="AQ963" s="81">
        <f t="shared" si="160"/>
        <v>0</v>
      </c>
      <c r="AR963" s="81">
        <f t="shared" si="161"/>
        <v>0</v>
      </c>
      <c r="AS963" s="81">
        <f t="shared" si="164"/>
        <v>0</v>
      </c>
    </row>
    <row r="964" spans="1:45" hidden="1" x14ac:dyDescent="0.3">
      <c r="A964">
        <v>5219014</v>
      </c>
      <c r="B964" s="15" t="s">
        <v>6300</v>
      </c>
      <c r="C964" s="16" t="s">
        <v>30</v>
      </c>
      <c r="D964" s="6" t="s">
        <v>31</v>
      </c>
      <c r="E964" t="s">
        <v>332</v>
      </c>
      <c r="F964" t="s">
        <v>332</v>
      </c>
      <c r="H964" s="11" t="s">
        <v>27</v>
      </c>
      <c r="I964" s="6" t="s">
        <v>28</v>
      </c>
      <c r="J964" s="6" t="s">
        <v>28</v>
      </c>
      <c r="K964" t="s">
        <v>32</v>
      </c>
      <c r="L964" s="35">
        <v>18.98</v>
      </c>
      <c r="M964" s="6" t="s">
        <v>29</v>
      </c>
      <c r="N964" s="6">
        <v>3105</v>
      </c>
      <c r="P964" s="18"/>
      <c r="Q964" s="17"/>
      <c r="R964" s="19">
        <v>18.98</v>
      </c>
      <c r="S964" s="19">
        <v>18.98</v>
      </c>
      <c r="T964" s="38">
        <v>0</v>
      </c>
      <c r="U964" s="38"/>
      <c r="V964" s="30">
        <v>18.98</v>
      </c>
      <c r="W964" s="35">
        <v>18.98</v>
      </c>
      <c r="X964" s="32">
        <f t="shared" si="154"/>
        <v>0</v>
      </c>
      <c r="Y964" s="32">
        <f t="shared" si="155"/>
        <v>0</v>
      </c>
      <c r="Z964" s="32">
        <f t="shared" si="156"/>
        <v>0</v>
      </c>
      <c r="AA964" s="38" t="s">
        <v>2573</v>
      </c>
      <c r="AB964" s="37" t="str">
        <f>IFERROR(VLOOKUP(A964,'Tash Lookup'!A:E,3,FALSE),"")</f>
        <v/>
      </c>
      <c r="AC964" s="6" t="str">
        <f t="shared" si="157"/>
        <v/>
      </c>
      <c r="AD964" s="2" t="s">
        <v>6704</v>
      </c>
      <c r="AF964" s="56">
        <v>18.98</v>
      </c>
      <c r="AG964" s="56" t="e">
        <f>VLOOKUP(A964,Sheet1!$A$2:$C$1140,3,FALSE)</f>
        <v>#N/A</v>
      </c>
      <c r="AH964" s="58" t="e">
        <v>#N/A</v>
      </c>
      <c r="AI964" s="56" t="str">
        <f t="shared" si="158"/>
        <v>Delete</v>
      </c>
      <c r="AJ964" s="81">
        <f t="shared" si="162"/>
        <v>0</v>
      </c>
      <c r="AK964" s="81">
        <f t="shared" si="163"/>
        <v>0</v>
      </c>
      <c r="AL964" s="58" t="s">
        <v>32</v>
      </c>
      <c r="AM964" s="58" t="s">
        <v>6708</v>
      </c>
      <c r="AN964" s="75">
        <v>0</v>
      </c>
      <c r="AO964" s="88">
        <v>18.98</v>
      </c>
      <c r="AP964" s="6" t="str">
        <f t="shared" si="159"/>
        <v>Same</v>
      </c>
      <c r="AQ964" s="81">
        <f t="shared" si="160"/>
        <v>0</v>
      </c>
      <c r="AR964" s="81">
        <f t="shared" si="161"/>
        <v>0</v>
      </c>
      <c r="AS964" s="81">
        <f t="shared" si="164"/>
        <v>0</v>
      </c>
    </row>
    <row r="965" spans="1:45" hidden="1" x14ac:dyDescent="0.3">
      <c r="A965">
        <v>6106427</v>
      </c>
      <c r="B965" s="15" t="s">
        <v>6301</v>
      </c>
      <c r="C965" s="16" t="s">
        <v>30</v>
      </c>
      <c r="D965" s="6" t="s">
        <v>31</v>
      </c>
      <c r="E965" t="s">
        <v>333</v>
      </c>
      <c r="F965" t="s">
        <v>333</v>
      </c>
      <c r="H965" s="11" t="s">
        <v>27</v>
      </c>
      <c r="I965" s="6" t="s">
        <v>28</v>
      </c>
      <c r="J965" s="6" t="s">
        <v>28</v>
      </c>
      <c r="K965" t="s">
        <v>32</v>
      </c>
      <c r="L965" s="35">
        <v>25.49</v>
      </c>
      <c r="M965" s="6" t="s">
        <v>29</v>
      </c>
      <c r="N965" s="6">
        <v>3105</v>
      </c>
      <c r="P965" s="18"/>
      <c r="Q965" s="17"/>
      <c r="R965" s="19">
        <v>25.49</v>
      </c>
      <c r="S965" s="19">
        <v>25.49</v>
      </c>
      <c r="T965" s="38">
        <v>0</v>
      </c>
      <c r="U965" s="38"/>
      <c r="V965" s="30">
        <v>25.49</v>
      </c>
      <c r="W965" s="35">
        <v>25.49</v>
      </c>
      <c r="X965" s="32">
        <f t="shared" si="154"/>
        <v>0</v>
      </c>
      <c r="Y965" s="32">
        <f t="shared" si="155"/>
        <v>0</v>
      </c>
      <c r="Z965" s="32">
        <f t="shared" si="156"/>
        <v>0</v>
      </c>
      <c r="AA965" s="38" t="s">
        <v>2573</v>
      </c>
      <c r="AB965" s="37" t="str">
        <f>IFERROR(VLOOKUP(A965,'Tash Lookup'!A:E,3,FALSE),"")</f>
        <v/>
      </c>
      <c r="AC965" s="6" t="str">
        <f t="shared" si="157"/>
        <v/>
      </c>
      <c r="AD965" s="2" t="s">
        <v>6707</v>
      </c>
      <c r="AF965" s="56">
        <v>27.63</v>
      </c>
      <c r="AG965" s="56">
        <f>VLOOKUP(A965,Sheet1!$A$2:$C$1140,3,FALSE)</f>
        <v>27.63</v>
      </c>
      <c r="AH965" s="58">
        <v>27.63</v>
      </c>
      <c r="AI965" s="56" t="str">
        <f t="shared" si="158"/>
        <v>Same</v>
      </c>
      <c r="AJ965" s="81">
        <f t="shared" si="162"/>
        <v>0</v>
      </c>
      <c r="AK965" s="81">
        <f t="shared" si="163"/>
        <v>0</v>
      </c>
      <c r="AL965" s="58" t="s">
        <v>32</v>
      </c>
      <c r="AM965" s="58" t="s">
        <v>6708</v>
      </c>
      <c r="AN965" s="75">
        <v>0</v>
      </c>
      <c r="AO965" s="88">
        <v>27.63</v>
      </c>
      <c r="AP965" s="6" t="str">
        <f t="shared" si="159"/>
        <v>Same</v>
      </c>
      <c r="AQ965" s="81">
        <f t="shared" si="160"/>
        <v>0</v>
      </c>
      <c r="AR965" s="81">
        <f t="shared" si="161"/>
        <v>0</v>
      </c>
      <c r="AS965" s="81">
        <f t="shared" si="164"/>
        <v>0</v>
      </c>
    </row>
    <row r="966" spans="1:45" hidden="1" x14ac:dyDescent="0.3">
      <c r="A966">
        <v>5095360</v>
      </c>
      <c r="B966" s="15" t="s">
        <v>6302</v>
      </c>
      <c r="C966" s="16" t="s">
        <v>30</v>
      </c>
      <c r="D966" s="6" t="s">
        <v>31</v>
      </c>
      <c r="E966" t="s">
        <v>334</v>
      </c>
      <c r="F966" t="s">
        <v>334</v>
      </c>
      <c r="H966" s="11" t="s">
        <v>27</v>
      </c>
      <c r="I966" s="6" t="s">
        <v>28</v>
      </c>
      <c r="J966" s="6" t="s">
        <v>28</v>
      </c>
      <c r="K966" t="s">
        <v>32</v>
      </c>
      <c r="L966" s="35">
        <v>19.46</v>
      </c>
      <c r="M966" s="6" t="s">
        <v>29</v>
      </c>
      <c r="N966" s="6">
        <v>3105</v>
      </c>
      <c r="P966" s="18"/>
      <c r="Q966" s="17"/>
      <c r="R966" s="19">
        <v>19.46</v>
      </c>
      <c r="S966" s="19">
        <v>19.46</v>
      </c>
      <c r="T966" s="38">
        <v>0</v>
      </c>
      <c r="U966" s="38"/>
      <c r="V966" s="30">
        <v>19.46</v>
      </c>
      <c r="W966" s="35">
        <v>19.46</v>
      </c>
      <c r="X966" s="32">
        <f t="shared" ref="X966:X1029" si="165">SUM(V966*T966)</f>
        <v>0</v>
      </c>
      <c r="Y966" s="32">
        <f t="shared" ref="Y966:Y1029" si="166">SUM(L966*T966)</f>
        <v>0</v>
      </c>
      <c r="Z966" s="32">
        <f t="shared" ref="Z966:Z1029" si="167">SUM(X966-Y966)</f>
        <v>0</v>
      </c>
      <c r="AA966" s="38" t="s">
        <v>2573</v>
      </c>
      <c r="AB966" s="37" t="str">
        <f>IFERROR(VLOOKUP(A966,'Tash Lookup'!A:E,3,FALSE),"")</f>
        <v/>
      </c>
      <c r="AC966" s="6" t="str">
        <f t="shared" ref="AC966:AC1029" si="168">IFERROR(AA966-T966,"")</f>
        <v/>
      </c>
      <c r="AD966" s="2" t="s">
        <v>6703</v>
      </c>
      <c r="AF966" s="56">
        <v>21.49</v>
      </c>
      <c r="AG966" s="56">
        <f>VLOOKUP(A966,Sheet1!$A$2:$C$1140,3,FALSE)</f>
        <v>22.13</v>
      </c>
      <c r="AH966" s="58">
        <v>22.13</v>
      </c>
      <c r="AI966" s="56" t="str">
        <f t="shared" ref="AI966:AI1029" si="169">IF(ISNA(AH966),"Delete",IF(AH966=AF966,"Same",IF(AH966&gt;AF966,"Increase","Decrease")))</f>
        <v>Increase</v>
      </c>
      <c r="AJ966" s="81">
        <f t="shared" si="162"/>
        <v>0</v>
      </c>
      <c r="AK966" s="81">
        <f t="shared" si="163"/>
        <v>0</v>
      </c>
      <c r="AL966" s="58" t="s">
        <v>32</v>
      </c>
      <c r="AM966" s="58" t="s">
        <v>6703</v>
      </c>
      <c r="AN966" s="75">
        <v>0</v>
      </c>
      <c r="AO966" s="88">
        <v>22.13</v>
      </c>
      <c r="AP966" s="6" t="str">
        <f t="shared" ref="AP966:AP1029" si="170">IF(AM966="Delete","Delete",IF(AO966=AF966,"Same",IF(AO966&gt;AF966,"Increase","Decrease")))</f>
        <v>Increase</v>
      </c>
      <c r="AQ966" s="81">
        <f t="shared" ref="AQ966:AQ1029" si="171">AN966*AF966</f>
        <v>0</v>
      </c>
      <c r="AR966" s="81">
        <f t="shared" ref="AR966:AR1029" si="172">AN966*AO966</f>
        <v>0</v>
      </c>
      <c r="AS966" s="81">
        <f t="shared" si="164"/>
        <v>0</v>
      </c>
    </row>
    <row r="967" spans="1:45" hidden="1" x14ac:dyDescent="0.3">
      <c r="A967">
        <v>5095361</v>
      </c>
      <c r="B967" s="15" t="s">
        <v>6303</v>
      </c>
      <c r="C967" s="16" t="s">
        <v>30</v>
      </c>
      <c r="D967" s="6" t="s">
        <v>31</v>
      </c>
      <c r="E967" t="s">
        <v>335</v>
      </c>
      <c r="F967" t="s">
        <v>335</v>
      </c>
      <c r="H967" s="11" t="s">
        <v>27</v>
      </c>
      <c r="I967" s="6" t="s">
        <v>28</v>
      </c>
      <c r="J967" s="6" t="s">
        <v>28</v>
      </c>
      <c r="K967" t="s">
        <v>32</v>
      </c>
      <c r="L967" s="35">
        <v>19.46</v>
      </c>
      <c r="M967" s="6" t="s">
        <v>29</v>
      </c>
      <c r="N967" s="6">
        <v>3105</v>
      </c>
      <c r="P967" s="18"/>
      <c r="Q967" s="17"/>
      <c r="R967" s="19">
        <v>19.46</v>
      </c>
      <c r="S967" s="19">
        <v>19.46</v>
      </c>
      <c r="T967" s="38">
        <v>0</v>
      </c>
      <c r="U967" s="38"/>
      <c r="V967" s="30">
        <v>19.46</v>
      </c>
      <c r="W967" s="35">
        <v>19.46</v>
      </c>
      <c r="X967" s="32">
        <f t="shared" si="165"/>
        <v>0</v>
      </c>
      <c r="Y967" s="32">
        <f t="shared" si="166"/>
        <v>0</v>
      </c>
      <c r="Z967" s="32">
        <f t="shared" si="167"/>
        <v>0</v>
      </c>
      <c r="AA967" s="38" t="s">
        <v>2573</v>
      </c>
      <c r="AB967" s="37" t="str">
        <f>IFERROR(VLOOKUP(A967,'Tash Lookup'!A:E,3,FALSE),"")</f>
        <v/>
      </c>
      <c r="AC967" s="6" t="str">
        <f t="shared" si="168"/>
        <v/>
      </c>
      <c r="AD967" s="2" t="s">
        <v>6703</v>
      </c>
      <c r="AF967" s="56">
        <v>21.49</v>
      </c>
      <c r="AG967" s="56">
        <f>VLOOKUP(A967,Sheet1!$A$2:$C$1140,3,FALSE)</f>
        <v>22.13</v>
      </c>
      <c r="AH967" s="58">
        <v>22.13</v>
      </c>
      <c r="AI967" s="56" t="str">
        <f t="shared" si="169"/>
        <v>Increase</v>
      </c>
      <c r="AJ967" s="81">
        <f t="shared" ref="AJ967:AJ1030" si="173">IFERROR(AA967*AF967,0)</f>
        <v>0</v>
      </c>
      <c r="AK967" s="81">
        <f t="shared" ref="AK967:AK1030" si="174">IFERROR(AA967*AH967,0)</f>
        <v>0</v>
      </c>
      <c r="AL967" s="58" t="s">
        <v>32</v>
      </c>
      <c r="AM967" s="58" t="s">
        <v>6703</v>
      </c>
      <c r="AN967" s="75">
        <v>0</v>
      </c>
      <c r="AO967" s="88">
        <v>22.13</v>
      </c>
      <c r="AP967" s="6" t="str">
        <f t="shared" si="170"/>
        <v>Increase</v>
      </c>
      <c r="AQ967" s="81">
        <f t="shared" si="171"/>
        <v>0</v>
      </c>
      <c r="AR967" s="81">
        <f t="shared" si="172"/>
        <v>0</v>
      </c>
      <c r="AS967" s="81">
        <f t="shared" ref="AS967:AS1030" si="175">AR967-AQ967</f>
        <v>0</v>
      </c>
    </row>
    <row r="968" spans="1:45" hidden="1" x14ac:dyDescent="0.3">
      <c r="A968">
        <v>5095363</v>
      </c>
      <c r="B968" s="15" t="s">
        <v>6304</v>
      </c>
      <c r="C968" s="16" t="s">
        <v>30</v>
      </c>
      <c r="D968" s="6" t="s">
        <v>31</v>
      </c>
      <c r="E968" t="s">
        <v>336</v>
      </c>
      <c r="F968" t="s">
        <v>336</v>
      </c>
      <c r="H968" s="11" t="s">
        <v>27</v>
      </c>
      <c r="I968" s="6" t="s">
        <v>28</v>
      </c>
      <c r="J968" s="6" t="s">
        <v>28</v>
      </c>
      <c r="K968" t="s">
        <v>32</v>
      </c>
      <c r="L968" s="35">
        <v>19.46</v>
      </c>
      <c r="M968" s="6" t="s">
        <v>29</v>
      </c>
      <c r="N968" s="6">
        <v>3105</v>
      </c>
      <c r="P968" s="18"/>
      <c r="Q968" s="17"/>
      <c r="R968" s="19">
        <v>19.46</v>
      </c>
      <c r="S968" s="19">
        <v>19.46</v>
      </c>
      <c r="T968" s="38">
        <v>0</v>
      </c>
      <c r="U968" s="38"/>
      <c r="V968" s="30">
        <v>19.46</v>
      </c>
      <c r="W968" s="35">
        <v>19.46</v>
      </c>
      <c r="X968" s="32">
        <f t="shared" si="165"/>
        <v>0</v>
      </c>
      <c r="Y968" s="32">
        <f t="shared" si="166"/>
        <v>0</v>
      </c>
      <c r="Z968" s="32">
        <f t="shared" si="167"/>
        <v>0</v>
      </c>
      <c r="AA968" s="38" t="s">
        <v>2573</v>
      </c>
      <c r="AB968" s="37" t="str">
        <f>IFERROR(VLOOKUP(A968,'Tash Lookup'!A:E,3,FALSE),"")</f>
        <v/>
      </c>
      <c r="AC968" s="6" t="str">
        <f t="shared" si="168"/>
        <v/>
      </c>
      <c r="AD968" s="2" t="s">
        <v>6703</v>
      </c>
      <c r="AF968" s="56">
        <v>21.49</v>
      </c>
      <c r="AG968" s="56">
        <f>VLOOKUP(A968,Sheet1!$A$2:$C$1140,3,FALSE)</f>
        <v>22.13</v>
      </c>
      <c r="AH968" s="58">
        <v>22.13</v>
      </c>
      <c r="AI968" s="56" t="str">
        <f t="shared" si="169"/>
        <v>Increase</v>
      </c>
      <c r="AJ968" s="81">
        <f t="shared" si="173"/>
        <v>0</v>
      </c>
      <c r="AK968" s="81">
        <f t="shared" si="174"/>
        <v>0</v>
      </c>
      <c r="AL968" s="58" t="s">
        <v>32</v>
      </c>
      <c r="AM968" s="58" t="s">
        <v>6703</v>
      </c>
      <c r="AN968" s="75">
        <v>0</v>
      </c>
      <c r="AO968" s="88">
        <v>22.13</v>
      </c>
      <c r="AP968" s="6" t="str">
        <f t="shared" si="170"/>
        <v>Increase</v>
      </c>
      <c r="AQ968" s="81">
        <f t="shared" si="171"/>
        <v>0</v>
      </c>
      <c r="AR968" s="81">
        <f t="shared" si="172"/>
        <v>0</v>
      </c>
      <c r="AS968" s="81">
        <f t="shared" si="175"/>
        <v>0</v>
      </c>
    </row>
    <row r="969" spans="1:45" hidden="1" x14ac:dyDescent="0.3">
      <c r="A969">
        <v>5095368</v>
      </c>
      <c r="B969" s="15" t="s">
        <v>6305</v>
      </c>
      <c r="C969" s="16" t="s">
        <v>30</v>
      </c>
      <c r="D969" s="6" t="s">
        <v>31</v>
      </c>
      <c r="E969" t="s">
        <v>338</v>
      </c>
      <c r="F969" t="s">
        <v>338</v>
      </c>
      <c r="H969" s="11" t="s">
        <v>27</v>
      </c>
      <c r="I969" s="6" t="s">
        <v>28</v>
      </c>
      <c r="J969" s="6" t="s">
        <v>28</v>
      </c>
      <c r="K969" t="s">
        <v>32</v>
      </c>
      <c r="L969" s="35">
        <v>19.46</v>
      </c>
      <c r="M969" s="6" t="s">
        <v>29</v>
      </c>
      <c r="N969" s="6">
        <v>3105</v>
      </c>
      <c r="P969" s="18"/>
      <c r="Q969" s="17"/>
      <c r="R969" s="19">
        <v>19.46</v>
      </c>
      <c r="S969" s="19">
        <v>19.46</v>
      </c>
      <c r="T969" s="38">
        <v>0</v>
      </c>
      <c r="U969" s="38"/>
      <c r="V969" s="30">
        <v>19.46</v>
      </c>
      <c r="W969" s="35">
        <v>19.46</v>
      </c>
      <c r="X969" s="32">
        <f t="shared" si="165"/>
        <v>0</v>
      </c>
      <c r="Y969" s="32">
        <f t="shared" si="166"/>
        <v>0</v>
      </c>
      <c r="Z969" s="32">
        <f t="shared" si="167"/>
        <v>0</v>
      </c>
      <c r="AA969" s="38" t="s">
        <v>2573</v>
      </c>
      <c r="AB969" s="37" t="str">
        <f>IFERROR(VLOOKUP(A969,'Tash Lookup'!A:E,3,FALSE),"")</f>
        <v/>
      </c>
      <c r="AC969" s="6" t="str">
        <f t="shared" si="168"/>
        <v/>
      </c>
      <c r="AD969" s="2" t="s">
        <v>6703</v>
      </c>
      <c r="AF969" s="56">
        <v>21.49</v>
      </c>
      <c r="AG969" s="56">
        <f>VLOOKUP(A969,Sheet1!$A$2:$C$1140,3,FALSE)</f>
        <v>22.13</v>
      </c>
      <c r="AH969" s="58">
        <v>22.13</v>
      </c>
      <c r="AI969" s="56" t="str">
        <f t="shared" si="169"/>
        <v>Increase</v>
      </c>
      <c r="AJ969" s="81">
        <f t="shared" si="173"/>
        <v>0</v>
      </c>
      <c r="AK969" s="81">
        <f t="shared" si="174"/>
        <v>0</v>
      </c>
      <c r="AL969" s="58" t="s">
        <v>32</v>
      </c>
      <c r="AM969" s="58" t="s">
        <v>6703</v>
      </c>
      <c r="AN969" s="75">
        <v>0</v>
      </c>
      <c r="AO969" s="88">
        <v>22.13</v>
      </c>
      <c r="AP969" s="6" t="str">
        <f t="shared" si="170"/>
        <v>Increase</v>
      </c>
      <c r="AQ969" s="81">
        <f t="shared" si="171"/>
        <v>0</v>
      </c>
      <c r="AR969" s="81">
        <f t="shared" si="172"/>
        <v>0</v>
      </c>
      <c r="AS969" s="81">
        <f t="shared" si="175"/>
        <v>0</v>
      </c>
    </row>
    <row r="970" spans="1:45" hidden="1" x14ac:dyDescent="0.3">
      <c r="A970">
        <v>5092572</v>
      </c>
      <c r="B970" s="15" t="s">
        <v>6306</v>
      </c>
      <c r="C970" s="16" t="s">
        <v>30</v>
      </c>
      <c r="D970" s="6" t="s">
        <v>31</v>
      </c>
      <c r="E970" t="s">
        <v>339</v>
      </c>
      <c r="F970" t="s">
        <v>339</v>
      </c>
      <c r="H970" s="11" t="s">
        <v>27</v>
      </c>
      <c r="I970" s="6" t="s">
        <v>28</v>
      </c>
      <c r="J970" s="6" t="s">
        <v>28</v>
      </c>
      <c r="K970" t="s">
        <v>32</v>
      </c>
      <c r="L970" s="35">
        <v>8.26</v>
      </c>
      <c r="M970" s="6" t="s">
        <v>29</v>
      </c>
      <c r="N970" s="6">
        <v>3105</v>
      </c>
      <c r="P970" s="18"/>
      <c r="Q970" s="17"/>
      <c r="R970" s="19">
        <v>8.26</v>
      </c>
      <c r="S970" s="19">
        <v>8.26</v>
      </c>
      <c r="T970" s="38">
        <v>0</v>
      </c>
      <c r="U970" s="38"/>
      <c r="V970" s="30">
        <v>8.26</v>
      </c>
      <c r="W970" s="35">
        <v>8.26</v>
      </c>
      <c r="X970" s="32">
        <f t="shared" si="165"/>
        <v>0</v>
      </c>
      <c r="Y970" s="32">
        <f t="shared" si="166"/>
        <v>0</v>
      </c>
      <c r="Z970" s="32">
        <f t="shared" si="167"/>
        <v>0</v>
      </c>
      <c r="AA970" s="38" t="s">
        <v>2573</v>
      </c>
      <c r="AB970" s="37" t="str">
        <f>IFERROR(VLOOKUP(A970,'Tash Lookup'!A:E,3,FALSE),"")</f>
        <v/>
      </c>
      <c r="AC970" s="6" t="str">
        <f t="shared" si="168"/>
        <v/>
      </c>
      <c r="AD970" s="2" t="s">
        <v>6703</v>
      </c>
      <c r="AF970" s="56">
        <v>9.14</v>
      </c>
      <c r="AG970" s="56">
        <f>VLOOKUP(A970,Sheet1!$A$2:$C$1140,3,FALSE)</f>
        <v>9.41</v>
      </c>
      <c r="AH970" s="58">
        <v>9.41</v>
      </c>
      <c r="AI970" s="56" t="str">
        <f t="shared" si="169"/>
        <v>Increase</v>
      </c>
      <c r="AJ970" s="81">
        <f t="shared" si="173"/>
        <v>0</v>
      </c>
      <c r="AK970" s="81">
        <f t="shared" si="174"/>
        <v>0</v>
      </c>
      <c r="AL970" s="58" t="s">
        <v>32</v>
      </c>
      <c r="AM970" s="58" t="s">
        <v>6703</v>
      </c>
      <c r="AN970" s="75">
        <v>0</v>
      </c>
      <c r="AO970" s="88">
        <v>9.41</v>
      </c>
      <c r="AP970" s="6" t="str">
        <f t="shared" si="170"/>
        <v>Increase</v>
      </c>
      <c r="AQ970" s="81">
        <f t="shared" si="171"/>
        <v>0</v>
      </c>
      <c r="AR970" s="81">
        <f t="shared" si="172"/>
        <v>0</v>
      </c>
      <c r="AS970" s="81">
        <f t="shared" si="175"/>
        <v>0</v>
      </c>
    </row>
    <row r="971" spans="1:45" hidden="1" x14ac:dyDescent="0.3">
      <c r="A971">
        <v>5092573</v>
      </c>
      <c r="B971" s="15" t="s">
        <v>6307</v>
      </c>
      <c r="C971" s="16" t="s">
        <v>30</v>
      </c>
      <c r="D971" s="6" t="s">
        <v>31</v>
      </c>
      <c r="E971" t="s">
        <v>340</v>
      </c>
      <c r="F971" t="s">
        <v>340</v>
      </c>
      <c r="H971" s="11" t="s">
        <v>27</v>
      </c>
      <c r="I971" s="6" t="s">
        <v>28</v>
      </c>
      <c r="J971" s="6" t="s">
        <v>28</v>
      </c>
      <c r="K971" t="s">
        <v>32</v>
      </c>
      <c r="L971" s="35">
        <v>16.52</v>
      </c>
      <c r="M971" s="6" t="s">
        <v>29</v>
      </c>
      <c r="N971" s="6">
        <v>3105</v>
      </c>
      <c r="P971" s="18"/>
      <c r="Q971" s="17"/>
      <c r="R971" s="19">
        <v>16.52</v>
      </c>
      <c r="S971" s="19">
        <v>16.52</v>
      </c>
      <c r="T971" s="38">
        <v>0</v>
      </c>
      <c r="U971" s="38"/>
      <c r="V971" s="30">
        <v>16.52</v>
      </c>
      <c r="W971" s="35">
        <v>16.52</v>
      </c>
      <c r="X971" s="32">
        <f t="shared" si="165"/>
        <v>0</v>
      </c>
      <c r="Y971" s="32">
        <f t="shared" si="166"/>
        <v>0</v>
      </c>
      <c r="Z971" s="32">
        <f t="shared" si="167"/>
        <v>0</v>
      </c>
      <c r="AA971" s="38" t="s">
        <v>2573</v>
      </c>
      <c r="AB971" s="37" t="str">
        <f>IFERROR(VLOOKUP(A971,'Tash Lookup'!A:E,3,FALSE),"")</f>
        <v/>
      </c>
      <c r="AC971" s="6" t="str">
        <f t="shared" si="168"/>
        <v/>
      </c>
      <c r="AD971" s="2" t="s">
        <v>6703</v>
      </c>
      <c r="AF971" s="56">
        <v>17.73</v>
      </c>
      <c r="AG971" s="56">
        <f>VLOOKUP(A971,Sheet1!$A$2:$C$1140,3,FALSE)</f>
        <v>18.27</v>
      </c>
      <c r="AH971" s="58">
        <v>18.27</v>
      </c>
      <c r="AI971" s="56" t="str">
        <f t="shared" si="169"/>
        <v>Increase</v>
      </c>
      <c r="AJ971" s="81">
        <f t="shared" si="173"/>
        <v>0</v>
      </c>
      <c r="AK971" s="81">
        <f t="shared" si="174"/>
        <v>0</v>
      </c>
      <c r="AL971" s="58" t="s">
        <v>32</v>
      </c>
      <c r="AM971" s="58" t="s">
        <v>6703</v>
      </c>
      <c r="AN971" s="75">
        <v>0</v>
      </c>
      <c r="AO971" s="88">
        <v>18.27</v>
      </c>
      <c r="AP971" s="6" t="str">
        <f t="shared" si="170"/>
        <v>Increase</v>
      </c>
      <c r="AQ971" s="81">
        <f t="shared" si="171"/>
        <v>0</v>
      </c>
      <c r="AR971" s="81">
        <f t="shared" si="172"/>
        <v>0</v>
      </c>
      <c r="AS971" s="81">
        <f t="shared" si="175"/>
        <v>0</v>
      </c>
    </row>
    <row r="972" spans="1:45" hidden="1" x14ac:dyDescent="0.3">
      <c r="A972">
        <v>5092574</v>
      </c>
      <c r="B972" s="15" t="s">
        <v>6308</v>
      </c>
      <c r="C972" s="16" t="s">
        <v>30</v>
      </c>
      <c r="D972" s="6" t="s">
        <v>31</v>
      </c>
      <c r="E972" t="s">
        <v>341</v>
      </c>
      <c r="F972" t="s">
        <v>341</v>
      </c>
      <c r="H972" s="11" t="s">
        <v>27</v>
      </c>
      <c r="I972" s="6" t="s">
        <v>28</v>
      </c>
      <c r="J972" s="6" t="s">
        <v>28</v>
      </c>
      <c r="K972" t="s">
        <v>32</v>
      </c>
      <c r="L972" s="35">
        <v>27.53</v>
      </c>
      <c r="M972" s="6" t="s">
        <v>29</v>
      </c>
      <c r="N972" s="6">
        <v>3105</v>
      </c>
      <c r="P972" s="18"/>
      <c r="Q972" s="17"/>
      <c r="R972" s="19">
        <v>27.53</v>
      </c>
      <c r="S972" s="19">
        <v>27.53</v>
      </c>
      <c r="T972" s="38">
        <v>0</v>
      </c>
      <c r="U972" s="38"/>
      <c r="V972" s="30">
        <v>27.53</v>
      </c>
      <c r="W972" s="35">
        <v>27.53</v>
      </c>
      <c r="X972" s="32">
        <f t="shared" si="165"/>
        <v>0</v>
      </c>
      <c r="Y972" s="32">
        <f t="shared" si="166"/>
        <v>0</v>
      </c>
      <c r="Z972" s="32">
        <f t="shared" si="167"/>
        <v>0</v>
      </c>
      <c r="AA972" s="38" t="s">
        <v>2573</v>
      </c>
      <c r="AB972" s="37" t="str">
        <f>IFERROR(VLOOKUP(A972,'Tash Lookup'!A:E,3,FALSE),"")</f>
        <v/>
      </c>
      <c r="AC972" s="6" t="str">
        <f t="shared" si="168"/>
        <v/>
      </c>
      <c r="AD972" s="2" t="s">
        <v>6703</v>
      </c>
      <c r="AF972" s="56">
        <v>29.53</v>
      </c>
      <c r="AG972" s="56">
        <f>VLOOKUP(A972,Sheet1!$A$2:$C$1140,3,FALSE)</f>
        <v>30.42</v>
      </c>
      <c r="AH972" s="58">
        <v>30.42</v>
      </c>
      <c r="AI972" s="56" t="str">
        <f t="shared" si="169"/>
        <v>Increase</v>
      </c>
      <c r="AJ972" s="81">
        <f t="shared" si="173"/>
        <v>0</v>
      </c>
      <c r="AK972" s="81">
        <f t="shared" si="174"/>
        <v>0</v>
      </c>
      <c r="AL972" s="58" t="s">
        <v>32</v>
      </c>
      <c r="AM972" s="58" t="s">
        <v>6703</v>
      </c>
      <c r="AN972" s="75">
        <v>5</v>
      </c>
      <c r="AO972" s="88">
        <v>30.42</v>
      </c>
      <c r="AP972" s="6" t="str">
        <f t="shared" si="170"/>
        <v>Increase</v>
      </c>
      <c r="AQ972" s="81">
        <f t="shared" si="171"/>
        <v>147.65</v>
      </c>
      <c r="AR972" s="81">
        <f t="shared" si="172"/>
        <v>152.10000000000002</v>
      </c>
      <c r="AS972" s="81">
        <f t="shared" si="175"/>
        <v>4.4500000000000171</v>
      </c>
    </row>
    <row r="973" spans="1:45" hidden="1" x14ac:dyDescent="0.3">
      <c r="A973">
        <v>5159073</v>
      </c>
      <c r="B973" s="15" t="s">
        <v>6309</v>
      </c>
      <c r="C973" s="16" t="s">
        <v>30</v>
      </c>
      <c r="D973" s="6" t="s">
        <v>31</v>
      </c>
      <c r="E973" t="s">
        <v>342</v>
      </c>
      <c r="F973" t="s">
        <v>342</v>
      </c>
      <c r="H973" s="11" t="s">
        <v>27</v>
      </c>
      <c r="I973" s="6" t="s">
        <v>28</v>
      </c>
      <c r="J973" s="6" t="s">
        <v>28</v>
      </c>
      <c r="K973" t="s">
        <v>32</v>
      </c>
      <c r="L973" s="35">
        <v>8.26</v>
      </c>
      <c r="M973" s="6" t="s">
        <v>29</v>
      </c>
      <c r="N973" s="6">
        <v>3105</v>
      </c>
      <c r="P973" s="18"/>
      <c r="Q973" s="17"/>
      <c r="R973" s="19">
        <v>8.26</v>
      </c>
      <c r="S973" s="19">
        <v>8.26</v>
      </c>
      <c r="T973" s="38">
        <v>0</v>
      </c>
      <c r="U973" s="38"/>
      <c r="V973" s="30">
        <v>8.26</v>
      </c>
      <c r="W973" s="35">
        <v>8.26</v>
      </c>
      <c r="X973" s="32">
        <f t="shared" si="165"/>
        <v>0</v>
      </c>
      <c r="Y973" s="32">
        <f t="shared" si="166"/>
        <v>0</v>
      </c>
      <c r="Z973" s="32">
        <f t="shared" si="167"/>
        <v>0</v>
      </c>
      <c r="AA973" s="38" t="s">
        <v>2573</v>
      </c>
      <c r="AB973" s="37" t="str">
        <f>IFERROR(VLOOKUP(A973,'Tash Lookup'!A:E,3,FALSE),"")</f>
        <v/>
      </c>
      <c r="AC973" s="6" t="str">
        <f t="shared" si="168"/>
        <v/>
      </c>
      <c r="AD973" s="2" t="s">
        <v>6703</v>
      </c>
      <c r="AF973" s="56">
        <v>9.14</v>
      </c>
      <c r="AG973" s="56">
        <f>VLOOKUP(A973,Sheet1!$A$2:$C$1140,3,FALSE)</f>
        <v>9.41</v>
      </c>
      <c r="AH973" s="58">
        <v>9.41</v>
      </c>
      <c r="AI973" s="56" t="str">
        <f t="shared" si="169"/>
        <v>Increase</v>
      </c>
      <c r="AJ973" s="81">
        <f t="shared" si="173"/>
        <v>0</v>
      </c>
      <c r="AK973" s="81">
        <f t="shared" si="174"/>
        <v>0</v>
      </c>
      <c r="AL973" s="58" t="s">
        <v>32</v>
      </c>
      <c r="AM973" s="58" t="s">
        <v>6703</v>
      </c>
      <c r="AN973" s="75">
        <v>0</v>
      </c>
      <c r="AO973" s="88">
        <v>9.41</v>
      </c>
      <c r="AP973" s="6" t="str">
        <f t="shared" si="170"/>
        <v>Increase</v>
      </c>
      <c r="AQ973" s="81">
        <f t="shared" si="171"/>
        <v>0</v>
      </c>
      <c r="AR973" s="81">
        <f t="shared" si="172"/>
        <v>0</v>
      </c>
      <c r="AS973" s="81">
        <f t="shared" si="175"/>
        <v>0</v>
      </c>
    </row>
    <row r="974" spans="1:45" hidden="1" x14ac:dyDescent="0.3">
      <c r="A974">
        <v>5092596</v>
      </c>
      <c r="B974" s="15" t="s">
        <v>6310</v>
      </c>
      <c r="C974" s="16" t="s">
        <v>30</v>
      </c>
      <c r="D974" s="6" t="s">
        <v>31</v>
      </c>
      <c r="E974" t="s">
        <v>343</v>
      </c>
      <c r="F974" t="s">
        <v>343</v>
      </c>
      <c r="H974" s="11" t="s">
        <v>27</v>
      </c>
      <c r="I974" s="6" t="s">
        <v>28</v>
      </c>
      <c r="J974" s="6" t="s">
        <v>28</v>
      </c>
      <c r="K974" t="s">
        <v>32</v>
      </c>
      <c r="L974" s="35">
        <v>8.26</v>
      </c>
      <c r="M974" s="6" t="s">
        <v>29</v>
      </c>
      <c r="N974" s="6">
        <v>3105</v>
      </c>
      <c r="P974" s="18"/>
      <c r="Q974" s="17"/>
      <c r="R974" s="19">
        <v>8.26</v>
      </c>
      <c r="S974" s="19">
        <v>8.26</v>
      </c>
      <c r="T974" s="38">
        <v>0</v>
      </c>
      <c r="U974" s="38"/>
      <c r="V974" s="30">
        <v>8.26</v>
      </c>
      <c r="W974" s="35">
        <v>8.26</v>
      </c>
      <c r="X974" s="32">
        <f t="shared" si="165"/>
        <v>0</v>
      </c>
      <c r="Y974" s="32">
        <f t="shared" si="166"/>
        <v>0</v>
      </c>
      <c r="Z974" s="32">
        <f t="shared" si="167"/>
        <v>0</v>
      </c>
      <c r="AA974" s="38" t="s">
        <v>2573</v>
      </c>
      <c r="AB974" s="37" t="str">
        <f>IFERROR(VLOOKUP(A974,'Tash Lookup'!A:E,3,FALSE),"")</f>
        <v/>
      </c>
      <c r="AC974" s="6" t="str">
        <f t="shared" si="168"/>
        <v/>
      </c>
      <c r="AD974" s="2" t="s">
        <v>6704</v>
      </c>
      <c r="AF974" s="56">
        <v>8.7200000000000006</v>
      </c>
      <c r="AG974" s="56" t="e">
        <f>VLOOKUP(A974,Sheet1!$A$2:$C$1140,3,FALSE)</f>
        <v>#N/A</v>
      </c>
      <c r="AH974" s="58" t="e">
        <v>#N/A</v>
      </c>
      <c r="AI974" s="56" t="str">
        <f t="shared" si="169"/>
        <v>Delete</v>
      </c>
      <c r="AJ974" s="81">
        <f t="shared" si="173"/>
        <v>0</v>
      </c>
      <c r="AK974" s="81">
        <f t="shared" si="174"/>
        <v>0</v>
      </c>
      <c r="AL974" s="58" t="s">
        <v>32</v>
      </c>
      <c r="AM974" s="58" t="s">
        <v>6708</v>
      </c>
      <c r="AN974" s="75">
        <v>0</v>
      </c>
      <c r="AO974" s="88">
        <v>8.7200000000000006</v>
      </c>
      <c r="AP974" s="6" t="str">
        <f t="shared" si="170"/>
        <v>Same</v>
      </c>
      <c r="AQ974" s="81">
        <f t="shared" si="171"/>
        <v>0</v>
      </c>
      <c r="AR974" s="81">
        <f t="shared" si="172"/>
        <v>0</v>
      </c>
      <c r="AS974" s="81">
        <f t="shared" si="175"/>
        <v>0</v>
      </c>
    </row>
    <row r="975" spans="1:45" hidden="1" x14ac:dyDescent="0.3">
      <c r="A975">
        <v>5083469</v>
      </c>
      <c r="B975" s="15" t="s">
        <v>6311</v>
      </c>
      <c r="C975" s="16" t="s">
        <v>30</v>
      </c>
      <c r="D975" s="6" t="s">
        <v>31</v>
      </c>
      <c r="E975" t="s">
        <v>344</v>
      </c>
      <c r="F975" t="s">
        <v>344</v>
      </c>
      <c r="H975" s="11" t="s">
        <v>27</v>
      </c>
      <c r="I975" s="6" t="s">
        <v>28</v>
      </c>
      <c r="J975" s="6" t="s">
        <v>28</v>
      </c>
      <c r="K975" t="s">
        <v>32</v>
      </c>
      <c r="L975" s="35">
        <v>16.52</v>
      </c>
      <c r="M975" s="6" t="s">
        <v>29</v>
      </c>
      <c r="N975" s="6">
        <v>3105</v>
      </c>
      <c r="P975" s="18"/>
      <c r="Q975" s="17"/>
      <c r="R975" s="19">
        <v>16.52</v>
      </c>
      <c r="S975" s="19">
        <v>16.52</v>
      </c>
      <c r="T975" s="38">
        <v>0</v>
      </c>
      <c r="U975" s="38"/>
      <c r="V975" s="30">
        <v>16.52</v>
      </c>
      <c r="W975" s="35">
        <v>16.52</v>
      </c>
      <c r="X975" s="32">
        <f t="shared" si="165"/>
        <v>0</v>
      </c>
      <c r="Y975" s="32">
        <f t="shared" si="166"/>
        <v>0</v>
      </c>
      <c r="Z975" s="32">
        <f t="shared" si="167"/>
        <v>0</v>
      </c>
      <c r="AA975" s="38" t="s">
        <v>2573</v>
      </c>
      <c r="AB975" s="37" t="str">
        <f>IFERROR(VLOOKUP(A975,'Tash Lookup'!A:E,3,FALSE),"")</f>
        <v/>
      </c>
      <c r="AC975" s="6" t="str">
        <f t="shared" si="168"/>
        <v/>
      </c>
      <c r="AD975" s="2" t="s">
        <v>6703</v>
      </c>
      <c r="AF975" s="56">
        <v>17.73</v>
      </c>
      <c r="AG975" s="56">
        <f>VLOOKUP(A975,Sheet1!$A$2:$C$1140,3,FALSE)</f>
        <v>18.27</v>
      </c>
      <c r="AH975" s="58">
        <v>18.27</v>
      </c>
      <c r="AI975" s="56" t="str">
        <f t="shared" si="169"/>
        <v>Increase</v>
      </c>
      <c r="AJ975" s="81">
        <f t="shared" si="173"/>
        <v>0</v>
      </c>
      <c r="AK975" s="81">
        <f t="shared" si="174"/>
        <v>0</v>
      </c>
      <c r="AL975" s="58" t="s">
        <v>32</v>
      </c>
      <c r="AM975" s="58" t="s">
        <v>6703</v>
      </c>
      <c r="AN975" s="75">
        <v>1</v>
      </c>
      <c r="AO975" s="88">
        <v>18.27</v>
      </c>
      <c r="AP975" s="6" t="str">
        <f t="shared" si="170"/>
        <v>Increase</v>
      </c>
      <c r="AQ975" s="81">
        <f t="shared" si="171"/>
        <v>17.73</v>
      </c>
      <c r="AR975" s="81">
        <f t="shared" si="172"/>
        <v>18.27</v>
      </c>
      <c r="AS975" s="81">
        <f t="shared" si="175"/>
        <v>0.53999999999999915</v>
      </c>
    </row>
    <row r="976" spans="1:45" hidden="1" x14ac:dyDescent="0.3">
      <c r="A976">
        <v>5092549</v>
      </c>
      <c r="B976" s="15" t="s">
        <v>6312</v>
      </c>
      <c r="C976" s="16" t="s">
        <v>30</v>
      </c>
      <c r="D976" s="6" t="s">
        <v>31</v>
      </c>
      <c r="E976" t="s">
        <v>345</v>
      </c>
      <c r="F976" t="s">
        <v>345</v>
      </c>
      <c r="H976" s="11" t="s">
        <v>27</v>
      </c>
      <c r="I976" s="6" t="s">
        <v>28</v>
      </c>
      <c r="J976" s="6" t="s">
        <v>28</v>
      </c>
      <c r="K976" t="s">
        <v>32</v>
      </c>
      <c r="L976" s="35">
        <v>27.53</v>
      </c>
      <c r="M976" s="6" t="s">
        <v>29</v>
      </c>
      <c r="N976" s="6">
        <v>3105</v>
      </c>
      <c r="P976" s="18"/>
      <c r="Q976" s="17"/>
      <c r="R976" s="19">
        <v>27.53</v>
      </c>
      <c r="S976" s="19">
        <v>27.53</v>
      </c>
      <c r="T976" s="38">
        <v>0</v>
      </c>
      <c r="U976" s="38"/>
      <c r="V976" s="30">
        <v>27.53</v>
      </c>
      <c r="W976" s="35">
        <v>27.53</v>
      </c>
      <c r="X976" s="32">
        <f t="shared" si="165"/>
        <v>0</v>
      </c>
      <c r="Y976" s="32">
        <f t="shared" si="166"/>
        <v>0</v>
      </c>
      <c r="Z976" s="32">
        <f t="shared" si="167"/>
        <v>0</v>
      </c>
      <c r="AA976" s="38" t="s">
        <v>2573</v>
      </c>
      <c r="AB976" s="37" t="str">
        <f>IFERROR(VLOOKUP(A976,'Tash Lookup'!A:E,3,FALSE),"")</f>
        <v/>
      </c>
      <c r="AC976" s="6" t="str">
        <f t="shared" si="168"/>
        <v/>
      </c>
      <c r="AD976" s="2" t="s">
        <v>6703</v>
      </c>
      <c r="AF976" s="56">
        <v>29.53</v>
      </c>
      <c r="AG976" s="56">
        <f>VLOOKUP(A976,Sheet1!$A$2:$C$1140,3,FALSE)</f>
        <v>30.42</v>
      </c>
      <c r="AH976" s="58">
        <v>30.42</v>
      </c>
      <c r="AI976" s="56" t="str">
        <f t="shared" si="169"/>
        <v>Increase</v>
      </c>
      <c r="AJ976" s="81">
        <f t="shared" si="173"/>
        <v>0</v>
      </c>
      <c r="AK976" s="81">
        <f t="shared" si="174"/>
        <v>0</v>
      </c>
      <c r="AL976" s="58" t="s">
        <v>32</v>
      </c>
      <c r="AM976" s="58" t="s">
        <v>6703</v>
      </c>
      <c r="AN976" s="75">
        <v>0</v>
      </c>
      <c r="AO976" s="88">
        <v>30.42</v>
      </c>
      <c r="AP976" s="6" t="str">
        <f t="shared" si="170"/>
        <v>Increase</v>
      </c>
      <c r="AQ976" s="81">
        <f t="shared" si="171"/>
        <v>0</v>
      </c>
      <c r="AR976" s="81">
        <f t="shared" si="172"/>
        <v>0</v>
      </c>
      <c r="AS976" s="81">
        <f t="shared" si="175"/>
        <v>0</v>
      </c>
    </row>
    <row r="977" spans="1:45" hidden="1" x14ac:dyDescent="0.3">
      <c r="A977">
        <v>5122390</v>
      </c>
      <c r="B977" s="15" t="s">
        <v>6313</v>
      </c>
      <c r="C977" s="16" t="s">
        <v>30</v>
      </c>
      <c r="D977" s="6" t="s">
        <v>31</v>
      </c>
      <c r="E977" t="s">
        <v>346</v>
      </c>
      <c r="F977" t="s">
        <v>346</v>
      </c>
      <c r="H977" s="11" t="s">
        <v>27</v>
      </c>
      <c r="I977" s="6" t="s">
        <v>28</v>
      </c>
      <c r="J977" s="6" t="s">
        <v>28</v>
      </c>
      <c r="K977" t="s">
        <v>32</v>
      </c>
      <c r="L977" s="35">
        <v>8.26</v>
      </c>
      <c r="M977" s="6" t="s">
        <v>29</v>
      </c>
      <c r="N977" s="6">
        <v>3105</v>
      </c>
      <c r="P977" s="18"/>
      <c r="Q977" s="17"/>
      <c r="R977" s="19">
        <v>8.26</v>
      </c>
      <c r="S977" s="19">
        <v>8.26</v>
      </c>
      <c r="T977" s="38">
        <v>0</v>
      </c>
      <c r="U977" s="38"/>
      <c r="V977" s="30">
        <v>8.26</v>
      </c>
      <c r="W977" s="35">
        <v>8.26</v>
      </c>
      <c r="X977" s="32">
        <f t="shared" si="165"/>
        <v>0</v>
      </c>
      <c r="Y977" s="32">
        <f t="shared" si="166"/>
        <v>0</v>
      </c>
      <c r="Z977" s="32">
        <f t="shared" si="167"/>
        <v>0</v>
      </c>
      <c r="AA977" s="38" t="s">
        <v>2573</v>
      </c>
      <c r="AB977" s="37" t="str">
        <f>IFERROR(VLOOKUP(A977,'Tash Lookup'!A:E,3,FALSE),"")</f>
        <v/>
      </c>
      <c r="AC977" s="6" t="str">
        <f t="shared" si="168"/>
        <v/>
      </c>
      <c r="AD977" s="2" t="s">
        <v>6703</v>
      </c>
      <c r="AF977" s="56">
        <v>9.14</v>
      </c>
      <c r="AG977" s="56">
        <f>VLOOKUP(A977,Sheet1!$A$2:$C$1140,3,FALSE)</f>
        <v>9.41</v>
      </c>
      <c r="AH977" s="58">
        <v>9.41</v>
      </c>
      <c r="AI977" s="56" t="str">
        <f t="shared" si="169"/>
        <v>Increase</v>
      </c>
      <c r="AJ977" s="81">
        <f t="shared" si="173"/>
        <v>0</v>
      </c>
      <c r="AK977" s="81">
        <f t="shared" si="174"/>
        <v>0</v>
      </c>
      <c r="AL977" s="58" t="s">
        <v>32</v>
      </c>
      <c r="AM977" s="58" t="s">
        <v>6703</v>
      </c>
      <c r="AN977" s="75">
        <v>0</v>
      </c>
      <c r="AO977" s="88">
        <v>9.41</v>
      </c>
      <c r="AP977" s="6" t="str">
        <f t="shared" si="170"/>
        <v>Increase</v>
      </c>
      <c r="AQ977" s="81">
        <f t="shared" si="171"/>
        <v>0</v>
      </c>
      <c r="AR977" s="81">
        <f t="shared" si="172"/>
        <v>0</v>
      </c>
      <c r="AS977" s="81">
        <f t="shared" si="175"/>
        <v>0</v>
      </c>
    </row>
    <row r="978" spans="1:45" hidden="1" x14ac:dyDescent="0.3">
      <c r="A978">
        <v>5244440</v>
      </c>
      <c r="B978" s="15" t="s">
        <v>6314</v>
      </c>
      <c r="C978" s="16" t="s">
        <v>30</v>
      </c>
      <c r="D978" s="6" t="s">
        <v>31</v>
      </c>
      <c r="E978" t="s">
        <v>348</v>
      </c>
      <c r="F978" t="s">
        <v>348</v>
      </c>
      <c r="H978" s="11" t="s">
        <v>27</v>
      </c>
      <c r="I978" s="6" t="s">
        <v>28</v>
      </c>
      <c r="J978" s="6" t="s">
        <v>28</v>
      </c>
      <c r="K978" t="s">
        <v>32</v>
      </c>
      <c r="L978" s="35">
        <v>27.53</v>
      </c>
      <c r="M978" s="6" t="s">
        <v>29</v>
      </c>
      <c r="N978" s="6">
        <v>3105</v>
      </c>
      <c r="P978" s="18"/>
      <c r="Q978" s="17"/>
      <c r="R978" s="19">
        <v>27.53</v>
      </c>
      <c r="S978" s="19">
        <v>27.53</v>
      </c>
      <c r="T978" s="38">
        <v>0</v>
      </c>
      <c r="U978" s="38"/>
      <c r="V978" s="30">
        <v>27.53</v>
      </c>
      <c r="W978" s="35">
        <v>27.53</v>
      </c>
      <c r="X978" s="32">
        <f t="shared" si="165"/>
        <v>0</v>
      </c>
      <c r="Y978" s="32">
        <f t="shared" si="166"/>
        <v>0</v>
      </c>
      <c r="Z978" s="32">
        <f t="shared" si="167"/>
        <v>0</v>
      </c>
      <c r="AA978" s="38" t="s">
        <v>2573</v>
      </c>
      <c r="AB978" s="37" t="str">
        <f>IFERROR(VLOOKUP(A978,'Tash Lookup'!A:E,3,FALSE),"")</f>
        <v/>
      </c>
      <c r="AC978" s="6" t="str">
        <f t="shared" si="168"/>
        <v/>
      </c>
      <c r="AD978" s="2" t="s">
        <v>6703</v>
      </c>
      <c r="AF978" s="56">
        <v>29.53</v>
      </c>
      <c r="AG978" s="56">
        <f>VLOOKUP(A978,Sheet1!$A$2:$C$1140,3,FALSE)</f>
        <v>30.42</v>
      </c>
      <c r="AH978" s="58">
        <v>30.42</v>
      </c>
      <c r="AI978" s="56" t="str">
        <f t="shared" si="169"/>
        <v>Increase</v>
      </c>
      <c r="AJ978" s="81">
        <f t="shared" si="173"/>
        <v>0</v>
      </c>
      <c r="AK978" s="81">
        <f t="shared" si="174"/>
        <v>0</v>
      </c>
      <c r="AL978" s="58" t="s">
        <v>32</v>
      </c>
      <c r="AM978" s="58" t="s">
        <v>6703</v>
      </c>
      <c r="AN978" s="75">
        <v>0</v>
      </c>
      <c r="AO978" s="88">
        <v>30.42</v>
      </c>
      <c r="AP978" s="6" t="str">
        <f t="shared" si="170"/>
        <v>Increase</v>
      </c>
      <c r="AQ978" s="81">
        <f t="shared" si="171"/>
        <v>0</v>
      </c>
      <c r="AR978" s="81">
        <f t="shared" si="172"/>
        <v>0</v>
      </c>
      <c r="AS978" s="81">
        <f t="shared" si="175"/>
        <v>0</v>
      </c>
    </row>
    <row r="979" spans="1:45" hidden="1" x14ac:dyDescent="0.3">
      <c r="A979">
        <v>5316975</v>
      </c>
      <c r="B979" s="15" t="s">
        <v>6315</v>
      </c>
      <c r="C979" s="16" t="s">
        <v>30</v>
      </c>
      <c r="D979" s="6" t="s">
        <v>31</v>
      </c>
      <c r="E979" t="s">
        <v>2528</v>
      </c>
      <c r="F979" t="s">
        <v>2528</v>
      </c>
      <c r="H979" s="11" t="s">
        <v>27</v>
      </c>
      <c r="I979" s="6" t="s">
        <v>28</v>
      </c>
      <c r="J979" s="6" t="s">
        <v>28</v>
      </c>
      <c r="K979" t="s">
        <v>32</v>
      </c>
      <c r="L979" s="35">
        <v>8.26</v>
      </c>
      <c r="M979" s="6" t="s">
        <v>29</v>
      </c>
      <c r="N979" s="6">
        <v>3105</v>
      </c>
      <c r="P979" s="18"/>
      <c r="Q979" s="17"/>
      <c r="R979" s="19">
        <v>8.26</v>
      </c>
      <c r="S979" s="19">
        <v>8.26</v>
      </c>
      <c r="T979" s="38">
        <v>0</v>
      </c>
      <c r="U979" s="38"/>
      <c r="V979" s="30">
        <v>8.26</v>
      </c>
      <c r="W979" s="35">
        <v>8.26</v>
      </c>
      <c r="X979" s="32">
        <f t="shared" si="165"/>
        <v>0</v>
      </c>
      <c r="Y979" s="32">
        <f t="shared" si="166"/>
        <v>0</v>
      </c>
      <c r="Z979" s="32">
        <f t="shared" si="167"/>
        <v>0</v>
      </c>
      <c r="AA979" s="38" t="s">
        <v>2573</v>
      </c>
      <c r="AB979" s="37" t="str">
        <f>IFERROR(VLOOKUP(A979,'Tash Lookup'!A:E,3,FALSE),"")</f>
        <v/>
      </c>
      <c r="AC979" s="6" t="str">
        <f t="shared" si="168"/>
        <v/>
      </c>
      <c r="AD979" s="2" t="s">
        <v>6703</v>
      </c>
      <c r="AF979" s="56">
        <v>9.14</v>
      </c>
      <c r="AG979" s="56">
        <f>VLOOKUP(A979,Sheet1!$A$2:$C$1140,3,FALSE)</f>
        <v>9.41</v>
      </c>
      <c r="AH979" s="58">
        <v>9.41</v>
      </c>
      <c r="AI979" s="56" t="str">
        <f t="shared" si="169"/>
        <v>Increase</v>
      </c>
      <c r="AJ979" s="81">
        <f t="shared" si="173"/>
        <v>0</v>
      </c>
      <c r="AK979" s="81">
        <f t="shared" si="174"/>
        <v>0</v>
      </c>
      <c r="AL979" s="58" t="s">
        <v>32</v>
      </c>
      <c r="AM979" s="58" t="s">
        <v>6703</v>
      </c>
      <c r="AN979" s="75">
        <v>0</v>
      </c>
      <c r="AO979" s="88">
        <v>9.41</v>
      </c>
      <c r="AP979" s="6" t="str">
        <f t="shared" si="170"/>
        <v>Increase</v>
      </c>
      <c r="AQ979" s="81">
        <f t="shared" si="171"/>
        <v>0</v>
      </c>
      <c r="AR979" s="81">
        <f t="shared" si="172"/>
        <v>0</v>
      </c>
      <c r="AS979" s="81">
        <f t="shared" si="175"/>
        <v>0</v>
      </c>
    </row>
    <row r="980" spans="1:45" hidden="1" x14ac:dyDescent="0.3">
      <c r="A980">
        <v>5092588</v>
      </c>
      <c r="B980" s="15" t="s">
        <v>6316</v>
      </c>
      <c r="C980" s="16" t="s">
        <v>30</v>
      </c>
      <c r="D980" s="6" t="s">
        <v>31</v>
      </c>
      <c r="E980" t="s">
        <v>349</v>
      </c>
      <c r="F980" t="s">
        <v>349</v>
      </c>
      <c r="H980" s="11" t="s">
        <v>27</v>
      </c>
      <c r="I980" s="6" t="s">
        <v>28</v>
      </c>
      <c r="J980" s="6" t="s">
        <v>28</v>
      </c>
      <c r="K980" t="s">
        <v>32</v>
      </c>
      <c r="L980" s="35">
        <v>8.26</v>
      </c>
      <c r="M980" s="6" t="s">
        <v>29</v>
      </c>
      <c r="N980" s="6">
        <v>3105</v>
      </c>
      <c r="P980" s="18"/>
      <c r="Q980" s="17"/>
      <c r="R980" s="19">
        <v>8.26</v>
      </c>
      <c r="S980" s="19">
        <v>8.26</v>
      </c>
      <c r="T980" s="38">
        <v>0</v>
      </c>
      <c r="U980" s="38"/>
      <c r="V980" s="30">
        <v>8.26</v>
      </c>
      <c r="W980" s="35">
        <v>8.26</v>
      </c>
      <c r="X980" s="32">
        <f t="shared" si="165"/>
        <v>0</v>
      </c>
      <c r="Y980" s="32">
        <f t="shared" si="166"/>
        <v>0</v>
      </c>
      <c r="Z980" s="32">
        <f t="shared" si="167"/>
        <v>0</v>
      </c>
      <c r="AA980" s="38" t="s">
        <v>2573</v>
      </c>
      <c r="AB980" s="37" t="str">
        <f>IFERROR(VLOOKUP(A980,'Tash Lookup'!A:E,3,FALSE),"")</f>
        <v/>
      </c>
      <c r="AC980" s="6" t="str">
        <f t="shared" si="168"/>
        <v/>
      </c>
      <c r="AD980" s="2" t="s">
        <v>6703</v>
      </c>
      <c r="AF980" s="56">
        <v>9.14</v>
      </c>
      <c r="AG980" s="56">
        <f>VLOOKUP(A980,Sheet1!$A$2:$C$1140,3,FALSE)</f>
        <v>9.41</v>
      </c>
      <c r="AH980" s="58">
        <v>9.41</v>
      </c>
      <c r="AI980" s="56" t="str">
        <f t="shared" si="169"/>
        <v>Increase</v>
      </c>
      <c r="AJ980" s="81">
        <f t="shared" si="173"/>
        <v>0</v>
      </c>
      <c r="AK980" s="81">
        <f t="shared" si="174"/>
        <v>0</v>
      </c>
      <c r="AL980" s="58" t="s">
        <v>32</v>
      </c>
      <c r="AM980" s="58" t="s">
        <v>6703</v>
      </c>
      <c r="AN980" s="75">
        <v>0</v>
      </c>
      <c r="AO980" s="88">
        <v>9.41</v>
      </c>
      <c r="AP980" s="6" t="str">
        <f t="shared" si="170"/>
        <v>Increase</v>
      </c>
      <c r="AQ980" s="81">
        <f t="shared" si="171"/>
        <v>0</v>
      </c>
      <c r="AR980" s="81">
        <f t="shared" si="172"/>
        <v>0</v>
      </c>
      <c r="AS980" s="81">
        <f t="shared" si="175"/>
        <v>0</v>
      </c>
    </row>
    <row r="981" spans="1:45" hidden="1" x14ac:dyDescent="0.3">
      <c r="A981">
        <v>5092589</v>
      </c>
      <c r="B981" s="15" t="s">
        <v>6317</v>
      </c>
      <c r="C981" s="16" t="s">
        <v>30</v>
      </c>
      <c r="D981" s="6" t="s">
        <v>31</v>
      </c>
      <c r="E981" t="s">
        <v>350</v>
      </c>
      <c r="F981" t="s">
        <v>350</v>
      </c>
      <c r="H981" s="11" t="s">
        <v>27</v>
      </c>
      <c r="I981" s="6" t="s">
        <v>28</v>
      </c>
      <c r="J981" s="6" t="s">
        <v>28</v>
      </c>
      <c r="K981" t="s">
        <v>32</v>
      </c>
      <c r="L981" s="35">
        <v>16.52</v>
      </c>
      <c r="M981" s="6" t="s">
        <v>29</v>
      </c>
      <c r="N981" s="6">
        <v>3105</v>
      </c>
      <c r="P981" s="18"/>
      <c r="Q981" s="17"/>
      <c r="R981" s="19">
        <v>16.52</v>
      </c>
      <c r="S981" s="19">
        <v>16.52</v>
      </c>
      <c r="T981" s="38">
        <v>0</v>
      </c>
      <c r="U981" s="38"/>
      <c r="V981" s="30">
        <v>16.52</v>
      </c>
      <c r="W981" s="35">
        <v>16.52</v>
      </c>
      <c r="X981" s="32">
        <f t="shared" si="165"/>
        <v>0</v>
      </c>
      <c r="Y981" s="32">
        <f t="shared" si="166"/>
        <v>0</v>
      </c>
      <c r="Z981" s="32">
        <f t="shared" si="167"/>
        <v>0</v>
      </c>
      <c r="AA981" s="38" t="s">
        <v>2573</v>
      </c>
      <c r="AB981" s="37" t="str">
        <f>IFERROR(VLOOKUP(A981,'Tash Lookup'!A:E,3,FALSE),"")</f>
        <v/>
      </c>
      <c r="AC981" s="6" t="str">
        <f t="shared" si="168"/>
        <v/>
      </c>
      <c r="AD981" s="2" t="s">
        <v>6703</v>
      </c>
      <c r="AF981" s="56">
        <v>17.73</v>
      </c>
      <c r="AG981" s="56">
        <f>VLOOKUP(A981,Sheet1!$A$2:$C$1140,3,FALSE)</f>
        <v>18.27</v>
      </c>
      <c r="AH981" s="58">
        <v>18.27</v>
      </c>
      <c r="AI981" s="56" t="str">
        <f t="shared" si="169"/>
        <v>Increase</v>
      </c>
      <c r="AJ981" s="81">
        <f t="shared" si="173"/>
        <v>0</v>
      </c>
      <c r="AK981" s="81">
        <f t="shared" si="174"/>
        <v>0</v>
      </c>
      <c r="AL981" s="58" t="s">
        <v>32</v>
      </c>
      <c r="AM981" s="58" t="s">
        <v>6703</v>
      </c>
      <c r="AN981" s="75">
        <v>0</v>
      </c>
      <c r="AO981" s="88">
        <v>18.27</v>
      </c>
      <c r="AP981" s="6" t="str">
        <f t="shared" si="170"/>
        <v>Increase</v>
      </c>
      <c r="AQ981" s="81">
        <f t="shared" si="171"/>
        <v>0</v>
      </c>
      <c r="AR981" s="81">
        <f t="shared" si="172"/>
        <v>0</v>
      </c>
      <c r="AS981" s="81">
        <f t="shared" si="175"/>
        <v>0</v>
      </c>
    </row>
    <row r="982" spans="1:45" hidden="1" x14ac:dyDescent="0.3">
      <c r="A982">
        <v>5092590</v>
      </c>
      <c r="B982" s="15" t="s">
        <v>6318</v>
      </c>
      <c r="C982" s="16" t="s">
        <v>30</v>
      </c>
      <c r="D982" s="6" t="s">
        <v>31</v>
      </c>
      <c r="E982" t="s">
        <v>351</v>
      </c>
      <c r="F982" t="s">
        <v>351</v>
      </c>
      <c r="H982" s="11" t="s">
        <v>27</v>
      </c>
      <c r="I982" s="6" t="s">
        <v>28</v>
      </c>
      <c r="J982" s="6" t="s">
        <v>28</v>
      </c>
      <c r="K982" t="s">
        <v>32</v>
      </c>
      <c r="L982" s="35">
        <v>27.53</v>
      </c>
      <c r="M982" s="6" t="s">
        <v>29</v>
      </c>
      <c r="N982" s="6">
        <v>3105</v>
      </c>
      <c r="P982" s="18"/>
      <c r="Q982" s="17"/>
      <c r="R982" s="19">
        <v>27.53</v>
      </c>
      <c r="S982" s="19">
        <v>27.53</v>
      </c>
      <c r="T982" s="38">
        <v>0</v>
      </c>
      <c r="U982" s="38"/>
      <c r="V982" s="30">
        <v>27.53</v>
      </c>
      <c r="W982" s="35">
        <v>27.53</v>
      </c>
      <c r="X982" s="32">
        <f t="shared" si="165"/>
        <v>0</v>
      </c>
      <c r="Y982" s="32">
        <f t="shared" si="166"/>
        <v>0</v>
      </c>
      <c r="Z982" s="32">
        <f t="shared" si="167"/>
        <v>0</v>
      </c>
      <c r="AA982" s="38" t="s">
        <v>2573</v>
      </c>
      <c r="AB982" s="37" t="str">
        <f>IFERROR(VLOOKUP(A982,'Tash Lookup'!A:E,3,FALSE),"")</f>
        <v/>
      </c>
      <c r="AC982" s="6" t="str">
        <f t="shared" si="168"/>
        <v/>
      </c>
      <c r="AD982" s="2" t="s">
        <v>6703</v>
      </c>
      <c r="AF982" s="56">
        <v>29.53</v>
      </c>
      <c r="AG982" s="56">
        <f>VLOOKUP(A982,Sheet1!$A$2:$C$1140,3,FALSE)</f>
        <v>30.42</v>
      </c>
      <c r="AH982" s="58">
        <v>30.42</v>
      </c>
      <c r="AI982" s="56" t="str">
        <f t="shared" si="169"/>
        <v>Increase</v>
      </c>
      <c r="AJ982" s="81">
        <f t="shared" si="173"/>
        <v>0</v>
      </c>
      <c r="AK982" s="81">
        <f t="shared" si="174"/>
        <v>0</v>
      </c>
      <c r="AL982" s="58" t="s">
        <v>32</v>
      </c>
      <c r="AM982" s="58" t="s">
        <v>6703</v>
      </c>
      <c r="AN982" s="75">
        <v>0</v>
      </c>
      <c r="AO982" s="88">
        <v>30.42</v>
      </c>
      <c r="AP982" s="6" t="str">
        <f t="shared" si="170"/>
        <v>Increase</v>
      </c>
      <c r="AQ982" s="81">
        <f t="shared" si="171"/>
        <v>0</v>
      </c>
      <c r="AR982" s="81">
        <f t="shared" si="172"/>
        <v>0</v>
      </c>
      <c r="AS982" s="81">
        <f t="shared" si="175"/>
        <v>0</v>
      </c>
    </row>
    <row r="983" spans="1:45" hidden="1" x14ac:dyDescent="0.3">
      <c r="A983">
        <v>5244471</v>
      </c>
      <c r="B983" s="15" t="s">
        <v>6319</v>
      </c>
      <c r="C983" s="16" t="s">
        <v>30</v>
      </c>
      <c r="D983" s="6" t="s">
        <v>31</v>
      </c>
      <c r="E983" t="s">
        <v>352</v>
      </c>
      <c r="F983" t="s">
        <v>352</v>
      </c>
      <c r="H983" s="11" t="s">
        <v>27</v>
      </c>
      <c r="I983" s="6" t="s">
        <v>28</v>
      </c>
      <c r="J983" s="6" t="s">
        <v>28</v>
      </c>
      <c r="K983" t="s">
        <v>32</v>
      </c>
      <c r="L983" s="35">
        <v>8.26</v>
      </c>
      <c r="M983" s="6" t="s">
        <v>29</v>
      </c>
      <c r="N983" s="6">
        <v>3105</v>
      </c>
      <c r="P983" s="18"/>
      <c r="Q983" s="17"/>
      <c r="R983" s="19">
        <v>8.26</v>
      </c>
      <c r="S983" s="19">
        <v>8.26</v>
      </c>
      <c r="T983" s="38">
        <v>0</v>
      </c>
      <c r="U983" s="38"/>
      <c r="V983" s="30">
        <v>8.26</v>
      </c>
      <c r="W983" s="35">
        <v>8.26</v>
      </c>
      <c r="X983" s="32">
        <f t="shared" si="165"/>
        <v>0</v>
      </c>
      <c r="Y983" s="32">
        <f t="shared" si="166"/>
        <v>0</v>
      </c>
      <c r="Z983" s="32">
        <f t="shared" si="167"/>
        <v>0</v>
      </c>
      <c r="AA983" s="38" t="s">
        <v>2573</v>
      </c>
      <c r="AB983" s="37" t="str">
        <f>IFERROR(VLOOKUP(A983,'Tash Lookup'!A:E,3,FALSE),"")</f>
        <v/>
      </c>
      <c r="AC983" s="6" t="str">
        <f t="shared" si="168"/>
        <v/>
      </c>
      <c r="AD983" s="2" t="s">
        <v>6703</v>
      </c>
      <c r="AF983" s="56">
        <v>9.14</v>
      </c>
      <c r="AG983" s="56">
        <f>VLOOKUP(A983,Sheet1!$A$2:$C$1140,3,FALSE)</f>
        <v>9.41</v>
      </c>
      <c r="AH983" s="58">
        <v>9.41</v>
      </c>
      <c r="AI983" s="56" t="str">
        <f t="shared" si="169"/>
        <v>Increase</v>
      </c>
      <c r="AJ983" s="81">
        <f t="shared" si="173"/>
        <v>0</v>
      </c>
      <c r="AK983" s="81">
        <f t="shared" si="174"/>
        <v>0</v>
      </c>
      <c r="AL983" s="58" t="s">
        <v>32</v>
      </c>
      <c r="AM983" s="58" t="s">
        <v>6703</v>
      </c>
      <c r="AN983" s="75">
        <v>0</v>
      </c>
      <c r="AO983" s="88">
        <v>9.41</v>
      </c>
      <c r="AP983" s="6" t="str">
        <f t="shared" si="170"/>
        <v>Increase</v>
      </c>
      <c r="AQ983" s="81">
        <f t="shared" si="171"/>
        <v>0</v>
      </c>
      <c r="AR983" s="81">
        <f t="shared" si="172"/>
        <v>0</v>
      </c>
      <c r="AS983" s="81">
        <f t="shared" si="175"/>
        <v>0</v>
      </c>
    </row>
    <row r="984" spans="1:45" hidden="1" x14ac:dyDescent="0.3">
      <c r="A984">
        <v>5092604</v>
      </c>
      <c r="B984" s="15" t="s">
        <v>6320</v>
      </c>
      <c r="C984" s="16" t="s">
        <v>30</v>
      </c>
      <c r="D984" s="6" t="s">
        <v>31</v>
      </c>
      <c r="E984" t="s">
        <v>353</v>
      </c>
      <c r="F984" t="s">
        <v>353</v>
      </c>
      <c r="H984" s="11" t="s">
        <v>27</v>
      </c>
      <c r="I984" s="6" t="s">
        <v>28</v>
      </c>
      <c r="J984" s="6" t="s">
        <v>28</v>
      </c>
      <c r="K984" t="s">
        <v>32</v>
      </c>
      <c r="L984" s="35">
        <v>16.52</v>
      </c>
      <c r="M984" s="6" t="s">
        <v>29</v>
      </c>
      <c r="N984" s="6">
        <v>3105</v>
      </c>
      <c r="P984" s="18"/>
      <c r="Q984" s="17"/>
      <c r="R984" s="19">
        <v>16.52</v>
      </c>
      <c r="S984" s="19">
        <v>16.52</v>
      </c>
      <c r="T984" s="38">
        <v>0</v>
      </c>
      <c r="U984" s="38"/>
      <c r="V984" s="30">
        <v>16.52</v>
      </c>
      <c r="W984" s="35">
        <v>16.52</v>
      </c>
      <c r="X984" s="32">
        <f t="shared" si="165"/>
        <v>0</v>
      </c>
      <c r="Y984" s="32">
        <f t="shared" si="166"/>
        <v>0</v>
      </c>
      <c r="Z984" s="32">
        <f t="shared" si="167"/>
        <v>0</v>
      </c>
      <c r="AA984" s="38" t="s">
        <v>2573</v>
      </c>
      <c r="AB984" s="37" t="str">
        <f>IFERROR(VLOOKUP(A984,'Tash Lookup'!A:E,3,FALSE),"")</f>
        <v/>
      </c>
      <c r="AC984" s="6" t="str">
        <f t="shared" si="168"/>
        <v/>
      </c>
      <c r="AD984" s="2" t="s">
        <v>6711</v>
      </c>
      <c r="AE984" s="2" t="s">
        <v>6701</v>
      </c>
      <c r="AF984" s="56">
        <v>16.52</v>
      </c>
      <c r="AG984" s="56" t="e">
        <f>VLOOKUP(A984,Sheet1!$A$2:$C$1140,3,FALSE)</f>
        <v>#N/A</v>
      </c>
      <c r="AH984" s="58" t="e">
        <v>#N/A</v>
      </c>
      <c r="AI984" s="56" t="str">
        <f t="shared" si="169"/>
        <v>Delete</v>
      </c>
      <c r="AJ984" s="81">
        <f t="shared" si="173"/>
        <v>0</v>
      </c>
      <c r="AK984" s="81">
        <f t="shared" si="174"/>
        <v>0</v>
      </c>
      <c r="AL984" s="58" t="s">
        <v>32</v>
      </c>
      <c r="AM984" s="58" t="s">
        <v>6711</v>
      </c>
      <c r="AN984" s="75">
        <v>0</v>
      </c>
      <c r="AO984" s="88">
        <v>16.52</v>
      </c>
      <c r="AP984" s="6" t="str">
        <f t="shared" si="170"/>
        <v>Delete</v>
      </c>
      <c r="AQ984" s="81">
        <f t="shared" si="171"/>
        <v>0</v>
      </c>
      <c r="AR984" s="81">
        <f t="shared" si="172"/>
        <v>0</v>
      </c>
      <c r="AS984" s="81">
        <f t="shared" si="175"/>
        <v>0</v>
      </c>
    </row>
    <row r="985" spans="1:45" hidden="1" x14ac:dyDescent="0.3">
      <c r="A985">
        <v>5232365</v>
      </c>
      <c r="B985" s="15" t="s">
        <v>6321</v>
      </c>
      <c r="C985" s="16" t="s">
        <v>30</v>
      </c>
      <c r="D985" s="6" t="s">
        <v>31</v>
      </c>
      <c r="E985" t="s">
        <v>354</v>
      </c>
      <c r="F985" t="s">
        <v>354</v>
      </c>
      <c r="H985" s="11" t="s">
        <v>27</v>
      </c>
      <c r="I985" s="6" t="s">
        <v>28</v>
      </c>
      <c r="J985" s="6" t="s">
        <v>28</v>
      </c>
      <c r="K985" t="s">
        <v>32</v>
      </c>
      <c r="L985" s="35">
        <v>8.26</v>
      </c>
      <c r="M985" s="6" t="s">
        <v>29</v>
      </c>
      <c r="N985" s="6">
        <v>3105</v>
      </c>
      <c r="P985" s="18"/>
      <c r="Q985" s="17"/>
      <c r="R985" s="19">
        <v>8.26</v>
      </c>
      <c r="S985" s="19">
        <v>8.26</v>
      </c>
      <c r="T985" s="38">
        <v>0</v>
      </c>
      <c r="U985" s="38"/>
      <c r="V985" s="30">
        <v>8.26</v>
      </c>
      <c r="W985" s="35">
        <v>8.26</v>
      </c>
      <c r="X985" s="32">
        <f t="shared" si="165"/>
        <v>0</v>
      </c>
      <c r="Y985" s="32">
        <f t="shared" si="166"/>
        <v>0</v>
      </c>
      <c r="Z985" s="32">
        <f t="shared" si="167"/>
        <v>0</v>
      </c>
      <c r="AA985" s="38" t="s">
        <v>2573</v>
      </c>
      <c r="AB985" s="37" t="str">
        <f>IFERROR(VLOOKUP(A985,'Tash Lookup'!A:E,3,FALSE),"")</f>
        <v/>
      </c>
      <c r="AC985" s="6" t="str">
        <f t="shared" si="168"/>
        <v/>
      </c>
      <c r="AD985" s="2" t="s">
        <v>6703</v>
      </c>
      <c r="AF985" s="56">
        <v>9.14</v>
      </c>
      <c r="AG985" s="56">
        <f>VLOOKUP(A985,Sheet1!$A$2:$C$1140,3,FALSE)</f>
        <v>9.41</v>
      </c>
      <c r="AH985" s="58">
        <v>9.41</v>
      </c>
      <c r="AI985" s="56" t="str">
        <f t="shared" si="169"/>
        <v>Increase</v>
      </c>
      <c r="AJ985" s="81">
        <f t="shared" si="173"/>
        <v>0</v>
      </c>
      <c r="AK985" s="81">
        <f t="shared" si="174"/>
        <v>0</v>
      </c>
      <c r="AL985" s="58" t="s">
        <v>32</v>
      </c>
      <c r="AM985" s="58" t="s">
        <v>6703</v>
      </c>
      <c r="AN985" s="75">
        <v>0</v>
      </c>
      <c r="AO985" s="88">
        <v>9.41</v>
      </c>
      <c r="AP985" s="6" t="str">
        <f t="shared" si="170"/>
        <v>Increase</v>
      </c>
      <c r="AQ985" s="81">
        <f t="shared" si="171"/>
        <v>0</v>
      </c>
      <c r="AR985" s="81">
        <f t="shared" si="172"/>
        <v>0</v>
      </c>
      <c r="AS985" s="81">
        <f t="shared" si="175"/>
        <v>0</v>
      </c>
    </row>
    <row r="986" spans="1:45" hidden="1" x14ac:dyDescent="0.3">
      <c r="A986">
        <v>5232386</v>
      </c>
      <c r="B986" s="15" t="s">
        <v>6322</v>
      </c>
      <c r="C986" s="16" t="s">
        <v>30</v>
      </c>
      <c r="D986" s="6" t="s">
        <v>31</v>
      </c>
      <c r="E986" t="s">
        <v>355</v>
      </c>
      <c r="F986" t="s">
        <v>355</v>
      </c>
      <c r="H986" s="11" t="s">
        <v>27</v>
      </c>
      <c r="I986" s="6" t="s">
        <v>28</v>
      </c>
      <c r="J986" s="6" t="s">
        <v>28</v>
      </c>
      <c r="K986" t="s">
        <v>32</v>
      </c>
      <c r="L986" s="35">
        <v>16.52</v>
      </c>
      <c r="M986" s="6" t="s">
        <v>29</v>
      </c>
      <c r="N986" s="6">
        <v>3105</v>
      </c>
      <c r="P986" s="18"/>
      <c r="Q986" s="17"/>
      <c r="R986" s="19">
        <v>16.52</v>
      </c>
      <c r="S986" s="19">
        <v>16.52</v>
      </c>
      <c r="T986" s="38">
        <v>0</v>
      </c>
      <c r="U986" s="38"/>
      <c r="V986" s="30">
        <v>16.52</v>
      </c>
      <c r="W986" s="35">
        <v>16.52</v>
      </c>
      <c r="X986" s="32">
        <f t="shared" si="165"/>
        <v>0</v>
      </c>
      <c r="Y986" s="32">
        <f t="shared" si="166"/>
        <v>0</v>
      </c>
      <c r="Z986" s="32">
        <f t="shared" si="167"/>
        <v>0</v>
      </c>
      <c r="AA986" s="38" t="s">
        <v>2573</v>
      </c>
      <c r="AB986" s="37" t="str">
        <f>IFERROR(VLOOKUP(A986,'Tash Lookup'!A:E,3,FALSE),"")</f>
        <v/>
      </c>
      <c r="AC986" s="6" t="str">
        <f t="shared" si="168"/>
        <v/>
      </c>
      <c r="AD986" s="2" t="s">
        <v>6703</v>
      </c>
      <c r="AF986" s="56">
        <v>17.73</v>
      </c>
      <c r="AG986" s="56">
        <f>VLOOKUP(A986,Sheet1!$A$2:$C$1140,3,FALSE)</f>
        <v>18.27</v>
      </c>
      <c r="AH986" s="58">
        <v>18.27</v>
      </c>
      <c r="AI986" s="56" t="str">
        <f t="shared" si="169"/>
        <v>Increase</v>
      </c>
      <c r="AJ986" s="81">
        <f t="shared" si="173"/>
        <v>0</v>
      </c>
      <c r="AK986" s="81">
        <f t="shared" si="174"/>
        <v>0</v>
      </c>
      <c r="AL986" s="58" t="s">
        <v>32</v>
      </c>
      <c r="AM986" s="58" t="s">
        <v>6703</v>
      </c>
      <c r="AN986" s="75">
        <v>0</v>
      </c>
      <c r="AO986" s="88">
        <v>18.27</v>
      </c>
      <c r="AP986" s="6" t="str">
        <f t="shared" si="170"/>
        <v>Increase</v>
      </c>
      <c r="AQ986" s="81">
        <f t="shared" si="171"/>
        <v>0</v>
      </c>
      <c r="AR986" s="81">
        <f t="shared" si="172"/>
        <v>0</v>
      </c>
      <c r="AS986" s="81">
        <f t="shared" si="175"/>
        <v>0</v>
      </c>
    </row>
    <row r="987" spans="1:45" hidden="1" x14ac:dyDescent="0.3">
      <c r="A987">
        <v>5317080</v>
      </c>
      <c r="B987" s="15" t="s">
        <v>6323</v>
      </c>
      <c r="C987" s="16" t="s">
        <v>30</v>
      </c>
      <c r="D987" s="6" t="s">
        <v>31</v>
      </c>
      <c r="E987" t="s">
        <v>2529</v>
      </c>
      <c r="F987" t="s">
        <v>2529</v>
      </c>
      <c r="H987" s="11" t="s">
        <v>27</v>
      </c>
      <c r="I987" s="6" t="s">
        <v>28</v>
      </c>
      <c r="J987" s="6" t="s">
        <v>28</v>
      </c>
      <c r="K987" t="s">
        <v>32</v>
      </c>
      <c r="L987" s="35">
        <v>27.53</v>
      </c>
      <c r="M987" s="6" t="s">
        <v>29</v>
      </c>
      <c r="N987" s="6">
        <v>3105</v>
      </c>
      <c r="P987" s="18"/>
      <c r="Q987" s="17"/>
      <c r="R987" s="19">
        <v>27.53</v>
      </c>
      <c r="S987" s="19">
        <v>27.53</v>
      </c>
      <c r="T987" s="38">
        <v>0</v>
      </c>
      <c r="U987" s="38"/>
      <c r="V987" s="30">
        <v>27.53</v>
      </c>
      <c r="W987" s="35">
        <v>27.53</v>
      </c>
      <c r="X987" s="32">
        <f t="shared" si="165"/>
        <v>0</v>
      </c>
      <c r="Y987" s="32">
        <f t="shared" si="166"/>
        <v>0</v>
      </c>
      <c r="Z987" s="32">
        <f t="shared" si="167"/>
        <v>0</v>
      </c>
      <c r="AA987" s="38" t="s">
        <v>2573</v>
      </c>
      <c r="AB987" s="37" t="str">
        <f>IFERROR(VLOOKUP(A987,'Tash Lookup'!A:E,3,FALSE),"")</f>
        <v/>
      </c>
      <c r="AC987" s="6" t="str">
        <f t="shared" si="168"/>
        <v/>
      </c>
      <c r="AD987" s="2" t="s">
        <v>6703</v>
      </c>
      <c r="AF987" s="56">
        <v>29.53</v>
      </c>
      <c r="AG987" s="56">
        <f>VLOOKUP(A987,Sheet1!$A$2:$C$1140,3,FALSE)</f>
        <v>30.42</v>
      </c>
      <c r="AH987" s="58">
        <v>30.42</v>
      </c>
      <c r="AI987" s="56" t="str">
        <f t="shared" si="169"/>
        <v>Increase</v>
      </c>
      <c r="AJ987" s="81">
        <f t="shared" si="173"/>
        <v>0</v>
      </c>
      <c r="AK987" s="81">
        <f t="shared" si="174"/>
        <v>0</v>
      </c>
      <c r="AL987" s="58" t="s">
        <v>32</v>
      </c>
      <c r="AM987" s="58" t="s">
        <v>6703</v>
      </c>
      <c r="AN987" s="75">
        <v>0</v>
      </c>
      <c r="AO987" s="88">
        <v>30.42</v>
      </c>
      <c r="AP987" s="6" t="str">
        <f t="shared" si="170"/>
        <v>Increase</v>
      </c>
      <c r="AQ987" s="81">
        <f t="shared" si="171"/>
        <v>0</v>
      </c>
      <c r="AR987" s="81">
        <f t="shared" si="172"/>
        <v>0</v>
      </c>
      <c r="AS987" s="81">
        <f t="shared" si="175"/>
        <v>0</v>
      </c>
    </row>
    <row r="988" spans="1:45" hidden="1" x14ac:dyDescent="0.3">
      <c r="A988">
        <v>5232387</v>
      </c>
      <c r="B988" s="15" t="s">
        <v>6324</v>
      </c>
      <c r="C988" s="16" t="s">
        <v>30</v>
      </c>
      <c r="D988" s="6" t="s">
        <v>31</v>
      </c>
      <c r="E988" t="s">
        <v>356</v>
      </c>
      <c r="F988" t="s">
        <v>356</v>
      </c>
      <c r="H988" s="11" t="s">
        <v>27</v>
      </c>
      <c r="I988" s="6" t="s">
        <v>28</v>
      </c>
      <c r="J988" s="6" t="s">
        <v>28</v>
      </c>
      <c r="K988" t="s">
        <v>32</v>
      </c>
      <c r="L988" s="35">
        <v>16.52</v>
      </c>
      <c r="M988" s="6" t="s">
        <v>29</v>
      </c>
      <c r="N988" s="6">
        <v>3105</v>
      </c>
      <c r="P988" s="18"/>
      <c r="Q988" s="17"/>
      <c r="R988" s="19">
        <v>16.52</v>
      </c>
      <c r="S988" s="19">
        <v>16.52</v>
      </c>
      <c r="T988" s="38">
        <v>0</v>
      </c>
      <c r="U988" s="38"/>
      <c r="V988" s="30">
        <v>16.52</v>
      </c>
      <c r="W988" s="35">
        <v>16.52</v>
      </c>
      <c r="X988" s="32">
        <f t="shared" si="165"/>
        <v>0</v>
      </c>
      <c r="Y988" s="32">
        <f t="shared" si="166"/>
        <v>0</v>
      </c>
      <c r="Z988" s="32">
        <f t="shared" si="167"/>
        <v>0</v>
      </c>
      <c r="AA988" s="38" t="s">
        <v>2573</v>
      </c>
      <c r="AB988" s="37" t="str">
        <f>IFERROR(VLOOKUP(A988,'Tash Lookup'!A:E,3,FALSE),"")</f>
        <v/>
      </c>
      <c r="AC988" s="6" t="str">
        <f t="shared" si="168"/>
        <v/>
      </c>
      <c r="AD988" s="2" t="s">
        <v>6703</v>
      </c>
      <c r="AF988" s="56">
        <v>17.73</v>
      </c>
      <c r="AG988" s="56">
        <f>VLOOKUP(A988,Sheet1!$A$2:$C$1140,3,FALSE)</f>
        <v>18.27</v>
      </c>
      <c r="AH988" s="58">
        <v>18.27</v>
      </c>
      <c r="AI988" s="56" t="str">
        <f t="shared" si="169"/>
        <v>Increase</v>
      </c>
      <c r="AJ988" s="81">
        <f t="shared" si="173"/>
        <v>0</v>
      </c>
      <c r="AK988" s="81">
        <f t="shared" si="174"/>
        <v>0</v>
      </c>
      <c r="AL988" s="58" t="s">
        <v>32</v>
      </c>
      <c r="AM988" s="58" t="s">
        <v>6703</v>
      </c>
      <c r="AN988" s="75">
        <v>0</v>
      </c>
      <c r="AO988" s="88">
        <v>18.27</v>
      </c>
      <c r="AP988" s="6" t="str">
        <f t="shared" si="170"/>
        <v>Increase</v>
      </c>
      <c r="AQ988" s="81">
        <f t="shared" si="171"/>
        <v>0</v>
      </c>
      <c r="AR988" s="81">
        <f t="shared" si="172"/>
        <v>0</v>
      </c>
      <c r="AS988" s="81">
        <f t="shared" si="175"/>
        <v>0</v>
      </c>
    </row>
    <row r="989" spans="1:45" hidden="1" x14ac:dyDescent="0.3">
      <c r="A989">
        <v>5083471</v>
      </c>
      <c r="B989" s="15" t="s">
        <v>6325</v>
      </c>
      <c r="C989" s="16" t="s">
        <v>30</v>
      </c>
      <c r="D989" s="6" t="s">
        <v>31</v>
      </c>
      <c r="E989" t="s">
        <v>357</v>
      </c>
      <c r="F989" t="s">
        <v>357</v>
      </c>
      <c r="H989" s="11" t="s">
        <v>27</v>
      </c>
      <c r="I989" s="6" t="s">
        <v>28</v>
      </c>
      <c r="J989" s="6" t="s">
        <v>28</v>
      </c>
      <c r="K989" t="s">
        <v>32</v>
      </c>
      <c r="L989" s="35">
        <v>8.26</v>
      </c>
      <c r="M989" s="6" t="s">
        <v>29</v>
      </c>
      <c r="N989" s="6">
        <v>3105</v>
      </c>
      <c r="P989" s="18"/>
      <c r="Q989" s="17"/>
      <c r="R989" s="19">
        <v>8.26</v>
      </c>
      <c r="S989" s="19">
        <v>8.26</v>
      </c>
      <c r="T989" s="38">
        <v>0</v>
      </c>
      <c r="U989" s="38"/>
      <c r="V989" s="30">
        <v>8.26</v>
      </c>
      <c r="W989" s="35">
        <v>8.26</v>
      </c>
      <c r="X989" s="32">
        <f t="shared" si="165"/>
        <v>0</v>
      </c>
      <c r="Y989" s="32">
        <f t="shared" si="166"/>
        <v>0</v>
      </c>
      <c r="Z989" s="32">
        <f t="shared" si="167"/>
        <v>0</v>
      </c>
      <c r="AA989" s="38" t="s">
        <v>2573</v>
      </c>
      <c r="AB989" s="37" t="str">
        <f>IFERROR(VLOOKUP(A989,'Tash Lookup'!A:E,3,FALSE),"")</f>
        <v/>
      </c>
      <c r="AC989" s="6" t="str">
        <f t="shared" si="168"/>
        <v/>
      </c>
      <c r="AD989" s="2" t="s">
        <v>6703</v>
      </c>
      <c r="AF989" s="56">
        <v>9.14</v>
      </c>
      <c r="AG989" s="56">
        <f>VLOOKUP(A989,Sheet1!$A$2:$C$1140,3,FALSE)</f>
        <v>9.41</v>
      </c>
      <c r="AH989" s="58">
        <v>9.41</v>
      </c>
      <c r="AI989" s="56" t="str">
        <f t="shared" si="169"/>
        <v>Increase</v>
      </c>
      <c r="AJ989" s="81">
        <f t="shared" si="173"/>
        <v>0</v>
      </c>
      <c r="AK989" s="81">
        <f t="shared" si="174"/>
        <v>0</v>
      </c>
      <c r="AL989" s="58" t="s">
        <v>32</v>
      </c>
      <c r="AM989" s="58" t="s">
        <v>6703</v>
      </c>
      <c r="AN989" s="75">
        <v>0</v>
      </c>
      <c r="AO989" s="88">
        <v>9.41</v>
      </c>
      <c r="AP989" s="6" t="str">
        <f t="shared" si="170"/>
        <v>Increase</v>
      </c>
      <c r="AQ989" s="81">
        <f t="shared" si="171"/>
        <v>0</v>
      </c>
      <c r="AR989" s="81">
        <f t="shared" si="172"/>
        <v>0</v>
      </c>
      <c r="AS989" s="81">
        <f t="shared" si="175"/>
        <v>0</v>
      </c>
    </row>
    <row r="990" spans="1:45" hidden="1" x14ac:dyDescent="0.3">
      <c r="A990">
        <v>5083472</v>
      </c>
      <c r="B990" s="15" t="s">
        <v>6326</v>
      </c>
      <c r="C990" s="16" t="s">
        <v>30</v>
      </c>
      <c r="D990" s="6" t="s">
        <v>31</v>
      </c>
      <c r="E990" t="s">
        <v>358</v>
      </c>
      <c r="F990" t="s">
        <v>358</v>
      </c>
      <c r="H990" s="11" t="s">
        <v>27</v>
      </c>
      <c r="I990" s="6" t="s">
        <v>28</v>
      </c>
      <c r="J990" s="6" t="s">
        <v>28</v>
      </c>
      <c r="K990" t="s">
        <v>32</v>
      </c>
      <c r="L990" s="35">
        <v>16.52</v>
      </c>
      <c r="M990" s="6" t="s">
        <v>29</v>
      </c>
      <c r="N990" s="6">
        <v>3105</v>
      </c>
      <c r="P990" s="18"/>
      <c r="Q990" s="17"/>
      <c r="R990" s="19">
        <v>16.52</v>
      </c>
      <c r="S990" s="19">
        <v>16.52</v>
      </c>
      <c r="T990" s="38">
        <v>0</v>
      </c>
      <c r="U990" s="38"/>
      <c r="V990" s="30">
        <v>16.52</v>
      </c>
      <c r="W990" s="35">
        <v>16.52</v>
      </c>
      <c r="X990" s="32">
        <f t="shared" si="165"/>
        <v>0</v>
      </c>
      <c r="Y990" s="32">
        <f t="shared" si="166"/>
        <v>0</v>
      </c>
      <c r="Z990" s="32">
        <f t="shared" si="167"/>
        <v>0</v>
      </c>
      <c r="AA990" s="38" t="s">
        <v>2573</v>
      </c>
      <c r="AB990" s="37" t="str">
        <f>IFERROR(VLOOKUP(A990,'Tash Lookup'!A:E,3,FALSE),"")</f>
        <v/>
      </c>
      <c r="AC990" s="6" t="str">
        <f t="shared" si="168"/>
        <v/>
      </c>
      <c r="AD990" s="2" t="s">
        <v>6703</v>
      </c>
      <c r="AF990" s="56">
        <v>17.73</v>
      </c>
      <c r="AG990" s="56">
        <f>VLOOKUP(A990,Sheet1!$A$2:$C$1140,3,FALSE)</f>
        <v>18.27</v>
      </c>
      <c r="AH990" s="58">
        <v>18.27</v>
      </c>
      <c r="AI990" s="56" t="str">
        <f t="shared" si="169"/>
        <v>Increase</v>
      </c>
      <c r="AJ990" s="81">
        <f t="shared" si="173"/>
        <v>0</v>
      </c>
      <c r="AK990" s="81">
        <f t="shared" si="174"/>
        <v>0</v>
      </c>
      <c r="AL990" s="58" t="s">
        <v>32</v>
      </c>
      <c r="AM990" s="58" t="s">
        <v>6703</v>
      </c>
      <c r="AN990" s="75">
        <v>0</v>
      </c>
      <c r="AO990" s="88">
        <v>18.27</v>
      </c>
      <c r="AP990" s="6" t="str">
        <f t="shared" si="170"/>
        <v>Increase</v>
      </c>
      <c r="AQ990" s="81">
        <f t="shared" si="171"/>
        <v>0</v>
      </c>
      <c r="AR990" s="81">
        <f t="shared" si="172"/>
        <v>0</v>
      </c>
      <c r="AS990" s="81">
        <f t="shared" si="175"/>
        <v>0</v>
      </c>
    </row>
    <row r="991" spans="1:45" hidden="1" x14ac:dyDescent="0.3">
      <c r="A991">
        <v>5092553</v>
      </c>
      <c r="B991" s="15" t="s">
        <v>6327</v>
      </c>
      <c r="C991" s="16" t="s">
        <v>30</v>
      </c>
      <c r="D991" s="6" t="s">
        <v>31</v>
      </c>
      <c r="E991" t="s">
        <v>359</v>
      </c>
      <c r="F991" t="s">
        <v>359</v>
      </c>
      <c r="H991" s="11" t="s">
        <v>27</v>
      </c>
      <c r="I991" s="6" t="s">
        <v>28</v>
      </c>
      <c r="J991" s="6" t="s">
        <v>28</v>
      </c>
      <c r="K991" t="s">
        <v>32</v>
      </c>
      <c r="L991" s="35">
        <v>27.53</v>
      </c>
      <c r="M991" s="6" t="s">
        <v>29</v>
      </c>
      <c r="N991" s="6">
        <v>3105</v>
      </c>
      <c r="P991" s="18"/>
      <c r="Q991" s="17"/>
      <c r="R991" s="19">
        <v>27.53</v>
      </c>
      <c r="S991" s="19">
        <v>27.53</v>
      </c>
      <c r="T991" s="38">
        <v>0</v>
      </c>
      <c r="U991" s="38"/>
      <c r="V991" s="30">
        <v>27.53</v>
      </c>
      <c r="W991" s="35">
        <v>27.53</v>
      </c>
      <c r="X991" s="32">
        <f t="shared" si="165"/>
        <v>0</v>
      </c>
      <c r="Y991" s="32">
        <f t="shared" si="166"/>
        <v>0</v>
      </c>
      <c r="Z991" s="32">
        <f t="shared" si="167"/>
        <v>0</v>
      </c>
      <c r="AA991" s="38" t="s">
        <v>2573</v>
      </c>
      <c r="AB991" s="37" t="str">
        <f>IFERROR(VLOOKUP(A991,'Tash Lookup'!A:E,3,FALSE),"")</f>
        <v/>
      </c>
      <c r="AC991" s="6" t="str">
        <f t="shared" si="168"/>
        <v/>
      </c>
      <c r="AD991" s="2" t="s">
        <v>6703</v>
      </c>
      <c r="AF991" s="56">
        <v>29.53</v>
      </c>
      <c r="AG991" s="56">
        <f>VLOOKUP(A991,Sheet1!$A$2:$C$1140,3,FALSE)</f>
        <v>30.42</v>
      </c>
      <c r="AH991" s="58">
        <v>30.42</v>
      </c>
      <c r="AI991" s="56" t="str">
        <f t="shared" si="169"/>
        <v>Increase</v>
      </c>
      <c r="AJ991" s="81">
        <f t="shared" si="173"/>
        <v>0</v>
      </c>
      <c r="AK991" s="81">
        <f t="shared" si="174"/>
        <v>0</v>
      </c>
      <c r="AL991" s="58" t="s">
        <v>32</v>
      </c>
      <c r="AM991" s="58" t="s">
        <v>6703</v>
      </c>
      <c r="AN991" s="75">
        <v>0</v>
      </c>
      <c r="AO991" s="88">
        <v>30.42</v>
      </c>
      <c r="AP991" s="6" t="str">
        <f t="shared" si="170"/>
        <v>Increase</v>
      </c>
      <c r="AQ991" s="81">
        <f t="shared" si="171"/>
        <v>0</v>
      </c>
      <c r="AR991" s="81">
        <f t="shared" si="172"/>
        <v>0</v>
      </c>
      <c r="AS991" s="81">
        <f t="shared" si="175"/>
        <v>0</v>
      </c>
    </row>
    <row r="992" spans="1:45" hidden="1" x14ac:dyDescent="0.3">
      <c r="A992">
        <v>5232385</v>
      </c>
      <c r="B992" s="15" t="s">
        <v>6328</v>
      </c>
      <c r="C992" s="16" t="s">
        <v>30</v>
      </c>
      <c r="D992" s="6" t="s">
        <v>31</v>
      </c>
      <c r="E992" t="s">
        <v>360</v>
      </c>
      <c r="F992" t="s">
        <v>360</v>
      </c>
      <c r="H992" s="11" t="s">
        <v>27</v>
      </c>
      <c r="I992" s="6" t="s">
        <v>28</v>
      </c>
      <c r="J992" s="6" t="s">
        <v>28</v>
      </c>
      <c r="K992" t="s">
        <v>32</v>
      </c>
      <c r="L992" s="35">
        <v>16.52</v>
      </c>
      <c r="M992" s="6" t="s">
        <v>29</v>
      </c>
      <c r="N992" s="6">
        <v>3105</v>
      </c>
      <c r="P992" s="18"/>
      <c r="Q992" s="17"/>
      <c r="R992" s="19">
        <v>16.52</v>
      </c>
      <c r="S992" s="19">
        <v>16.52</v>
      </c>
      <c r="T992" s="38">
        <v>0</v>
      </c>
      <c r="U992" s="38"/>
      <c r="V992" s="30">
        <v>16.52</v>
      </c>
      <c r="W992" s="35">
        <v>16.52</v>
      </c>
      <c r="X992" s="32">
        <f t="shared" si="165"/>
        <v>0</v>
      </c>
      <c r="Y992" s="32">
        <f t="shared" si="166"/>
        <v>0</v>
      </c>
      <c r="Z992" s="32">
        <f t="shared" si="167"/>
        <v>0</v>
      </c>
      <c r="AA992" s="38" t="s">
        <v>2573</v>
      </c>
      <c r="AB992" s="37" t="str">
        <f>IFERROR(VLOOKUP(A992,'Tash Lookup'!A:E,3,FALSE),"")</f>
        <v/>
      </c>
      <c r="AC992" s="6" t="str">
        <f t="shared" si="168"/>
        <v/>
      </c>
      <c r="AD992" s="2" t="s">
        <v>6703</v>
      </c>
      <c r="AF992" s="56">
        <v>17.73</v>
      </c>
      <c r="AG992" s="56">
        <f>VLOOKUP(A992,Sheet1!$A$2:$C$1140,3,FALSE)</f>
        <v>18.27</v>
      </c>
      <c r="AH992" s="58">
        <v>18.27</v>
      </c>
      <c r="AI992" s="56" t="str">
        <f t="shared" si="169"/>
        <v>Increase</v>
      </c>
      <c r="AJ992" s="81">
        <f t="shared" si="173"/>
        <v>0</v>
      </c>
      <c r="AK992" s="81">
        <f t="shared" si="174"/>
        <v>0</v>
      </c>
      <c r="AL992" s="58" t="s">
        <v>32</v>
      </c>
      <c r="AM992" s="58" t="s">
        <v>6703</v>
      </c>
      <c r="AN992" s="75">
        <v>0</v>
      </c>
      <c r="AO992" s="88">
        <v>18.27</v>
      </c>
      <c r="AP992" s="6" t="str">
        <f t="shared" si="170"/>
        <v>Increase</v>
      </c>
      <c r="AQ992" s="81">
        <f t="shared" si="171"/>
        <v>0</v>
      </c>
      <c r="AR992" s="81">
        <f t="shared" si="172"/>
        <v>0</v>
      </c>
      <c r="AS992" s="81">
        <f t="shared" si="175"/>
        <v>0</v>
      </c>
    </row>
    <row r="993" spans="1:45" hidden="1" x14ac:dyDescent="0.3">
      <c r="A993">
        <v>5282515</v>
      </c>
      <c r="B993" s="15" t="s">
        <v>6329</v>
      </c>
      <c r="C993" s="16" t="s">
        <v>30</v>
      </c>
      <c r="D993" s="6" t="s">
        <v>31</v>
      </c>
      <c r="E993" t="s">
        <v>361</v>
      </c>
      <c r="F993" t="s">
        <v>361</v>
      </c>
      <c r="H993" s="11" t="s">
        <v>27</v>
      </c>
      <c r="I993" s="6" t="s">
        <v>28</v>
      </c>
      <c r="J993" s="6" t="s">
        <v>28</v>
      </c>
      <c r="K993" t="s">
        <v>32</v>
      </c>
      <c r="L993" s="35">
        <v>16.52</v>
      </c>
      <c r="M993" s="6" t="s">
        <v>29</v>
      </c>
      <c r="N993" s="6">
        <v>3105</v>
      </c>
      <c r="P993" s="18"/>
      <c r="Q993" s="17"/>
      <c r="R993" s="19">
        <v>16.52</v>
      </c>
      <c r="S993" s="19">
        <v>16.52</v>
      </c>
      <c r="T993" s="38">
        <v>0</v>
      </c>
      <c r="U993" s="38"/>
      <c r="V993" s="30">
        <v>16.52</v>
      </c>
      <c r="W993" s="35">
        <v>16.52</v>
      </c>
      <c r="X993" s="32">
        <f t="shared" si="165"/>
        <v>0</v>
      </c>
      <c r="Y993" s="32">
        <f t="shared" si="166"/>
        <v>0</v>
      </c>
      <c r="Z993" s="32">
        <f t="shared" si="167"/>
        <v>0</v>
      </c>
      <c r="AA993" s="38" t="s">
        <v>2573</v>
      </c>
      <c r="AB993" s="37" t="str">
        <f>IFERROR(VLOOKUP(A993,'Tash Lookup'!A:E,3,FALSE),"")</f>
        <v/>
      </c>
      <c r="AC993" s="6" t="str">
        <f t="shared" si="168"/>
        <v/>
      </c>
      <c r="AD993" s="2" t="s">
        <v>6704</v>
      </c>
      <c r="AF993" s="56">
        <v>17.91</v>
      </c>
      <c r="AG993" s="56">
        <f>VLOOKUP(A993,Sheet1!$A$2:$C$1140,3,FALSE)</f>
        <v>17.73</v>
      </c>
      <c r="AH993" s="58">
        <v>17.73</v>
      </c>
      <c r="AI993" s="56" t="str">
        <f t="shared" si="169"/>
        <v>Decrease</v>
      </c>
      <c r="AJ993" s="81">
        <f t="shared" si="173"/>
        <v>0</v>
      </c>
      <c r="AK993" s="81">
        <f t="shared" si="174"/>
        <v>0</v>
      </c>
      <c r="AL993" s="58" t="s">
        <v>32</v>
      </c>
      <c r="AM993" s="58" t="s">
        <v>6708</v>
      </c>
      <c r="AN993" s="75">
        <v>0</v>
      </c>
      <c r="AO993" s="88">
        <v>17.73</v>
      </c>
      <c r="AP993" s="6" t="str">
        <f t="shared" si="170"/>
        <v>Decrease</v>
      </c>
      <c r="AQ993" s="81">
        <f t="shared" si="171"/>
        <v>0</v>
      </c>
      <c r="AR993" s="81">
        <f t="shared" si="172"/>
        <v>0</v>
      </c>
      <c r="AS993" s="81">
        <f t="shared" si="175"/>
        <v>0</v>
      </c>
    </row>
    <row r="994" spans="1:45" hidden="1" x14ac:dyDescent="0.3">
      <c r="A994">
        <v>5083473</v>
      </c>
      <c r="B994" s="15" t="s">
        <v>6330</v>
      </c>
      <c r="C994" s="16" t="s">
        <v>30</v>
      </c>
      <c r="D994" s="6" t="s">
        <v>31</v>
      </c>
      <c r="E994" t="s">
        <v>362</v>
      </c>
      <c r="F994" t="s">
        <v>362</v>
      </c>
      <c r="H994" s="11" t="s">
        <v>27</v>
      </c>
      <c r="I994" s="6" t="s">
        <v>28</v>
      </c>
      <c r="J994" s="6" t="s">
        <v>28</v>
      </c>
      <c r="K994" t="s">
        <v>32</v>
      </c>
      <c r="L994" s="35">
        <v>8.26</v>
      </c>
      <c r="M994" s="6" t="s">
        <v>29</v>
      </c>
      <c r="N994" s="6">
        <v>3105</v>
      </c>
      <c r="P994" s="18"/>
      <c r="Q994" s="17"/>
      <c r="R994" s="19">
        <v>8.26</v>
      </c>
      <c r="S994" s="19">
        <v>8.26</v>
      </c>
      <c r="T994" s="38">
        <v>0</v>
      </c>
      <c r="U994" s="38"/>
      <c r="V994" s="30">
        <v>8.26</v>
      </c>
      <c r="W994" s="35">
        <v>8.26</v>
      </c>
      <c r="X994" s="32">
        <f t="shared" si="165"/>
        <v>0</v>
      </c>
      <c r="Y994" s="32">
        <f t="shared" si="166"/>
        <v>0</v>
      </c>
      <c r="Z994" s="32">
        <f t="shared" si="167"/>
        <v>0</v>
      </c>
      <c r="AA994" s="38" t="s">
        <v>2573</v>
      </c>
      <c r="AB994" s="37" t="str">
        <f>IFERROR(VLOOKUP(A994,'Tash Lookup'!A:E,3,FALSE),"")</f>
        <v/>
      </c>
      <c r="AC994" s="6" t="str">
        <f t="shared" si="168"/>
        <v/>
      </c>
      <c r="AD994" s="2" t="s">
        <v>6703</v>
      </c>
      <c r="AF994" s="56">
        <v>9.14</v>
      </c>
      <c r="AG994" s="56">
        <f>VLOOKUP(A994,Sheet1!$A$2:$C$1140,3,FALSE)</f>
        <v>9.41</v>
      </c>
      <c r="AH994" s="58">
        <v>9.41</v>
      </c>
      <c r="AI994" s="56" t="str">
        <f t="shared" si="169"/>
        <v>Increase</v>
      </c>
      <c r="AJ994" s="81">
        <f t="shared" si="173"/>
        <v>0</v>
      </c>
      <c r="AK994" s="81">
        <f t="shared" si="174"/>
        <v>0</v>
      </c>
      <c r="AL994" s="58" t="s">
        <v>32</v>
      </c>
      <c r="AM994" s="58" t="s">
        <v>6703</v>
      </c>
      <c r="AN994" s="75">
        <v>0</v>
      </c>
      <c r="AO994" s="88">
        <v>9.41</v>
      </c>
      <c r="AP994" s="6" t="str">
        <f t="shared" si="170"/>
        <v>Increase</v>
      </c>
      <c r="AQ994" s="81">
        <f t="shared" si="171"/>
        <v>0</v>
      </c>
      <c r="AR994" s="81">
        <f t="shared" si="172"/>
        <v>0</v>
      </c>
      <c r="AS994" s="81">
        <f t="shared" si="175"/>
        <v>0</v>
      </c>
    </row>
    <row r="995" spans="1:45" hidden="1" x14ac:dyDescent="0.3">
      <c r="A995">
        <v>5092557</v>
      </c>
      <c r="B995" s="15" t="s">
        <v>6331</v>
      </c>
      <c r="C995" s="16" t="s">
        <v>30</v>
      </c>
      <c r="D995" s="6" t="s">
        <v>31</v>
      </c>
      <c r="E995" t="s">
        <v>363</v>
      </c>
      <c r="F995" t="s">
        <v>363</v>
      </c>
      <c r="H995" s="11" t="s">
        <v>27</v>
      </c>
      <c r="I995" s="6" t="s">
        <v>28</v>
      </c>
      <c r="J995" s="6" t="s">
        <v>28</v>
      </c>
      <c r="K995" t="s">
        <v>32</v>
      </c>
      <c r="L995" s="35">
        <v>16.52</v>
      </c>
      <c r="M995" s="6" t="s">
        <v>29</v>
      </c>
      <c r="N995" s="6">
        <v>3105</v>
      </c>
      <c r="P995" s="18"/>
      <c r="Q995" s="17"/>
      <c r="R995" s="19">
        <v>16.52</v>
      </c>
      <c r="S995" s="19">
        <v>16.52</v>
      </c>
      <c r="T995" s="38">
        <v>0</v>
      </c>
      <c r="U995" s="38"/>
      <c r="V995" s="30">
        <v>16.52</v>
      </c>
      <c r="W995" s="35">
        <v>16.52</v>
      </c>
      <c r="X995" s="32">
        <f t="shared" si="165"/>
        <v>0</v>
      </c>
      <c r="Y995" s="32">
        <f t="shared" si="166"/>
        <v>0</v>
      </c>
      <c r="Z995" s="32">
        <f t="shared" si="167"/>
        <v>0</v>
      </c>
      <c r="AA995" s="38" t="s">
        <v>2573</v>
      </c>
      <c r="AB995" s="37" t="str">
        <f>IFERROR(VLOOKUP(A995,'Tash Lookup'!A:E,3,FALSE),"")</f>
        <v/>
      </c>
      <c r="AC995" s="6" t="str">
        <f t="shared" si="168"/>
        <v/>
      </c>
      <c r="AD995" s="2" t="s">
        <v>6703</v>
      </c>
      <c r="AF995" s="56">
        <v>17.73</v>
      </c>
      <c r="AG995" s="56">
        <f>VLOOKUP(A995,Sheet1!$A$2:$C$1140,3,FALSE)</f>
        <v>18.27</v>
      </c>
      <c r="AH995" s="58">
        <v>18.27</v>
      </c>
      <c r="AI995" s="56" t="str">
        <f t="shared" si="169"/>
        <v>Increase</v>
      </c>
      <c r="AJ995" s="81">
        <f t="shared" si="173"/>
        <v>0</v>
      </c>
      <c r="AK995" s="81">
        <f t="shared" si="174"/>
        <v>0</v>
      </c>
      <c r="AL995" s="58" t="s">
        <v>32</v>
      </c>
      <c r="AM995" s="58" t="s">
        <v>6703</v>
      </c>
      <c r="AN995" s="75">
        <v>0</v>
      </c>
      <c r="AO995" s="88">
        <v>18.27</v>
      </c>
      <c r="AP995" s="6" t="str">
        <f t="shared" si="170"/>
        <v>Increase</v>
      </c>
      <c r="AQ995" s="81">
        <f t="shared" si="171"/>
        <v>0</v>
      </c>
      <c r="AR995" s="81">
        <f t="shared" si="172"/>
        <v>0</v>
      </c>
      <c r="AS995" s="81">
        <f t="shared" si="175"/>
        <v>0</v>
      </c>
    </row>
    <row r="996" spans="1:45" hidden="1" x14ac:dyDescent="0.3">
      <c r="A996">
        <v>5122392</v>
      </c>
      <c r="B996" s="15" t="s">
        <v>6332</v>
      </c>
      <c r="C996" s="16" t="s">
        <v>30</v>
      </c>
      <c r="D996" s="6" t="s">
        <v>31</v>
      </c>
      <c r="E996" t="s">
        <v>364</v>
      </c>
      <c r="F996" t="s">
        <v>364</v>
      </c>
      <c r="H996" s="11" t="s">
        <v>27</v>
      </c>
      <c r="I996" s="6" t="s">
        <v>28</v>
      </c>
      <c r="J996" s="6" t="s">
        <v>28</v>
      </c>
      <c r="K996" t="s">
        <v>32</v>
      </c>
      <c r="L996" s="35">
        <v>8.26</v>
      </c>
      <c r="M996" s="6" t="s">
        <v>29</v>
      </c>
      <c r="N996" s="6">
        <v>3105</v>
      </c>
      <c r="P996" s="18"/>
      <c r="Q996" s="17"/>
      <c r="R996" s="19">
        <v>8.26</v>
      </c>
      <c r="S996" s="19">
        <v>8.26</v>
      </c>
      <c r="T996" s="38">
        <v>0</v>
      </c>
      <c r="U996" s="38"/>
      <c r="V996" s="30">
        <v>8.26</v>
      </c>
      <c r="W996" s="35">
        <v>8.26</v>
      </c>
      <c r="X996" s="32">
        <f t="shared" si="165"/>
        <v>0</v>
      </c>
      <c r="Y996" s="32">
        <f t="shared" si="166"/>
        <v>0</v>
      </c>
      <c r="Z996" s="32">
        <f t="shared" si="167"/>
        <v>0</v>
      </c>
      <c r="AA996" s="38" t="s">
        <v>2573</v>
      </c>
      <c r="AB996" s="37" t="str">
        <f>IFERROR(VLOOKUP(A996,'Tash Lookup'!A:E,3,FALSE),"")</f>
        <v/>
      </c>
      <c r="AC996" s="6" t="str">
        <f t="shared" si="168"/>
        <v/>
      </c>
      <c r="AD996" s="2" t="s">
        <v>6703</v>
      </c>
      <c r="AF996" s="56">
        <v>9.14</v>
      </c>
      <c r="AG996" s="56">
        <f>VLOOKUP(A996,Sheet1!$A$2:$C$1140,3,FALSE)</f>
        <v>9.41</v>
      </c>
      <c r="AH996" s="58">
        <v>9.41</v>
      </c>
      <c r="AI996" s="56" t="str">
        <f t="shared" si="169"/>
        <v>Increase</v>
      </c>
      <c r="AJ996" s="81">
        <f t="shared" si="173"/>
        <v>0</v>
      </c>
      <c r="AK996" s="81">
        <f t="shared" si="174"/>
        <v>0</v>
      </c>
      <c r="AL996" s="58" t="s">
        <v>32</v>
      </c>
      <c r="AM996" s="58" t="s">
        <v>6703</v>
      </c>
      <c r="AN996" s="75">
        <v>0</v>
      </c>
      <c r="AO996" s="88">
        <v>9.41</v>
      </c>
      <c r="AP996" s="6" t="str">
        <f t="shared" si="170"/>
        <v>Increase</v>
      </c>
      <c r="AQ996" s="81">
        <f t="shared" si="171"/>
        <v>0</v>
      </c>
      <c r="AR996" s="81">
        <f t="shared" si="172"/>
        <v>0</v>
      </c>
      <c r="AS996" s="81">
        <f t="shared" si="175"/>
        <v>0</v>
      </c>
    </row>
    <row r="997" spans="1:45" hidden="1" x14ac:dyDescent="0.3">
      <c r="A997">
        <v>5122397</v>
      </c>
      <c r="B997" s="15" t="s">
        <v>6333</v>
      </c>
      <c r="C997" s="16" t="s">
        <v>30</v>
      </c>
      <c r="D997" s="6" t="s">
        <v>31</v>
      </c>
      <c r="E997" t="s">
        <v>365</v>
      </c>
      <c r="F997" t="s">
        <v>365</v>
      </c>
      <c r="H997" s="11" t="s">
        <v>27</v>
      </c>
      <c r="I997" s="6" t="s">
        <v>28</v>
      </c>
      <c r="J997" s="6" t="s">
        <v>28</v>
      </c>
      <c r="K997" t="s">
        <v>32</v>
      </c>
      <c r="L997" s="35">
        <v>16.52</v>
      </c>
      <c r="M997" s="6" t="s">
        <v>29</v>
      </c>
      <c r="N997" s="6">
        <v>3105</v>
      </c>
      <c r="P997" s="18"/>
      <c r="Q997" s="17"/>
      <c r="R997" s="19">
        <v>16.52</v>
      </c>
      <c r="S997" s="19">
        <v>16.52</v>
      </c>
      <c r="T997" s="38">
        <v>0</v>
      </c>
      <c r="U997" s="38"/>
      <c r="V997" s="30">
        <v>16.52</v>
      </c>
      <c r="W997" s="35">
        <v>16.52</v>
      </c>
      <c r="X997" s="32">
        <f t="shared" si="165"/>
        <v>0</v>
      </c>
      <c r="Y997" s="32">
        <f t="shared" si="166"/>
        <v>0</v>
      </c>
      <c r="Z997" s="32">
        <f t="shared" si="167"/>
        <v>0</v>
      </c>
      <c r="AA997" s="38" t="s">
        <v>2573</v>
      </c>
      <c r="AB997" s="37" t="str">
        <f>IFERROR(VLOOKUP(A997,'Tash Lookup'!A:E,3,FALSE),"")</f>
        <v/>
      </c>
      <c r="AC997" s="6" t="str">
        <f t="shared" si="168"/>
        <v/>
      </c>
      <c r="AD997" s="2" t="s">
        <v>6703</v>
      </c>
      <c r="AF997" s="56">
        <v>17.73</v>
      </c>
      <c r="AG997" s="56">
        <f>VLOOKUP(A997,Sheet1!$A$2:$C$1140,3,FALSE)</f>
        <v>18.27</v>
      </c>
      <c r="AH997" s="58">
        <v>18.27</v>
      </c>
      <c r="AI997" s="56" t="str">
        <f t="shared" si="169"/>
        <v>Increase</v>
      </c>
      <c r="AJ997" s="81">
        <f t="shared" si="173"/>
        <v>0</v>
      </c>
      <c r="AK997" s="81">
        <f t="shared" si="174"/>
        <v>0</v>
      </c>
      <c r="AL997" s="58" t="s">
        <v>32</v>
      </c>
      <c r="AM997" s="58" t="s">
        <v>6703</v>
      </c>
      <c r="AN997" s="75">
        <v>9</v>
      </c>
      <c r="AO997" s="88">
        <v>18.27</v>
      </c>
      <c r="AP997" s="6" t="str">
        <f t="shared" si="170"/>
        <v>Increase</v>
      </c>
      <c r="AQ997" s="81">
        <f t="shared" si="171"/>
        <v>159.57</v>
      </c>
      <c r="AR997" s="81">
        <f t="shared" si="172"/>
        <v>164.43</v>
      </c>
      <c r="AS997" s="81">
        <f t="shared" si="175"/>
        <v>4.8600000000000136</v>
      </c>
    </row>
    <row r="998" spans="1:45" hidden="1" x14ac:dyDescent="0.3">
      <c r="A998">
        <v>5092611</v>
      </c>
      <c r="B998" s="15" t="s">
        <v>6334</v>
      </c>
      <c r="C998" s="16" t="s">
        <v>30</v>
      </c>
      <c r="D998" s="6" t="s">
        <v>31</v>
      </c>
      <c r="E998" t="s">
        <v>366</v>
      </c>
      <c r="F998" t="s">
        <v>366</v>
      </c>
      <c r="H998" s="11" t="s">
        <v>27</v>
      </c>
      <c r="I998" s="6" t="s">
        <v>28</v>
      </c>
      <c r="J998" s="6" t="s">
        <v>28</v>
      </c>
      <c r="K998" t="s">
        <v>32</v>
      </c>
      <c r="L998" s="35">
        <v>8.26</v>
      </c>
      <c r="M998" s="6" t="s">
        <v>29</v>
      </c>
      <c r="N998" s="6">
        <v>3105</v>
      </c>
      <c r="P998" s="18"/>
      <c r="Q998" s="17"/>
      <c r="R998" s="19">
        <v>8.26</v>
      </c>
      <c r="S998" s="19">
        <v>8.26</v>
      </c>
      <c r="T998" s="38">
        <v>0</v>
      </c>
      <c r="U998" s="38"/>
      <c r="V998" s="30">
        <v>8.26</v>
      </c>
      <c r="W998" s="35">
        <v>8.26</v>
      </c>
      <c r="X998" s="32">
        <f t="shared" si="165"/>
        <v>0</v>
      </c>
      <c r="Y998" s="32">
        <f t="shared" si="166"/>
        <v>0</v>
      </c>
      <c r="Z998" s="32">
        <f t="shared" si="167"/>
        <v>0</v>
      </c>
      <c r="AA998" s="38" t="s">
        <v>2573</v>
      </c>
      <c r="AB998" s="37" t="str">
        <f>IFERROR(VLOOKUP(A998,'Tash Lookup'!A:E,3,FALSE),"")</f>
        <v/>
      </c>
      <c r="AC998" s="6" t="str">
        <f t="shared" si="168"/>
        <v/>
      </c>
      <c r="AD998" s="2" t="s">
        <v>6703</v>
      </c>
      <c r="AF998" s="56">
        <v>9.14</v>
      </c>
      <c r="AG998" s="56">
        <f>VLOOKUP(A998,Sheet1!$A$2:$C$1140,3,FALSE)</f>
        <v>9.41</v>
      </c>
      <c r="AH998" s="58">
        <v>9.41</v>
      </c>
      <c r="AI998" s="56" t="str">
        <f t="shared" si="169"/>
        <v>Increase</v>
      </c>
      <c r="AJ998" s="81">
        <f t="shared" si="173"/>
        <v>0</v>
      </c>
      <c r="AK998" s="81">
        <f t="shared" si="174"/>
        <v>0</v>
      </c>
      <c r="AL998" s="58" t="s">
        <v>32</v>
      </c>
      <c r="AM998" s="58" t="s">
        <v>6703</v>
      </c>
      <c r="AN998" s="75">
        <v>0</v>
      </c>
      <c r="AO998" s="88">
        <v>9.41</v>
      </c>
      <c r="AP998" s="6" t="str">
        <f t="shared" si="170"/>
        <v>Increase</v>
      </c>
      <c r="AQ998" s="81">
        <f t="shared" si="171"/>
        <v>0</v>
      </c>
      <c r="AR998" s="81">
        <f t="shared" si="172"/>
        <v>0</v>
      </c>
      <c r="AS998" s="81">
        <f t="shared" si="175"/>
        <v>0</v>
      </c>
    </row>
    <row r="999" spans="1:45" hidden="1" x14ac:dyDescent="0.3">
      <c r="A999">
        <v>5092612</v>
      </c>
      <c r="B999" s="15" t="s">
        <v>6335</v>
      </c>
      <c r="C999" s="16" t="s">
        <v>30</v>
      </c>
      <c r="D999" s="6" t="s">
        <v>31</v>
      </c>
      <c r="E999" t="s">
        <v>367</v>
      </c>
      <c r="F999" t="s">
        <v>367</v>
      </c>
      <c r="H999" s="11" t="s">
        <v>27</v>
      </c>
      <c r="I999" s="6" t="s">
        <v>28</v>
      </c>
      <c r="J999" s="6" t="s">
        <v>28</v>
      </c>
      <c r="K999" t="s">
        <v>32</v>
      </c>
      <c r="L999" s="35">
        <v>16.52</v>
      </c>
      <c r="M999" s="6" t="s">
        <v>29</v>
      </c>
      <c r="N999" s="6">
        <v>3105</v>
      </c>
      <c r="P999" s="18"/>
      <c r="Q999" s="17"/>
      <c r="R999" s="19">
        <v>16.52</v>
      </c>
      <c r="S999" s="19">
        <v>16.52</v>
      </c>
      <c r="T999" s="38">
        <v>0</v>
      </c>
      <c r="U999" s="38"/>
      <c r="V999" s="30">
        <v>16.52</v>
      </c>
      <c r="W999" s="35">
        <v>16.52</v>
      </c>
      <c r="X999" s="32">
        <f t="shared" si="165"/>
        <v>0</v>
      </c>
      <c r="Y999" s="32">
        <f t="shared" si="166"/>
        <v>0</v>
      </c>
      <c r="Z999" s="32">
        <f t="shared" si="167"/>
        <v>0</v>
      </c>
      <c r="AA999" s="38" t="s">
        <v>2573</v>
      </c>
      <c r="AB999" s="37" t="str">
        <f>IFERROR(VLOOKUP(A999,'Tash Lookup'!A:E,3,FALSE),"")</f>
        <v/>
      </c>
      <c r="AC999" s="6" t="str">
        <f t="shared" si="168"/>
        <v/>
      </c>
      <c r="AD999" s="2" t="s">
        <v>6703</v>
      </c>
      <c r="AF999" s="56">
        <v>17.22</v>
      </c>
      <c r="AG999" s="56">
        <f>VLOOKUP(A999,Sheet1!$A$2:$C$1140,3,FALSE)</f>
        <v>17.739999999999998</v>
      </c>
      <c r="AH999" s="58">
        <v>17.739999999999998</v>
      </c>
      <c r="AI999" s="56" t="str">
        <f t="shared" si="169"/>
        <v>Increase</v>
      </c>
      <c r="AJ999" s="81">
        <f t="shared" si="173"/>
        <v>0</v>
      </c>
      <c r="AK999" s="81">
        <f t="shared" si="174"/>
        <v>0</v>
      </c>
      <c r="AL999" s="58" t="s">
        <v>32</v>
      </c>
      <c r="AM999" s="58" t="s">
        <v>6703</v>
      </c>
      <c r="AN999" s="75">
        <v>0</v>
      </c>
      <c r="AO999" s="88">
        <v>17.739999999999998</v>
      </c>
      <c r="AP999" s="6" t="str">
        <f t="shared" si="170"/>
        <v>Increase</v>
      </c>
      <c r="AQ999" s="81">
        <f t="shared" si="171"/>
        <v>0</v>
      </c>
      <c r="AR999" s="81">
        <f t="shared" si="172"/>
        <v>0</v>
      </c>
      <c r="AS999" s="81">
        <f t="shared" si="175"/>
        <v>0</v>
      </c>
    </row>
    <row r="1000" spans="1:45" hidden="1" x14ac:dyDescent="0.3">
      <c r="A1000">
        <v>5092613</v>
      </c>
      <c r="B1000" s="15" t="s">
        <v>6336</v>
      </c>
      <c r="C1000" s="16" t="s">
        <v>30</v>
      </c>
      <c r="D1000" s="6" t="s">
        <v>31</v>
      </c>
      <c r="E1000" t="s">
        <v>368</v>
      </c>
      <c r="F1000" t="s">
        <v>368</v>
      </c>
      <c r="H1000" s="11" t="s">
        <v>27</v>
      </c>
      <c r="I1000" s="6" t="s">
        <v>28</v>
      </c>
      <c r="J1000" s="6" t="s">
        <v>28</v>
      </c>
      <c r="K1000" t="s">
        <v>32</v>
      </c>
      <c r="L1000" s="35">
        <v>27.53</v>
      </c>
      <c r="M1000" s="6" t="s">
        <v>29</v>
      </c>
      <c r="N1000" s="6">
        <v>3105</v>
      </c>
      <c r="P1000" s="18"/>
      <c r="Q1000" s="17"/>
      <c r="R1000" s="19">
        <v>27.53</v>
      </c>
      <c r="S1000" s="19">
        <v>27.53</v>
      </c>
      <c r="T1000" s="38">
        <v>0</v>
      </c>
      <c r="U1000" s="38"/>
      <c r="V1000" s="30">
        <v>27.53</v>
      </c>
      <c r="W1000" s="35">
        <v>27.53</v>
      </c>
      <c r="X1000" s="32">
        <f t="shared" si="165"/>
        <v>0</v>
      </c>
      <c r="Y1000" s="32">
        <f t="shared" si="166"/>
        <v>0</v>
      </c>
      <c r="Z1000" s="32">
        <f t="shared" si="167"/>
        <v>0</v>
      </c>
      <c r="AA1000" s="38" t="s">
        <v>2573</v>
      </c>
      <c r="AB1000" s="37" t="str">
        <f>IFERROR(VLOOKUP(A1000,'Tash Lookup'!A:E,3,FALSE),"")</f>
        <v/>
      </c>
      <c r="AC1000" s="6" t="str">
        <f t="shared" si="168"/>
        <v/>
      </c>
      <c r="AD1000" s="2" t="s">
        <v>6703</v>
      </c>
      <c r="AF1000" s="56">
        <v>29.53</v>
      </c>
      <c r="AG1000" s="56">
        <f>VLOOKUP(A1000,Sheet1!$A$2:$C$1140,3,FALSE)</f>
        <v>30.42</v>
      </c>
      <c r="AH1000" s="58">
        <v>30.42</v>
      </c>
      <c r="AI1000" s="56" t="str">
        <f t="shared" si="169"/>
        <v>Increase</v>
      </c>
      <c r="AJ1000" s="81">
        <f t="shared" si="173"/>
        <v>0</v>
      </c>
      <c r="AK1000" s="81">
        <f t="shared" si="174"/>
        <v>0</v>
      </c>
      <c r="AL1000" s="58" t="s">
        <v>32</v>
      </c>
      <c r="AM1000" s="58" t="s">
        <v>6703</v>
      </c>
      <c r="AN1000" s="75">
        <v>2</v>
      </c>
      <c r="AO1000" s="88">
        <v>30.42</v>
      </c>
      <c r="AP1000" s="6" t="str">
        <f t="shared" si="170"/>
        <v>Increase</v>
      </c>
      <c r="AQ1000" s="81">
        <f t="shared" si="171"/>
        <v>59.06</v>
      </c>
      <c r="AR1000" s="81">
        <f t="shared" si="172"/>
        <v>60.84</v>
      </c>
      <c r="AS1000" s="81">
        <f t="shared" si="175"/>
        <v>1.7800000000000011</v>
      </c>
    </row>
    <row r="1001" spans="1:45" hidden="1" x14ac:dyDescent="0.3">
      <c r="A1001">
        <v>5092586</v>
      </c>
      <c r="B1001" s="15" t="s">
        <v>6337</v>
      </c>
      <c r="C1001" s="16" t="s">
        <v>30</v>
      </c>
      <c r="D1001" s="6" t="s">
        <v>31</v>
      </c>
      <c r="E1001" t="s">
        <v>369</v>
      </c>
      <c r="F1001" t="s">
        <v>369</v>
      </c>
      <c r="H1001" s="11" t="s">
        <v>27</v>
      </c>
      <c r="I1001" s="6" t="s">
        <v>28</v>
      </c>
      <c r="J1001" s="6" t="s">
        <v>28</v>
      </c>
      <c r="K1001" t="s">
        <v>32</v>
      </c>
      <c r="L1001" s="35">
        <v>16.52</v>
      </c>
      <c r="M1001" s="6" t="s">
        <v>29</v>
      </c>
      <c r="N1001" s="6">
        <v>3105</v>
      </c>
      <c r="P1001" s="18"/>
      <c r="Q1001" s="17"/>
      <c r="R1001" s="19">
        <v>16.52</v>
      </c>
      <c r="S1001" s="19">
        <v>16.52</v>
      </c>
      <c r="T1001" s="38">
        <v>0</v>
      </c>
      <c r="U1001" s="38"/>
      <c r="V1001" s="30">
        <v>16.52</v>
      </c>
      <c r="W1001" s="35">
        <v>16.52</v>
      </c>
      <c r="X1001" s="32">
        <f t="shared" si="165"/>
        <v>0</v>
      </c>
      <c r="Y1001" s="32">
        <f t="shared" si="166"/>
        <v>0</v>
      </c>
      <c r="Z1001" s="32">
        <f t="shared" si="167"/>
        <v>0</v>
      </c>
      <c r="AA1001" s="38" t="s">
        <v>2573</v>
      </c>
      <c r="AB1001" s="37" t="str">
        <f>IFERROR(VLOOKUP(A1001,'Tash Lookup'!A:E,3,FALSE),"")</f>
        <v/>
      </c>
      <c r="AC1001" s="6" t="str">
        <f t="shared" si="168"/>
        <v/>
      </c>
      <c r="AD1001" s="2" t="s">
        <v>6703</v>
      </c>
      <c r="AF1001" s="56">
        <v>17.73</v>
      </c>
      <c r="AG1001" s="56">
        <f>VLOOKUP(A1001,Sheet1!$A$2:$C$1140,3,FALSE)</f>
        <v>18.27</v>
      </c>
      <c r="AH1001" s="58">
        <v>18.27</v>
      </c>
      <c r="AI1001" s="56" t="str">
        <f t="shared" si="169"/>
        <v>Increase</v>
      </c>
      <c r="AJ1001" s="81">
        <f t="shared" si="173"/>
        <v>0</v>
      </c>
      <c r="AK1001" s="81">
        <f t="shared" si="174"/>
        <v>0</v>
      </c>
      <c r="AL1001" s="58" t="s">
        <v>32</v>
      </c>
      <c r="AM1001" s="58" t="s">
        <v>6703</v>
      </c>
      <c r="AN1001" s="75">
        <v>0</v>
      </c>
      <c r="AO1001" s="88">
        <v>18.27</v>
      </c>
      <c r="AP1001" s="6" t="str">
        <f t="shared" si="170"/>
        <v>Increase</v>
      </c>
      <c r="AQ1001" s="81">
        <f t="shared" si="171"/>
        <v>0</v>
      </c>
      <c r="AR1001" s="81">
        <f t="shared" si="172"/>
        <v>0</v>
      </c>
      <c r="AS1001" s="81">
        <f t="shared" si="175"/>
        <v>0</v>
      </c>
    </row>
    <row r="1002" spans="1:45" hidden="1" x14ac:dyDescent="0.3">
      <c r="A1002">
        <v>5244439</v>
      </c>
      <c r="B1002" s="15" t="s">
        <v>6338</v>
      </c>
      <c r="C1002" s="16" t="s">
        <v>30</v>
      </c>
      <c r="D1002" s="6" t="s">
        <v>31</v>
      </c>
      <c r="E1002" t="s">
        <v>370</v>
      </c>
      <c r="F1002" t="s">
        <v>370</v>
      </c>
      <c r="H1002" s="11" t="s">
        <v>27</v>
      </c>
      <c r="I1002" s="6" t="s">
        <v>28</v>
      </c>
      <c r="J1002" s="6" t="s">
        <v>28</v>
      </c>
      <c r="K1002" t="s">
        <v>32</v>
      </c>
      <c r="L1002" s="35">
        <v>16.52</v>
      </c>
      <c r="M1002" s="6" t="s">
        <v>29</v>
      </c>
      <c r="N1002" s="6">
        <v>3105</v>
      </c>
      <c r="P1002" s="18"/>
      <c r="Q1002" s="17"/>
      <c r="R1002" s="19">
        <v>16.52</v>
      </c>
      <c r="S1002" s="19">
        <v>16.52</v>
      </c>
      <c r="T1002" s="38">
        <v>0</v>
      </c>
      <c r="U1002" s="38"/>
      <c r="V1002" s="30">
        <v>16.52</v>
      </c>
      <c r="W1002" s="35">
        <v>16.52</v>
      </c>
      <c r="X1002" s="32">
        <f t="shared" si="165"/>
        <v>0</v>
      </c>
      <c r="Y1002" s="32">
        <f t="shared" si="166"/>
        <v>0</v>
      </c>
      <c r="Z1002" s="32">
        <f t="shared" si="167"/>
        <v>0</v>
      </c>
      <c r="AA1002" s="38" t="s">
        <v>2573</v>
      </c>
      <c r="AB1002" s="37" t="str">
        <f>IFERROR(VLOOKUP(A1002,'Tash Lookup'!A:E,3,FALSE),"")</f>
        <v/>
      </c>
      <c r="AC1002" s="6" t="str">
        <f t="shared" si="168"/>
        <v/>
      </c>
      <c r="AD1002" s="2" t="s">
        <v>6703</v>
      </c>
      <c r="AF1002" s="56">
        <v>17.73</v>
      </c>
      <c r="AG1002" s="56">
        <f>VLOOKUP(A1002,Sheet1!$A$2:$C$1140,3,FALSE)</f>
        <v>18.27</v>
      </c>
      <c r="AH1002" s="58">
        <v>18.27</v>
      </c>
      <c r="AI1002" s="56" t="str">
        <f t="shared" si="169"/>
        <v>Increase</v>
      </c>
      <c r="AJ1002" s="81">
        <f t="shared" si="173"/>
        <v>0</v>
      </c>
      <c r="AK1002" s="81">
        <f t="shared" si="174"/>
        <v>0</v>
      </c>
      <c r="AL1002" s="58" t="s">
        <v>32</v>
      </c>
      <c r="AM1002" s="58" t="s">
        <v>6703</v>
      </c>
      <c r="AN1002" s="75">
        <v>0</v>
      </c>
      <c r="AO1002" s="88">
        <v>18.27</v>
      </c>
      <c r="AP1002" s="6" t="str">
        <f t="shared" si="170"/>
        <v>Increase</v>
      </c>
      <c r="AQ1002" s="81">
        <f t="shared" si="171"/>
        <v>0</v>
      </c>
      <c r="AR1002" s="81">
        <f t="shared" si="172"/>
        <v>0</v>
      </c>
      <c r="AS1002" s="81">
        <f t="shared" si="175"/>
        <v>0</v>
      </c>
    </row>
    <row r="1003" spans="1:45" hidden="1" x14ac:dyDescent="0.3">
      <c r="A1003">
        <v>5092582</v>
      </c>
      <c r="B1003" s="15" t="s">
        <v>6339</v>
      </c>
      <c r="C1003" s="16" t="s">
        <v>30</v>
      </c>
      <c r="D1003" s="6" t="s">
        <v>31</v>
      </c>
      <c r="E1003" t="s">
        <v>371</v>
      </c>
      <c r="F1003" t="s">
        <v>371</v>
      </c>
      <c r="H1003" s="11" t="s">
        <v>27</v>
      </c>
      <c r="I1003" s="6" t="s">
        <v>28</v>
      </c>
      <c r="J1003" s="6" t="s">
        <v>28</v>
      </c>
      <c r="K1003" t="s">
        <v>32</v>
      </c>
      <c r="L1003" s="35">
        <v>8.26</v>
      </c>
      <c r="M1003" s="6" t="s">
        <v>29</v>
      </c>
      <c r="N1003" s="6">
        <v>3105</v>
      </c>
      <c r="P1003" s="18"/>
      <c r="Q1003" s="17"/>
      <c r="R1003" s="19">
        <v>8.26</v>
      </c>
      <c r="S1003" s="19">
        <v>8.26</v>
      </c>
      <c r="T1003" s="38">
        <v>0</v>
      </c>
      <c r="U1003" s="38"/>
      <c r="V1003" s="30">
        <v>8.26</v>
      </c>
      <c r="W1003" s="35">
        <v>8.26</v>
      </c>
      <c r="X1003" s="32">
        <f t="shared" si="165"/>
        <v>0</v>
      </c>
      <c r="Y1003" s="32">
        <f t="shared" si="166"/>
        <v>0</v>
      </c>
      <c r="Z1003" s="32">
        <f t="shared" si="167"/>
        <v>0</v>
      </c>
      <c r="AA1003" s="38" t="s">
        <v>2573</v>
      </c>
      <c r="AB1003" s="37" t="str">
        <f>IFERROR(VLOOKUP(A1003,'Tash Lookup'!A:E,3,FALSE),"")</f>
        <v/>
      </c>
      <c r="AC1003" s="6" t="str">
        <f t="shared" si="168"/>
        <v/>
      </c>
      <c r="AD1003" s="2" t="s">
        <v>6703</v>
      </c>
      <c r="AF1003" s="56">
        <v>9.14</v>
      </c>
      <c r="AG1003" s="56">
        <f>VLOOKUP(A1003,Sheet1!$A$2:$C$1140,3,FALSE)</f>
        <v>9.41</v>
      </c>
      <c r="AH1003" s="58">
        <v>9.41</v>
      </c>
      <c r="AI1003" s="56" t="str">
        <f t="shared" si="169"/>
        <v>Increase</v>
      </c>
      <c r="AJ1003" s="81">
        <f t="shared" si="173"/>
        <v>0</v>
      </c>
      <c r="AK1003" s="81">
        <f t="shared" si="174"/>
        <v>0</v>
      </c>
      <c r="AL1003" s="58" t="s">
        <v>32</v>
      </c>
      <c r="AM1003" s="58" t="s">
        <v>6703</v>
      </c>
      <c r="AN1003" s="75">
        <v>0</v>
      </c>
      <c r="AO1003" s="88">
        <v>9.41</v>
      </c>
      <c r="AP1003" s="6" t="str">
        <f t="shared" si="170"/>
        <v>Increase</v>
      </c>
      <c r="AQ1003" s="81">
        <f t="shared" si="171"/>
        <v>0</v>
      </c>
      <c r="AR1003" s="81">
        <f t="shared" si="172"/>
        <v>0</v>
      </c>
      <c r="AS1003" s="81">
        <f t="shared" si="175"/>
        <v>0</v>
      </c>
    </row>
    <row r="1004" spans="1:45" hidden="1" x14ac:dyDescent="0.3">
      <c r="A1004">
        <v>5092583</v>
      </c>
      <c r="B1004" s="15" t="s">
        <v>6340</v>
      </c>
      <c r="C1004" s="16" t="s">
        <v>30</v>
      </c>
      <c r="D1004" s="6" t="s">
        <v>31</v>
      </c>
      <c r="E1004" t="s">
        <v>372</v>
      </c>
      <c r="F1004" t="s">
        <v>372</v>
      </c>
      <c r="H1004" s="11" t="s">
        <v>27</v>
      </c>
      <c r="I1004" s="6" t="s">
        <v>28</v>
      </c>
      <c r="J1004" s="6" t="s">
        <v>28</v>
      </c>
      <c r="K1004" t="s">
        <v>32</v>
      </c>
      <c r="L1004" s="35">
        <v>16.52</v>
      </c>
      <c r="M1004" s="6" t="s">
        <v>29</v>
      </c>
      <c r="N1004" s="6">
        <v>3105</v>
      </c>
      <c r="P1004" s="18"/>
      <c r="Q1004" s="17"/>
      <c r="R1004" s="19">
        <v>16.52</v>
      </c>
      <c r="S1004" s="19">
        <v>16.52</v>
      </c>
      <c r="T1004" s="38">
        <v>0</v>
      </c>
      <c r="U1004" s="38"/>
      <c r="V1004" s="30">
        <v>16.52</v>
      </c>
      <c r="W1004" s="35">
        <v>16.52</v>
      </c>
      <c r="X1004" s="32">
        <f t="shared" si="165"/>
        <v>0</v>
      </c>
      <c r="Y1004" s="32">
        <f t="shared" si="166"/>
        <v>0</v>
      </c>
      <c r="Z1004" s="32">
        <f t="shared" si="167"/>
        <v>0</v>
      </c>
      <c r="AA1004" s="38" t="s">
        <v>2573</v>
      </c>
      <c r="AB1004" s="37" t="str">
        <f>IFERROR(VLOOKUP(A1004,'Tash Lookup'!A:E,3,FALSE),"")</f>
        <v/>
      </c>
      <c r="AC1004" s="6" t="str">
        <f t="shared" si="168"/>
        <v/>
      </c>
      <c r="AD1004" s="2" t="s">
        <v>6703</v>
      </c>
      <c r="AF1004" s="56">
        <v>17.73</v>
      </c>
      <c r="AG1004" s="56">
        <f>VLOOKUP(A1004,Sheet1!$A$2:$C$1140,3,FALSE)</f>
        <v>18.27</v>
      </c>
      <c r="AH1004" s="58">
        <v>18.27</v>
      </c>
      <c r="AI1004" s="56" t="str">
        <f t="shared" si="169"/>
        <v>Increase</v>
      </c>
      <c r="AJ1004" s="81">
        <f t="shared" si="173"/>
        <v>0</v>
      </c>
      <c r="AK1004" s="81">
        <f t="shared" si="174"/>
        <v>0</v>
      </c>
      <c r="AL1004" s="58" t="s">
        <v>32</v>
      </c>
      <c r="AM1004" s="58" t="s">
        <v>6703</v>
      </c>
      <c r="AN1004" s="75">
        <v>0</v>
      </c>
      <c r="AO1004" s="88">
        <v>18.27</v>
      </c>
      <c r="AP1004" s="6" t="str">
        <f t="shared" si="170"/>
        <v>Increase</v>
      </c>
      <c r="AQ1004" s="81">
        <f t="shared" si="171"/>
        <v>0</v>
      </c>
      <c r="AR1004" s="81">
        <f t="shared" si="172"/>
        <v>0</v>
      </c>
      <c r="AS1004" s="81">
        <f t="shared" si="175"/>
        <v>0</v>
      </c>
    </row>
    <row r="1005" spans="1:45" hidden="1" x14ac:dyDescent="0.3">
      <c r="A1005">
        <v>5122398</v>
      </c>
      <c r="B1005" s="15" t="s">
        <v>6341</v>
      </c>
      <c r="C1005" s="16" t="s">
        <v>30</v>
      </c>
      <c r="D1005" s="6" t="s">
        <v>31</v>
      </c>
      <c r="E1005" t="s">
        <v>373</v>
      </c>
      <c r="F1005" t="s">
        <v>373</v>
      </c>
      <c r="H1005" s="11" t="s">
        <v>27</v>
      </c>
      <c r="I1005" s="6" t="s">
        <v>28</v>
      </c>
      <c r="J1005" s="6" t="s">
        <v>28</v>
      </c>
      <c r="K1005" t="s">
        <v>32</v>
      </c>
      <c r="L1005" s="35">
        <v>27.53</v>
      </c>
      <c r="M1005" s="6" t="s">
        <v>29</v>
      </c>
      <c r="N1005" s="6">
        <v>3105</v>
      </c>
      <c r="P1005" s="18"/>
      <c r="Q1005" s="17"/>
      <c r="R1005" s="19">
        <v>27.53</v>
      </c>
      <c r="S1005" s="19">
        <v>27.53</v>
      </c>
      <c r="T1005" s="38">
        <v>0</v>
      </c>
      <c r="U1005" s="38"/>
      <c r="V1005" s="30">
        <v>27.53</v>
      </c>
      <c r="W1005" s="35">
        <v>27.53</v>
      </c>
      <c r="X1005" s="32">
        <f t="shared" si="165"/>
        <v>0</v>
      </c>
      <c r="Y1005" s="32">
        <f t="shared" si="166"/>
        <v>0</v>
      </c>
      <c r="Z1005" s="32">
        <f t="shared" si="167"/>
        <v>0</v>
      </c>
      <c r="AA1005" s="38" t="s">
        <v>2573</v>
      </c>
      <c r="AB1005" s="37" t="str">
        <f>IFERROR(VLOOKUP(A1005,'Tash Lookup'!A:E,3,FALSE),"")</f>
        <v/>
      </c>
      <c r="AC1005" s="6" t="str">
        <f t="shared" si="168"/>
        <v/>
      </c>
      <c r="AD1005" s="2" t="s">
        <v>6703</v>
      </c>
      <c r="AF1005" s="56">
        <v>29.53</v>
      </c>
      <c r="AG1005" s="56">
        <f>VLOOKUP(A1005,Sheet1!$A$2:$C$1140,3,FALSE)</f>
        <v>30.42</v>
      </c>
      <c r="AH1005" s="58">
        <v>30.42</v>
      </c>
      <c r="AI1005" s="56" t="str">
        <f t="shared" si="169"/>
        <v>Increase</v>
      </c>
      <c r="AJ1005" s="81">
        <f t="shared" si="173"/>
        <v>0</v>
      </c>
      <c r="AK1005" s="81">
        <f t="shared" si="174"/>
        <v>0</v>
      </c>
      <c r="AL1005" s="58" t="s">
        <v>32</v>
      </c>
      <c r="AM1005" s="58" t="s">
        <v>6703</v>
      </c>
      <c r="AN1005" s="75">
        <v>0</v>
      </c>
      <c r="AO1005" s="88">
        <v>30.42</v>
      </c>
      <c r="AP1005" s="6" t="str">
        <f t="shared" si="170"/>
        <v>Increase</v>
      </c>
      <c r="AQ1005" s="81">
        <f t="shared" si="171"/>
        <v>0</v>
      </c>
      <c r="AR1005" s="81">
        <f t="shared" si="172"/>
        <v>0</v>
      </c>
      <c r="AS1005" s="81">
        <f t="shared" si="175"/>
        <v>0</v>
      </c>
    </row>
    <row r="1006" spans="1:45" hidden="1" x14ac:dyDescent="0.3">
      <c r="A1006">
        <v>5316990</v>
      </c>
      <c r="B1006" s="15" t="s">
        <v>6342</v>
      </c>
      <c r="C1006" s="16" t="s">
        <v>30</v>
      </c>
      <c r="D1006" s="6" t="s">
        <v>31</v>
      </c>
      <c r="E1006" t="s">
        <v>2530</v>
      </c>
      <c r="F1006" t="s">
        <v>2530</v>
      </c>
      <c r="H1006" s="11" t="s">
        <v>27</v>
      </c>
      <c r="I1006" s="6" t="s">
        <v>28</v>
      </c>
      <c r="J1006" s="6" t="s">
        <v>28</v>
      </c>
      <c r="K1006" t="s">
        <v>32</v>
      </c>
      <c r="L1006" s="35">
        <v>16.52</v>
      </c>
      <c r="M1006" s="6" t="s">
        <v>29</v>
      </c>
      <c r="N1006" s="6">
        <v>3105</v>
      </c>
      <c r="P1006" s="18"/>
      <c r="Q1006" s="17"/>
      <c r="R1006" s="19">
        <v>16.52</v>
      </c>
      <c r="S1006" s="19">
        <v>16.52</v>
      </c>
      <c r="T1006" s="38">
        <v>0</v>
      </c>
      <c r="U1006" s="38"/>
      <c r="V1006" s="30">
        <v>16.52</v>
      </c>
      <c r="W1006" s="35">
        <v>16.52</v>
      </c>
      <c r="X1006" s="32">
        <f t="shared" si="165"/>
        <v>0</v>
      </c>
      <c r="Y1006" s="32">
        <f t="shared" si="166"/>
        <v>0</v>
      </c>
      <c r="Z1006" s="32">
        <f t="shared" si="167"/>
        <v>0</v>
      </c>
      <c r="AA1006" s="38" t="s">
        <v>2573</v>
      </c>
      <c r="AB1006" s="37" t="str">
        <f>IFERROR(VLOOKUP(A1006,'Tash Lookup'!A:E,3,FALSE),"")</f>
        <v/>
      </c>
      <c r="AC1006" s="6" t="str">
        <f t="shared" si="168"/>
        <v/>
      </c>
      <c r="AD1006" s="2" t="s">
        <v>6703</v>
      </c>
      <c r="AF1006" s="56">
        <v>17.73</v>
      </c>
      <c r="AG1006" s="56">
        <f>VLOOKUP(A1006,Sheet1!$A$2:$C$1140,3,FALSE)</f>
        <v>18.27</v>
      </c>
      <c r="AH1006" s="58">
        <v>18.27</v>
      </c>
      <c r="AI1006" s="56" t="str">
        <f t="shared" si="169"/>
        <v>Increase</v>
      </c>
      <c r="AJ1006" s="81">
        <f t="shared" si="173"/>
        <v>0</v>
      </c>
      <c r="AK1006" s="81">
        <f t="shared" si="174"/>
        <v>0</v>
      </c>
      <c r="AL1006" s="58" t="s">
        <v>32</v>
      </c>
      <c r="AM1006" s="58" t="s">
        <v>6703</v>
      </c>
      <c r="AN1006" s="75">
        <v>0</v>
      </c>
      <c r="AO1006" s="88">
        <v>18.27</v>
      </c>
      <c r="AP1006" s="6" t="str">
        <f t="shared" si="170"/>
        <v>Increase</v>
      </c>
      <c r="AQ1006" s="81">
        <f t="shared" si="171"/>
        <v>0</v>
      </c>
      <c r="AR1006" s="81">
        <f t="shared" si="172"/>
        <v>0</v>
      </c>
      <c r="AS1006" s="81">
        <f t="shared" si="175"/>
        <v>0</v>
      </c>
    </row>
    <row r="1007" spans="1:45" hidden="1" x14ac:dyDescent="0.3">
      <c r="A1007">
        <v>5232364</v>
      </c>
      <c r="B1007" s="15" t="s">
        <v>6343</v>
      </c>
      <c r="C1007" s="16" t="s">
        <v>30</v>
      </c>
      <c r="D1007" s="6" t="s">
        <v>31</v>
      </c>
      <c r="E1007" t="s">
        <v>374</v>
      </c>
      <c r="F1007" t="s">
        <v>374</v>
      </c>
      <c r="H1007" s="11" t="s">
        <v>27</v>
      </c>
      <c r="I1007" s="6" t="s">
        <v>28</v>
      </c>
      <c r="J1007" s="6" t="s">
        <v>28</v>
      </c>
      <c r="K1007" t="s">
        <v>32</v>
      </c>
      <c r="L1007" s="35">
        <v>8.26</v>
      </c>
      <c r="M1007" s="6" t="s">
        <v>29</v>
      </c>
      <c r="N1007" s="6">
        <v>3105</v>
      </c>
      <c r="P1007" s="18"/>
      <c r="Q1007" s="17"/>
      <c r="R1007" s="19">
        <v>8.26</v>
      </c>
      <c r="S1007" s="19">
        <v>8.26</v>
      </c>
      <c r="T1007" s="38">
        <v>0</v>
      </c>
      <c r="U1007" s="38"/>
      <c r="V1007" s="30">
        <v>8.26</v>
      </c>
      <c r="W1007" s="35">
        <v>8.26</v>
      </c>
      <c r="X1007" s="32">
        <f t="shared" si="165"/>
        <v>0</v>
      </c>
      <c r="Y1007" s="32">
        <f t="shared" si="166"/>
        <v>0</v>
      </c>
      <c r="Z1007" s="32">
        <f t="shared" si="167"/>
        <v>0</v>
      </c>
      <c r="AA1007" s="38" t="s">
        <v>2573</v>
      </c>
      <c r="AB1007" s="37" t="str">
        <f>IFERROR(VLOOKUP(A1007,'Tash Lookup'!A:E,3,FALSE),"")</f>
        <v/>
      </c>
      <c r="AC1007" s="6" t="str">
        <f t="shared" si="168"/>
        <v/>
      </c>
      <c r="AD1007" s="2" t="s">
        <v>6703</v>
      </c>
      <c r="AF1007" s="56">
        <v>9.14</v>
      </c>
      <c r="AG1007" s="56">
        <f>VLOOKUP(A1007,Sheet1!$A$2:$C$1140,3,FALSE)</f>
        <v>9.41</v>
      </c>
      <c r="AH1007" s="58">
        <v>9.41</v>
      </c>
      <c r="AI1007" s="56" t="str">
        <f t="shared" si="169"/>
        <v>Increase</v>
      </c>
      <c r="AJ1007" s="81">
        <f t="shared" si="173"/>
        <v>0</v>
      </c>
      <c r="AK1007" s="81">
        <f t="shared" si="174"/>
        <v>0</v>
      </c>
      <c r="AL1007" s="58" t="s">
        <v>32</v>
      </c>
      <c r="AM1007" s="58" t="s">
        <v>6703</v>
      </c>
      <c r="AN1007" s="75">
        <v>0</v>
      </c>
      <c r="AO1007" s="88">
        <v>9.41</v>
      </c>
      <c r="AP1007" s="6" t="str">
        <f t="shared" si="170"/>
        <v>Increase</v>
      </c>
      <c r="AQ1007" s="81">
        <f t="shared" si="171"/>
        <v>0</v>
      </c>
      <c r="AR1007" s="81">
        <f t="shared" si="172"/>
        <v>0</v>
      </c>
      <c r="AS1007" s="81">
        <f t="shared" si="175"/>
        <v>0</v>
      </c>
    </row>
    <row r="1008" spans="1:45" hidden="1" x14ac:dyDescent="0.3">
      <c r="A1008">
        <v>5083478</v>
      </c>
      <c r="B1008" s="15" t="s">
        <v>6344</v>
      </c>
      <c r="C1008" s="16" t="s">
        <v>30</v>
      </c>
      <c r="D1008" s="6" t="s">
        <v>31</v>
      </c>
      <c r="E1008" t="s">
        <v>375</v>
      </c>
      <c r="F1008" t="s">
        <v>375</v>
      </c>
      <c r="H1008" s="11" t="s">
        <v>27</v>
      </c>
      <c r="I1008" s="6" t="s">
        <v>28</v>
      </c>
      <c r="J1008" s="6" t="s">
        <v>28</v>
      </c>
      <c r="K1008" t="s">
        <v>32</v>
      </c>
      <c r="L1008" s="35">
        <v>8.26</v>
      </c>
      <c r="M1008" s="6" t="s">
        <v>29</v>
      </c>
      <c r="N1008" s="6">
        <v>3105</v>
      </c>
      <c r="P1008" s="18"/>
      <c r="Q1008" s="17"/>
      <c r="R1008" s="19">
        <v>8.26</v>
      </c>
      <c r="S1008" s="19">
        <v>8.26</v>
      </c>
      <c r="T1008" s="38">
        <v>0</v>
      </c>
      <c r="U1008" s="38"/>
      <c r="V1008" s="30">
        <v>8.26</v>
      </c>
      <c r="W1008" s="35">
        <v>8.26</v>
      </c>
      <c r="X1008" s="32">
        <f t="shared" si="165"/>
        <v>0</v>
      </c>
      <c r="Y1008" s="32">
        <f t="shared" si="166"/>
        <v>0</v>
      </c>
      <c r="Z1008" s="32">
        <f t="shared" si="167"/>
        <v>0</v>
      </c>
      <c r="AA1008" s="38" t="s">
        <v>2573</v>
      </c>
      <c r="AB1008" s="37" t="str">
        <f>IFERROR(VLOOKUP(A1008,'Tash Lookup'!A:E,3,FALSE),"")</f>
        <v/>
      </c>
      <c r="AC1008" s="6" t="str">
        <f t="shared" si="168"/>
        <v/>
      </c>
      <c r="AD1008" s="2" t="s">
        <v>6703</v>
      </c>
      <c r="AF1008" s="56">
        <v>9.14</v>
      </c>
      <c r="AG1008" s="56">
        <f>VLOOKUP(A1008,Sheet1!$A$2:$C$1140,3,FALSE)</f>
        <v>9.41</v>
      </c>
      <c r="AH1008" s="58">
        <v>9.41</v>
      </c>
      <c r="AI1008" s="56" t="str">
        <f t="shared" si="169"/>
        <v>Increase</v>
      </c>
      <c r="AJ1008" s="81">
        <f t="shared" si="173"/>
        <v>0</v>
      </c>
      <c r="AK1008" s="81">
        <f t="shared" si="174"/>
        <v>0</v>
      </c>
      <c r="AL1008" s="58" t="s">
        <v>32</v>
      </c>
      <c r="AM1008" s="58" t="s">
        <v>6703</v>
      </c>
      <c r="AN1008" s="75">
        <v>0</v>
      </c>
      <c r="AO1008" s="88">
        <v>9.41</v>
      </c>
      <c r="AP1008" s="6" t="str">
        <f t="shared" si="170"/>
        <v>Increase</v>
      </c>
      <c r="AQ1008" s="81">
        <f t="shared" si="171"/>
        <v>0</v>
      </c>
      <c r="AR1008" s="81">
        <f t="shared" si="172"/>
        <v>0</v>
      </c>
      <c r="AS1008" s="81">
        <f t="shared" si="175"/>
        <v>0</v>
      </c>
    </row>
    <row r="1009" spans="1:45" hidden="1" x14ac:dyDescent="0.3">
      <c r="A1009">
        <v>5083479</v>
      </c>
      <c r="B1009" s="15" t="s">
        <v>6345</v>
      </c>
      <c r="C1009" s="16" t="s">
        <v>30</v>
      </c>
      <c r="D1009" s="6" t="s">
        <v>31</v>
      </c>
      <c r="E1009" t="s">
        <v>376</v>
      </c>
      <c r="F1009" t="s">
        <v>376</v>
      </c>
      <c r="H1009" s="11" t="s">
        <v>27</v>
      </c>
      <c r="I1009" s="6" t="s">
        <v>28</v>
      </c>
      <c r="J1009" s="6" t="s">
        <v>28</v>
      </c>
      <c r="K1009" t="s">
        <v>32</v>
      </c>
      <c r="L1009" s="35">
        <v>16.52</v>
      </c>
      <c r="M1009" s="6" t="s">
        <v>29</v>
      </c>
      <c r="N1009" s="6">
        <v>3105</v>
      </c>
      <c r="P1009" s="18"/>
      <c r="Q1009" s="17"/>
      <c r="R1009" s="19">
        <v>16.52</v>
      </c>
      <c r="S1009" s="19">
        <v>16.52</v>
      </c>
      <c r="T1009" s="38">
        <v>0</v>
      </c>
      <c r="U1009" s="38"/>
      <c r="V1009" s="30">
        <v>16.52</v>
      </c>
      <c r="W1009" s="35">
        <v>16.52</v>
      </c>
      <c r="X1009" s="32">
        <f t="shared" si="165"/>
        <v>0</v>
      </c>
      <c r="Y1009" s="32">
        <f t="shared" si="166"/>
        <v>0</v>
      </c>
      <c r="Z1009" s="32">
        <f t="shared" si="167"/>
        <v>0</v>
      </c>
      <c r="AA1009" s="38" t="s">
        <v>2573</v>
      </c>
      <c r="AB1009" s="37" t="str">
        <f>IFERROR(VLOOKUP(A1009,'Tash Lookup'!A:E,3,FALSE),"")</f>
        <v/>
      </c>
      <c r="AC1009" s="6" t="str">
        <f t="shared" si="168"/>
        <v/>
      </c>
      <c r="AD1009" s="2" t="s">
        <v>6703</v>
      </c>
      <c r="AF1009" s="56">
        <v>17.73</v>
      </c>
      <c r="AG1009" s="56">
        <f>VLOOKUP(A1009,Sheet1!$A$2:$C$1140,3,FALSE)</f>
        <v>18.27</v>
      </c>
      <c r="AH1009" s="58">
        <v>18.27</v>
      </c>
      <c r="AI1009" s="56" t="str">
        <f t="shared" si="169"/>
        <v>Increase</v>
      </c>
      <c r="AJ1009" s="81">
        <f t="shared" si="173"/>
        <v>0</v>
      </c>
      <c r="AK1009" s="81">
        <f t="shared" si="174"/>
        <v>0</v>
      </c>
      <c r="AL1009" s="58" t="s">
        <v>32</v>
      </c>
      <c r="AM1009" s="58" t="s">
        <v>6703</v>
      </c>
      <c r="AN1009" s="75">
        <v>0</v>
      </c>
      <c r="AO1009" s="88">
        <v>18.27</v>
      </c>
      <c r="AP1009" s="6" t="str">
        <f t="shared" si="170"/>
        <v>Increase</v>
      </c>
      <c r="AQ1009" s="81">
        <f t="shared" si="171"/>
        <v>0</v>
      </c>
      <c r="AR1009" s="81">
        <f t="shared" si="172"/>
        <v>0</v>
      </c>
      <c r="AS1009" s="81">
        <f t="shared" si="175"/>
        <v>0</v>
      </c>
    </row>
    <row r="1010" spans="1:45" hidden="1" x14ac:dyDescent="0.3">
      <c r="A1010">
        <v>5083482</v>
      </c>
      <c r="B1010" s="15" t="s">
        <v>6346</v>
      </c>
      <c r="C1010" s="16" t="s">
        <v>30</v>
      </c>
      <c r="D1010" s="6" t="s">
        <v>31</v>
      </c>
      <c r="E1010" t="s">
        <v>377</v>
      </c>
      <c r="F1010" t="s">
        <v>377</v>
      </c>
      <c r="H1010" s="11" t="s">
        <v>27</v>
      </c>
      <c r="I1010" s="6" t="s">
        <v>28</v>
      </c>
      <c r="J1010" s="6" t="s">
        <v>28</v>
      </c>
      <c r="K1010" t="s">
        <v>32</v>
      </c>
      <c r="L1010" s="35">
        <v>8.26</v>
      </c>
      <c r="M1010" s="6" t="s">
        <v>29</v>
      </c>
      <c r="N1010" s="6">
        <v>3105</v>
      </c>
      <c r="P1010" s="18"/>
      <c r="Q1010" s="17"/>
      <c r="R1010" s="19">
        <v>8.26</v>
      </c>
      <c r="S1010" s="19">
        <v>8.26</v>
      </c>
      <c r="T1010" s="38">
        <v>0</v>
      </c>
      <c r="U1010" s="38"/>
      <c r="V1010" s="30">
        <v>8.26</v>
      </c>
      <c r="W1010" s="35">
        <v>8.26</v>
      </c>
      <c r="X1010" s="32">
        <f t="shared" si="165"/>
        <v>0</v>
      </c>
      <c r="Y1010" s="32">
        <f t="shared" si="166"/>
        <v>0</v>
      </c>
      <c r="Z1010" s="32">
        <f t="shared" si="167"/>
        <v>0</v>
      </c>
      <c r="AA1010" s="38" t="s">
        <v>2573</v>
      </c>
      <c r="AB1010" s="37" t="str">
        <f>IFERROR(VLOOKUP(A1010,'Tash Lookup'!A:E,3,FALSE),"")</f>
        <v/>
      </c>
      <c r="AC1010" s="6" t="str">
        <f t="shared" si="168"/>
        <v/>
      </c>
      <c r="AD1010" s="2" t="s">
        <v>6703</v>
      </c>
      <c r="AF1010" s="56">
        <v>9.14</v>
      </c>
      <c r="AG1010" s="56">
        <f>VLOOKUP(A1010,Sheet1!$A$2:$C$1140,3,FALSE)</f>
        <v>9.41</v>
      </c>
      <c r="AH1010" s="58">
        <v>9.41</v>
      </c>
      <c r="AI1010" s="56" t="str">
        <f t="shared" si="169"/>
        <v>Increase</v>
      </c>
      <c r="AJ1010" s="81">
        <f t="shared" si="173"/>
        <v>0</v>
      </c>
      <c r="AK1010" s="81">
        <f t="shared" si="174"/>
        <v>0</v>
      </c>
      <c r="AL1010" s="58" t="s">
        <v>32</v>
      </c>
      <c r="AM1010" s="58" t="s">
        <v>6703</v>
      </c>
      <c r="AN1010" s="75">
        <v>0</v>
      </c>
      <c r="AO1010" s="88">
        <v>9.41</v>
      </c>
      <c r="AP1010" s="6" t="str">
        <f t="shared" si="170"/>
        <v>Increase</v>
      </c>
      <c r="AQ1010" s="81">
        <f t="shared" si="171"/>
        <v>0</v>
      </c>
      <c r="AR1010" s="81">
        <f t="shared" si="172"/>
        <v>0</v>
      </c>
      <c r="AS1010" s="81">
        <f t="shared" si="175"/>
        <v>0</v>
      </c>
    </row>
    <row r="1011" spans="1:45" hidden="1" x14ac:dyDescent="0.3">
      <c r="A1011">
        <v>5092567</v>
      </c>
      <c r="B1011" s="15" t="s">
        <v>6347</v>
      </c>
      <c r="C1011" s="16" t="s">
        <v>30</v>
      </c>
      <c r="D1011" s="6" t="s">
        <v>31</v>
      </c>
      <c r="E1011" t="s">
        <v>378</v>
      </c>
      <c r="F1011" t="s">
        <v>378</v>
      </c>
      <c r="H1011" s="11" t="s">
        <v>27</v>
      </c>
      <c r="I1011" s="6" t="s">
        <v>28</v>
      </c>
      <c r="J1011" s="6" t="s">
        <v>28</v>
      </c>
      <c r="K1011" t="s">
        <v>32</v>
      </c>
      <c r="L1011" s="35">
        <v>16.52</v>
      </c>
      <c r="M1011" s="6" t="s">
        <v>29</v>
      </c>
      <c r="N1011" s="6">
        <v>3105</v>
      </c>
      <c r="P1011" s="18"/>
      <c r="Q1011" s="17"/>
      <c r="R1011" s="19">
        <v>16.52</v>
      </c>
      <c r="S1011" s="19">
        <v>16.52</v>
      </c>
      <c r="T1011" s="38">
        <v>0</v>
      </c>
      <c r="U1011" s="38"/>
      <c r="V1011" s="30">
        <v>16.52</v>
      </c>
      <c r="W1011" s="35">
        <v>16.52</v>
      </c>
      <c r="X1011" s="32">
        <f t="shared" si="165"/>
        <v>0</v>
      </c>
      <c r="Y1011" s="32">
        <f t="shared" si="166"/>
        <v>0</v>
      </c>
      <c r="Z1011" s="32">
        <f t="shared" si="167"/>
        <v>0</v>
      </c>
      <c r="AA1011" s="38" t="s">
        <v>2573</v>
      </c>
      <c r="AB1011" s="37" t="str">
        <f>IFERROR(VLOOKUP(A1011,'Tash Lookup'!A:E,3,FALSE),"")</f>
        <v/>
      </c>
      <c r="AC1011" s="6" t="str">
        <f t="shared" si="168"/>
        <v/>
      </c>
      <c r="AD1011" s="2" t="s">
        <v>6703</v>
      </c>
      <c r="AF1011" s="56">
        <v>17.73</v>
      </c>
      <c r="AG1011" s="56">
        <f>VLOOKUP(A1011,Sheet1!$A$2:$C$1140,3,FALSE)</f>
        <v>18.27</v>
      </c>
      <c r="AH1011" s="58">
        <v>18.27</v>
      </c>
      <c r="AI1011" s="56" t="str">
        <f t="shared" si="169"/>
        <v>Increase</v>
      </c>
      <c r="AJ1011" s="81">
        <f t="shared" si="173"/>
        <v>0</v>
      </c>
      <c r="AK1011" s="81">
        <f t="shared" si="174"/>
        <v>0</v>
      </c>
      <c r="AL1011" s="58" t="s">
        <v>32</v>
      </c>
      <c r="AM1011" s="58" t="s">
        <v>6703</v>
      </c>
      <c r="AN1011" s="75">
        <v>8</v>
      </c>
      <c r="AO1011" s="88">
        <v>18.27</v>
      </c>
      <c r="AP1011" s="6" t="str">
        <f t="shared" si="170"/>
        <v>Increase</v>
      </c>
      <c r="AQ1011" s="81">
        <f t="shared" si="171"/>
        <v>141.84</v>
      </c>
      <c r="AR1011" s="81">
        <f t="shared" si="172"/>
        <v>146.16</v>
      </c>
      <c r="AS1011" s="81">
        <f t="shared" si="175"/>
        <v>4.3199999999999932</v>
      </c>
    </row>
    <row r="1012" spans="1:45" hidden="1" x14ac:dyDescent="0.3">
      <c r="A1012">
        <v>5092568</v>
      </c>
      <c r="B1012" s="15" t="s">
        <v>6348</v>
      </c>
      <c r="C1012" s="16" t="s">
        <v>30</v>
      </c>
      <c r="D1012" s="6" t="s">
        <v>31</v>
      </c>
      <c r="E1012" t="s">
        <v>379</v>
      </c>
      <c r="F1012" t="s">
        <v>379</v>
      </c>
      <c r="H1012" s="11" t="s">
        <v>27</v>
      </c>
      <c r="I1012" s="6" t="s">
        <v>28</v>
      </c>
      <c r="J1012" s="6" t="s">
        <v>28</v>
      </c>
      <c r="K1012" t="s">
        <v>32</v>
      </c>
      <c r="L1012" s="35">
        <v>27.53</v>
      </c>
      <c r="M1012" s="6" t="s">
        <v>29</v>
      </c>
      <c r="N1012" s="6">
        <v>3105</v>
      </c>
      <c r="P1012" s="18"/>
      <c r="Q1012" s="17"/>
      <c r="R1012" s="19">
        <v>27.53</v>
      </c>
      <c r="S1012" s="19">
        <v>27.53</v>
      </c>
      <c r="T1012" s="38">
        <v>0</v>
      </c>
      <c r="U1012" s="38"/>
      <c r="V1012" s="30">
        <v>27.53</v>
      </c>
      <c r="W1012" s="35">
        <v>27.53</v>
      </c>
      <c r="X1012" s="32">
        <f t="shared" si="165"/>
        <v>0</v>
      </c>
      <c r="Y1012" s="32">
        <f t="shared" si="166"/>
        <v>0</v>
      </c>
      <c r="Z1012" s="32">
        <f t="shared" si="167"/>
        <v>0</v>
      </c>
      <c r="AA1012" s="38" t="s">
        <v>2573</v>
      </c>
      <c r="AB1012" s="37" t="str">
        <f>IFERROR(VLOOKUP(A1012,'Tash Lookup'!A:E,3,FALSE),"")</f>
        <v/>
      </c>
      <c r="AC1012" s="6" t="str">
        <f t="shared" si="168"/>
        <v/>
      </c>
      <c r="AD1012" s="2" t="s">
        <v>6703</v>
      </c>
      <c r="AF1012" s="56">
        <v>29.53</v>
      </c>
      <c r="AG1012" s="56">
        <f>VLOOKUP(A1012,Sheet1!$A$2:$C$1140,3,FALSE)</f>
        <v>30.42</v>
      </c>
      <c r="AH1012" s="58">
        <v>30.42</v>
      </c>
      <c r="AI1012" s="56" t="str">
        <f t="shared" si="169"/>
        <v>Increase</v>
      </c>
      <c r="AJ1012" s="81">
        <f t="shared" si="173"/>
        <v>0</v>
      </c>
      <c r="AK1012" s="81">
        <f t="shared" si="174"/>
        <v>0</v>
      </c>
      <c r="AL1012" s="58" t="s">
        <v>32</v>
      </c>
      <c r="AM1012" s="58" t="s">
        <v>6703</v>
      </c>
      <c r="AN1012" s="75">
        <v>0</v>
      </c>
      <c r="AO1012" s="88">
        <v>30.42</v>
      </c>
      <c r="AP1012" s="6" t="str">
        <f t="shared" si="170"/>
        <v>Increase</v>
      </c>
      <c r="AQ1012" s="81">
        <f t="shared" si="171"/>
        <v>0</v>
      </c>
      <c r="AR1012" s="81">
        <f t="shared" si="172"/>
        <v>0</v>
      </c>
      <c r="AS1012" s="81">
        <f t="shared" si="175"/>
        <v>0</v>
      </c>
    </row>
    <row r="1013" spans="1:45" hidden="1" x14ac:dyDescent="0.3">
      <c r="A1013">
        <v>5092607</v>
      </c>
      <c r="B1013" s="15" t="s">
        <v>6349</v>
      </c>
      <c r="C1013" s="16" t="s">
        <v>30</v>
      </c>
      <c r="D1013" s="6" t="s">
        <v>31</v>
      </c>
      <c r="E1013" t="s">
        <v>380</v>
      </c>
      <c r="F1013" t="s">
        <v>380</v>
      </c>
      <c r="H1013" s="11" t="s">
        <v>27</v>
      </c>
      <c r="I1013" s="6" t="s">
        <v>28</v>
      </c>
      <c r="J1013" s="6" t="s">
        <v>28</v>
      </c>
      <c r="K1013" t="s">
        <v>32</v>
      </c>
      <c r="L1013" s="35">
        <v>8.26</v>
      </c>
      <c r="M1013" s="6" t="s">
        <v>29</v>
      </c>
      <c r="N1013" s="6">
        <v>3105</v>
      </c>
      <c r="P1013" s="18"/>
      <c r="Q1013" s="17"/>
      <c r="R1013" s="19">
        <v>8.26</v>
      </c>
      <c r="S1013" s="19">
        <v>8.26</v>
      </c>
      <c r="T1013" s="38">
        <v>0</v>
      </c>
      <c r="U1013" s="38"/>
      <c r="V1013" s="30">
        <v>8.26</v>
      </c>
      <c r="W1013" s="35">
        <v>8.26</v>
      </c>
      <c r="X1013" s="32">
        <f t="shared" si="165"/>
        <v>0</v>
      </c>
      <c r="Y1013" s="32">
        <f t="shared" si="166"/>
        <v>0</v>
      </c>
      <c r="Z1013" s="32">
        <f t="shared" si="167"/>
        <v>0</v>
      </c>
      <c r="AA1013" s="38" t="s">
        <v>2573</v>
      </c>
      <c r="AB1013" s="37" t="str">
        <f>IFERROR(VLOOKUP(A1013,'Tash Lookup'!A:E,3,FALSE),"")</f>
        <v/>
      </c>
      <c r="AC1013" s="6" t="str">
        <f t="shared" si="168"/>
        <v/>
      </c>
      <c r="AD1013" s="2" t="s">
        <v>6703</v>
      </c>
      <c r="AF1013" s="56">
        <v>9.14</v>
      </c>
      <c r="AG1013" s="56">
        <f>VLOOKUP(A1013,Sheet1!$A$2:$C$1140,3,FALSE)</f>
        <v>9.41</v>
      </c>
      <c r="AH1013" s="58">
        <v>9.41</v>
      </c>
      <c r="AI1013" s="56" t="str">
        <f t="shared" si="169"/>
        <v>Increase</v>
      </c>
      <c r="AJ1013" s="81">
        <f t="shared" si="173"/>
        <v>0</v>
      </c>
      <c r="AK1013" s="81">
        <f t="shared" si="174"/>
        <v>0</v>
      </c>
      <c r="AL1013" s="58" t="s">
        <v>32</v>
      </c>
      <c r="AM1013" s="58" t="s">
        <v>6703</v>
      </c>
      <c r="AN1013" s="75">
        <v>0</v>
      </c>
      <c r="AO1013" s="88">
        <v>9.41</v>
      </c>
      <c r="AP1013" s="6" t="str">
        <f t="shared" si="170"/>
        <v>Increase</v>
      </c>
      <c r="AQ1013" s="81">
        <f t="shared" si="171"/>
        <v>0</v>
      </c>
      <c r="AR1013" s="81">
        <f t="shared" si="172"/>
        <v>0</v>
      </c>
      <c r="AS1013" s="81">
        <f t="shared" si="175"/>
        <v>0</v>
      </c>
    </row>
    <row r="1014" spans="1:45" hidden="1" x14ac:dyDescent="0.3">
      <c r="A1014">
        <v>5092608</v>
      </c>
      <c r="B1014" s="15" t="s">
        <v>6350</v>
      </c>
      <c r="C1014" s="16" t="s">
        <v>30</v>
      </c>
      <c r="D1014" s="6" t="s">
        <v>31</v>
      </c>
      <c r="E1014" t="s">
        <v>381</v>
      </c>
      <c r="F1014" t="s">
        <v>381</v>
      </c>
      <c r="H1014" s="11" t="s">
        <v>27</v>
      </c>
      <c r="I1014" s="6" t="s">
        <v>28</v>
      </c>
      <c r="J1014" s="6" t="s">
        <v>28</v>
      </c>
      <c r="K1014" t="s">
        <v>32</v>
      </c>
      <c r="L1014" s="35">
        <v>16.52</v>
      </c>
      <c r="M1014" s="6" t="s">
        <v>29</v>
      </c>
      <c r="N1014" s="6">
        <v>3105</v>
      </c>
      <c r="P1014" s="18"/>
      <c r="Q1014" s="17"/>
      <c r="R1014" s="19">
        <v>16.52</v>
      </c>
      <c r="S1014" s="19">
        <v>16.52</v>
      </c>
      <c r="T1014" s="38">
        <v>0</v>
      </c>
      <c r="U1014" s="38"/>
      <c r="V1014" s="30">
        <v>16.52</v>
      </c>
      <c r="W1014" s="35">
        <v>16.52</v>
      </c>
      <c r="X1014" s="32">
        <f t="shared" si="165"/>
        <v>0</v>
      </c>
      <c r="Y1014" s="32">
        <f t="shared" si="166"/>
        <v>0</v>
      </c>
      <c r="Z1014" s="32">
        <f t="shared" si="167"/>
        <v>0</v>
      </c>
      <c r="AA1014" s="38" t="s">
        <v>2573</v>
      </c>
      <c r="AB1014" s="37" t="str">
        <f>IFERROR(VLOOKUP(A1014,'Tash Lookup'!A:E,3,FALSE),"")</f>
        <v/>
      </c>
      <c r="AC1014" s="6" t="str">
        <f t="shared" si="168"/>
        <v/>
      </c>
      <c r="AD1014" s="2" t="s">
        <v>6703</v>
      </c>
      <c r="AF1014" s="56">
        <v>17.22</v>
      </c>
      <c r="AG1014" s="56">
        <f>VLOOKUP(A1014,Sheet1!$A$2:$C$1140,3,FALSE)</f>
        <v>17.739999999999998</v>
      </c>
      <c r="AH1014" s="58">
        <v>17.739999999999998</v>
      </c>
      <c r="AI1014" s="56" t="str">
        <f t="shared" si="169"/>
        <v>Increase</v>
      </c>
      <c r="AJ1014" s="81">
        <f t="shared" si="173"/>
        <v>0</v>
      </c>
      <c r="AK1014" s="81">
        <f t="shared" si="174"/>
        <v>0</v>
      </c>
      <c r="AL1014" s="58" t="s">
        <v>32</v>
      </c>
      <c r="AM1014" s="58" t="s">
        <v>6703</v>
      </c>
      <c r="AN1014" s="75">
        <v>0</v>
      </c>
      <c r="AO1014" s="88">
        <v>17.739999999999998</v>
      </c>
      <c r="AP1014" s="6" t="str">
        <f t="shared" si="170"/>
        <v>Increase</v>
      </c>
      <c r="AQ1014" s="81">
        <f t="shared" si="171"/>
        <v>0</v>
      </c>
      <c r="AR1014" s="81">
        <f t="shared" si="172"/>
        <v>0</v>
      </c>
      <c r="AS1014" s="81">
        <f t="shared" si="175"/>
        <v>0</v>
      </c>
    </row>
    <row r="1015" spans="1:45" hidden="1" x14ac:dyDescent="0.3">
      <c r="A1015">
        <v>5092551</v>
      </c>
      <c r="B1015" s="15" t="s">
        <v>6351</v>
      </c>
      <c r="C1015" s="16" t="s">
        <v>30</v>
      </c>
      <c r="D1015" s="6" t="s">
        <v>31</v>
      </c>
      <c r="E1015" t="s">
        <v>382</v>
      </c>
      <c r="F1015" t="s">
        <v>382</v>
      </c>
      <c r="H1015" s="11" t="s">
        <v>27</v>
      </c>
      <c r="I1015" s="6" t="s">
        <v>28</v>
      </c>
      <c r="J1015" s="6" t="s">
        <v>28</v>
      </c>
      <c r="K1015" t="s">
        <v>32</v>
      </c>
      <c r="L1015" s="35">
        <v>8.26</v>
      </c>
      <c r="M1015" s="6" t="s">
        <v>29</v>
      </c>
      <c r="N1015" s="6">
        <v>3105</v>
      </c>
      <c r="P1015" s="18"/>
      <c r="Q1015" s="17"/>
      <c r="R1015" s="19">
        <v>8.26</v>
      </c>
      <c r="S1015" s="19">
        <v>8.26</v>
      </c>
      <c r="T1015" s="38">
        <v>0</v>
      </c>
      <c r="U1015" s="38"/>
      <c r="V1015" s="30">
        <v>8.26</v>
      </c>
      <c r="W1015" s="35">
        <v>8.26</v>
      </c>
      <c r="X1015" s="32">
        <f t="shared" si="165"/>
        <v>0</v>
      </c>
      <c r="Y1015" s="32">
        <f t="shared" si="166"/>
        <v>0</v>
      </c>
      <c r="Z1015" s="32">
        <f t="shared" si="167"/>
        <v>0</v>
      </c>
      <c r="AA1015" s="38" t="s">
        <v>2573</v>
      </c>
      <c r="AB1015" s="37" t="str">
        <f>IFERROR(VLOOKUP(A1015,'Tash Lookup'!A:E,3,FALSE),"")</f>
        <v/>
      </c>
      <c r="AC1015" s="6" t="str">
        <f t="shared" si="168"/>
        <v/>
      </c>
      <c r="AD1015" s="2" t="s">
        <v>6703</v>
      </c>
      <c r="AF1015" s="56">
        <v>9.14</v>
      </c>
      <c r="AG1015" s="56">
        <f>VLOOKUP(A1015,Sheet1!$A$2:$C$1140,3,FALSE)</f>
        <v>9.41</v>
      </c>
      <c r="AH1015" s="58">
        <v>9.41</v>
      </c>
      <c r="AI1015" s="56" t="str">
        <f t="shared" si="169"/>
        <v>Increase</v>
      </c>
      <c r="AJ1015" s="81">
        <f t="shared" si="173"/>
        <v>0</v>
      </c>
      <c r="AK1015" s="81">
        <f t="shared" si="174"/>
        <v>0</v>
      </c>
      <c r="AL1015" s="58" t="s">
        <v>32</v>
      </c>
      <c r="AM1015" s="58" t="s">
        <v>6703</v>
      </c>
      <c r="AN1015" s="75">
        <v>0</v>
      </c>
      <c r="AO1015" s="88">
        <v>9.41</v>
      </c>
      <c r="AP1015" s="6" t="str">
        <f t="shared" si="170"/>
        <v>Increase</v>
      </c>
      <c r="AQ1015" s="81">
        <f t="shared" si="171"/>
        <v>0</v>
      </c>
      <c r="AR1015" s="81">
        <f t="shared" si="172"/>
        <v>0</v>
      </c>
      <c r="AS1015" s="81">
        <f t="shared" si="175"/>
        <v>0</v>
      </c>
    </row>
    <row r="1016" spans="1:45" hidden="1" x14ac:dyDescent="0.3">
      <c r="A1016">
        <v>5122391</v>
      </c>
      <c r="B1016" s="15" t="s">
        <v>6352</v>
      </c>
      <c r="C1016" s="16" t="s">
        <v>30</v>
      </c>
      <c r="D1016" s="6" t="s">
        <v>31</v>
      </c>
      <c r="E1016" t="s">
        <v>384</v>
      </c>
      <c r="F1016" t="s">
        <v>384</v>
      </c>
      <c r="H1016" s="11" t="s">
        <v>27</v>
      </c>
      <c r="I1016" s="6" t="s">
        <v>28</v>
      </c>
      <c r="J1016" s="6" t="s">
        <v>28</v>
      </c>
      <c r="K1016" t="s">
        <v>32</v>
      </c>
      <c r="L1016" s="35">
        <v>8.26</v>
      </c>
      <c r="M1016" s="6" t="s">
        <v>29</v>
      </c>
      <c r="N1016" s="6">
        <v>3105</v>
      </c>
      <c r="P1016" s="18"/>
      <c r="Q1016" s="17"/>
      <c r="R1016" s="19">
        <v>8.26</v>
      </c>
      <c r="S1016" s="19">
        <v>8.26</v>
      </c>
      <c r="T1016" s="38">
        <v>0</v>
      </c>
      <c r="U1016" s="38"/>
      <c r="V1016" s="30">
        <v>8.26</v>
      </c>
      <c r="W1016" s="35">
        <v>8.26</v>
      </c>
      <c r="X1016" s="32">
        <f t="shared" si="165"/>
        <v>0</v>
      </c>
      <c r="Y1016" s="32">
        <f t="shared" si="166"/>
        <v>0</v>
      </c>
      <c r="Z1016" s="32">
        <f t="shared" si="167"/>
        <v>0</v>
      </c>
      <c r="AA1016" s="38" t="s">
        <v>2573</v>
      </c>
      <c r="AB1016" s="37" t="str">
        <f>IFERROR(VLOOKUP(A1016,'Tash Lookup'!A:E,3,FALSE),"")</f>
        <v/>
      </c>
      <c r="AC1016" s="6" t="str">
        <f t="shared" si="168"/>
        <v/>
      </c>
      <c r="AD1016" s="2" t="s">
        <v>6711</v>
      </c>
      <c r="AE1016" s="2" t="s">
        <v>6701</v>
      </c>
      <c r="AF1016" s="56">
        <v>8.26</v>
      </c>
      <c r="AG1016" s="56" t="e">
        <f>VLOOKUP(A1016,Sheet1!$A$2:$C$1140,3,FALSE)</f>
        <v>#N/A</v>
      </c>
      <c r="AH1016" s="58" t="e">
        <v>#N/A</v>
      </c>
      <c r="AI1016" s="56" t="str">
        <f t="shared" si="169"/>
        <v>Delete</v>
      </c>
      <c r="AJ1016" s="81">
        <f t="shared" si="173"/>
        <v>0</v>
      </c>
      <c r="AK1016" s="81">
        <f t="shared" si="174"/>
        <v>0</v>
      </c>
      <c r="AL1016" s="58" t="s">
        <v>32</v>
      </c>
      <c r="AM1016" s="58" t="s">
        <v>6711</v>
      </c>
      <c r="AN1016" s="75">
        <v>0</v>
      </c>
      <c r="AO1016" s="88">
        <v>8.26</v>
      </c>
      <c r="AP1016" s="6" t="str">
        <f t="shared" si="170"/>
        <v>Delete</v>
      </c>
      <c r="AQ1016" s="81">
        <f t="shared" si="171"/>
        <v>0</v>
      </c>
      <c r="AR1016" s="81">
        <f t="shared" si="172"/>
        <v>0</v>
      </c>
      <c r="AS1016" s="81">
        <f t="shared" si="175"/>
        <v>0</v>
      </c>
    </row>
    <row r="1017" spans="1:45" hidden="1" x14ac:dyDescent="0.3">
      <c r="A1017">
        <v>5122396</v>
      </c>
      <c r="B1017" s="15" t="s">
        <v>6353</v>
      </c>
      <c r="C1017" s="16" t="s">
        <v>30</v>
      </c>
      <c r="D1017" s="6" t="s">
        <v>31</v>
      </c>
      <c r="E1017" t="s">
        <v>385</v>
      </c>
      <c r="F1017" t="s">
        <v>385</v>
      </c>
      <c r="H1017" s="11" t="s">
        <v>27</v>
      </c>
      <c r="I1017" s="6" t="s">
        <v>28</v>
      </c>
      <c r="J1017" s="6" t="s">
        <v>28</v>
      </c>
      <c r="K1017" t="s">
        <v>32</v>
      </c>
      <c r="L1017" s="35">
        <v>16.52</v>
      </c>
      <c r="M1017" s="6" t="s">
        <v>29</v>
      </c>
      <c r="N1017" s="6">
        <v>3105</v>
      </c>
      <c r="P1017" s="18"/>
      <c r="Q1017" s="17"/>
      <c r="R1017" s="19">
        <v>16.52</v>
      </c>
      <c r="S1017" s="19">
        <v>16.52</v>
      </c>
      <c r="T1017" s="38">
        <v>0</v>
      </c>
      <c r="U1017" s="38"/>
      <c r="V1017" s="30">
        <v>16.52</v>
      </c>
      <c r="W1017" s="35">
        <v>16.52</v>
      </c>
      <c r="X1017" s="32">
        <f t="shared" si="165"/>
        <v>0</v>
      </c>
      <c r="Y1017" s="32">
        <f t="shared" si="166"/>
        <v>0</v>
      </c>
      <c r="Z1017" s="32">
        <f t="shared" si="167"/>
        <v>0</v>
      </c>
      <c r="AA1017" s="38" t="s">
        <v>2573</v>
      </c>
      <c r="AB1017" s="37" t="str">
        <f>IFERROR(VLOOKUP(A1017,'Tash Lookup'!A:E,3,FALSE),"")</f>
        <v/>
      </c>
      <c r="AC1017" s="6" t="str">
        <f t="shared" si="168"/>
        <v/>
      </c>
      <c r="AD1017" s="2" t="s">
        <v>6703</v>
      </c>
      <c r="AF1017" s="56">
        <v>17.73</v>
      </c>
      <c r="AG1017" s="56">
        <f>VLOOKUP(A1017,Sheet1!$A$2:$C$1140,3,FALSE)</f>
        <v>18.27</v>
      </c>
      <c r="AH1017" s="58">
        <v>18.27</v>
      </c>
      <c r="AI1017" s="56" t="str">
        <f t="shared" si="169"/>
        <v>Increase</v>
      </c>
      <c r="AJ1017" s="81">
        <f t="shared" si="173"/>
        <v>0</v>
      </c>
      <c r="AK1017" s="81">
        <f t="shared" si="174"/>
        <v>0</v>
      </c>
      <c r="AL1017" s="58" t="s">
        <v>32</v>
      </c>
      <c r="AM1017" s="58" t="s">
        <v>6703</v>
      </c>
      <c r="AN1017" s="75">
        <v>0</v>
      </c>
      <c r="AO1017" s="88">
        <v>18.27</v>
      </c>
      <c r="AP1017" s="6" t="str">
        <f t="shared" si="170"/>
        <v>Increase</v>
      </c>
      <c r="AQ1017" s="81">
        <f t="shared" si="171"/>
        <v>0</v>
      </c>
      <c r="AR1017" s="81">
        <f t="shared" si="172"/>
        <v>0</v>
      </c>
      <c r="AS1017" s="81">
        <f t="shared" si="175"/>
        <v>0</v>
      </c>
    </row>
    <row r="1018" spans="1:45" hidden="1" x14ac:dyDescent="0.3">
      <c r="A1018">
        <v>5159072</v>
      </c>
      <c r="B1018" s="15" t="s">
        <v>6354</v>
      </c>
      <c r="C1018" s="16" t="s">
        <v>30</v>
      </c>
      <c r="D1018" s="6" t="s">
        <v>31</v>
      </c>
      <c r="E1018" t="s">
        <v>386</v>
      </c>
      <c r="F1018" t="s">
        <v>386</v>
      </c>
      <c r="H1018" s="11" t="s">
        <v>27</v>
      </c>
      <c r="I1018" s="6" t="s">
        <v>28</v>
      </c>
      <c r="J1018" s="6" t="s">
        <v>28</v>
      </c>
      <c r="K1018" t="s">
        <v>32</v>
      </c>
      <c r="L1018" s="35">
        <v>8.26</v>
      </c>
      <c r="M1018" s="6" t="s">
        <v>29</v>
      </c>
      <c r="N1018" s="6">
        <v>3105</v>
      </c>
      <c r="P1018" s="18"/>
      <c r="Q1018" s="17"/>
      <c r="R1018" s="19">
        <v>8.26</v>
      </c>
      <c r="S1018" s="19">
        <v>8.26</v>
      </c>
      <c r="T1018" s="38">
        <v>0</v>
      </c>
      <c r="U1018" s="38"/>
      <c r="V1018" s="30">
        <v>8.26</v>
      </c>
      <c r="W1018" s="35">
        <v>8.26</v>
      </c>
      <c r="X1018" s="32">
        <f t="shared" si="165"/>
        <v>0</v>
      </c>
      <c r="Y1018" s="32">
        <f t="shared" si="166"/>
        <v>0</v>
      </c>
      <c r="Z1018" s="32">
        <f t="shared" si="167"/>
        <v>0</v>
      </c>
      <c r="AA1018" s="38" t="s">
        <v>2573</v>
      </c>
      <c r="AB1018" s="37" t="str">
        <f>IFERROR(VLOOKUP(A1018,'Tash Lookup'!A:E,3,FALSE),"")</f>
        <v/>
      </c>
      <c r="AC1018" s="6" t="str">
        <f t="shared" si="168"/>
        <v/>
      </c>
      <c r="AD1018" s="2" t="s">
        <v>6711</v>
      </c>
      <c r="AE1018" s="2" t="s">
        <v>6701</v>
      </c>
      <c r="AF1018" s="56">
        <v>8.7200000000000006</v>
      </c>
      <c r="AG1018" s="56" t="e">
        <f>VLOOKUP(A1018,Sheet1!$A$2:$C$1140,3,FALSE)</f>
        <v>#N/A</v>
      </c>
      <c r="AH1018" s="58" t="e">
        <v>#N/A</v>
      </c>
      <c r="AI1018" s="56" t="str">
        <f t="shared" si="169"/>
        <v>Delete</v>
      </c>
      <c r="AJ1018" s="81">
        <f t="shared" si="173"/>
        <v>0</v>
      </c>
      <c r="AK1018" s="81">
        <f t="shared" si="174"/>
        <v>0</v>
      </c>
      <c r="AL1018" s="58" t="s">
        <v>32</v>
      </c>
      <c r="AM1018" s="58" t="s">
        <v>6711</v>
      </c>
      <c r="AN1018" s="75">
        <v>0</v>
      </c>
      <c r="AO1018" s="88">
        <v>8.7200000000000006</v>
      </c>
      <c r="AP1018" s="6" t="str">
        <f t="shared" si="170"/>
        <v>Delete</v>
      </c>
      <c r="AQ1018" s="81">
        <f t="shared" si="171"/>
        <v>0</v>
      </c>
      <c r="AR1018" s="81">
        <f t="shared" si="172"/>
        <v>0</v>
      </c>
      <c r="AS1018" s="81">
        <f t="shared" si="175"/>
        <v>0</v>
      </c>
    </row>
    <row r="1019" spans="1:45" hidden="1" x14ac:dyDescent="0.3">
      <c r="A1019">
        <v>5122247</v>
      </c>
      <c r="B1019" s="15" t="s">
        <v>6355</v>
      </c>
      <c r="C1019" s="16" t="s">
        <v>30</v>
      </c>
      <c r="D1019" s="6" t="s">
        <v>31</v>
      </c>
      <c r="E1019" t="s">
        <v>387</v>
      </c>
      <c r="F1019" t="s">
        <v>387</v>
      </c>
      <c r="H1019" s="11" t="s">
        <v>27</v>
      </c>
      <c r="I1019" s="6" t="s">
        <v>28</v>
      </c>
      <c r="J1019" s="6" t="s">
        <v>28</v>
      </c>
      <c r="K1019" t="s">
        <v>32</v>
      </c>
      <c r="L1019" s="35">
        <v>8.26</v>
      </c>
      <c r="M1019" s="6" t="s">
        <v>29</v>
      </c>
      <c r="N1019" s="6">
        <v>3105</v>
      </c>
      <c r="P1019" s="18"/>
      <c r="Q1019" s="17"/>
      <c r="R1019" s="19">
        <v>8.26</v>
      </c>
      <c r="S1019" s="19">
        <v>8.26</v>
      </c>
      <c r="T1019" s="38">
        <v>0</v>
      </c>
      <c r="U1019" s="38"/>
      <c r="V1019" s="30">
        <v>8.26</v>
      </c>
      <c r="W1019" s="35">
        <v>8.26</v>
      </c>
      <c r="X1019" s="32">
        <f t="shared" si="165"/>
        <v>0</v>
      </c>
      <c r="Y1019" s="32">
        <f t="shared" si="166"/>
        <v>0</v>
      </c>
      <c r="Z1019" s="32">
        <f t="shared" si="167"/>
        <v>0</v>
      </c>
      <c r="AA1019" s="38" t="s">
        <v>2573</v>
      </c>
      <c r="AB1019" s="37" t="str">
        <f>IFERROR(VLOOKUP(A1019,'Tash Lookup'!A:E,3,FALSE),"")</f>
        <v/>
      </c>
      <c r="AC1019" s="6" t="str">
        <f t="shared" si="168"/>
        <v/>
      </c>
      <c r="AD1019" s="2" t="s">
        <v>6703</v>
      </c>
      <c r="AF1019" s="56">
        <v>9.14</v>
      </c>
      <c r="AG1019" s="56">
        <f>VLOOKUP(A1019,Sheet1!$A$2:$C$1140,3,FALSE)</f>
        <v>9.41</v>
      </c>
      <c r="AH1019" s="58">
        <v>9.41</v>
      </c>
      <c r="AI1019" s="56" t="str">
        <f t="shared" si="169"/>
        <v>Increase</v>
      </c>
      <c r="AJ1019" s="81">
        <f t="shared" si="173"/>
        <v>0</v>
      </c>
      <c r="AK1019" s="81">
        <f t="shared" si="174"/>
        <v>0</v>
      </c>
      <c r="AL1019" s="58" t="s">
        <v>32</v>
      </c>
      <c r="AM1019" s="58" t="s">
        <v>6703</v>
      </c>
      <c r="AN1019" s="75">
        <v>0</v>
      </c>
      <c r="AO1019" s="88">
        <v>9.41</v>
      </c>
      <c r="AP1019" s="6" t="str">
        <f t="shared" si="170"/>
        <v>Increase</v>
      </c>
      <c r="AQ1019" s="81">
        <f t="shared" si="171"/>
        <v>0</v>
      </c>
      <c r="AR1019" s="81">
        <f t="shared" si="172"/>
        <v>0</v>
      </c>
      <c r="AS1019" s="81">
        <f t="shared" si="175"/>
        <v>0</v>
      </c>
    </row>
    <row r="1020" spans="1:45" hidden="1" x14ac:dyDescent="0.3">
      <c r="A1020">
        <v>5159074</v>
      </c>
      <c r="B1020" s="15" t="s">
        <v>6356</v>
      </c>
      <c r="C1020" s="16" t="s">
        <v>30</v>
      </c>
      <c r="D1020" s="6" t="s">
        <v>31</v>
      </c>
      <c r="E1020" t="s">
        <v>388</v>
      </c>
      <c r="F1020" t="s">
        <v>388</v>
      </c>
      <c r="H1020" s="11" t="s">
        <v>27</v>
      </c>
      <c r="I1020" s="6" t="s">
        <v>28</v>
      </c>
      <c r="J1020" s="6" t="s">
        <v>28</v>
      </c>
      <c r="K1020" t="s">
        <v>32</v>
      </c>
      <c r="L1020" s="35">
        <v>8.26</v>
      </c>
      <c r="M1020" s="6" t="s">
        <v>29</v>
      </c>
      <c r="N1020" s="6">
        <v>3105</v>
      </c>
      <c r="P1020" s="18"/>
      <c r="Q1020" s="17"/>
      <c r="R1020" s="19">
        <v>8.26</v>
      </c>
      <c r="S1020" s="19">
        <v>8.26</v>
      </c>
      <c r="T1020" s="38">
        <v>0</v>
      </c>
      <c r="U1020" s="38"/>
      <c r="V1020" s="30">
        <v>8.26</v>
      </c>
      <c r="W1020" s="35">
        <v>8.26</v>
      </c>
      <c r="X1020" s="32">
        <f t="shared" si="165"/>
        <v>0</v>
      </c>
      <c r="Y1020" s="32">
        <f t="shared" si="166"/>
        <v>0</v>
      </c>
      <c r="Z1020" s="32">
        <f t="shared" si="167"/>
        <v>0</v>
      </c>
      <c r="AA1020" s="38" t="s">
        <v>2573</v>
      </c>
      <c r="AB1020" s="37" t="str">
        <f>IFERROR(VLOOKUP(A1020,'Tash Lookup'!A:E,3,FALSE),"")</f>
        <v/>
      </c>
      <c r="AC1020" s="6" t="str">
        <f t="shared" si="168"/>
        <v/>
      </c>
      <c r="AD1020" s="2" t="s">
        <v>6703</v>
      </c>
      <c r="AF1020" s="56">
        <v>9.14</v>
      </c>
      <c r="AG1020" s="56">
        <f>VLOOKUP(A1020,Sheet1!$A$2:$C$1140,3,FALSE)</f>
        <v>9.41</v>
      </c>
      <c r="AH1020" s="58">
        <v>9.41</v>
      </c>
      <c r="AI1020" s="56" t="str">
        <f t="shared" si="169"/>
        <v>Increase</v>
      </c>
      <c r="AJ1020" s="81">
        <f t="shared" si="173"/>
        <v>0</v>
      </c>
      <c r="AK1020" s="81">
        <f t="shared" si="174"/>
        <v>0</v>
      </c>
      <c r="AL1020" s="58" t="s">
        <v>32</v>
      </c>
      <c r="AM1020" s="58" t="s">
        <v>6703</v>
      </c>
      <c r="AN1020" s="75">
        <v>0</v>
      </c>
      <c r="AO1020" s="88">
        <v>9.41</v>
      </c>
      <c r="AP1020" s="6" t="str">
        <f t="shared" si="170"/>
        <v>Increase</v>
      </c>
      <c r="AQ1020" s="81">
        <f t="shared" si="171"/>
        <v>0</v>
      </c>
      <c r="AR1020" s="81">
        <f t="shared" si="172"/>
        <v>0</v>
      </c>
      <c r="AS1020" s="81">
        <f t="shared" si="175"/>
        <v>0</v>
      </c>
    </row>
    <row r="1021" spans="1:45" hidden="1" x14ac:dyDescent="0.3">
      <c r="A1021">
        <v>5092559</v>
      </c>
      <c r="B1021" s="15" t="s">
        <v>6357</v>
      </c>
      <c r="C1021" s="16" t="s">
        <v>30</v>
      </c>
      <c r="D1021" s="6" t="s">
        <v>31</v>
      </c>
      <c r="E1021" t="s">
        <v>389</v>
      </c>
      <c r="F1021" t="s">
        <v>389</v>
      </c>
      <c r="H1021" s="11" t="s">
        <v>27</v>
      </c>
      <c r="I1021" s="6" t="s">
        <v>28</v>
      </c>
      <c r="J1021" s="6" t="s">
        <v>28</v>
      </c>
      <c r="K1021" t="s">
        <v>32</v>
      </c>
      <c r="L1021" s="35">
        <v>8.26</v>
      </c>
      <c r="M1021" s="6" t="s">
        <v>29</v>
      </c>
      <c r="N1021" s="6">
        <v>3105</v>
      </c>
      <c r="P1021" s="18"/>
      <c r="Q1021" s="17"/>
      <c r="R1021" s="19">
        <v>8.26</v>
      </c>
      <c r="S1021" s="19">
        <v>8.26</v>
      </c>
      <c r="T1021" s="38">
        <v>0</v>
      </c>
      <c r="U1021" s="38"/>
      <c r="V1021" s="30">
        <v>8.26</v>
      </c>
      <c r="W1021" s="35">
        <v>8.26</v>
      </c>
      <c r="X1021" s="32">
        <f t="shared" si="165"/>
        <v>0</v>
      </c>
      <c r="Y1021" s="32">
        <f t="shared" si="166"/>
        <v>0</v>
      </c>
      <c r="Z1021" s="32">
        <f t="shared" si="167"/>
        <v>0</v>
      </c>
      <c r="AA1021" s="38" t="s">
        <v>2573</v>
      </c>
      <c r="AB1021" s="37" t="str">
        <f>IFERROR(VLOOKUP(A1021,'Tash Lookup'!A:E,3,FALSE),"")</f>
        <v/>
      </c>
      <c r="AC1021" s="6" t="str">
        <f t="shared" si="168"/>
        <v/>
      </c>
      <c r="AD1021" s="2" t="s">
        <v>6703</v>
      </c>
      <c r="AF1021" s="56">
        <v>9.14</v>
      </c>
      <c r="AG1021" s="56">
        <f>VLOOKUP(A1021,Sheet1!$A$2:$C$1140,3,FALSE)</f>
        <v>9.41</v>
      </c>
      <c r="AH1021" s="58">
        <v>9.41</v>
      </c>
      <c r="AI1021" s="56" t="str">
        <f t="shared" si="169"/>
        <v>Increase</v>
      </c>
      <c r="AJ1021" s="81">
        <f t="shared" si="173"/>
        <v>0</v>
      </c>
      <c r="AK1021" s="81">
        <f t="shared" si="174"/>
        <v>0</v>
      </c>
      <c r="AL1021" s="58" t="s">
        <v>32</v>
      </c>
      <c r="AM1021" s="58" t="s">
        <v>6703</v>
      </c>
      <c r="AN1021" s="75">
        <v>0</v>
      </c>
      <c r="AO1021" s="88">
        <v>9.41</v>
      </c>
      <c r="AP1021" s="6" t="str">
        <f t="shared" si="170"/>
        <v>Increase</v>
      </c>
      <c r="AQ1021" s="81">
        <f t="shared" si="171"/>
        <v>0</v>
      </c>
      <c r="AR1021" s="81">
        <f t="shared" si="172"/>
        <v>0</v>
      </c>
      <c r="AS1021" s="81">
        <f t="shared" si="175"/>
        <v>0</v>
      </c>
    </row>
    <row r="1022" spans="1:45" hidden="1" x14ac:dyDescent="0.3">
      <c r="A1022">
        <v>5313746</v>
      </c>
      <c r="B1022" s="15" t="s">
        <v>6358</v>
      </c>
      <c r="C1022" s="16" t="s">
        <v>30</v>
      </c>
      <c r="D1022" s="6" t="s">
        <v>31</v>
      </c>
      <c r="E1022" t="s">
        <v>390</v>
      </c>
      <c r="F1022" t="s">
        <v>390</v>
      </c>
      <c r="H1022" s="11" t="s">
        <v>27</v>
      </c>
      <c r="I1022" s="6" t="s">
        <v>28</v>
      </c>
      <c r="J1022" s="6" t="s">
        <v>28</v>
      </c>
      <c r="K1022" t="s">
        <v>32</v>
      </c>
      <c r="L1022" s="35">
        <v>8.43</v>
      </c>
      <c r="M1022" s="6" t="s">
        <v>29</v>
      </c>
      <c r="N1022" s="6">
        <v>3105</v>
      </c>
      <c r="P1022" s="18"/>
      <c r="Q1022" s="17"/>
      <c r="R1022" s="19">
        <v>8.43</v>
      </c>
      <c r="S1022" s="19">
        <v>8.43</v>
      </c>
      <c r="T1022" s="38">
        <v>0</v>
      </c>
      <c r="U1022" s="38"/>
      <c r="V1022" s="30">
        <v>8.43</v>
      </c>
      <c r="W1022" s="35">
        <v>8.43</v>
      </c>
      <c r="X1022" s="32">
        <f t="shared" si="165"/>
        <v>0</v>
      </c>
      <c r="Y1022" s="32">
        <f t="shared" si="166"/>
        <v>0</v>
      </c>
      <c r="Z1022" s="32">
        <f t="shared" si="167"/>
        <v>0</v>
      </c>
      <c r="AA1022" s="38" t="s">
        <v>2573</v>
      </c>
      <c r="AB1022" s="37" t="str">
        <f>IFERROR(VLOOKUP(A1022,'Tash Lookup'!A:E,3,FALSE),"")</f>
        <v/>
      </c>
      <c r="AC1022" s="6" t="str">
        <f t="shared" si="168"/>
        <v/>
      </c>
      <c r="AD1022" s="2" t="s">
        <v>6703</v>
      </c>
      <c r="AF1022" s="56">
        <v>9.15</v>
      </c>
      <c r="AG1022" s="56">
        <f>VLOOKUP(A1022,Sheet1!$A$2:$C$1140,3,FALSE)</f>
        <v>9.43</v>
      </c>
      <c r="AH1022" s="58">
        <v>9.43</v>
      </c>
      <c r="AI1022" s="56" t="str">
        <f t="shared" si="169"/>
        <v>Increase</v>
      </c>
      <c r="AJ1022" s="81">
        <f t="shared" si="173"/>
        <v>0</v>
      </c>
      <c r="AK1022" s="81">
        <f t="shared" si="174"/>
        <v>0</v>
      </c>
      <c r="AL1022" s="58" t="s">
        <v>32</v>
      </c>
      <c r="AM1022" s="58" t="s">
        <v>6703</v>
      </c>
      <c r="AN1022" s="75">
        <v>0</v>
      </c>
      <c r="AO1022" s="88">
        <v>9.43</v>
      </c>
      <c r="AP1022" s="6" t="str">
        <f t="shared" si="170"/>
        <v>Increase</v>
      </c>
      <c r="AQ1022" s="81">
        <f t="shared" si="171"/>
        <v>0</v>
      </c>
      <c r="AR1022" s="81">
        <f t="shared" si="172"/>
        <v>0</v>
      </c>
      <c r="AS1022" s="81">
        <f t="shared" si="175"/>
        <v>0</v>
      </c>
    </row>
    <row r="1023" spans="1:45" hidden="1" x14ac:dyDescent="0.3">
      <c r="A1023">
        <v>5316967</v>
      </c>
      <c r="B1023" s="15" t="s">
        <v>6359</v>
      </c>
      <c r="C1023" s="16" t="s">
        <v>30</v>
      </c>
      <c r="D1023" s="6" t="s">
        <v>31</v>
      </c>
      <c r="E1023" t="s">
        <v>2531</v>
      </c>
      <c r="F1023" t="s">
        <v>2531</v>
      </c>
      <c r="H1023" s="11" t="s">
        <v>27</v>
      </c>
      <c r="I1023" s="6" t="s">
        <v>28</v>
      </c>
      <c r="J1023" s="6" t="s">
        <v>28</v>
      </c>
      <c r="K1023" t="s">
        <v>32</v>
      </c>
      <c r="L1023" s="35">
        <v>8.26</v>
      </c>
      <c r="M1023" s="6" t="s">
        <v>29</v>
      </c>
      <c r="N1023" s="6">
        <v>3105</v>
      </c>
      <c r="P1023" s="18"/>
      <c r="Q1023" s="17"/>
      <c r="R1023" s="19">
        <v>8.26</v>
      </c>
      <c r="S1023" s="19">
        <v>8.26</v>
      </c>
      <c r="T1023" s="38">
        <v>0</v>
      </c>
      <c r="U1023" s="38"/>
      <c r="V1023" s="30">
        <v>8.26</v>
      </c>
      <c r="W1023" s="35">
        <v>8.26</v>
      </c>
      <c r="X1023" s="32">
        <f t="shared" si="165"/>
        <v>0</v>
      </c>
      <c r="Y1023" s="32">
        <f t="shared" si="166"/>
        <v>0</v>
      </c>
      <c r="Z1023" s="32">
        <f t="shared" si="167"/>
        <v>0</v>
      </c>
      <c r="AA1023" s="38" t="s">
        <v>2573</v>
      </c>
      <c r="AB1023" s="37" t="str">
        <f>IFERROR(VLOOKUP(A1023,'Tash Lookup'!A:E,3,FALSE),"")</f>
        <v/>
      </c>
      <c r="AC1023" s="6" t="str">
        <f t="shared" si="168"/>
        <v/>
      </c>
      <c r="AD1023" s="2" t="s">
        <v>6703</v>
      </c>
      <c r="AF1023" s="56">
        <v>9.14</v>
      </c>
      <c r="AG1023" s="56">
        <f>VLOOKUP(A1023,Sheet1!$A$2:$C$1140,3,FALSE)</f>
        <v>9.41</v>
      </c>
      <c r="AH1023" s="58">
        <v>9.41</v>
      </c>
      <c r="AI1023" s="56" t="str">
        <f t="shared" si="169"/>
        <v>Increase</v>
      </c>
      <c r="AJ1023" s="81">
        <f t="shared" si="173"/>
        <v>0</v>
      </c>
      <c r="AK1023" s="81">
        <f t="shared" si="174"/>
        <v>0</v>
      </c>
      <c r="AL1023" s="58" t="s">
        <v>32</v>
      </c>
      <c r="AM1023" s="58" t="s">
        <v>6703</v>
      </c>
      <c r="AN1023" s="75">
        <v>0</v>
      </c>
      <c r="AO1023" s="88">
        <v>9.41</v>
      </c>
      <c r="AP1023" s="6" t="str">
        <f t="shared" si="170"/>
        <v>Increase</v>
      </c>
      <c r="AQ1023" s="81">
        <f t="shared" si="171"/>
        <v>0</v>
      </c>
      <c r="AR1023" s="81">
        <f t="shared" si="172"/>
        <v>0</v>
      </c>
      <c r="AS1023" s="81">
        <f t="shared" si="175"/>
        <v>0</v>
      </c>
    </row>
    <row r="1024" spans="1:45" hidden="1" x14ac:dyDescent="0.3">
      <c r="A1024">
        <v>5159077</v>
      </c>
      <c r="B1024" s="15" t="s">
        <v>6360</v>
      </c>
      <c r="C1024" s="16" t="s">
        <v>30</v>
      </c>
      <c r="D1024" s="6" t="s">
        <v>31</v>
      </c>
      <c r="E1024" t="s">
        <v>393</v>
      </c>
      <c r="F1024" t="s">
        <v>393</v>
      </c>
      <c r="H1024" s="11" t="s">
        <v>27</v>
      </c>
      <c r="I1024" s="6" t="s">
        <v>28</v>
      </c>
      <c r="J1024" s="6" t="s">
        <v>28</v>
      </c>
      <c r="K1024" t="s">
        <v>32</v>
      </c>
      <c r="L1024" s="35">
        <v>16.52</v>
      </c>
      <c r="M1024" s="6" t="s">
        <v>29</v>
      </c>
      <c r="N1024" s="6">
        <v>3105</v>
      </c>
      <c r="P1024" s="18"/>
      <c r="Q1024" s="17"/>
      <c r="R1024" s="19">
        <v>16.52</v>
      </c>
      <c r="S1024" s="19">
        <v>16.52</v>
      </c>
      <c r="T1024" s="38">
        <v>0</v>
      </c>
      <c r="U1024" s="38"/>
      <c r="V1024" s="30">
        <v>16.52</v>
      </c>
      <c r="W1024" s="35">
        <v>16.52</v>
      </c>
      <c r="X1024" s="32">
        <f t="shared" si="165"/>
        <v>0</v>
      </c>
      <c r="Y1024" s="32">
        <f t="shared" si="166"/>
        <v>0</v>
      </c>
      <c r="Z1024" s="32">
        <f t="shared" si="167"/>
        <v>0</v>
      </c>
      <c r="AA1024" s="38" t="s">
        <v>2573</v>
      </c>
      <c r="AB1024" s="37" t="str">
        <f>IFERROR(VLOOKUP(A1024,'Tash Lookup'!A:E,3,FALSE),"")</f>
        <v/>
      </c>
      <c r="AC1024" s="6" t="str">
        <f t="shared" si="168"/>
        <v/>
      </c>
      <c r="AD1024" s="2" t="s">
        <v>6703</v>
      </c>
      <c r="AF1024" s="56">
        <v>17.73</v>
      </c>
      <c r="AG1024" s="56">
        <f>VLOOKUP(A1024,Sheet1!$A$2:$C$1140,3,FALSE)</f>
        <v>18.27</v>
      </c>
      <c r="AH1024" s="58">
        <v>18.27</v>
      </c>
      <c r="AI1024" s="56" t="str">
        <f t="shared" si="169"/>
        <v>Increase</v>
      </c>
      <c r="AJ1024" s="81">
        <f t="shared" si="173"/>
        <v>0</v>
      </c>
      <c r="AK1024" s="81">
        <f t="shared" si="174"/>
        <v>0</v>
      </c>
      <c r="AL1024" s="58" t="s">
        <v>32</v>
      </c>
      <c r="AM1024" s="58" t="s">
        <v>6703</v>
      </c>
      <c r="AN1024" s="75">
        <v>0</v>
      </c>
      <c r="AO1024" s="88">
        <v>18.27</v>
      </c>
      <c r="AP1024" s="6" t="str">
        <f t="shared" si="170"/>
        <v>Increase</v>
      </c>
      <c r="AQ1024" s="81">
        <f t="shared" si="171"/>
        <v>0</v>
      </c>
      <c r="AR1024" s="81">
        <f t="shared" si="172"/>
        <v>0</v>
      </c>
      <c r="AS1024" s="81">
        <f t="shared" si="175"/>
        <v>0</v>
      </c>
    </row>
    <row r="1025" spans="1:45" hidden="1" x14ac:dyDescent="0.3">
      <c r="A1025">
        <v>5092592</v>
      </c>
      <c r="B1025" s="15" t="s">
        <v>6361</v>
      </c>
      <c r="C1025" s="16" t="s">
        <v>30</v>
      </c>
      <c r="D1025" s="6" t="s">
        <v>31</v>
      </c>
      <c r="E1025" t="s">
        <v>394</v>
      </c>
      <c r="F1025" t="s">
        <v>394</v>
      </c>
      <c r="H1025" s="11" t="s">
        <v>27</v>
      </c>
      <c r="I1025" s="6" t="s">
        <v>28</v>
      </c>
      <c r="J1025" s="6" t="s">
        <v>28</v>
      </c>
      <c r="K1025" t="s">
        <v>32</v>
      </c>
      <c r="L1025" s="35">
        <v>8.26</v>
      </c>
      <c r="M1025" s="6" t="s">
        <v>29</v>
      </c>
      <c r="N1025" s="6">
        <v>3105</v>
      </c>
      <c r="P1025" s="18"/>
      <c r="Q1025" s="17"/>
      <c r="R1025" s="19">
        <v>8.26</v>
      </c>
      <c r="S1025" s="19">
        <v>8.26</v>
      </c>
      <c r="T1025" s="38">
        <v>0</v>
      </c>
      <c r="U1025" s="38"/>
      <c r="V1025" s="30">
        <v>8.26</v>
      </c>
      <c r="W1025" s="35">
        <v>8.26</v>
      </c>
      <c r="X1025" s="32">
        <f t="shared" si="165"/>
        <v>0</v>
      </c>
      <c r="Y1025" s="32">
        <f t="shared" si="166"/>
        <v>0</v>
      </c>
      <c r="Z1025" s="32">
        <f t="shared" si="167"/>
        <v>0</v>
      </c>
      <c r="AA1025" s="38" t="s">
        <v>2573</v>
      </c>
      <c r="AB1025" s="37" t="str">
        <f>IFERROR(VLOOKUP(A1025,'Tash Lookup'!A:E,3,FALSE),"")</f>
        <v/>
      </c>
      <c r="AC1025" s="6" t="str">
        <f t="shared" si="168"/>
        <v/>
      </c>
      <c r="AD1025" s="2" t="s">
        <v>6703</v>
      </c>
      <c r="AF1025" s="56">
        <v>9.14</v>
      </c>
      <c r="AG1025" s="56">
        <f>VLOOKUP(A1025,Sheet1!$A$2:$C$1140,3,FALSE)</f>
        <v>9.41</v>
      </c>
      <c r="AH1025" s="58">
        <v>9.41</v>
      </c>
      <c r="AI1025" s="56" t="str">
        <f t="shared" si="169"/>
        <v>Increase</v>
      </c>
      <c r="AJ1025" s="81">
        <f t="shared" si="173"/>
        <v>0</v>
      </c>
      <c r="AK1025" s="81">
        <f t="shared" si="174"/>
        <v>0</v>
      </c>
      <c r="AL1025" s="58" t="s">
        <v>32</v>
      </c>
      <c r="AM1025" s="58" t="s">
        <v>6703</v>
      </c>
      <c r="AN1025" s="75">
        <v>0</v>
      </c>
      <c r="AO1025" s="88">
        <v>9.41</v>
      </c>
      <c r="AP1025" s="6" t="str">
        <f t="shared" si="170"/>
        <v>Increase</v>
      </c>
      <c r="AQ1025" s="81">
        <f t="shared" si="171"/>
        <v>0</v>
      </c>
      <c r="AR1025" s="81">
        <f t="shared" si="172"/>
        <v>0</v>
      </c>
      <c r="AS1025" s="81">
        <f t="shared" si="175"/>
        <v>0</v>
      </c>
    </row>
    <row r="1026" spans="1:45" hidden="1" x14ac:dyDescent="0.3">
      <c r="A1026">
        <v>5092593</v>
      </c>
      <c r="B1026" s="15" t="s">
        <v>6362</v>
      </c>
      <c r="C1026" s="16" t="s">
        <v>30</v>
      </c>
      <c r="D1026" s="6" t="s">
        <v>31</v>
      </c>
      <c r="E1026" t="s">
        <v>395</v>
      </c>
      <c r="F1026" t="s">
        <v>395</v>
      </c>
      <c r="H1026" s="11" t="s">
        <v>27</v>
      </c>
      <c r="I1026" s="6" t="s">
        <v>28</v>
      </c>
      <c r="J1026" s="6" t="s">
        <v>28</v>
      </c>
      <c r="K1026" t="s">
        <v>32</v>
      </c>
      <c r="L1026" s="35">
        <v>16.52</v>
      </c>
      <c r="M1026" s="6" t="s">
        <v>29</v>
      </c>
      <c r="N1026" s="6">
        <v>3105</v>
      </c>
      <c r="P1026" s="18"/>
      <c r="Q1026" s="17"/>
      <c r="R1026" s="19">
        <v>16.52</v>
      </c>
      <c r="S1026" s="19">
        <v>16.52</v>
      </c>
      <c r="T1026" s="38">
        <v>0</v>
      </c>
      <c r="U1026" s="38"/>
      <c r="V1026" s="30">
        <v>16.52</v>
      </c>
      <c r="W1026" s="35">
        <v>16.52</v>
      </c>
      <c r="X1026" s="32">
        <f t="shared" si="165"/>
        <v>0</v>
      </c>
      <c r="Y1026" s="32">
        <f t="shared" si="166"/>
        <v>0</v>
      </c>
      <c r="Z1026" s="32">
        <f t="shared" si="167"/>
        <v>0</v>
      </c>
      <c r="AA1026" s="38" t="s">
        <v>2573</v>
      </c>
      <c r="AB1026" s="37" t="str">
        <f>IFERROR(VLOOKUP(A1026,'Tash Lookup'!A:E,3,FALSE),"")</f>
        <v/>
      </c>
      <c r="AC1026" s="6" t="str">
        <f t="shared" si="168"/>
        <v/>
      </c>
      <c r="AD1026" s="2" t="s">
        <v>6703</v>
      </c>
      <c r="AF1026" s="56">
        <v>17.73</v>
      </c>
      <c r="AG1026" s="56">
        <f>VLOOKUP(A1026,Sheet1!$A$2:$C$1140,3,FALSE)</f>
        <v>18.27</v>
      </c>
      <c r="AH1026" s="58">
        <v>18.27</v>
      </c>
      <c r="AI1026" s="56" t="str">
        <f t="shared" si="169"/>
        <v>Increase</v>
      </c>
      <c r="AJ1026" s="81">
        <f t="shared" si="173"/>
        <v>0</v>
      </c>
      <c r="AK1026" s="81">
        <f t="shared" si="174"/>
        <v>0</v>
      </c>
      <c r="AL1026" s="58" t="s">
        <v>32</v>
      </c>
      <c r="AM1026" s="58" t="s">
        <v>6703</v>
      </c>
      <c r="AN1026" s="75">
        <v>0</v>
      </c>
      <c r="AO1026" s="88">
        <v>18.27</v>
      </c>
      <c r="AP1026" s="6" t="str">
        <f t="shared" si="170"/>
        <v>Increase</v>
      </c>
      <c r="AQ1026" s="81">
        <f t="shared" si="171"/>
        <v>0</v>
      </c>
      <c r="AR1026" s="81">
        <f t="shared" si="172"/>
        <v>0</v>
      </c>
      <c r="AS1026" s="81">
        <f t="shared" si="175"/>
        <v>0</v>
      </c>
    </row>
    <row r="1027" spans="1:45" hidden="1" x14ac:dyDescent="0.3">
      <c r="A1027">
        <v>5092594</v>
      </c>
      <c r="B1027" s="15" t="s">
        <v>6363</v>
      </c>
      <c r="C1027" s="16" t="s">
        <v>30</v>
      </c>
      <c r="D1027" s="6" t="s">
        <v>31</v>
      </c>
      <c r="E1027" t="s">
        <v>396</v>
      </c>
      <c r="F1027" t="s">
        <v>396</v>
      </c>
      <c r="H1027" s="11" t="s">
        <v>27</v>
      </c>
      <c r="I1027" s="6" t="s">
        <v>28</v>
      </c>
      <c r="J1027" s="6" t="s">
        <v>28</v>
      </c>
      <c r="K1027" t="s">
        <v>32</v>
      </c>
      <c r="L1027" s="35">
        <v>27.53</v>
      </c>
      <c r="M1027" s="6" t="s">
        <v>29</v>
      </c>
      <c r="N1027" s="6">
        <v>3105</v>
      </c>
      <c r="P1027" s="18"/>
      <c r="Q1027" s="17"/>
      <c r="R1027" s="19">
        <v>27.53</v>
      </c>
      <c r="S1027" s="19">
        <v>27.53</v>
      </c>
      <c r="T1027" s="38">
        <v>0</v>
      </c>
      <c r="U1027" s="38"/>
      <c r="V1027" s="30">
        <v>27.53</v>
      </c>
      <c r="W1027" s="35">
        <v>27.53</v>
      </c>
      <c r="X1027" s="32">
        <f t="shared" si="165"/>
        <v>0</v>
      </c>
      <c r="Y1027" s="32">
        <f t="shared" si="166"/>
        <v>0</v>
      </c>
      <c r="Z1027" s="32">
        <f t="shared" si="167"/>
        <v>0</v>
      </c>
      <c r="AA1027" s="38" t="s">
        <v>2573</v>
      </c>
      <c r="AB1027" s="37" t="str">
        <f>IFERROR(VLOOKUP(A1027,'Tash Lookup'!A:E,3,FALSE),"")</f>
        <v/>
      </c>
      <c r="AC1027" s="6" t="str">
        <f t="shared" si="168"/>
        <v/>
      </c>
      <c r="AD1027" s="2" t="s">
        <v>6703</v>
      </c>
      <c r="AF1027" s="56">
        <v>29.53</v>
      </c>
      <c r="AG1027" s="56">
        <f>VLOOKUP(A1027,Sheet1!$A$2:$C$1140,3,FALSE)</f>
        <v>30.42</v>
      </c>
      <c r="AH1027" s="58">
        <v>30.42</v>
      </c>
      <c r="AI1027" s="56" t="str">
        <f t="shared" si="169"/>
        <v>Increase</v>
      </c>
      <c r="AJ1027" s="81">
        <f t="shared" si="173"/>
        <v>0</v>
      </c>
      <c r="AK1027" s="81">
        <f t="shared" si="174"/>
        <v>0</v>
      </c>
      <c r="AL1027" s="58" t="s">
        <v>32</v>
      </c>
      <c r="AM1027" s="58" t="s">
        <v>6703</v>
      </c>
      <c r="AN1027" s="75">
        <v>0</v>
      </c>
      <c r="AO1027" s="88">
        <v>30.42</v>
      </c>
      <c r="AP1027" s="6" t="str">
        <f t="shared" si="170"/>
        <v>Increase</v>
      </c>
      <c r="AQ1027" s="81">
        <f t="shared" si="171"/>
        <v>0</v>
      </c>
      <c r="AR1027" s="81">
        <f t="shared" si="172"/>
        <v>0</v>
      </c>
      <c r="AS1027" s="81">
        <f t="shared" si="175"/>
        <v>0</v>
      </c>
    </row>
    <row r="1028" spans="1:45" hidden="1" x14ac:dyDescent="0.3">
      <c r="A1028">
        <v>5083483</v>
      </c>
      <c r="B1028" s="15" t="s">
        <v>6364</v>
      </c>
      <c r="C1028" s="16" t="s">
        <v>30</v>
      </c>
      <c r="D1028" s="6" t="s">
        <v>31</v>
      </c>
      <c r="E1028" t="s">
        <v>397</v>
      </c>
      <c r="F1028" t="s">
        <v>397</v>
      </c>
      <c r="H1028" s="11" t="s">
        <v>27</v>
      </c>
      <c r="I1028" s="6" t="s">
        <v>28</v>
      </c>
      <c r="J1028" s="6" t="s">
        <v>28</v>
      </c>
      <c r="K1028" t="s">
        <v>32</v>
      </c>
      <c r="L1028" s="35">
        <v>8.26</v>
      </c>
      <c r="M1028" s="6" t="s">
        <v>29</v>
      </c>
      <c r="N1028" s="6">
        <v>3105</v>
      </c>
      <c r="P1028" s="18"/>
      <c r="Q1028" s="17"/>
      <c r="R1028" s="19">
        <v>8.26</v>
      </c>
      <c r="S1028" s="19">
        <v>8.26</v>
      </c>
      <c r="T1028" s="38">
        <v>0</v>
      </c>
      <c r="U1028" s="38"/>
      <c r="V1028" s="30">
        <v>8.26</v>
      </c>
      <c r="W1028" s="35">
        <v>8.26</v>
      </c>
      <c r="X1028" s="32">
        <f t="shared" si="165"/>
        <v>0</v>
      </c>
      <c r="Y1028" s="32">
        <f t="shared" si="166"/>
        <v>0</v>
      </c>
      <c r="Z1028" s="32">
        <f t="shared" si="167"/>
        <v>0</v>
      </c>
      <c r="AA1028" s="38" t="s">
        <v>2573</v>
      </c>
      <c r="AB1028" s="37" t="str">
        <f>IFERROR(VLOOKUP(A1028,'Tash Lookup'!A:E,3,FALSE),"")</f>
        <v/>
      </c>
      <c r="AC1028" s="6" t="str">
        <f t="shared" si="168"/>
        <v/>
      </c>
      <c r="AD1028" s="2" t="s">
        <v>6703</v>
      </c>
      <c r="AF1028" s="56">
        <v>9.14</v>
      </c>
      <c r="AG1028" s="56">
        <f>VLOOKUP(A1028,Sheet1!$A$2:$C$1140,3,FALSE)</f>
        <v>9.41</v>
      </c>
      <c r="AH1028" s="58">
        <v>9.41</v>
      </c>
      <c r="AI1028" s="56" t="str">
        <f t="shared" si="169"/>
        <v>Increase</v>
      </c>
      <c r="AJ1028" s="81">
        <f t="shared" si="173"/>
        <v>0</v>
      </c>
      <c r="AK1028" s="81">
        <f t="shared" si="174"/>
        <v>0</v>
      </c>
      <c r="AL1028" s="58" t="s">
        <v>32</v>
      </c>
      <c r="AM1028" s="58" t="s">
        <v>6703</v>
      </c>
      <c r="AN1028" s="75">
        <v>0</v>
      </c>
      <c r="AO1028" s="88">
        <v>9.41</v>
      </c>
      <c r="AP1028" s="6" t="str">
        <f t="shared" si="170"/>
        <v>Increase</v>
      </c>
      <c r="AQ1028" s="81">
        <f t="shared" si="171"/>
        <v>0</v>
      </c>
      <c r="AR1028" s="81">
        <f t="shared" si="172"/>
        <v>0</v>
      </c>
      <c r="AS1028" s="81">
        <f t="shared" si="175"/>
        <v>0</v>
      </c>
    </row>
    <row r="1029" spans="1:45" hidden="1" x14ac:dyDescent="0.3">
      <c r="A1029">
        <v>5083484</v>
      </c>
      <c r="B1029" s="15" t="s">
        <v>6365</v>
      </c>
      <c r="C1029" s="16" t="s">
        <v>30</v>
      </c>
      <c r="D1029" s="6" t="s">
        <v>31</v>
      </c>
      <c r="E1029" t="s">
        <v>398</v>
      </c>
      <c r="F1029" t="s">
        <v>398</v>
      </c>
      <c r="H1029" s="11" t="s">
        <v>27</v>
      </c>
      <c r="I1029" s="6" t="s">
        <v>28</v>
      </c>
      <c r="J1029" s="6" t="s">
        <v>28</v>
      </c>
      <c r="K1029" t="s">
        <v>32</v>
      </c>
      <c r="L1029" s="35">
        <v>16.52</v>
      </c>
      <c r="M1029" s="6" t="s">
        <v>29</v>
      </c>
      <c r="N1029" s="6">
        <v>3105</v>
      </c>
      <c r="P1029" s="18"/>
      <c r="Q1029" s="17"/>
      <c r="R1029" s="19">
        <v>16.52</v>
      </c>
      <c r="S1029" s="19">
        <v>16.52</v>
      </c>
      <c r="T1029" s="38">
        <v>0</v>
      </c>
      <c r="U1029" s="38"/>
      <c r="V1029" s="30">
        <v>16.52</v>
      </c>
      <c r="W1029" s="35">
        <v>16.52</v>
      </c>
      <c r="X1029" s="32">
        <f t="shared" si="165"/>
        <v>0</v>
      </c>
      <c r="Y1029" s="32">
        <f t="shared" si="166"/>
        <v>0</v>
      </c>
      <c r="Z1029" s="32">
        <f t="shared" si="167"/>
        <v>0</v>
      </c>
      <c r="AA1029" s="38" t="s">
        <v>2573</v>
      </c>
      <c r="AB1029" s="37" t="str">
        <f>IFERROR(VLOOKUP(A1029,'Tash Lookup'!A:E,3,FALSE),"")</f>
        <v/>
      </c>
      <c r="AC1029" s="6" t="str">
        <f t="shared" si="168"/>
        <v/>
      </c>
      <c r="AD1029" s="2" t="s">
        <v>6703</v>
      </c>
      <c r="AF1029" s="56">
        <v>17.22</v>
      </c>
      <c r="AG1029" s="56">
        <f>VLOOKUP(A1029,Sheet1!$A$2:$C$1140,3,FALSE)</f>
        <v>17.739999999999998</v>
      </c>
      <c r="AH1029" s="58">
        <v>17.739999999999998</v>
      </c>
      <c r="AI1029" s="56" t="str">
        <f t="shared" si="169"/>
        <v>Increase</v>
      </c>
      <c r="AJ1029" s="81">
        <f t="shared" si="173"/>
        <v>0</v>
      </c>
      <c r="AK1029" s="81">
        <f t="shared" si="174"/>
        <v>0</v>
      </c>
      <c r="AL1029" s="58" t="s">
        <v>32</v>
      </c>
      <c r="AM1029" s="58" t="s">
        <v>6703</v>
      </c>
      <c r="AN1029" s="75">
        <v>0</v>
      </c>
      <c r="AO1029" s="88">
        <v>17.739999999999998</v>
      </c>
      <c r="AP1029" s="6" t="str">
        <f t="shared" si="170"/>
        <v>Increase</v>
      </c>
      <c r="AQ1029" s="81">
        <f t="shared" si="171"/>
        <v>0</v>
      </c>
      <c r="AR1029" s="81">
        <f t="shared" si="172"/>
        <v>0</v>
      </c>
      <c r="AS1029" s="81">
        <f t="shared" si="175"/>
        <v>0</v>
      </c>
    </row>
    <row r="1030" spans="1:45" hidden="1" x14ac:dyDescent="0.3">
      <c r="A1030">
        <v>5092570</v>
      </c>
      <c r="B1030" s="15" t="s">
        <v>6366</v>
      </c>
      <c r="C1030" s="16" t="s">
        <v>30</v>
      </c>
      <c r="D1030" s="6" t="s">
        <v>31</v>
      </c>
      <c r="E1030" t="s">
        <v>399</v>
      </c>
      <c r="F1030" t="s">
        <v>399</v>
      </c>
      <c r="H1030" s="11" t="s">
        <v>27</v>
      </c>
      <c r="I1030" s="6" t="s">
        <v>28</v>
      </c>
      <c r="J1030" s="6" t="s">
        <v>28</v>
      </c>
      <c r="K1030" t="s">
        <v>32</v>
      </c>
      <c r="L1030" s="35">
        <v>27.53</v>
      </c>
      <c r="M1030" s="6" t="s">
        <v>29</v>
      </c>
      <c r="N1030" s="6">
        <v>3105</v>
      </c>
      <c r="P1030" s="18"/>
      <c r="Q1030" s="17"/>
      <c r="R1030" s="19">
        <v>27.53</v>
      </c>
      <c r="S1030" s="19">
        <v>27.53</v>
      </c>
      <c r="T1030" s="38">
        <v>0</v>
      </c>
      <c r="U1030" s="38"/>
      <c r="V1030" s="30">
        <v>27.53</v>
      </c>
      <c r="W1030" s="35">
        <v>27.53</v>
      </c>
      <c r="X1030" s="32">
        <f t="shared" ref="X1030:X1093" si="176">SUM(V1030*T1030)</f>
        <v>0</v>
      </c>
      <c r="Y1030" s="32">
        <f t="shared" ref="Y1030:Y1093" si="177">SUM(L1030*T1030)</f>
        <v>0</v>
      </c>
      <c r="Z1030" s="32">
        <f t="shared" ref="Z1030:Z1093" si="178">SUM(X1030-Y1030)</f>
        <v>0</v>
      </c>
      <c r="AA1030" s="38" t="s">
        <v>2573</v>
      </c>
      <c r="AB1030" s="37" t="str">
        <f>IFERROR(VLOOKUP(A1030,'Tash Lookup'!A:E,3,FALSE),"")</f>
        <v/>
      </c>
      <c r="AC1030" s="6" t="str">
        <f t="shared" ref="AC1030:AC1093" si="179">IFERROR(AA1030-T1030,"")</f>
        <v/>
      </c>
      <c r="AD1030" s="2" t="s">
        <v>6703</v>
      </c>
      <c r="AF1030" s="56">
        <v>29.53</v>
      </c>
      <c r="AG1030" s="56">
        <f>VLOOKUP(A1030,Sheet1!$A$2:$C$1140,3,FALSE)</f>
        <v>30.42</v>
      </c>
      <c r="AH1030" s="58">
        <v>30.42</v>
      </c>
      <c r="AI1030" s="56" t="str">
        <f t="shared" ref="AI1030:AI1093" si="180">IF(ISNA(AH1030),"Delete",IF(AH1030=AF1030,"Same",IF(AH1030&gt;AF1030,"Increase","Decrease")))</f>
        <v>Increase</v>
      </c>
      <c r="AJ1030" s="81">
        <f t="shared" si="173"/>
        <v>0</v>
      </c>
      <c r="AK1030" s="81">
        <f t="shared" si="174"/>
        <v>0</v>
      </c>
      <c r="AL1030" s="58" t="s">
        <v>32</v>
      </c>
      <c r="AM1030" s="58" t="s">
        <v>6703</v>
      </c>
      <c r="AN1030" s="75">
        <v>0</v>
      </c>
      <c r="AO1030" s="88">
        <v>30.42</v>
      </c>
      <c r="AP1030" s="6" t="str">
        <f t="shared" ref="AP1030:AP1093" si="181">IF(AM1030="Delete","Delete",IF(AO1030=AF1030,"Same",IF(AO1030&gt;AF1030,"Increase","Decrease")))</f>
        <v>Increase</v>
      </c>
      <c r="AQ1030" s="81">
        <f t="shared" ref="AQ1030:AQ1093" si="182">AN1030*AF1030</f>
        <v>0</v>
      </c>
      <c r="AR1030" s="81">
        <f t="shared" ref="AR1030:AR1093" si="183">AN1030*AO1030</f>
        <v>0</v>
      </c>
      <c r="AS1030" s="81">
        <f t="shared" si="175"/>
        <v>0</v>
      </c>
    </row>
    <row r="1031" spans="1:45" hidden="1" x14ac:dyDescent="0.3">
      <c r="A1031">
        <v>5211844</v>
      </c>
      <c r="B1031" s="15" t="s">
        <v>6367</v>
      </c>
      <c r="C1031" s="16" t="s">
        <v>30</v>
      </c>
      <c r="D1031" s="6" t="s">
        <v>31</v>
      </c>
      <c r="E1031" t="s">
        <v>406</v>
      </c>
      <c r="F1031" t="s">
        <v>406</v>
      </c>
      <c r="H1031" s="11" t="s">
        <v>27</v>
      </c>
      <c r="I1031" s="6" t="s">
        <v>28</v>
      </c>
      <c r="J1031" s="6" t="s">
        <v>28</v>
      </c>
      <c r="K1031" t="s">
        <v>32</v>
      </c>
      <c r="L1031" s="35">
        <v>24.59</v>
      </c>
      <c r="M1031" s="6" t="s">
        <v>29</v>
      </c>
      <c r="N1031" s="6">
        <v>3105</v>
      </c>
      <c r="P1031" s="18"/>
      <c r="Q1031" s="17"/>
      <c r="R1031" s="19">
        <v>24.59</v>
      </c>
      <c r="S1031" s="19">
        <v>24.59</v>
      </c>
      <c r="T1031" s="38">
        <v>0</v>
      </c>
      <c r="U1031" s="38"/>
      <c r="V1031" s="30">
        <v>24.59</v>
      </c>
      <c r="W1031" s="35">
        <v>24.59</v>
      </c>
      <c r="X1031" s="32">
        <f t="shared" si="176"/>
        <v>0</v>
      </c>
      <c r="Y1031" s="32">
        <f t="shared" si="177"/>
        <v>0</v>
      </c>
      <c r="Z1031" s="32">
        <f t="shared" si="178"/>
        <v>0</v>
      </c>
      <c r="AA1031" s="38" t="s">
        <v>2573</v>
      </c>
      <c r="AB1031" s="37" t="str">
        <f>IFERROR(VLOOKUP(A1031,'Tash Lookup'!A:E,3,FALSE),"")</f>
        <v/>
      </c>
      <c r="AC1031" s="6" t="str">
        <f t="shared" si="179"/>
        <v/>
      </c>
      <c r="AD1031" s="2" t="s">
        <v>6703</v>
      </c>
      <c r="AF1031" s="56">
        <v>27.15</v>
      </c>
      <c r="AG1031" s="56">
        <f>VLOOKUP(A1031,Sheet1!$A$2:$C$1140,3,FALSE)</f>
        <v>27.96</v>
      </c>
      <c r="AH1031" s="58">
        <v>27.96</v>
      </c>
      <c r="AI1031" s="56" t="str">
        <f t="shared" si="180"/>
        <v>Increase</v>
      </c>
      <c r="AJ1031" s="81">
        <f t="shared" ref="AJ1031:AJ1094" si="184">IFERROR(AA1031*AF1031,0)</f>
        <v>0</v>
      </c>
      <c r="AK1031" s="81">
        <f t="shared" ref="AK1031:AK1094" si="185">IFERROR(AA1031*AH1031,0)</f>
        <v>0</v>
      </c>
      <c r="AL1031" s="58" t="s">
        <v>32</v>
      </c>
      <c r="AM1031" s="58" t="s">
        <v>6703</v>
      </c>
      <c r="AN1031" s="75">
        <v>0</v>
      </c>
      <c r="AO1031" s="88">
        <v>27.96</v>
      </c>
      <c r="AP1031" s="6" t="str">
        <f t="shared" si="181"/>
        <v>Increase</v>
      </c>
      <c r="AQ1031" s="81">
        <f t="shared" si="182"/>
        <v>0</v>
      </c>
      <c r="AR1031" s="81">
        <f t="shared" si="183"/>
        <v>0</v>
      </c>
      <c r="AS1031" s="81">
        <f t="shared" ref="AS1031:AS1094" si="186">AR1031-AQ1031</f>
        <v>0</v>
      </c>
    </row>
    <row r="1032" spans="1:45" hidden="1" x14ac:dyDescent="0.3">
      <c r="A1032">
        <v>5211845</v>
      </c>
      <c r="B1032" s="15" t="s">
        <v>6368</v>
      </c>
      <c r="C1032" s="16" t="s">
        <v>30</v>
      </c>
      <c r="D1032" s="6" t="s">
        <v>31</v>
      </c>
      <c r="E1032" t="s">
        <v>407</v>
      </c>
      <c r="F1032" t="s">
        <v>407</v>
      </c>
      <c r="H1032" s="11" t="s">
        <v>27</v>
      </c>
      <c r="I1032" s="6" t="s">
        <v>28</v>
      </c>
      <c r="J1032" s="6" t="s">
        <v>28</v>
      </c>
      <c r="K1032" t="s">
        <v>32</v>
      </c>
      <c r="L1032" s="35">
        <v>35.14</v>
      </c>
      <c r="M1032" s="6" t="s">
        <v>29</v>
      </c>
      <c r="N1032" s="6">
        <v>3105</v>
      </c>
      <c r="P1032" s="18"/>
      <c r="Q1032" s="17"/>
      <c r="R1032" s="19">
        <v>35.14</v>
      </c>
      <c r="S1032" s="19">
        <v>35.14</v>
      </c>
      <c r="T1032" s="38">
        <v>0</v>
      </c>
      <c r="U1032" s="38"/>
      <c r="V1032" s="30">
        <v>35.14</v>
      </c>
      <c r="W1032" s="35">
        <v>35.14</v>
      </c>
      <c r="X1032" s="32">
        <f t="shared" si="176"/>
        <v>0</v>
      </c>
      <c r="Y1032" s="32">
        <f t="shared" si="177"/>
        <v>0</v>
      </c>
      <c r="Z1032" s="32">
        <f t="shared" si="178"/>
        <v>0</v>
      </c>
      <c r="AA1032" s="38" t="s">
        <v>2573</v>
      </c>
      <c r="AB1032" s="37" t="str">
        <f>IFERROR(VLOOKUP(A1032,'Tash Lookup'!A:E,3,FALSE),"")</f>
        <v/>
      </c>
      <c r="AC1032" s="6" t="str">
        <f t="shared" si="179"/>
        <v/>
      </c>
      <c r="AD1032" s="2" t="s">
        <v>6703</v>
      </c>
      <c r="AF1032" s="56">
        <v>38.76</v>
      </c>
      <c r="AG1032" s="56">
        <f>VLOOKUP(A1032,Sheet1!$A$2:$C$1140,3,FALSE)</f>
        <v>39.92</v>
      </c>
      <c r="AH1032" s="58">
        <v>39.92</v>
      </c>
      <c r="AI1032" s="56" t="str">
        <f t="shared" si="180"/>
        <v>Increase</v>
      </c>
      <c r="AJ1032" s="81">
        <f t="shared" si="184"/>
        <v>0</v>
      </c>
      <c r="AK1032" s="81">
        <f t="shared" si="185"/>
        <v>0</v>
      </c>
      <c r="AL1032" s="58" t="s">
        <v>32</v>
      </c>
      <c r="AM1032" s="58" t="s">
        <v>6703</v>
      </c>
      <c r="AN1032" s="75">
        <v>0</v>
      </c>
      <c r="AO1032" s="88">
        <v>39.92</v>
      </c>
      <c r="AP1032" s="6" t="str">
        <f t="shared" si="181"/>
        <v>Increase</v>
      </c>
      <c r="AQ1032" s="81">
        <f t="shared" si="182"/>
        <v>0</v>
      </c>
      <c r="AR1032" s="81">
        <f t="shared" si="183"/>
        <v>0</v>
      </c>
      <c r="AS1032" s="81">
        <f t="shared" si="186"/>
        <v>0</v>
      </c>
    </row>
    <row r="1033" spans="1:45" hidden="1" x14ac:dyDescent="0.3">
      <c r="A1033">
        <v>5206083</v>
      </c>
      <c r="B1033" s="15" t="s">
        <v>6369</v>
      </c>
      <c r="C1033" s="16" t="s">
        <v>30</v>
      </c>
      <c r="D1033" s="6" t="s">
        <v>31</v>
      </c>
      <c r="E1033" t="s">
        <v>408</v>
      </c>
      <c r="F1033" t="s">
        <v>408</v>
      </c>
      <c r="H1033" s="11" t="s">
        <v>27</v>
      </c>
      <c r="I1033" s="6" t="s">
        <v>28</v>
      </c>
      <c r="J1033" s="6" t="s">
        <v>28</v>
      </c>
      <c r="K1033" t="s">
        <v>32</v>
      </c>
      <c r="L1033" s="35">
        <v>25.31</v>
      </c>
      <c r="M1033" s="6" t="s">
        <v>29</v>
      </c>
      <c r="N1033" s="6">
        <v>3105</v>
      </c>
      <c r="P1033" s="18"/>
      <c r="Q1033" s="17"/>
      <c r="R1033" s="19">
        <v>25.31</v>
      </c>
      <c r="S1033" s="19">
        <v>25.31</v>
      </c>
      <c r="T1033" s="38">
        <v>0</v>
      </c>
      <c r="U1033" s="38"/>
      <c r="V1033" s="30">
        <v>25.31</v>
      </c>
      <c r="W1033" s="35">
        <v>25.31</v>
      </c>
      <c r="X1033" s="32">
        <f t="shared" si="176"/>
        <v>0</v>
      </c>
      <c r="Y1033" s="32">
        <f t="shared" si="177"/>
        <v>0</v>
      </c>
      <c r="Z1033" s="32">
        <f t="shared" si="178"/>
        <v>0</v>
      </c>
      <c r="AA1033" s="38" t="s">
        <v>2573</v>
      </c>
      <c r="AB1033" s="37" t="str">
        <f>IFERROR(VLOOKUP(A1033,'Tash Lookup'!A:E,3,FALSE),"")</f>
        <v/>
      </c>
      <c r="AC1033" s="6" t="str">
        <f t="shared" si="179"/>
        <v/>
      </c>
      <c r="AD1033" s="2" t="s">
        <v>6703</v>
      </c>
      <c r="AF1033" s="56">
        <v>27.41</v>
      </c>
      <c r="AG1033" s="56">
        <f>VLOOKUP(A1033,Sheet1!$A$2:$C$1140,3,FALSE)</f>
        <v>28.24</v>
      </c>
      <c r="AH1033" s="58">
        <v>28.24</v>
      </c>
      <c r="AI1033" s="56" t="str">
        <f t="shared" si="180"/>
        <v>Increase</v>
      </c>
      <c r="AJ1033" s="81">
        <f t="shared" si="184"/>
        <v>0</v>
      </c>
      <c r="AK1033" s="81">
        <f t="shared" si="185"/>
        <v>0</v>
      </c>
      <c r="AL1033" s="58" t="s">
        <v>32</v>
      </c>
      <c r="AM1033" s="58" t="s">
        <v>6703</v>
      </c>
      <c r="AN1033" s="75">
        <v>0</v>
      </c>
      <c r="AO1033" s="88">
        <v>28.24</v>
      </c>
      <c r="AP1033" s="6" t="str">
        <f t="shared" si="181"/>
        <v>Increase</v>
      </c>
      <c r="AQ1033" s="81">
        <f t="shared" si="182"/>
        <v>0</v>
      </c>
      <c r="AR1033" s="81">
        <f t="shared" si="183"/>
        <v>0</v>
      </c>
      <c r="AS1033" s="81">
        <f t="shared" si="186"/>
        <v>0</v>
      </c>
    </row>
    <row r="1034" spans="1:45" hidden="1" x14ac:dyDescent="0.3">
      <c r="A1034">
        <v>5206088</v>
      </c>
      <c r="B1034" s="15" t="s">
        <v>6370</v>
      </c>
      <c r="C1034" s="16" t="s">
        <v>30</v>
      </c>
      <c r="D1034" s="6" t="s">
        <v>31</v>
      </c>
      <c r="E1034" t="s">
        <v>410</v>
      </c>
      <c r="F1034" t="s">
        <v>410</v>
      </c>
      <c r="H1034" s="11" t="s">
        <v>27</v>
      </c>
      <c r="I1034" s="6" t="s">
        <v>28</v>
      </c>
      <c r="J1034" s="6" t="s">
        <v>28</v>
      </c>
      <c r="K1034" t="s">
        <v>32</v>
      </c>
      <c r="L1034" s="35">
        <v>25.31</v>
      </c>
      <c r="M1034" s="6" t="s">
        <v>29</v>
      </c>
      <c r="N1034" s="6">
        <v>3105</v>
      </c>
      <c r="P1034" s="18"/>
      <c r="Q1034" s="17"/>
      <c r="R1034" s="19">
        <v>25.31</v>
      </c>
      <c r="S1034" s="19">
        <v>25.31</v>
      </c>
      <c r="T1034" s="38">
        <v>0</v>
      </c>
      <c r="U1034" s="38"/>
      <c r="V1034" s="30">
        <v>25.31</v>
      </c>
      <c r="W1034" s="35">
        <v>25.31</v>
      </c>
      <c r="X1034" s="32">
        <f t="shared" si="176"/>
        <v>0</v>
      </c>
      <c r="Y1034" s="32">
        <f t="shared" si="177"/>
        <v>0</v>
      </c>
      <c r="Z1034" s="32">
        <f t="shared" si="178"/>
        <v>0</v>
      </c>
      <c r="AA1034" s="38" t="s">
        <v>2573</v>
      </c>
      <c r="AB1034" s="37" t="str">
        <f>IFERROR(VLOOKUP(A1034,'Tash Lookup'!A:E,3,FALSE),"")</f>
        <v/>
      </c>
      <c r="AC1034" s="6" t="str">
        <f t="shared" si="179"/>
        <v/>
      </c>
      <c r="AD1034" s="2" t="s">
        <v>6703</v>
      </c>
      <c r="AF1034" s="56">
        <v>27.41</v>
      </c>
      <c r="AG1034" s="56">
        <f>VLOOKUP(A1034,Sheet1!$A$2:$C$1140,3,FALSE)</f>
        <v>28.24</v>
      </c>
      <c r="AH1034" s="58">
        <v>28.24</v>
      </c>
      <c r="AI1034" s="56" t="str">
        <f t="shared" si="180"/>
        <v>Increase</v>
      </c>
      <c r="AJ1034" s="81">
        <f t="shared" si="184"/>
        <v>0</v>
      </c>
      <c r="AK1034" s="81">
        <f t="shared" si="185"/>
        <v>0</v>
      </c>
      <c r="AL1034" s="58" t="s">
        <v>32</v>
      </c>
      <c r="AM1034" s="58" t="s">
        <v>6703</v>
      </c>
      <c r="AN1034" s="75">
        <v>0</v>
      </c>
      <c r="AO1034" s="88">
        <v>28.24</v>
      </c>
      <c r="AP1034" s="6" t="str">
        <f t="shared" si="181"/>
        <v>Increase</v>
      </c>
      <c r="AQ1034" s="81">
        <f t="shared" si="182"/>
        <v>0</v>
      </c>
      <c r="AR1034" s="81">
        <f t="shared" si="183"/>
        <v>0</v>
      </c>
      <c r="AS1034" s="81">
        <f t="shared" si="186"/>
        <v>0</v>
      </c>
    </row>
    <row r="1035" spans="1:45" hidden="1" x14ac:dyDescent="0.3">
      <c r="A1035">
        <v>5206120</v>
      </c>
      <c r="B1035" s="15" t="s">
        <v>6371</v>
      </c>
      <c r="C1035" s="16" t="s">
        <v>30</v>
      </c>
      <c r="D1035" s="6" t="s">
        <v>31</v>
      </c>
      <c r="E1035" t="s">
        <v>412</v>
      </c>
      <c r="F1035" t="s">
        <v>412</v>
      </c>
      <c r="H1035" s="11" t="s">
        <v>27</v>
      </c>
      <c r="I1035" s="6" t="s">
        <v>28</v>
      </c>
      <c r="J1035" s="6" t="s">
        <v>28</v>
      </c>
      <c r="K1035" t="s">
        <v>32</v>
      </c>
      <c r="L1035" s="35">
        <v>25.31</v>
      </c>
      <c r="M1035" s="6" t="s">
        <v>29</v>
      </c>
      <c r="N1035" s="6">
        <v>3105</v>
      </c>
      <c r="P1035" s="18"/>
      <c r="Q1035" s="17"/>
      <c r="R1035" s="19">
        <v>25.31</v>
      </c>
      <c r="S1035" s="19">
        <v>25.31</v>
      </c>
      <c r="T1035" s="38">
        <v>0</v>
      </c>
      <c r="U1035" s="38"/>
      <c r="V1035" s="30">
        <v>25.31</v>
      </c>
      <c r="W1035" s="35">
        <v>25.31</v>
      </c>
      <c r="X1035" s="32">
        <f t="shared" si="176"/>
        <v>0</v>
      </c>
      <c r="Y1035" s="32">
        <f t="shared" si="177"/>
        <v>0</v>
      </c>
      <c r="Z1035" s="32">
        <f t="shared" si="178"/>
        <v>0</v>
      </c>
      <c r="AA1035" s="38" t="s">
        <v>2573</v>
      </c>
      <c r="AB1035" s="37" t="str">
        <f>IFERROR(VLOOKUP(A1035,'Tash Lookup'!A:E,3,FALSE),"")</f>
        <v/>
      </c>
      <c r="AC1035" s="6" t="str">
        <f t="shared" si="179"/>
        <v/>
      </c>
      <c r="AD1035" s="2" t="s">
        <v>6703</v>
      </c>
      <c r="AF1035" s="56">
        <v>27.41</v>
      </c>
      <c r="AG1035" s="56">
        <f>VLOOKUP(A1035,Sheet1!$A$2:$C$1140,3,FALSE)</f>
        <v>28.24</v>
      </c>
      <c r="AH1035" s="58">
        <v>28.24</v>
      </c>
      <c r="AI1035" s="56" t="str">
        <f t="shared" si="180"/>
        <v>Increase</v>
      </c>
      <c r="AJ1035" s="81">
        <f t="shared" si="184"/>
        <v>0</v>
      </c>
      <c r="AK1035" s="81">
        <f t="shared" si="185"/>
        <v>0</v>
      </c>
      <c r="AL1035" s="58" t="s">
        <v>32</v>
      </c>
      <c r="AM1035" s="58" t="s">
        <v>6703</v>
      </c>
      <c r="AN1035" s="75">
        <v>7</v>
      </c>
      <c r="AO1035" s="88">
        <v>28.24</v>
      </c>
      <c r="AP1035" s="6" t="str">
        <f t="shared" si="181"/>
        <v>Increase</v>
      </c>
      <c r="AQ1035" s="81">
        <f t="shared" si="182"/>
        <v>191.87</v>
      </c>
      <c r="AR1035" s="81">
        <f t="shared" si="183"/>
        <v>197.67999999999998</v>
      </c>
      <c r="AS1035" s="81">
        <f t="shared" si="186"/>
        <v>5.8099999999999739</v>
      </c>
    </row>
    <row r="1036" spans="1:45" hidden="1" x14ac:dyDescent="0.3">
      <c r="A1036">
        <v>5206121</v>
      </c>
      <c r="B1036" s="15" t="s">
        <v>6372</v>
      </c>
      <c r="C1036" s="16" t="s">
        <v>30</v>
      </c>
      <c r="D1036" s="6" t="s">
        <v>31</v>
      </c>
      <c r="E1036" t="s">
        <v>413</v>
      </c>
      <c r="F1036" t="s">
        <v>413</v>
      </c>
      <c r="H1036" s="11" t="s">
        <v>27</v>
      </c>
      <c r="I1036" s="6" t="s">
        <v>28</v>
      </c>
      <c r="J1036" s="6" t="s">
        <v>28</v>
      </c>
      <c r="K1036" t="s">
        <v>32</v>
      </c>
      <c r="L1036" s="35">
        <v>25.31</v>
      </c>
      <c r="M1036" s="6" t="s">
        <v>29</v>
      </c>
      <c r="N1036" s="6">
        <v>3105</v>
      </c>
      <c r="P1036" s="18"/>
      <c r="Q1036" s="17"/>
      <c r="R1036" s="19">
        <v>25.31</v>
      </c>
      <c r="S1036" s="19">
        <v>25.31</v>
      </c>
      <c r="T1036" s="38">
        <v>0</v>
      </c>
      <c r="U1036" s="38"/>
      <c r="V1036" s="30">
        <v>25.31</v>
      </c>
      <c r="W1036" s="35">
        <v>25.31</v>
      </c>
      <c r="X1036" s="32">
        <f t="shared" si="176"/>
        <v>0</v>
      </c>
      <c r="Y1036" s="32">
        <f t="shared" si="177"/>
        <v>0</v>
      </c>
      <c r="Z1036" s="32">
        <f t="shared" si="178"/>
        <v>0</v>
      </c>
      <c r="AA1036" s="38" t="s">
        <v>2573</v>
      </c>
      <c r="AB1036" s="37" t="str">
        <f>IFERROR(VLOOKUP(A1036,'Tash Lookup'!A:E,3,FALSE),"")</f>
        <v/>
      </c>
      <c r="AC1036" s="6" t="str">
        <f t="shared" si="179"/>
        <v/>
      </c>
      <c r="AD1036" s="2" t="s">
        <v>6703</v>
      </c>
      <c r="AF1036" s="56">
        <v>26.6</v>
      </c>
      <c r="AG1036" s="56">
        <f>VLOOKUP(A1036,Sheet1!$A$2:$C$1140,3,FALSE)</f>
        <v>27.4</v>
      </c>
      <c r="AH1036" s="58">
        <v>27.4</v>
      </c>
      <c r="AI1036" s="56" t="str">
        <f t="shared" si="180"/>
        <v>Increase</v>
      </c>
      <c r="AJ1036" s="81">
        <f t="shared" si="184"/>
        <v>0</v>
      </c>
      <c r="AK1036" s="81">
        <f t="shared" si="185"/>
        <v>0</v>
      </c>
      <c r="AL1036" s="58" t="s">
        <v>32</v>
      </c>
      <c r="AM1036" s="58" t="s">
        <v>6703</v>
      </c>
      <c r="AN1036" s="75">
        <v>2</v>
      </c>
      <c r="AO1036" s="88">
        <v>27.4</v>
      </c>
      <c r="AP1036" s="6" t="str">
        <f t="shared" si="181"/>
        <v>Increase</v>
      </c>
      <c r="AQ1036" s="81">
        <f t="shared" si="182"/>
        <v>53.2</v>
      </c>
      <c r="AR1036" s="81">
        <f t="shared" si="183"/>
        <v>54.8</v>
      </c>
      <c r="AS1036" s="81">
        <f t="shared" si="186"/>
        <v>1.5999999999999943</v>
      </c>
    </row>
    <row r="1037" spans="1:45" hidden="1" x14ac:dyDescent="0.3">
      <c r="A1037">
        <v>5092495</v>
      </c>
      <c r="B1037" s="15" t="s">
        <v>6373</v>
      </c>
      <c r="C1037" s="16" t="s">
        <v>30</v>
      </c>
      <c r="D1037" s="6" t="s">
        <v>31</v>
      </c>
      <c r="E1037" t="s">
        <v>414</v>
      </c>
      <c r="F1037" t="s">
        <v>414</v>
      </c>
      <c r="H1037" s="11" t="s">
        <v>27</v>
      </c>
      <c r="I1037" s="6" t="s">
        <v>28</v>
      </c>
      <c r="J1037" s="6" t="s">
        <v>28</v>
      </c>
      <c r="K1037" t="s">
        <v>32</v>
      </c>
      <c r="L1037" s="35">
        <v>7.27</v>
      </c>
      <c r="M1037" s="6" t="s">
        <v>29</v>
      </c>
      <c r="N1037" s="6">
        <v>3105</v>
      </c>
      <c r="P1037" s="18"/>
      <c r="Q1037" s="17"/>
      <c r="R1037" s="19">
        <v>7.27</v>
      </c>
      <c r="S1037" s="19">
        <v>7.27</v>
      </c>
      <c r="T1037" s="38">
        <v>0</v>
      </c>
      <c r="U1037" s="38"/>
      <c r="V1037" s="30">
        <v>7.27</v>
      </c>
      <c r="W1037" s="35">
        <v>7.27</v>
      </c>
      <c r="X1037" s="32">
        <f t="shared" si="176"/>
        <v>0</v>
      </c>
      <c r="Y1037" s="32">
        <f t="shared" si="177"/>
        <v>0</v>
      </c>
      <c r="Z1037" s="32">
        <f t="shared" si="178"/>
        <v>0</v>
      </c>
      <c r="AA1037" s="38" t="s">
        <v>2573</v>
      </c>
      <c r="AB1037" s="37" t="str">
        <f>IFERROR(VLOOKUP(A1037,'Tash Lookup'!A:E,3,FALSE),"")</f>
        <v/>
      </c>
      <c r="AC1037" s="6" t="str">
        <f t="shared" si="179"/>
        <v/>
      </c>
      <c r="AD1037" s="2" t="s">
        <v>6708</v>
      </c>
      <c r="AF1037" s="56">
        <v>7.27</v>
      </c>
      <c r="AG1037" s="56" t="e">
        <f>VLOOKUP(A1037,Sheet1!$A$2:$C$1140,3,FALSE)</f>
        <v>#N/A</v>
      </c>
      <c r="AH1037" s="58" t="e">
        <v>#N/A</v>
      </c>
      <c r="AI1037" s="56" t="str">
        <f t="shared" si="180"/>
        <v>Delete</v>
      </c>
      <c r="AJ1037" s="81">
        <f t="shared" si="184"/>
        <v>0</v>
      </c>
      <c r="AK1037" s="81">
        <f t="shared" si="185"/>
        <v>0</v>
      </c>
      <c r="AL1037" s="58" t="s">
        <v>32</v>
      </c>
      <c r="AM1037" s="58" t="s">
        <v>6708</v>
      </c>
      <c r="AN1037" s="75">
        <v>0</v>
      </c>
      <c r="AO1037" s="88">
        <v>7.27</v>
      </c>
      <c r="AP1037" s="6" t="str">
        <f t="shared" si="181"/>
        <v>Same</v>
      </c>
      <c r="AQ1037" s="81">
        <f t="shared" si="182"/>
        <v>0</v>
      </c>
      <c r="AR1037" s="81">
        <f t="shared" si="183"/>
        <v>0</v>
      </c>
      <c r="AS1037" s="81">
        <f t="shared" si="186"/>
        <v>0</v>
      </c>
    </row>
    <row r="1038" spans="1:45" hidden="1" x14ac:dyDescent="0.3">
      <c r="A1038">
        <v>5092524</v>
      </c>
      <c r="B1038" s="15" t="s">
        <v>6374</v>
      </c>
      <c r="C1038" s="16" t="s">
        <v>30</v>
      </c>
      <c r="D1038" s="6" t="s">
        <v>31</v>
      </c>
      <c r="E1038" t="s">
        <v>415</v>
      </c>
      <c r="F1038" t="s">
        <v>415</v>
      </c>
      <c r="H1038" s="11" t="s">
        <v>27</v>
      </c>
      <c r="I1038" s="6" t="s">
        <v>28</v>
      </c>
      <c r="J1038" s="6" t="s">
        <v>28</v>
      </c>
      <c r="K1038" t="s">
        <v>32</v>
      </c>
      <c r="L1038" s="35">
        <v>6.64</v>
      </c>
      <c r="M1038" s="6" t="s">
        <v>29</v>
      </c>
      <c r="N1038" s="6">
        <v>3105</v>
      </c>
      <c r="P1038" s="18"/>
      <c r="Q1038" s="17"/>
      <c r="R1038" s="19">
        <v>6.64</v>
      </c>
      <c r="S1038" s="19">
        <v>6.64</v>
      </c>
      <c r="T1038" s="38">
        <v>0</v>
      </c>
      <c r="U1038" s="38"/>
      <c r="V1038" s="30">
        <v>6.64</v>
      </c>
      <c r="W1038" s="35">
        <v>6.64</v>
      </c>
      <c r="X1038" s="32">
        <f t="shared" si="176"/>
        <v>0</v>
      </c>
      <c r="Y1038" s="32">
        <f t="shared" si="177"/>
        <v>0</v>
      </c>
      <c r="Z1038" s="32">
        <f t="shared" si="178"/>
        <v>0</v>
      </c>
      <c r="AA1038" s="38" t="s">
        <v>2573</v>
      </c>
      <c r="AB1038" s="37" t="str">
        <f>IFERROR(VLOOKUP(A1038,'Tash Lookup'!A:E,3,FALSE),"")</f>
        <v/>
      </c>
      <c r="AC1038" s="6" t="str">
        <f t="shared" si="179"/>
        <v/>
      </c>
      <c r="AD1038" s="2" t="s">
        <v>6703</v>
      </c>
      <c r="AF1038" s="56">
        <v>6.95</v>
      </c>
      <c r="AG1038" s="56">
        <f>VLOOKUP(A1038,Sheet1!$A$2:$C$1140,3,FALSE)</f>
        <v>7.16</v>
      </c>
      <c r="AH1038" s="58">
        <v>7.16</v>
      </c>
      <c r="AI1038" s="56" t="str">
        <f t="shared" si="180"/>
        <v>Increase</v>
      </c>
      <c r="AJ1038" s="81">
        <f t="shared" si="184"/>
        <v>0</v>
      </c>
      <c r="AK1038" s="81">
        <f t="shared" si="185"/>
        <v>0</v>
      </c>
      <c r="AL1038" s="58" t="s">
        <v>32</v>
      </c>
      <c r="AM1038" s="58" t="s">
        <v>6703</v>
      </c>
      <c r="AN1038" s="75">
        <v>0</v>
      </c>
      <c r="AO1038" s="88">
        <v>7.16</v>
      </c>
      <c r="AP1038" s="6" t="str">
        <f t="shared" si="181"/>
        <v>Increase</v>
      </c>
      <c r="AQ1038" s="81">
        <f t="shared" si="182"/>
        <v>0</v>
      </c>
      <c r="AR1038" s="81">
        <f t="shared" si="183"/>
        <v>0</v>
      </c>
      <c r="AS1038" s="81">
        <f t="shared" si="186"/>
        <v>0</v>
      </c>
    </row>
    <row r="1039" spans="1:45" hidden="1" x14ac:dyDescent="0.3">
      <c r="A1039">
        <v>5122415</v>
      </c>
      <c r="B1039" s="15" t="s">
        <v>6375</v>
      </c>
      <c r="C1039" s="16" t="s">
        <v>30</v>
      </c>
      <c r="D1039" s="6" t="s">
        <v>31</v>
      </c>
      <c r="E1039" t="s">
        <v>421</v>
      </c>
      <c r="F1039" t="s">
        <v>421</v>
      </c>
      <c r="H1039" s="11" t="s">
        <v>27</v>
      </c>
      <c r="I1039" s="6" t="s">
        <v>28</v>
      </c>
      <c r="J1039" s="6" t="s">
        <v>28</v>
      </c>
      <c r="K1039" t="s">
        <v>32</v>
      </c>
      <c r="L1039" s="35">
        <v>28.18</v>
      </c>
      <c r="M1039" s="6" t="s">
        <v>29</v>
      </c>
      <c r="N1039" s="6">
        <v>3105</v>
      </c>
      <c r="P1039" s="18"/>
      <c r="Q1039" s="17"/>
      <c r="R1039" s="19">
        <v>28.18</v>
      </c>
      <c r="S1039" s="19">
        <v>28.18</v>
      </c>
      <c r="T1039" s="38">
        <v>0</v>
      </c>
      <c r="U1039" s="38"/>
      <c r="V1039" s="29">
        <v>28.18</v>
      </c>
      <c r="W1039" s="35">
        <v>28.18</v>
      </c>
      <c r="X1039" s="32">
        <f t="shared" si="176"/>
        <v>0</v>
      </c>
      <c r="Y1039" s="32">
        <f t="shared" si="177"/>
        <v>0</v>
      </c>
      <c r="Z1039" s="32">
        <f t="shared" si="178"/>
        <v>0</v>
      </c>
      <c r="AA1039" s="38" t="s">
        <v>2573</v>
      </c>
      <c r="AB1039" s="37" t="str">
        <f>IFERROR(VLOOKUP(A1039,'Tash Lookup'!A:E,3,FALSE),"")</f>
        <v/>
      </c>
      <c r="AC1039" s="6" t="str">
        <f t="shared" si="179"/>
        <v/>
      </c>
      <c r="AD1039" s="2" t="s">
        <v>6703</v>
      </c>
      <c r="AF1039" s="56">
        <v>30.26</v>
      </c>
      <c r="AG1039" s="56">
        <f>VLOOKUP(A1039,Sheet1!$A$2:$C$1140,3,FALSE)</f>
        <v>31.16</v>
      </c>
      <c r="AH1039" s="58">
        <v>31.16</v>
      </c>
      <c r="AI1039" s="56" t="str">
        <f t="shared" si="180"/>
        <v>Increase</v>
      </c>
      <c r="AJ1039" s="81">
        <f t="shared" si="184"/>
        <v>0</v>
      </c>
      <c r="AK1039" s="81">
        <f t="shared" si="185"/>
        <v>0</v>
      </c>
      <c r="AL1039" s="58" t="s">
        <v>32</v>
      </c>
      <c r="AM1039" s="58" t="s">
        <v>6703</v>
      </c>
      <c r="AN1039" s="75">
        <v>7</v>
      </c>
      <c r="AO1039" s="88">
        <v>31.16</v>
      </c>
      <c r="AP1039" s="6" t="str">
        <f t="shared" si="181"/>
        <v>Increase</v>
      </c>
      <c r="AQ1039" s="81">
        <f t="shared" si="182"/>
        <v>211.82000000000002</v>
      </c>
      <c r="AR1039" s="81">
        <f t="shared" si="183"/>
        <v>218.12</v>
      </c>
      <c r="AS1039" s="81">
        <f t="shared" si="186"/>
        <v>6.2999999999999829</v>
      </c>
    </row>
    <row r="1040" spans="1:45" hidden="1" x14ac:dyDescent="0.3">
      <c r="A1040">
        <v>5122414</v>
      </c>
      <c r="B1040" s="15" t="s">
        <v>6376</v>
      </c>
      <c r="C1040" s="16" t="s">
        <v>30</v>
      </c>
      <c r="D1040" s="6" t="s">
        <v>31</v>
      </c>
      <c r="E1040" t="s">
        <v>422</v>
      </c>
      <c r="F1040" t="s">
        <v>422</v>
      </c>
      <c r="H1040" s="11" t="s">
        <v>27</v>
      </c>
      <c r="I1040" s="6" t="s">
        <v>28</v>
      </c>
      <c r="J1040" s="6" t="s">
        <v>28</v>
      </c>
      <c r="K1040" t="s">
        <v>32</v>
      </c>
      <c r="L1040" s="35">
        <v>28.18</v>
      </c>
      <c r="M1040" s="6" t="s">
        <v>29</v>
      </c>
      <c r="N1040" s="6">
        <v>3105</v>
      </c>
      <c r="P1040" s="18"/>
      <c r="Q1040" s="17"/>
      <c r="R1040" s="19">
        <v>28.18</v>
      </c>
      <c r="S1040" s="19">
        <v>28.18</v>
      </c>
      <c r="T1040" s="38">
        <v>0</v>
      </c>
      <c r="U1040" s="38"/>
      <c r="V1040" s="29">
        <v>28.18</v>
      </c>
      <c r="W1040" s="35">
        <v>28.18</v>
      </c>
      <c r="X1040" s="32">
        <f t="shared" si="176"/>
        <v>0</v>
      </c>
      <c r="Y1040" s="32">
        <f t="shared" si="177"/>
        <v>0</v>
      </c>
      <c r="Z1040" s="32">
        <f t="shared" si="178"/>
        <v>0</v>
      </c>
      <c r="AA1040" s="38" t="s">
        <v>2573</v>
      </c>
      <c r="AB1040" s="37" t="str">
        <f>IFERROR(VLOOKUP(A1040,'Tash Lookup'!A:E,3,FALSE),"")</f>
        <v/>
      </c>
      <c r="AC1040" s="6" t="str">
        <f t="shared" si="179"/>
        <v/>
      </c>
      <c r="AD1040" s="2" t="s">
        <v>6703</v>
      </c>
      <c r="AF1040" s="56">
        <v>30.26</v>
      </c>
      <c r="AG1040" s="56">
        <f>VLOOKUP(A1040,Sheet1!$A$2:$C$1140,3,FALSE)</f>
        <v>31.16</v>
      </c>
      <c r="AH1040" s="58">
        <v>31.16</v>
      </c>
      <c r="AI1040" s="56" t="str">
        <f t="shared" si="180"/>
        <v>Increase</v>
      </c>
      <c r="AJ1040" s="81">
        <f t="shared" si="184"/>
        <v>0</v>
      </c>
      <c r="AK1040" s="81">
        <f t="shared" si="185"/>
        <v>0</v>
      </c>
      <c r="AL1040" s="58" t="s">
        <v>32</v>
      </c>
      <c r="AM1040" s="58" t="s">
        <v>6703</v>
      </c>
      <c r="AN1040" s="75">
        <v>2</v>
      </c>
      <c r="AO1040" s="88">
        <v>31.16</v>
      </c>
      <c r="AP1040" s="6" t="str">
        <f t="shared" si="181"/>
        <v>Increase</v>
      </c>
      <c r="AQ1040" s="81">
        <f t="shared" si="182"/>
        <v>60.52</v>
      </c>
      <c r="AR1040" s="81">
        <f t="shared" si="183"/>
        <v>62.32</v>
      </c>
      <c r="AS1040" s="81">
        <f t="shared" si="186"/>
        <v>1.7999999999999972</v>
      </c>
    </row>
    <row r="1041" spans="1:45" hidden="1" x14ac:dyDescent="0.3">
      <c r="A1041">
        <v>5122411</v>
      </c>
      <c r="B1041" s="15" t="s">
        <v>6377</v>
      </c>
      <c r="C1041" s="16" t="s">
        <v>30</v>
      </c>
      <c r="D1041" s="6" t="s">
        <v>31</v>
      </c>
      <c r="E1041" t="s">
        <v>424</v>
      </c>
      <c r="F1041" t="s">
        <v>424</v>
      </c>
      <c r="H1041" s="11" t="s">
        <v>27</v>
      </c>
      <c r="I1041" s="6" t="s">
        <v>28</v>
      </c>
      <c r="J1041" s="6" t="s">
        <v>28</v>
      </c>
      <c r="K1041" t="s">
        <v>32</v>
      </c>
      <c r="L1041" s="35">
        <v>16.86</v>
      </c>
      <c r="M1041" s="6" t="s">
        <v>29</v>
      </c>
      <c r="N1041" s="6">
        <v>3105</v>
      </c>
      <c r="P1041" s="18"/>
      <c r="Q1041" s="17"/>
      <c r="R1041" s="19">
        <v>16.86</v>
      </c>
      <c r="S1041" s="19">
        <v>16.86</v>
      </c>
      <c r="T1041" s="38">
        <v>0</v>
      </c>
      <c r="U1041" s="38"/>
      <c r="V1041" s="29">
        <v>16.86</v>
      </c>
      <c r="W1041" s="35">
        <v>16.86</v>
      </c>
      <c r="X1041" s="32">
        <f t="shared" si="176"/>
        <v>0</v>
      </c>
      <c r="Y1041" s="32">
        <f t="shared" si="177"/>
        <v>0</v>
      </c>
      <c r="Z1041" s="32">
        <f t="shared" si="178"/>
        <v>0</v>
      </c>
      <c r="AA1041" s="38" t="s">
        <v>2573</v>
      </c>
      <c r="AB1041" s="37" t="str">
        <f>IFERROR(VLOOKUP(A1041,'Tash Lookup'!A:E,3,FALSE),"")</f>
        <v/>
      </c>
      <c r="AC1041" s="6" t="str">
        <f t="shared" si="179"/>
        <v/>
      </c>
      <c r="AD1041" s="2" t="s">
        <v>6703</v>
      </c>
      <c r="AF1041" s="56">
        <v>18.63</v>
      </c>
      <c r="AG1041" s="56">
        <f>VLOOKUP(A1041,Sheet1!$A$2:$C$1140,3,FALSE)</f>
        <v>19.2</v>
      </c>
      <c r="AH1041" s="58">
        <v>19.2</v>
      </c>
      <c r="AI1041" s="56" t="str">
        <f t="shared" si="180"/>
        <v>Increase</v>
      </c>
      <c r="AJ1041" s="81">
        <f t="shared" si="184"/>
        <v>0</v>
      </c>
      <c r="AK1041" s="81">
        <f t="shared" si="185"/>
        <v>0</v>
      </c>
      <c r="AL1041" s="58" t="s">
        <v>32</v>
      </c>
      <c r="AM1041" s="58" t="s">
        <v>6703</v>
      </c>
      <c r="AN1041" s="75">
        <v>0</v>
      </c>
      <c r="AO1041" s="88">
        <v>19.2</v>
      </c>
      <c r="AP1041" s="6" t="str">
        <f t="shared" si="181"/>
        <v>Increase</v>
      </c>
      <c r="AQ1041" s="81">
        <f t="shared" si="182"/>
        <v>0</v>
      </c>
      <c r="AR1041" s="81">
        <f t="shared" si="183"/>
        <v>0</v>
      </c>
      <c r="AS1041" s="81">
        <f t="shared" si="186"/>
        <v>0</v>
      </c>
    </row>
    <row r="1042" spans="1:45" hidden="1" x14ac:dyDescent="0.3">
      <c r="A1042">
        <v>5083488</v>
      </c>
      <c r="B1042" s="15" t="s">
        <v>6378</v>
      </c>
      <c r="C1042" s="16" t="s">
        <v>30</v>
      </c>
      <c r="D1042" s="6" t="s">
        <v>31</v>
      </c>
      <c r="E1042" t="s">
        <v>425</v>
      </c>
      <c r="F1042" t="s">
        <v>425</v>
      </c>
      <c r="H1042" s="11" t="s">
        <v>27</v>
      </c>
      <c r="I1042" s="6" t="s">
        <v>28</v>
      </c>
      <c r="J1042" s="6" t="s">
        <v>28</v>
      </c>
      <c r="K1042" t="s">
        <v>32</v>
      </c>
      <c r="L1042" s="35">
        <v>37.53</v>
      </c>
      <c r="M1042" s="6" t="s">
        <v>29</v>
      </c>
      <c r="N1042" s="6">
        <v>3105</v>
      </c>
      <c r="P1042" s="18"/>
      <c r="Q1042" s="17"/>
      <c r="R1042" s="19">
        <v>37.53</v>
      </c>
      <c r="S1042" s="19">
        <v>37.53</v>
      </c>
      <c r="T1042" s="38">
        <v>0</v>
      </c>
      <c r="U1042" s="38"/>
      <c r="V1042" s="29">
        <v>37.53</v>
      </c>
      <c r="W1042" s="35">
        <v>37.53</v>
      </c>
      <c r="X1042" s="32">
        <f t="shared" si="176"/>
        <v>0</v>
      </c>
      <c r="Y1042" s="32">
        <f t="shared" si="177"/>
        <v>0</v>
      </c>
      <c r="Z1042" s="32">
        <f t="shared" si="178"/>
        <v>0</v>
      </c>
      <c r="AA1042" s="38" t="s">
        <v>2573</v>
      </c>
      <c r="AB1042" s="37" t="str">
        <f>IFERROR(VLOOKUP(A1042,'Tash Lookup'!A:E,3,FALSE),"")</f>
        <v/>
      </c>
      <c r="AC1042" s="6" t="str">
        <f t="shared" si="179"/>
        <v/>
      </c>
      <c r="AD1042" s="2" t="s">
        <v>6707</v>
      </c>
      <c r="AF1042" s="56">
        <v>37.53</v>
      </c>
      <c r="AG1042" s="56" t="e">
        <f>VLOOKUP(A1042,Sheet1!$A$2:$C$1140,3,FALSE)</f>
        <v>#N/A</v>
      </c>
      <c r="AH1042" s="58" t="e">
        <v>#N/A</v>
      </c>
      <c r="AI1042" s="56" t="str">
        <f t="shared" si="180"/>
        <v>Delete</v>
      </c>
      <c r="AJ1042" s="81">
        <f t="shared" si="184"/>
        <v>0</v>
      </c>
      <c r="AK1042" s="81">
        <f t="shared" si="185"/>
        <v>0</v>
      </c>
      <c r="AL1042" s="58" t="s">
        <v>32</v>
      </c>
      <c r="AM1042" s="58" t="s">
        <v>6709</v>
      </c>
      <c r="AN1042" s="75">
        <v>0</v>
      </c>
      <c r="AO1042" s="88">
        <v>37.53</v>
      </c>
      <c r="AP1042" s="6" t="str">
        <f t="shared" si="181"/>
        <v>Same</v>
      </c>
      <c r="AQ1042" s="81">
        <f t="shared" si="182"/>
        <v>0</v>
      </c>
      <c r="AR1042" s="81">
        <f t="shared" si="183"/>
        <v>0</v>
      </c>
      <c r="AS1042" s="81">
        <f t="shared" si="186"/>
        <v>0</v>
      </c>
    </row>
    <row r="1043" spans="1:45" hidden="1" x14ac:dyDescent="0.3">
      <c r="A1043">
        <v>6352849</v>
      </c>
      <c r="B1043" s="15" t="s">
        <v>6379</v>
      </c>
      <c r="C1043" s="16" t="s">
        <v>30</v>
      </c>
      <c r="D1043" s="6" t="s">
        <v>31</v>
      </c>
      <c r="E1043" t="s">
        <v>804</v>
      </c>
      <c r="F1043" t="s">
        <v>804</v>
      </c>
      <c r="H1043" s="11" t="s">
        <v>27</v>
      </c>
      <c r="I1043" s="6" t="s">
        <v>28</v>
      </c>
      <c r="J1043" s="6" t="s">
        <v>28</v>
      </c>
      <c r="K1043" t="s">
        <v>32</v>
      </c>
      <c r="L1043" s="35">
        <v>26.29</v>
      </c>
      <c r="M1043" s="6" t="s">
        <v>29</v>
      </c>
      <c r="N1043" s="6">
        <v>3105</v>
      </c>
      <c r="P1043" s="18"/>
      <c r="Q1043" s="17"/>
      <c r="R1043" s="19">
        <v>26.29</v>
      </c>
      <c r="S1043" s="19">
        <v>26.29</v>
      </c>
      <c r="T1043" s="38">
        <v>0</v>
      </c>
      <c r="U1043" s="38"/>
      <c r="V1043" s="30">
        <v>26.29</v>
      </c>
      <c r="W1043" s="35">
        <v>26.29</v>
      </c>
      <c r="X1043" s="32">
        <f t="shared" si="176"/>
        <v>0</v>
      </c>
      <c r="Y1043" s="32">
        <f t="shared" si="177"/>
        <v>0</v>
      </c>
      <c r="Z1043" s="32">
        <f t="shared" si="178"/>
        <v>0</v>
      </c>
      <c r="AA1043" s="38" t="s">
        <v>2573</v>
      </c>
      <c r="AB1043" s="37" t="str">
        <f>IFERROR(VLOOKUP(A1043,'Tash Lookup'!A:E,3,FALSE),"")</f>
        <v/>
      </c>
      <c r="AC1043" s="6" t="str">
        <f t="shared" si="179"/>
        <v/>
      </c>
      <c r="AD1043" s="2" t="s">
        <v>6711</v>
      </c>
      <c r="AE1043" s="2" t="s">
        <v>6701</v>
      </c>
      <c r="AF1043" s="56">
        <v>26.29</v>
      </c>
      <c r="AG1043" s="56" t="e">
        <f>VLOOKUP(A1043,Sheet1!$A$2:$C$1140,3,FALSE)</f>
        <v>#N/A</v>
      </c>
      <c r="AH1043" s="58" t="e">
        <v>#N/A</v>
      </c>
      <c r="AI1043" s="56" t="str">
        <f t="shared" si="180"/>
        <v>Delete</v>
      </c>
      <c r="AJ1043" s="81">
        <f t="shared" si="184"/>
        <v>0</v>
      </c>
      <c r="AK1043" s="81">
        <f t="shared" si="185"/>
        <v>0</v>
      </c>
      <c r="AL1043" s="58" t="s">
        <v>7206</v>
      </c>
      <c r="AM1043" s="58" t="s">
        <v>6711</v>
      </c>
      <c r="AN1043" s="75">
        <v>0</v>
      </c>
      <c r="AO1043" s="88">
        <v>26.29</v>
      </c>
      <c r="AP1043" s="6" t="str">
        <f t="shared" si="181"/>
        <v>Delete</v>
      </c>
      <c r="AQ1043" s="81">
        <f t="shared" si="182"/>
        <v>0</v>
      </c>
      <c r="AR1043" s="81">
        <f t="shared" si="183"/>
        <v>0</v>
      </c>
      <c r="AS1043" s="81">
        <f t="shared" si="186"/>
        <v>0</v>
      </c>
    </row>
    <row r="1044" spans="1:45" hidden="1" x14ac:dyDescent="0.3">
      <c r="A1044">
        <v>6352845</v>
      </c>
      <c r="B1044" s="15" t="s">
        <v>6380</v>
      </c>
      <c r="C1044" s="16" t="s">
        <v>30</v>
      </c>
      <c r="D1044" s="6" t="s">
        <v>31</v>
      </c>
      <c r="E1044" t="s">
        <v>805</v>
      </c>
      <c r="F1044" t="s">
        <v>805</v>
      </c>
      <c r="H1044" s="11" t="s">
        <v>27</v>
      </c>
      <c r="I1044" s="6" t="s">
        <v>28</v>
      </c>
      <c r="J1044" s="6" t="s">
        <v>28</v>
      </c>
      <c r="K1044" t="s">
        <v>32</v>
      </c>
      <c r="L1044" s="35">
        <v>26.29</v>
      </c>
      <c r="M1044" s="6" t="s">
        <v>29</v>
      </c>
      <c r="N1044" s="6">
        <v>3105</v>
      </c>
      <c r="P1044" s="18"/>
      <c r="Q1044" s="17"/>
      <c r="R1044" s="19">
        <v>26.29</v>
      </c>
      <c r="S1044" s="19">
        <v>26.29</v>
      </c>
      <c r="T1044" s="38">
        <v>0</v>
      </c>
      <c r="U1044" s="38"/>
      <c r="V1044" s="30">
        <v>26.29</v>
      </c>
      <c r="W1044" s="35">
        <v>26.29</v>
      </c>
      <c r="X1044" s="32">
        <f t="shared" si="176"/>
        <v>0</v>
      </c>
      <c r="Y1044" s="32">
        <f t="shared" si="177"/>
        <v>0</v>
      </c>
      <c r="Z1044" s="32">
        <f t="shared" si="178"/>
        <v>0</v>
      </c>
      <c r="AA1044" s="38" t="s">
        <v>2573</v>
      </c>
      <c r="AB1044" s="37" t="str">
        <f>IFERROR(VLOOKUP(A1044,'Tash Lookup'!A:E,3,FALSE),"")</f>
        <v/>
      </c>
      <c r="AC1044" s="6" t="str">
        <f t="shared" si="179"/>
        <v/>
      </c>
      <c r="AD1044" s="2" t="s">
        <v>6711</v>
      </c>
      <c r="AE1044" s="2" t="s">
        <v>6701</v>
      </c>
      <c r="AF1044" s="56">
        <v>26.29</v>
      </c>
      <c r="AG1044" s="56" t="e">
        <f>VLOOKUP(A1044,Sheet1!$A$2:$C$1140,3,FALSE)</f>
        <v>#N/A</v>
      </c>
      <c r="AH1044" s="58" t="e">
        <v>#N/A</v>
      </c>
      <c r="AI1044" s="56" t="str">
        <f t="shared" si="180"/>
        <v>Delete</v>
      </c>
      <c r="AJ1044" s="81">
        <f t="shared" si="184"/>
        <v>0</v>
      </c>
      <c r="AK1044" s="81">
        <f t="shared" si="185"/>
        <v>0</v>
      </c>
      <c r="AL1044" s="58" t="s">
        <v>7206</v>
      </c>
      <c r="AM1044" s="58" t="s">
        <v>6711</v>
      </c>
      <c r="AN1044" s="75">
        <v>0</v>
      </c>
      <c r="AO1044" s="88">
        <v>26.29</v>
      </c>
      <c r="AP1044" s="6" t="str">
        <f t="shared" si="181"/>
        <v>Delete</v>
      </c>
      <c r="AQ1044" s="81">
        <f t="shared" si="182"/>
        <v>0</v>
      </c>
      <c r="AR1044" s="81">
        <f t="shared" si="183"/>
        <v>0</v>
      </c>
      <c r="AS1044" s="81">
        <f t="shared" si="186"/>
        <v>0</v>
      </c>
    </row>
    <row r="1045" spans="1:45" hidden="1" x14ac:dyDescent="0.3">
      <c r="A1045">
        <v>6352943</v>
      </c>
      <c r="B1045" s="15" t="s">
        <v>6381</v>
      </c>
      <c r="C1045" s="16" t="s">
        <v>30</v>
      </c>
      <c r="D1045" s="6" t="s">
        <v>31</v>
      </c>
      <c r="E1045" t="s">
        <v>806</v>
      </c>
      <c r="F1045" t="s">
        <v>806</v>
      </c>
      <c r="H1045" s="11" t="s">
        <v>27</v>
      </c>
      <c r="I1045" s="6" t="s">
        <v>28</v>
      </c>
      <c r="J1045" s="6" t="s">
        <v>28</v>
      </c>
      <c r="K1045" t="s">
        <v>32</v>
      </c>
      <c r="L1045" s="35">
        <v>26.29</v>
      </c>
      <c r="M1045" s="6" t="s">
        <v>29</v>
      </c>
      <c r="N1045" s="6">
        <v>3105</v>
      </c>
      <c r="P1045" s="18"/>
      <c r="Q1045" s="17"/>
      <c r="R1045" s="19">
        <v>26.29</v>
      </c>
      <c r="S1045" s="19">
        <v>26.29</v>
      </c>
      <c r="T1045" s="38">
        <v>0</v>
      </c>
      <c r="U1045" s="38"/>
      <c r="V1045" s="30">
        <v>26.29</v>
      </c>
      <c r="W1045" s="35">
        <v>26.29</v>
      </c>
      <c r="X1045" s="32">
        <f t="shared" si="176"/>
        <v>0</v>
      </c>
      <c r="Y1045" s="32">
        <f t="shared" si="177"/>
        <v>0</v>
      </c>
      <c r="Z1045" s="32">
        <f t="shared" si="178"/>
        <v>0</v>
      </c>
      <c r="AA1045" s="38" t="s">
        <v>2573</v>
      </c>
      <c r="AB1045" s="37" t="str">
        <f>IFERROR(VLOOKUP(A1045,'Tash Lookup'!A:E,3,FALSE),"")</f>
        <v/>
      </c>
      <c r="AC1045" s="6" t="str">
        <f t="shared" si="179"/>
        <v/>
      </c>
      <c r="AD1045" s="2" t="s">
        <v>6707</v>
      </c>
      <c r="AF1045" s="56">
        <v>27.08</v>
      </c>
      <c r="AG1045" s="56">
        <f>VLOOKUP(A1045,Sheet1!$A$2:$C$1140,3,FALSE)</f>
        <v>27.08</v>
      </c>
      <c r="AH1045" s="58">
        <v>27.08</v>
      </c>
      <c r="AI1045" s="56" t="str">
        <f t="shared" si="180"/>
        <v>Same</v>
      </c>
      <c r="AJ1045" s="81">
        <f t="shared" si="184"/>
        <v>0</v>
      </c>
      <c r="AK1045" s="81">
        <f t="shared" si="185"/>
        <v>0</v>
      </c>
      <c r="AL1045" s="58" t="s">
        <v>7206</v>
      </c>
      <c r="AM1045" s="58" t="s">
        <v>6708</v>
      </c>
      <c r="AN1045" s="75">
        <v>0</v>
      </c>
      <c r="AO1045" s="88">
        <v>27.08</v>
      </c>
      <c r="AP1045" s="6" t="str">
        <f t="shared" si="181"/>
        <v>Same</v>
      </c>
      <c r="AQ1045" s="81">
        <f t="shared" si="182"/>
        <v>0</v>
      </c>
      <c r="AR1045" s="81">
        <f t="shared" si="183"/>
        <v>0</v>
      </c>
      <c r="AS1045" s="81">
        <f t="shared" si="186"/>
        <v>0</v>
      </c>
    </row>
    <row r="1046" spans="1:45" hidden="1" x14ac:dyDescent="0.3">
      <c r="A1046">
        <v>6352844</v>
      </c>
      <c r="B1046" s="15" t="s">
        <v>6382</v>
      </c>
      <c r="C1046" s="16" t="s">
        <v>30</v>
      </c>
      <c r="D1046" s="6" t="s">
        <v>31</v>
      </c>
      <c r="E1046" t="s">
        <v>808</v>
      </c>
      <c r="F1046" t="s">
        <v>808</v>
      </c>
      <c r="H1046" s="11" t="s">
        <v>27</v>
      </c>
      <c r="I1046" s="6" t="s">
        <v>28</v>
      </c>
      <c r="J1046" s="6" t="s">
        <v>28</v>
      </c>
      <c r="K1046" t="s">
        <v>32</v>
      </c>
      <c r="L1046" s="35">
        <v>26.29</v>
      </c>
      <c r="M1046" s="6" t="s">
        <v>29</v>
      </c>
      <c r="N1046" s="6">
        <v>3105</v>
      </c>
      <c r="P1046" s="18"/>
      <c r="Q1046" s="17"/>
      <c r="R1046" s="19">
        <v>26.29</v>
      </c>
      <c r="S1046" s="19">
        <v>26.29</v>
      </c>
      <c r="T1046" s="38">
        <v>0</v>
      </c>
      <c r="U1046" s="38"/>
      <c r="V1046" s="30">
        <v>26.29</v>
      </c>
      <c r="W1046" s="35">
        <v>26.29</v>
      </c>
      <c r="X1046" s="32">
        <f t="shared" si="176"/>
        <v>0</v>
      </c>
      <c r="Y1046" s="32">
        <f t="shared" si="177"/>
        <v>0</v>
      </c>
      <c r="Z1046" s="32">
        <f t="shared" si="178"/>
        <v>0</v>
      </c>
      <c r="AA1046" s="38" t="s">
        <v>2573</v>
      </c>
      <c r="AB1046" s="37" t="str">
        <f>IFERROR(VLOOKUP(A1046,'Tash Lookup'!A:E,3,FALSE),"")</f>
        <v/>
      </c>
      <c r="AC1046" s="6" t="str">
        <f t="shared" si="179"/>
        <v/>
      </c>
      <c r="AD1046" s="2" t="s">
        <v>6711</v>
      </c>
      <c r="AE1046" s="2" t="s">
        <v>6701</v>
      </c>
      <c r="AF1046" s="56">
        <v>27.08</v>
      </c>
      <c r="AG1046" s="56" t="e">
        <f>VLOOKUP(A1046,Sheet1!$A$2:$C$1140,3,FALSE)</f>
        <v>#N/A</v>
      </c>
      <c r="AH1046" s="58" t="e">
        <v>#N/A</v>
      </c>
      <c r="AI1046" s="56" t="str">
        <f t="shared" si="180"/>
        <v>Delete</v>
      </c>
      <c r="AJ1046" s="81">
        <f t="shared" si="184"/>
        <v>0</v>
      </c>
      <c r="AK1046" s="81">
        <f t="shared" si="185"/>
        <v>0</v>
      </c>
      <c r="AL1046" s="58" t="s">
        <v>7206</v>
      </c>
      <c r="AM1046" s="58" t="s">
        <v>6711</v>
      </c>
      <c r="AN1046" s="75">
        <v>0</v>
      </c>
      <c r="AO1046" s="88">
        <v>27.08</v>
      </c>
      <c r="AP1046" s="6" t="str">
        <f t="shared" si="181"/>
        <v>Delete</v>
      </c>
      <c r="AQ1046" s="81">
        <f t="shared" si="182"/>
        <v>0</v>
      </c>
      <c r="AR1046" s="81">
        <f t="shared" si="183"/>
        <v>0</v>
      </c>
      <c r="AS1046" s="81">
        <f t="shared" si="186"/>
        <v>0</v>
      </c>
    </row>
    <row r="1047" spans="1:45" hidden="1" x14ac:dyDescent="0.3">
      <c r="A1047">
        <v>6352942</v>
      </c>
      <c r="B1047" s="15" t="s">
        <v>6383</v>
      </c>
      <c r="C1047" s="16" t="s">
        <v>30</v>
      </c>
      <c r="D1047" s="6" t="s">
        <v>31</v>
      </c>
      <c r="E1047" t="s">
        <v>809</v>
      </c>
      <c r="F1047" t="s">
        <v>809</v>
      </c>
      <c r="H1047" s="11" t="s">
        <v>27</v>
      </c>
      <c r="I1047" s="6" t="s">
        <v>28</v>
      </c>
      <c r="J1047" s="6" t="s">
        <v>28</v>
      </c>
      <c r="K1047" t="s">
        <v>32</v>
      </c>
      <c r="L1047" s="35">
        <v>26.29</v>
      </c>
      <c r="M1047" s="6" t="s">
        <v>29</v>
      </c>
      <c r="N1047" s="6">
        <v>3105</v>
      </c>
      <c r="P1047" s="18"/>
      <c r="Q1047" s="17"/>
      <c r="R1047" s="19">
        <v>26.29</v>
      </c>
      <c r="S1047" s="19">
        <v>26.29</v>
      </c>
      <c r="T1047" s="38">
        <v>0</v>
      </c>
      <c r="U1047" s="38"/>
      <c r="V1047" s="30">
        <v>26.29</v>
      </c>
      <c r="W1047" s="35">
        <v>26.29</v>
      </c>
      <c r="X1047" s="32">
        <f t="shared" si="176"/>
        <v>0</v>
      </c>
      <c r="Y1047" s="32">
        <f t="shared" si="177"/>
        <v>0</v>
      </c>
      <c r="Z1047" s="32">
        <f t="shared" si="178"/>
        <v>0</v>
      </c>
      <c r="AA1047" s="38" t="s">
        <v>2573</v>
      </c>
      <c r="AB1047" s="37" t="str">
        <f>IFERROR(VLOOKUP(A1047,'Tash Lookup'!A:E,3,FALSE),"")</f>
        <v/>
      </c>
      <c r="AC1047" s="6" t="str">
        <f t="shared" si="179"/>
        <v/>
      </c>
      <c r="AD1047" s="2" t="s">
        <v>6711</v>
      </c>
      <c r="AE1047" s="2" t="s">
        <v>6701</v>
      </c>
      <c r="AF1047" s="56">
        <v>27.08</v>
      </c>
      <c r="AG1047" s="56" t="e">
        <f>VLOOKUP(A1047,Sheet1!$A$2:$C$1140,3,FALSE)</f>
        <v>#N/A</v>
      </c>
      <c r="AH1047" s="58" t="e">
        <v>#N/A</v>
      </c>
      <c r="AI1047" s="56" t="str">
        <f t="shared" si="180"/>
        <v>Delete</v>
      </c>
      <c r="AJ1047" s="81">
        <f t="shared" si="184"/>
        <v>0</v>
      </c>
      <c r="AK1047" s="81">
        <f t="shared" si="185"/>
        <v>0</v>
      </c>
      <c r="AL1047" s="58" t="s">
        <v>7206</v>
      </c>
      <c r="AM1047" s="58" t="s">
        <v>6711</v>
      </c>
      <c r="AN1047" s="75">
        <v>0</v>
      </c>
      <c r="AO1047" s="88">
        <v>27.08</v>
      </c>
      <c r="AP1047" s="6" t="str">
        <f t="shared" si="181"/>
        <v>Delete</v>
      </c>
      <c r="AQ1047" s="81">
        <f t="shared" si="182"/>
        <v>0</v>
      </c>
      <c r="AR1047" s="81">
        <f t="shared" si="183"/>
        <v>0</v>
      </c>
      <c r="AS1047" s="81">
        <f t="shared" si="186"/>
        <v>0</v>
      </c>
    </row>
    <row r="1048" spans="1:45" hidden="1" x14ac:dyDescent="0.3">
      <c r="A1048">
        <v>6352843</v>
      </c>
      <c r="B1048" s="15" t="s">
        <v>6384</v>
      </c>
      <c r="C1048" s="16" t="s">
        <v>30</v>
      </c>
      <c r="D1048" s="6" t="s">
        <v>31</v>
      </c>
      <c r="E1048" t="s">
        <v>811</v>
      </c>
      <c r="F1048" t="s">
        <v>811</v>
      </c>
      <c r="H1048" s="11" t="s">
        <v>27</v>
      </c>
      <c r="I1048" s="6" t="s">
        <v>28</v>
      </c>
      <c r="J1048" s="6" t="s">
        <v>28</v>
      </c>
      <c r="K1048" t="s">
        <v>32</v>
      </c>
      <c r="L1048" s="35">
        <v>26.29</v>
      </c>
      <c r="M1048" s="6" t="s">
        <v>29</v>
      </c>
      <c r="N1048" s="6">
        <v>3105</v>
      </c>
      <c r="P1048" s="18"/>
      <c r="Q1048" s="17"/>
      <c r="R1048" s="19">
        <v>26.29</v>
      </c>
      <c r="S1048" s="19">
        <v>26.29</v>
      </c>
      <c r="T1048" s="38">
        <v>0</v>
      </c>
      <c r="U1048" s="38"/>
      <c r="V1048" s="30">
        <v>26.29</v>
      </c>
      <c r="W1048" s="35">
        <v>26.29</v>
      </c>
      <c r="X1048" s="32">
        <f t="shared" si="176"/>
        <v>0</v>
      </c>
      <c r="Y1048" s="32">
        <f t="shared" si="177"/>
        <v>0</v>
      </c>
      <c r="Z1048" s="32">
        <f t="shared" si="178"/>
        <v>0</v>
      </c>
      <c r="AA1048" s="38" t="s">
        <v>2573</v>
      </c>
      <c r="AB1048" s="37" t="str">
        <f>IFERROR(VLOOKUP(A1048,'Tash Lookup'!A:E,3,FALSE),"")</f>
        <v/>
      </c>
      <c r="AC1048" s="6" t="str">
        <f t="shared" si="179"/>
        <v/>
      </c>
      <c r="AD1048" s="2" t="s">
        <v>6711</v>
      </c>
      <c r="AE1048" s="2" t="s">
        <v>6701</v>
      </c>
      <c r="AF1048" s="56">
        <v>27.08</v>
      </c>
      <c r="AG1048" s="56" t="e">
        <f>VLOOKUP(A1048,Sheet1!$A$2:$C$1140,3,FALSE)</f>
        <v>#N/A</v>
      </c>
      <c r="AH1048" s="58" t="e">
        <v>#N/A</v>
      </c>
      <c r="AI1048" s="56" t="str">
        <f t="shared" si="180"/>
        <v>Delete</v>
      </c>
      <c r="AJ1048" s="81">
        <f t="shared" si="184"/>
        <v>0</v>
      </c>
      <c r="AK1048" s="81">
        <f t="shared" si="185"/>
        <v>0</v>
      </c>
      <c r="AL1048" s="58" t="s">
        <v>7206</v>
      </c>
      <c r="AM1048" s="58" t="s">
        <v>6711</v>
      </c>
      <c r="AN1048" s="75">
        <v>0</v>
      </c>
      <c r="AO1048" s="88">
        <v>27.08</v>
      </c>
      <c r="AP1048" s="6" t="str">
        <f t="shared" si="181"/>
        <v>Delete</v>
      </c>
      <c r="AQ1048" s="81">
        <f t="shared" si="182"/>
        <v>0</v>
      </c>
      <c r="AR1048" s="81">
        <f t="shared" si="183"/>
        <v>0</v>
      </c>
      <c r="AS1048" s="81">
        <f t="shared" si="186"/>
        <v>0</v>
      </c>
    </row>
    <row r="1049" spans="1:45" hidden="1" x14ac:dyDescent="0.3">
      <c r="A1049">
        <v>6352846</v>
      </c>
      <c r="B1049" s="15" t="s">
        <v>6385</v>
      </c>
      <c r="C1049" s="16" t="s">
        <v>30</v>
      </c>
      <c r="D1049" s="6" t="s">
        <v>31</v>
      </c>
      <c r="E1049" t="s">
        <v>813</v>
      </c>
      <c r="F1049" t="s">
        <v>813</v>
      </c>
      <c r="H1049" s="11" t="s">
        <v>27</v>
      </c>
      <c r="I1049" s="6" t="s">
        <v>28</v>
      </c>
      <c r="J1049" s="6" t="s">
        <v>28</v>
      </c>
      <c r="K1049" t="s">
        <v>32</v>
      </c>
      <c r="L1049" s="35">
        <v>26.29</v>
      </c>
      <c r="M1049" s="6" t="s">
        <v>29</v>
      </c>
      <c r="N1049" s="6">
        <v>3105</v>
      </c>
      <c r="P1049" s="18"/>
      <c r="Q1049" s="17"/>
      <c r="R1049" s="19">
        <v>26.29</v>
      </c>
      <c r="S1049" s="19">
        <v>26.29</v>
      </c>
      <c r="T1049" s="38">
        <v>0</v>
      </c>
      <c r="U1049" s="38"/>
      <c r="V1049" s="30">
        <v>26.29</v>
      </c>
      <c r="W1049" s="35">
        <v>26.29</v>
      </c>
      <c r="X1049" s="32">
        <f t="shared" si="176"/>
        <v>0</v>
      </c>
      <c r="Y1049" s="32">
        <f t="shared" si="177"/>
        <v>0</v>
      </c>
      <c r="Z1049" s="32">
        <f t="shared" si="178"/>
        <v>0</v>
      </c>
      <c r="AA1049" s="38" t="s">
        <v>2573</v>
      </c>
      <c r="AB1049" s="37" t="str">
        <f>IFERROR(VLOOKUP(A1049,'Tash Lookup'!A:E,3,FALSE),"")</f>
        <v/>
      </c>
      <c r="AC1049" s="6" t="str">
        <f t="shared" si="179"/>
        <v/>
      </c>
      <c r="AD1049" s="2" t="s">
        <v>6711</v>
      </c>
      <c r="AE1049" s="2" t="s">
        <v>6701</v>
      </c>
      <c r="AF1049" s="56">
        <v>26.29</v>
      </c>
      <c r="AG1049" s="56" t="e">
        <f>VLOOKUP(A1049,Sheet1!$A$2:$C$1140,3,FALSE)</f>
        <v>#N/A</v>
      </c>
      <c r="AH1049" s="58" t="e">
        <v>#N/A</v>
      </c>
      <c r="AI1049" s="56" t="str">
        <f t="shared" si="180"/>
        <v>Delete</v>
      </c>
      <c r="AJ1049" s="81">
        <f t="shared" si="184"/>
        <v>0</v>
      </c>
      <c r="AK1049" s="81">
        <f t="shared" si="185"/>
        <v>0</v>
      </c>
      <c r="AL1049" s="58" t="s">
        <v>7206</v>
      </c>
      <c r="AM1049" s="58" t="s">
        <v>6711</v>
      </c>
      <c r="AN1049" s="75">
        <v>0</v>
      </c>
      <c r="AO1049" s="88">
        <v>26.29</v>
      </c>
      <c r="AP1049" s="6" t="str">
        <f t="shared" si="181"/>
        <v>Delete</v>
      </c>
      <c r="AQ1049" s="81">
        <f t="shared" si="182"/>
        <v>0</v>
      </c>
      <c r="AR1049" s="81">
        <f t="shared" si="183"/>
        <v>0</v>
      </c>
      <c r="AS1049" s="81">
        <f t="shared" si="186"/>
        <v>0</v>
      </c>
    </row>
    <row r="1050" spans="1:45" hidden="1" x14ac:dyDescent="0.3">
      <c r="A1050">
        <v>6352937</v>
      </c>
      <c r="B1050" s="15" t="s">
        <v>6386</v>
      </c>
      <c r="C1050" s="16" t="s">
        <v>30</v>
      </c>
      <c r="D1050" s="6" t="s">
        <v>31</v>
      </c>
      <c r="E1050" t="s">
        <v>814</v>
      </c>
      <c r="F1050" t="s">
        <v>814</v>
      </c>
      <c r="H1050" s="11" t="s">
        <v>27</v>
      </c>
      <c r="I1050" s="6" t="s">
        <v>28</v>
      </c>
      <c r="J1050" s="6" t="s">
        <v>28</v>
      </c>
      <c r="K1050" t="s">
        <v>32</v>
      </c>
      <c r="L1050" s="35">
        <v>26.29</v>
      </c>
      <c r="M1050" s="6" t="s">
        <v>29</v>
      </c>
      <c r="N1050" s="6">
        <v>3105</v>
      </c>
      <c r="P1050" s="18"/>
      <c r="Q1050" s="17"/>
      <c r="R1050" s="19">
        <v>26.29</v>
      </c>
      <c r="S1050" s="19">
        <v>26.29</v>
      </c>
      <c r="T1050" s="38">
        <v>0</v>
      </c>
      <c r="U1050" s="38"/>
      <c r="V1050" s="30">
        <v>26.29</v>
      </c>
      <c r="W1050" s="35">
        <v>26.29</v>
      </c>
      <c r="X1050" s="32">
        <f t="shared" si="176"/>
        <v>0</v>
      </c>
      <c r="Y1050" s="32">
        <f t="shared" si="177"/>
        <v>0</v>
      </c>
      <c r="Z1050" s="32">
        <f t="shared" si="178"/>
        <v>0</v>
      </c>
      <c r="AA1050" s="38" t="s">
        <v>2573</v>
      </c>
      <c r="AB1050" s="37" t="str">
        <f>IFERROR(VLOOKUP(A1050,'Tash Lookup'!A:E,3,FALSE),"")</f>
        <v/>
      </c>
      <c r="AC1050" s="6" t="str">
        <f t="shared" si="179"/>
        <v/>
      </c>
      <c r="AD1050" s="2" t="s">
        <v>6711</v>
      </c>
      <c r="AE1050" s="2" t="s">
        <v>6701</v>
      </c>
      <c r="AF1050" s="56">
        <v>26.29</v>
      </c>
      <c r="AG1050" s="56" t="e">
        <f>VLOOKUP(A1050,Sheet1!$A$2:$C$1140,3,FALSE)</f>
        <v>#N/A</v>
      </c>
      <c r="AH1050" s="58" t="e">
        <v>#N/A</v>
      </c>
      <c r="AI1050" s="56" t="str">
        <f t="shared" si="180"/>
        <v>Delete</v>
      </c>
      <c r="AJ1050" s="81">
        <f t="shared" si="184"/>
        <v>0</v>
      </c>
      <c r="AK1050" s="81">
        <f t="shared" si="185"/>
        <v>0</v>
      </c>
      <c r="AL1050" s="58" t="s">
        <v>7206</v>
      </c>
      <c r="AM1050" s="58" t="s">
        <v>6711</v>
      </c>
      <c r="AN1050" s="75">
        <v>0</v>
      </c>
      <c r="AO1050" s="88">
        <v>26.29</v>
      </c>
      <c r="AP1050" s="6" t="str">
        <f t="shared" si="181"/>
        <v>Delete</v>
      </c>
      <c r="AQ1050" s="81">
        <f t="shared" si="182"/>
        <v>0</v>
      </c>
      <c r="AR1050" s="81">
        <f t="shared" si="183"/>
        <v>0</v>
      </c>
      <c r="AS1050" s="81">
        <f t="shared" si="186"/>
        <v>0</v>
      </c>
    </row>
    <row r="1051" spans="1:45" hidden="1" x14ac:dyDescent="0.3">
      <c r="A1051">
        <v>6352850</v>
      </c>
      <c r="B1051" s="15" t="s">
        <v>6387</v>
      </c>
      <c r="C1051" s="16" t="s">
        <v>30</v>
      </c>
      <c r="D1051" s="6" t="s">
        <v>31</v>
      </c>
      <c r="E1051" t="s">
        <v>815</v>
      </c>
      <c r="F1051" t="s">
        <v>815</v>
      </c>
      <c r="H1051" s="11" t="s">
        <v>27</v>
      </c>
      <c r="I1051" s="6" t="s">
        <v>28</v>
      </c>
      <c r="J1051" s="6" t="s">
        <v>28</v>
      </c>
      <c r="K1051" t="s">
        <v>32</v>
      </c>
      <c r="L1051" s="35">
        <v>26.29</v>
      </c>
      <c r="M1051" s="6" t="s">
        <v>29</v>
      </c>
      <c r="N1051" s="6">
        <v>3105</v>
      </c>
      <c r="P1051" s="18"/>
      <c r="Q1051" s="17"/>
      <c r="R1051" s="19">
        <v>26.29</v>
      </c>
      <c r="S1051" s="19">
        <v>26.29</v>
      </c>
      <c r="T1051" s="38">
        <v>0</v>
      </c>
      <c r="U1051" s="38"/>
      <c r="V1051" s="30">
        <v>26.29</v>
      </c>
      <c r="W1051" s="35">
        <v>26.29</v>
      </c>
      <c r="X1051" s="32">
        <f t="shared" si="176"/>
        <v>0</v>
      </c>
      <c r="Y1051" s="32">
        <f t="shared" si="177"/>
        <v>0</v>
      </c>
      <c r="Z1051" s="32">
        <f t="shared" si="178"/>
        <v>0</v>
      </c>
      <c r="AA1051" s="38" t="s">
        <v>2573</v>
      </c>
      <c r="AB1051" s="37" t="str">
        <f>IFERROR(VLOOKUP(A1051,'Tash Lookup'!A:E,3,FALSE),"")</f>
        <v/>
      </c>
      <c r="AC1051" s="6" t="str">
        <f t="shared" si="179"/>
        <v/>
      </c>
      <c r="AD1051" s="2" t="s">
        <v>6711</v>
      </c>
      <c r="AE1051" s="2" t="s">
        <v>6701</v>
      </c>
      <c r="AF1051" s="56">
        <v>26.29</v>
      </c>
      <c r="AG1051" s="56" t="e">
        <f>VLOOKUP(A1051,Sheet1!$A$2:$C$1140,3,FALSE)</f>
        <v>#N/A</v>
      </c>
      <c r="AH1051" s="58" t="e">
        <v>#N/A</v>
      </c>
      <c r="AI1051" s="56" t="str">
        <f t="shared" si="180"/>
        <v>Delete</v>
      </c>
      <c r="AJ1051" s="81">
        <f t="shared" si="184"/>
        <v>0</v>
      </c>
      <c r="AK1051" s="81">
        <f t="shared" si="185"/>
        <v>0</v>
      </c>
      <c r="AL1051" s="58" t="s">
        <v>7206</v>
      </c>
      <c r="AM1051" s="58" t="s">
        <v>6711</v>
      </c>
      <c r="AN1051" s="75">
        <v>0</v>
      </c>
      <c r="AO1051" s="88">
        <v>26.29</v>
      </c>
      <c r="AP1051" s="6" t="str">
        <f t="shared" si="181"/>
        <v>Delete</v>
      </c>
      <c r="AQ1051" s="81">
        <f t="shared" si="182"/>
        <v>0</v>
      </c>
      <c r="AR1051" s="81">
        <f t="shared" si="183"/>
        <v>0</v>
      </c>
      <c r="AS1051" s="81">
        <f t="shared" si="186"/>
        <v>0</v>
      </c>
    </row>
    <row r="1052" spans="1:45" hidden="1" x14ac:dyDescent="0.3">
      <c r="A1052">
        <v>6183895</v>
      </c>
      <c r="B1052" s="15" t="s">
        <v>6388</v>
      </c>
      <c r="C1052" s="16" t="s">
        <v>30</v>
      </c>
      <c r="D1052" s="6" t="s">
        <v>31</v>
      </c>
      <c r="E1052" t="s">
        <v>818</v>
      </c>
      <c r="F1052" t="s">
        <v>818</v>
      </c>
      <c r="H1052" s="11" t="s">
        <v>27</v>
      </c>
      <c r="I1052" s="6" t="s">
        <v>28</v>
      </c>
      <c r="J1052" s="6" t="s">
        <v>28</v>
      </c>
      <c r="K1052" t="s">
        <v>32</v>
      </c>
      <c r="L1052" s="35">
        <v>4.49</v>
      </c>
      <c r="M1052" s="6" t="s">
        <v>29</v>
      </c>
      <c r="N1052" s="6">
        <v>3105</v>
      </c>
      <c r="P1052" s="18"/>
      <c r="Q1052" s="17"/>
      <c r="R1052" s="19">
        <v>4.49</v>
      </c>
      <c r="S1052" s="19">
        <v>4.49</v>
      </c>
      <c r="T1052" s="38">
        <v>0</v>
      </c>
      <c r="U1052" s="38"/>
      <c r="V1052" s="30">
        <v>4.49</v>
      </c>
      <c r="W1052" s="35">
        <v>4.49</v>
      </c>
      <c r="X1052" s="32">
        <f t="shared" si="176"/>
        <v>0</v>
      </c>
      <c r="Y1052" s="32">
        <f t="shared" si="177"/>
        <v>0</v>
      </c>
      <c r="Z1052" s="32">
        <f t="shared" si="178"/>
        <v>0</v>
      </c>
      <c r="AA1052" s="38" t="s">
        <v>2573</v>
      </c>
      <c r="AB1052" s="37" t="str">
        <f>IFERROR(VLOOKUP(A1052,'Tash Lookup'!A:E,3,FALSE),"")</f>
        <v/>
      </c>
      <c r="AC1052" s="6" t="str">
        <f t="shared" si="179"/>
        <v/>
      </c>
      <c r="AD1052" s="2" t="s">
        <v>6704</v>
      </c>
      <c r="AF1052" s="56">
        <v>4.49</v>
      </c>
      <c r="AG1052" s="56" t="e">
        <f>VLOOKUP(A1052,Sheet1!$A$2:$C$1140,3,FALSE)</f>
        <v>#N/A</v>
      </c>
      <c r="AH1052" s="58" t="e">
        <v>#N/A</v>
      </c>
      <c r="AI1052" s="56" t="str">
        <f t="shared" si="180"/>
        <v>Delete</v>
      </c>
      <c r="AJ1052" s="81">
        <f t="shared" si="184"/>
        <v>0</v>
      </c>
      <c r="AK1052" s="81">
        <f t="shared" si="185"/>
        <v>0</v>
      </c>
      <c r="AL1052" s="58" t="s">
        <v>7206</v>
      </c>
      <c r="AM1052" s="58" t="s">
        <v>6708</v>
      </c>
      <c r="AN1052" s="75">
        <v>0</v>
      </c>
      <c r="AO1052" s="88">
        <v>4.49</v>
      </c>
      <c r="AP1052" s="6" t="str">
        <f t="shared" si="181"/>
        <v>Same</v>
      </c>
      <c r="AQ1052" s="81">
        <f t="shared" si="182"/>
        <v>0</v>
      </c>
      <c r="AR1052" s="81">
        <f t="shared" si="183"/>
        <v>0</v>
      </c>
      <c r="AS1052" s="81">
        <f t="shared" si="186"/>
        <v>0</v>
      </c>
    </row>
    <row r="1053" spans="1:45" hidden="1" x14ac:dyDescent="0.3">
      <c r="A1053">
        <v>6188847</v>
      </c>
      <c r="B1053" s="15" t="s">
        <v>6389</v>
      </c>
      <c r="C1053" s="16" t="s">
        <v>30</v>
      </c>
      <c r="D1053" s="6" t="s">
        <v>31</v>
      </c>
      <c r="E1053" t="s">
        <v>874</v>
      </c>
      <c r="F1053" t="s">
        <v>874</v>
      </c>
      <c r="H1053" s="11" t="s">
        <v>27</v>
      </c>
      <c r="I1053" s="6" t="s">
        <v>28</v>
      </c>
      <c r="J1053" s="6" t="s">
        <v>28</v>
      </c>
      <c r="K1053" t="s">
        <v>32</v>
      </c>
      <c r="L1053" s="35">
        <v>10.210000000000001</v>
      </c>
      <c r="M1053" s="6" t="s">
        <v>29</v>
      </c>
      <c r="N1053" s="6">
        <v>3105</v>
      </c>
      <c r="P1053" s="18"/>
      <c r="Q1053" s="17"/>
      <c r="R1053" s="19">
        <v>10.210000000000001</v>
      </c>
      <c r="S1053" s="19">
        <v>10.210000000000001</v>
      </c>
      <c r="T1053" s="38">
        <v>0</v>
      </c>
      <c r="U1053" s="38"/>
      <c r="V1053" s="30">
        <v>10.210000000000001</v>
      </c>
      <c r="W1053" s="35">
        <v>10.210000000000001</v>
      </c>
      <c r="X1053" s="32">
        <f t="shared" si="176"/>
        <v>0</v>
      </c>
      <c r="Y1053" s="32">
        <f t="shared" si="177"/>
        <v>0</v>
      </c>
      <c r="Z1053" s="32">
        <f t="shared" si="178"/>
        <v>0</v>
      </c>
      <c r="AA1053" s="38" t="s">
        <v>2573</v>
      </c>
      <c r="AB1053" s="37" t="str">
        <f>IFERROR(VLOOKUP(A1053,'Tash Lookup'!A:E,3,FALSE),"")</f>
        <v/>
      </c>
      <c r="AC1053" s="6" t="str">
        <f t="shared" si="179"/>
        <v/>
      </c>
      <c r="AD1053" s="2" t="s">
        <v>6703</v>
      </c>
      <c r="AF1053" s="56">
        <v>10.210000000000001</v>
      </c>
      <c r="AG1053" s="56">
        <f>VLOOKUP(A1053,Sheet1!$A$2:$C$1140,3,FALSE)</f>
        <v>10.42</v>
      </c>
      <c r="AH1053" s="58">
        <v>10.42</v>
      </c>
      <c r="AI1053" s="56" t="str">
        <f t="shared" si="180"/>
        <v>Increase</v>
      </c>
      <c r="AJ1053" s="81">
        <f t="shared" si="184"/>
        <v>0</v>
      </c>
      <c r="AK1053" s="81">
        <f t="shared" si="185"/>
        <v>0</v>
      </c>
      <c r="AL1053" s="58" t="s">
        <v>7206</v>
      </c>
      <c r="AM1053" s="58" t="s">
        <v>6703</v>
      </c>
      <c r="AN1053" s="75">
        <v>1</v>
      </c>
      <c r="AO1053" s="88">
        <v>10.42</v>
      </c>
      <c r="AP1053" s="6" t="str">
        <f t="shared" si="181"/>
        <v>Increase</v>
      </c>
      <c r="AQ1053" s="81">
        <f t="shared" si="182"/>
        <v>10.210000000000001</v>
      </c>
      <c r="AR1053" s="81">
        <f t="shared" si="183"/>
        <v>10.42</v>
      </c>
      <c r="AS1053" s="81">
        <f t="shared" si="186"/>
        <v>0.20999999999999908</v>
      </c>
    </row>
    <row r="1054" spans="1:45" hidden="1" x14ac:dyDescent="0.3">
      <c r="A1054">
        <v>6189789</v>
      </c>
      <c r="B1054" s="15" t="s">
        <v>6390</v>
      </c>
      <c r="C1054" s="16" t="s">
        <v>30</v>
      </c>
      <c r="D1054" s="6" t="s">
        <v>31</v>
      </c>
      <c r="E1054" t="s">
        <v>876</v>
      </c>
      <c r="F1054" t="s">
        <v>876</v>
      </c>
      <c r="H1054" s="11" t="s">
        <v>27</v>
      </c>
      <c r="I1054" s="6" t="s">
        <v>28</v>
      </c>
      <c r="J1054" s="6" t="s">
        <v>28</v>
      </c>
      <c r="K1054" t="s">
        <v>32</v>
      </c>
      <c r="L1054" s="35">
        <v>6.35</v>
      </c>
      <c r="M1054" s="6" t="s">
        <v>29</v>
      </c>
      <c r="N1054" s="6">
        <v>3105</v>
      </c>
      <c r="P1054" s="18"/>
      <c r="Q1054" s="17"/>
      <c r="R1054" s="19">
        <v>7.41</v>
      </c>
      <c r="S1054" s="19">
        <v>7.41</v>
      </c>
      <c r="T1054" s="38">
        <v>0</v>
      </c>
      <c r="U1054" s="38"/>
      <c r="V1054" s="30">
        <v>7.41</v>
      </c>
      <c r="W1054" s="35">
        <v>6.35</v>
      </c>
      <c r="X1054" s="32">
        <f t="shared" si="176"/>
        <v>0</v>
      </c>
      <c r="Y1054" s="32">
        <f t="shared" si="177"/>
        <v>0</v>
      </c>
      <c r="Z1054" s="32">
        <f t="shared" si="178"/>
        <v>0</v>
      </c>
      <c r="AA1054" s="38" t="s">
        <v>2573</v>
      </c>
      <c r="AB1054" s="37" t="str">
        <f>IFERROR(VLOOKUP(A1054,'Tash Lookup'!A:E,3,FALSE),"")</f>
        <v/>
      </c>
      <c r="AC1054" s="6" t="str">
        <f t="shared" si="179"/>
        <v/>
      </c>
      <c r="AD1054" s="2" t="s">
        <v>6703</v>
      </c>
      <c r="AF1054" s="56">
        <v>7.41</v>
      </c>
      <c r="AG1054" s="56">
        <f>VLOOKUP(A1054,Sheet1!$A$2:$C$1140,3,FALSE)</f>
        <v>7.41</v>
      </c>
      <c r="AH1054" s="58">
        <v>7.41</v>
      </c>
      <c r="AI1054" s="56" t="str">
        <f t="shared" si="180"/>
        <v>Same</v>
      </c>
      <c r="AJ1054" s="81">
        <f t="shared" si="184"/>
        <v>0</v>
      </c>
      <c r="AK1054" s="81">
        <f t="shared" si="185"/>
        <v>0</v>
      </c>
      <c r="AL1054" s="58" t="s">
        <v>7206</v>
      </c>
      <c r="AM1054" s="58" t="s">
        <v>6703</v>
      </c>
      <c r="AN1054" s="75">
        <v>0</v>
      </c>
      <c r="AO1054" s="88">
        <v>7.41</v>
      </c>
      <c r="AP1054" s="6" t="str">
        <f t="shared" si="181"/>
        <v>Same</v>
      </c>
      <c r="AQ1054" s="81">
        <f t="shared" si="182"/>
        <v>0</v>
      </c>
      <c r="AR1054" s="81">
        <f t="shared" si="183"/>
        <v>0</v>
      </c>
      <c r="AS1054" s="81">
        <f t="shared" si="186"/>
        <v>0</v>
      </c>
    </row>
    <row r="1055" spans="1:45" hidden="1" x14ac:dyDescent="0.3">
      <c r="A1055">
        <v>6188897</v>
      </c>
      <c r="B1055" s="15" t="s">
        <v>6391</v>
      </c>
      <c r="C1055" s="16" t="s">
        <v>30</v>
      </c>
      <c r="D1055" s="6" t="s">
        <v>31</v>
      </c>
      <c r="E1055" t="s">
        <v>889</v>
      </c>
      <c r="F1055" t="s">
        <v>889</v>
      </c>
      <c r="H1055" s="11" t="s">
        <v>27</v>
      </c>
      <c r="I1055" s="6" t="s">
        <v>28</v>
      </c>
      <c r="J1055" s="6" t="s">
        <v>28</v>
      </c>
      <c r="K1055" t="s">
        <v>32</v>
      </c>
      <c r="L1055" s="35">
        <v>3.61</v>
      </c>
      <c r="M1055" s="6" t="s">
        <v>29</v>
      </c>
      <c r="N1055" s="6">
        <v>3105</v>
      </c>
      <c r="P1055" s="18"/>
      <c r="Q1055" s="17"/>
      <c r="R1055" s="19">
        <v>3.61</v>
      </c>
      <c r="S1055" s="19">
        <v>3.61</v>
      </c>
      <c r="T1055" s="38">
        <v>0</v>
      </c>
      <c r="U1055" s="38"/>
      <c r="V1055" s="30">
        <v>3.61</v>
      </c>
      <c r="W1055" s="35">
        <v>3.61</v>
      </c>
      <c r="X1055" s="32">
        <f t="shared" si="176"/>
        <v>0</v>
      </c>
      <c r="Y1055" s="32">
        <f t="shared" si="177"/>
        <v>0</v>
      </c>
      <c r="Z1055" s="32">
        <f t="shared" si="178"/>
        <v>0</v>
      </c>
      <c r="AA1055" s="38" t="s">
        <v>2573</v>
      </c>
      <c r="AB1055" s="37" t="str">
        <f>IFERROR(VLOOKUP(A1055,'Tash Lookup'!A:E,3,FALSE),"")</f>
        <v/>
      </c>
      <c r="AC1055" s="6" t="str">
        <f t="shared" si="179"/>
        <v/>
      </c>
      <c r="AD1055" s="2" t="s">
        <v>6707</v>
      </c>
      <c r="AF1055" s="56">
        <v>3.61</v>
      </c>
      <c r="AG1055" s="56" t="e">
        <f>VLOOKUP(A1055,Sheet1!$A$2:$C$1140,3,FALSE)</f>
        <v>#N/A</v>
      </c>
      <c r="AH1055" s="58" t="e">
        <v>#N/A</v>
      </c>
      <c r="AI1055" s="56" t="str">
        <f t="shared" si="180"/>
        <v>Delete</v>
      </c>
      <c r="AJ1055" s="81">
        <f t="shared" si="184"/>
        <v>0</v>
      </c>
      <c r="AK1055" s="81">
        <f t="shared" si="185"/>
        <v>0</v>
      </c>
      <c r="AL1055" s="58" t="s">
        <v>7206</v>
      </c>
      <c r="AM1055" s="58" t="s">
        <v>6709</v>
      </c>
      <c r="AN1055" s="75">
        <v>0</v>
      </c>
      <c r="AO1055" s="88">
        <v>3.61</v>
      </c>
      <c r="AP1055" s="6" t="str">
        <f t="shared" si="181"/>
        <v>Same</v>
      </c>
      <c r="AQ1055" s="81">
        <f t="shared" si="182"/>
        <v>0</v>
      </c>
      <c r="AR1055" s="81">
        <f t="shared" si="183"/>
        <v>0</v>
      </c>
      <c r="AS1055" s="81">
        <f t="shared" si="186"/>
        <v>0</v>
      </c>
    </row>
    <row r="1056" spans="1:45" hidden="1" x14ac:dyDescent="0.3">
      <c r="A1056">
        <v>6188934</v>
      </c>
      <c r="B1056" s="15" t="s">
        <v>6392</v>
      </c>
      <c r="C1056" s="16" t="s">
        <v>30</v>
      </c>
      <c r="D1056" s="6" t="s">
        <v>31</v>
      </c>
      <c r="E1056" t="s">
        <v>906</v>
      </c>
      <c r="F1056" t="s">
        <v>906</v>
      </c>
      <c r="H1056" s="11" t="s">
        <v>27</v>
      </c>
      <c r="I1056" s="6" t="s">
        <v>28</v>
      </c>
      <c r="J1056" s="6" t="s">
        <v>28</v>
      </c>
      <c r="K1056" t="s">
        <v>32</v>
      </c>
      <c r="L1056" s="35">
        <v>35.6</v>
      </c>
      <c r="M1056" s="6" t="s">
        <v>29</v>
      </c>
      <c r="N1056" s="6">
        <v>3105</v>
      </c>
      <c r="P1056" s="18"/>
      <c r="Q1056" s="17"/>
      <c r="R1056" s="19">
        <v>35.6</v>
      </c>
      <c r="S1056" s="19">
        <v>35.6</v>
      </c>
      <c r="T1056" s="38">
        <v>0</v>
      </c>
      <c r="U1056" s="38"/>
      <c r="V1056" s="30">
        <v>35.6</v>
      </c>
      <c r="W1056" s="35">
        <v>35.6</v>
      </c>
      <c r="X1056" s="32">
        <f t="shared" si="176"/>
        <v>0</v>
      </c>
      <c r="Y1056" s="32">
        <f t="shared" si="177"/>
        <v>0</v>
      </c>
      <c r="Z1056" s="32">
        <f t="shared" si="178"/>
        <v>0</v>
      </c>
      <c r="AA1056" s="38" t="s">
        <v>2573</v>
      </c>
      <c r="AB1056" s="37" t="str">
        <f>IFERROR(VLOOKUP(A1056,'Tash Lookup'!A:E,3,FALSE),"")</f>
        <v/>
      </c>
      <c r="AC1056" s="6" t="str">
        <f t="shared" si="179"/>
        <v/>
      </c>
      <c r="AD1056" s="2" t="s">
        <v>6704</v>
      </c>
      <c r="AF1056" s="56">
        <v>35.6</v>
      </c>
      <c r="AG1056" s="56" t="e">
        <f>VLOOKUP(A1056,Sheet1!$A$2:$C$1140,3,FALSE)</f>
        <v>#N/A</v>
      </c>
      <c r="AH1056" s="58" t="e">
        <v>#N/A</v>
      </c>
      <c r="AI1056" s="56" t="str">
        <f t="shared" si="180"/>
        <v>Delete</v>
      </c>
      <c r="AJ1056" s="81">
        <f t="shared" si="184"/>
        <v>0</v>
      </c>
      <c r="AK1056" s="81">
        <f t="shared" si="185"/>
        <v>0</v>
      </c>
      <c r="AL1056" s="58" t="s">
        <v>7206</v>
      </c>
      <c r="AM1056" s="58" t="s">
        <v>6708</v>
      </c>
      <c r="AN1056" s="75">
        <v>0</v>
      </c>
      <c r="AO1056" s="88">
        <v>35.6</v>
      </c>
      <c r="AP1056" s="6" t="str">
        <f t="shared" si="181"/>
        <v>Same</v>
      </c>
      <c r="AQ1056" s="81">
        <f t="shared" si="182"/>
        <v>0</v>
      </c>
      <c r="AR1056" s="81">
        <f t="shared" si="183"/>
        <v>0</v>
      </c>
      <c r="AS1056" s="81">
        <f t="shared" si="186"/>
        <v>0</v>
      </c>
    </row>
    <row r="1057" spans="1:45" hidden="1" x14ac:dyDescent="0.3">
      <c r="A1057">
        <v>6291753</v>
      </c>
      <c r="B1057" s="15" t="s">
        <v>6393</v>
      </c>
      <c r="C1057" s="16" t="s">
        <v>30</v>
      </c>
      <c r="D1057" s="6" t="s">
        <v>31</v>
      </c>
      <c r="E1057" t="s">
        <v>2970</v>
      </c>
      <c r="F1057" t="s">
        <v>5209</v>
      </c>
      <c r="H1057" s="11" t="s">
        <v>27</v>
      </c>
      <c r="I1057" s="6" t="s">
        <v>28</v>
      </c>
      <c r="J1057" s="6" t="s">
        <v>28</v>
      </c>
      <c r="K1057" t="s">
        <v>32</v>
      </c>
      <c r="L1057" s="35">
        <v>18.489999999999998</v>
      </c>
      <c r="M1057" s="6" t="s">
        <v>29</v>
      </c>
      <c r="N1057" s="6">
        <v>3105</v>
      </c>
      <c r="P1057" s="18"/>
      <c r="Q1057" s="17"/>
      <c r="R1057" s="19">
        <v>18.489999999999998</v>
      </c>
      <c r="S1057" s="19">
        <v>18.489999999999998</v>
      </c>
      <c r="T1057" s="38">
        <v>0</v>
      </c>
      <c r="U1057" s="38"/>
      <c r="V1057" s="30">
        <v>18.489999999999998</v>
      </c>
      <c r="W1057" s="35">
        <v>18.489999999999998</v>
      </c>
      <c r="X1057" s="32">
        <f t="shared" si="176"/>
        <v>0</v>
      </c>
      <c r="Y1057" s="32">
        <f t="shared" si="177"/>
        <v>0</v>
      </c>
      <c r="Z1057" s="32">
        <f t="shared" si="178"/>
        <v>0</v>
      </c>
      <c r="AA1057" s="38" t="s">
        <v>2573</v>
      </c>
      <c r="AB1057" s="37" t="str">
        <f>IFERROR(VLOOKUP(A1057,'Tash Lookup'!A:E,3,FALSE),"")</f>
        <v/>
      </c>
      <c r="AC1057" s="6" t="str">
        <f t="shared" si="179"/>
        <v/>
      </c>
      <c r="AD1057" s="2" t="s">
        <v>6711</v>
      </c>
      <c r="AE1057" s="2" t="s">
        <v>6701</v>
      </c>
      <c r="AF1057" s="56">
        <v>19.04</v>
      </c>
      <c r="AG1057" s="56" t="e">
        <f>VLOOKUP(A1057,Sheet1!$A$2:$C$1140,3,FALSE)</f>
        <v>#N/A</v>
      </c>
      <c r="AH1057" s="58" t="e">
        <v>#N/A</v>
      </c>
      <c r="AI1057" s="56" t="str">
        <f t="shared" si="180"/>
        <v>Delete</v>
      </c>
      <c r="AJ1057" s="81">
        <f t="shared" si="184"/>
        <v>0</v>
      </c>
      <c r="AK1057" s="81">
        <f t="shared" si="185"/>
        <v>0</v>
      </c>
      <c r="AL1057" s="58" t="s">
        <v>32</v>
      </c>
      <c r="AM1057" s="58" t="s">
        <v>6711</v>
      </c>
      <c r="AN1057" s="75">
        <v>0</v>
      </c>
      <c r="AO1057" s="88">
        <v>19.04</v>
      </c>
      <c r="AP1057" s="6" t="str">
        <f t="shared" si="181"/>
        <v>Delete</v>
      </c>
      <c r="AQ1057" s="81">
        <f t="shared" si="182"/>
        <v>0</v>
      </c>
      <c r="AR1057" s="81">
        <f t="shared" si="183"/>
        <v>0</v>
      </c>
      <c r="AS1057" s="81">
        <f t="shared" si="186"/>
        <v>0</v>
      </c>
    </row>
    <row r="1058" spans="1:45" hidden="1" x14ac:dyDescent="0.3">
      <c r="A1058">
        <v>6291752</v>
      </c>
      <c r="B1058" s="15" t="s">
        <v>6394</v>
      </c>
      <c r="C1058" s="16" t="s">
        <v>30</v>
      </c>
      <c r="D1058" s="6" t="s">
        <v>31</v>
      </c>
      <c r="E1058" t="s">
        <v>2972</v>
      </c>
      <c r="F1058" t="s">
        <v>5211</v>
      </c>
      <c r="H1058" s="11" t="s">
        <v>27</v>
      </c>
      <c r="I1058" s="6" t="s">
        <v>28</v>
      </c>
      <c r="J1058" s="6" t="s">
        <v>28</v>
      </c>
      <c r="K1058" t="s">
        <v>32</v>
      </c>
      <c r="L1058" s="35">
        <v>16.850000000000001</v>
      </c>
      <c r="M1058" s="6" t="s">
        <v>29</v>
      </c>
      <c r="N1058" s="6">
        <v>3105</v>
      </c>
      <c r="P1058" s="18"/>
      <c r="Q1058" s="17"/>
      <c r="R1058" s="19">
        <v>16.850000000000001</v>
      </c>
      <c r="S1058" s="19">
        <v>16.850000000000001</v>
      </c>
      <c r="T1058" s="38">
        <v>0</v>
      </c>
      <c r="U1058" s="38"/>
      <c r="V1058" s="30">
        <v>16.850000000000001</v>
      </c>
      <c r="W1058" s="35">
        <v>16.850000000000001</v>
      </c>
      <c r="X1058" s="32">
        <f t="shared" si="176"/>
        <v>0</v>
      </c>
      <c r="Y1058" s="32">
        <f t="shared" si="177"/>
        <v>0</v>
      </c>
      <c r="Z1058" s="32">
        <f t="shared" si="178"/>
        <v>0</v>
      </c>
      <c r="AA1058" s="38" t="s">
        <v>2573</v>
      </c>
      <c r="AB1058" s="37" t="str">
        <f>IFERROR(VLOOKUP(A1058,'Tash Lookup'!A:E,3,FALSE),"")</f>
        <v/>
      </c>
      <c r="AC1058" s="6" t="str">
        <f t="shared" si="179"/>
        <v/>
      </c>
      <c r="AD1058" s="2" t="s">
        <v>6704</v>
      </c>
      <c r="AF1058" s="56">
        <v>17.36</v>
      </c>
      <c r="AG1058" s="56" t="e">
        <f>VLOOKUP(A1058,Sheet1!$A$2:$C$1140,3,FALSE)</f>
        <v>#N/A</v>
      </c>
      <c r="AH1058" s="58" t="e">
        <v>#N/A</v>
      </c>
      <c r="AI1058" s="56" t="str">
        <f t="shared" si="180"/>
        <v>Delete</v>
      </c>
      <c r="AJ1058" s="81">
        <f t="shared" si="184"/>
        <v>0</v>
      </c>
      <c r="AK1058" s="81">
        <f t="shared" si="185"/>
        <v>0</v>
      </c>
      <c r="AL1058" s="58" t="s">
        <v>32</v>
      </c>
      <c r="AM1058" s="58" t="s">
        <v>6708</v>
      </c>
      <c r="AN1058" s="75">
        <v>0</v>
      </c>
      <c r="AO1058" s="88">
        <v>17.36</v>
      </c>
      <c r="AP1058" s="6" t="str">
        <f t="shared" si="181"/>
        <v>Same</v>
      </c>
      <c r="AQ1058" s="81">
        <f t="shared" si="182"/>
        <v>0</v>
      </c>
      <c r="AR1058" s="81">
        <f t="shared" si="183"/>
        <v>0</v>
      </c>
      <c r="AS1058" s="81">
        <f t="shared" si="186"/>
        <v>0</v>
      </c>
    </row>
    <row r="1059" spans="1:45" hidden="1" x14ac:dyDescent="0.3">
      <c r="A1059">
        <v>5089020</v>
      </c>
      <c r="B1059" s="15" t="s">
        <v>6395</v>
      </c>
      <c r="C1059" s="16" t="s">
        <v>30</v>
      </c>
      <c r="D1059" s="6" t="s">
        <v>31</v>
      </c>
      <c r="E1059" t="s">
        <v>433</v>
      </c>
      <c r="F1059" t="s">
        <v>433</v>
      </c>
      <c r="H1059" s="11" t="s">
        <v>27</v>
      </c>
      <c r="I1059" s="6" t="s">
        <v>28</v>
      </c>
      <c r="J1059" s="6" t="s">
        <v>28</v>
      </c>
      <c r="K1059" t="s">
        <v>32</v>
      </c>
      <c r="L1059" s="35">
        <v>19.87</v>
      </c>
      <c r="M1059" s="6" t="s">
        <v>29</v>
      </c>
      <c r="N1059" s="6">
        <v>3105</v>
      </c>
      <c r="P1059" s="18"/>
      <c r="Q1059" s="17"/>
      <c r="R1059" s="19">
        <v>19.87</v>
      </c>
      <c r="S1059" s="19">
        <v>19.87</v>
      </c>
      <c r="T1059" s="38">
        <v>0</v>
      </c>
      <c r="U1059" s="38"/>
      <c r="V1059" s="29">
        <v>19.87</v>
      </c>
      <c r="W1059" s="35">
        <v>19.87</v>
      </c>
      <c r="X1059" s="32">
        <f t="shared" si="176"/>
        <v>0</v>
      </c>
      <c r="Y1059" s="32">
        <f t="shared" si="177"/>
        <v>0</v>
      </c>
      <c r="Z1059" s="32">
        <f t="shared" si="178"/>
        <v>0</v>
      </c>
      <c r="AA1059" s="38" t="s">
        <v>2573</v>
      </c>
      <c r="AB1059" s="37" t="str">
        <f>IFERROR(VLOOKUP(A1059,'Tash Lookup'!A:E,3,FALSE),"")</f>
        <v/>
      </c>
      <c r="AC1059" s="6" t="str">
        <f t="shared" si="179"/>
        <v/>
      </c>
      <c r="AD1059" s="2" t="s">
        <v>6704</v>
      </c>
      <c r="AF1059" s="56">
        <v>19.87</v>
      </c>
      <c r="AG1059" s="56" t="e">
        <f>VLOOKUP(A1059,Sheet1!$A$2:$C$1140,3,FALSE)</f>
        <v>#N/A</v>
      </c>
      <c r="AH1059" s="58" t="e">
        <v>#N/A</v>
      </c>
      <c r="AI1059" s="56" t="str">
        <f t="shared" si="180"/>
        <v>Delete</v>
      </c>
      <c r="AJ1059" s="81">
        <f t="shared" si="184"/>
        <v>0</v>
      </c>
      <c r="AK1059" s="81">
        <f t="shared" si="185"/>
        <v>0</v>
      </c>
      <c r="AL1059" s="58" t="s">
        <v>32</v>
      </c>
      <c r="AM1059" s="58" t="s">
        <v>6708</v>
      </c>
      <c r="AN1059" s="75">
        <v>0</v>
      </c>
      <c r="AO1059" s="88">
        <v>19.87</v>
      </c>
      <c r="AP1059" s="6" t="str">
        <f t="shared" si="181"/>
        <v>Same</v>
      </c>
      <c r="AQ1059" s="81">
        <f t="shared" si="182"/>
        <v>0</v>
      </c>
      <c r="AR1059" s="81">
        <f t="shared" si="183"/>
        <v>0</v>
      </c>
      <c r="AS1059" s="81">
        <f t="shared" si="186"/>
        <v>0</v>
      </c>
    </row>
    <row r="1060" spans="1:45" hidden="1" x14ac:dyDescent="0.3">
      <c r="A1060">
        <v>5090819</v>
      </c>
      <c r="B1060" s="15" t="s">
        <v>6396</v>
      </c>
      <c r="C1060" s="16" t="s">
        <v>30</v>
      </c>
      <c r="D1060" s="6" t="s">
        <v>31</v>
      </c>
      <c r="E1060" t="s">
        <v>434</v>
      </c>
      <c r="F1060" t="s">
        <v>434</v>
      </c>
      <c r="H1060" s="11" t="s">
        <v>27</v>
      </c>
      <c r="I1060" s="6" t="s">
        <v>28</v>
      </c>
      <c r="J1060" s="6" t="s">
        <v>28</v>
      </c>
      <c r="K1060" t="s">
        <v>32</v>
      </c>
      <c r="L1060" s="35">
        <v>17.95</v>
      </c>
      <c r="M1060" s="6" t="s">
        <v>29</v>
      </c>
      <c r="N1060" s="6">
        <v>3105</v>
      </c>
      <c r="P1060" s="18"/>
      <c r="Q1060" s="17"/>
      <c r="R1060" s="19">
        <v>17.95</v>
      </c>
      <c r="S1060" s="19">
        <v>17.95</v>
      </c>
      <c r="T1060" s="38">
        <v>0</v>
      </c>
      <c r="U1060" s="38"/>
      <c r="V1060" s="29">
        <v>17.940000000000001</v>
      </c>
      <c r="W1060" s="35">
        <v>17.95</v>
      </c>
      <c r="X1060" s="32">
        <f t="shared" si="176"/>
        <v>0</v>
      </c>
      <c r="Y1060" s="32">
        <f t="shared" si="177"/>
        <v>0</v>
      </c>
      <c r="Z1060" s="32">
        <f t="shared" si="178"/>
        <v>0</v>
      </c>
      <c r="AA1060" s="38" t="s">
        <v>2573</v>
      </c>
      <c r="AB1060" s="37" t="str">
        <f>IFERROR(VLOOKUP(A1060,'Tash Lookup'!A:E,3,FALSE),"")</f>
        <v/>
      </c>
      <c r="AC1060" s="6" t="str">
        <f t="shared" si="179"/>
        <v/>
      </c>
      <c r="AD1060" s="2" t="s">
        <v>6703</v>
      </c>
      <c r="AF1060" s="56">
        <v>17.940000000000001</v>
      </c>
      <c r="AG1060" s="56">
        <f>VLOOKUP(A1060,Sheet1!$A$2:$C$1140,3,FALSE)</f>
        <v>18.48</v>
      </c>
      <c r="AH1060" s="58">
        <v>18.48</v>
      </c>
      <c r="AI1060" s="56" t="str">
        <f t="shared" si="180"/>
        <v>Increase</v>
      </c>
      <c r="AJ1060" s="81">
        <f t="shared" si="184"/>
        <v>0</v>
      </c>
      <c r="AK1060" s="81">
        <f t="shared" si="185"/>
        <v>0</v>
      </c>
      <c r="AL1060" s="58" t="s">
        <v>32</v>
      </c>
      <c r="AM1060" s="58" t="s">
        <v>6703</v>
      </c>
      <c r="AN1060" s="75">
        <v>0</v>
      </c>
      <c r="AO1060" s="88">
        <v>18.48</v>
      </c>
      <c r="AP1060" s="6" t="str">
        <f t="shared" si="181"/>
        <v>Increase</v>
      </c>
      <c r="AQ1060" s="81">
        <f t="shared" si="182"/>
        <v>0</v>
      </c>
      <c r="AR1060" s="81">
        <f t="shared" si="183"/>
        <v>0</v>
      </c>
      <c r="AS1060" s="81">
        <f t="shared" si="186"/>
        <v>0</v>
      </c>
    </row>
    <row r="1061" spans="1:45" hidden="1" x14ac:dyDescent="0.3">
      <c r="A1061">
        <v>5576890</v>
      </c>
      <c r="B1061" s="15" t="s">
        <v>6397</v>
      </c>
      <c r="C1061" s="16" t="s">
        <v>30</v>
      </c>
      <c r="D1061" s="6" t="s">
        <v>31</v>
      </c>
      <c r="E1061" t="s">
        <v>45</v>
      </c>
      <c r="F1061" t="s">
        <v>45</v>
      </c>
      <c r="H1061" s="11" t="s">
        <v>27</v>
      </c>
      <c r="I1061" s="6" t="s">
        <v>28</v>
      </c>
      <c r="J1061" s="6" t="s">
        <v>28</v>
      </c>
      <c r="K1061" t="s">
        <v>32</v>
      </c>
      <c r="L1061" s="35">
        <v>67.55</v>
      </c>
      <c r="M1061" s="6" t="s">
        <v>29</v>
      </c>
      <c r="N1061" s="6">
        <v>3105</v>
      </c>
      <c r="P1061" s="18"/>
      <c r="Q1061" s="17"/>
      <c r="R1061" s="19">
        <v>67.55</v>
      </c>
      <c r="S1061" s="19">
        <v>67.55</v>
      </c>
      <c r="T1061" s="38">
        <v>0</v>
      </c>
      <c r="U1061" s="38"/>
      <c r="V1061" s="30">
        <v>67.55</v>
      </c>
      <c r="W1061" s="35">
        <v>67.55</v>
      </c>
      <c r="X1061" s="32">
        <f t="shared" si="176"/>
        <v>0</v>
      </c>
      <c r="Y1061" s="32">
        <f t="shared" si="177"/>
        <v>0</v>
      </c>
      <c r="Z1061" s="32">
        <f t="shared" si="178"/>
        <v>0</v>
      </c>
      <c r="AA1061" s="38" t="s">
        <v>2573</v>
      </c>
      <c r="AB1061" s="37" t="str">
        <f>IFERROR(VLOOKUP(A1061,'Tash Lookup'!A:E,3,FALSE),"")</f>
        <v/>
      </c>
      <c r="AC1061" s="6" t="str">
        <f t="shared" si="179"/>
        <v/>
      </c>
      <c r="AD1061" s="2" t="s">
        <v>6704</v>
      </c>
      <c r="AF1061" s="56">
        <v>41.01</v>
      </c>
      <c r="AG1061" s="56" t="e">
        <f>VLOOKUP(A1061,Sheet1!$A$2:$C$1140,3,FALSE)</f>
        <v>#N/A</v>
      </c>
      <c r="AH1061" s="58" t="e">
        <v>#N/A</v>
      </c>
      <c r="AI1061" s="56" t="str">
        <f t="shared" si="180"/>
        <v>Delete</v>
      </c>
      <c r="AJ1061" s="81">
        <f t="shared" si="184"/>
        <v>0</v>
      </c>
      <c r="AK1061" s="81">
        <f t="shared" si="185"/>
        <v>0</v>
      </c>
      <c r="AL1061" s="58" t="s">
        <v>32</v>
      </c>
      <c r="AM1061" s="58" t="s">
        <v>6704</v>
      </c>
      <c r="AN1061" s="75">
        <v>0</v>
      </c>
      <c r="AO1061" s="88">
        <v>41.01</v>
      </c>
      <c r="AP1061" s="6" t="str">
        <f t="shared" si="181"/>
        <v>Same</v>
      </c>
      <c r="AQ1061" s="81">
        <f t="shared" si="182"/>
        <v>0</v>
      </c>
      <c r="AR1061" s="81">
        <f t="shared" si="183"/>
        <v>0</v>
      </c>
      <c r="AS1061" s="81">
        <f t="shared" si="186"/>
        <v>0</v>
      </c>
    </row>
    <row r="1062" spans="1:45" hidden="1" x14ac:dyDescent="0.3">
      <c r="A1062">
        <v>5580759</v>
      </c>
      <c r="B1062" s="15" t="s">
        <v>6398</v>
      </c>
      <c r="C1062" s="16" t="s">
        <v>30</v>
      </c>
      <c r="D1062" s="6" t="s">
        <v>31</v>
      </c>
      <c r="E1062" t="s">
        <v>46</v>
      </c>
      <c r="F1062" t="s">
        <v>46</v>
      </c>
      <c r="H1062" s="11" t="s">
        <v>27</v>
      </c>
      <c r="I1062" s="6" t="s">
        <v>28</v>
      </c>
      <c r="J1062" s="6" t="s">
        <v>28</v>
      </c>
      <c r="K1062" t="s">
        <v>32</v>
      </c>
      <c r="L1062" s="35">
        <v>36.51</v>
      </c>
      <c r="M1062" s="6" t="s">
        <v>29</v>
      </c>
      <c r="N1062" s="6">
        <v>3105</v>
      </c>
      <c r="P1062" s="18"/>
      <c r="Q1062" s="17"/>
      <c r="R1062" s="19">
        <v>36.51</v>
      </c>
      <c r="S1062" s="19">
        <v>36.51</v>
      </c>
      <c r="T1062" s="38">
        <v>0</v>
      </c>
      <c r="U1062" s="38"/>
      <c r="V1062" s="30">
        <v>36.51</v>
      </c>
      <c r="W1062" s="35">
        <v>36.51</v>
      </c>
      <c r="X1062" s="32">
        <f t="shared" si="176"/>
        <v>0</v>
      </c>
      <c r="Y1062" s="32">
        <f t="shared" si="177"/>
        <v>0</v>
      </c>
      <c r="Z1062" s="32">
        <f t="shared" si="178"/>
        <v>0</v>
      </c>
      <c r="AA1062" s="38" t="s">
        <v>2573</v>
      </c>
      <c r="AB1062" s="37" t="str">
        <f>IFERROR(VLOOKUP(A1062,'Tash Lookup'!A:E,3,FALSE),"")</f>
        <v/>
      </c>
      <c r="AC1062" s="6" t="str">
        <f t="shared" si="179"/>
        <v/>
      </c>
      <c r="AD1062" s="2" t="s">
        <v>6703</v>
      </c>
      <c r="AF1062" s="56">
        <v>27.01</v>
      </c>
      <c r="AG1062" s="56" t="e">
        <f>VLOOKUP(A1062,Sheet1!$A$2:$C$1140,3,FALSE)</f>
        <v>#N/A</v>
      </c>
      <c r="AH1062" s="58" t="e">
        <v>#N/A</v>
      </c>
      <c r="AI1062" s="56" t="str">
        <f t="shared" si="180"/>
        <v>Delete</v>
      </c>
      <c r="AJ1062" s="81">
        <f t="shared" si="184"/>
        <v>0</v>
      </c>
      <c r="AK1062" s="81">
        <f t="shared" si="185"/>
        <v>0</v>
      </c>
      <c r="AL1062" s="58" t="s">
        <v>32</v>
      </c>
      <c r="AM1062" s="58" t="s">
        <v>6703</v>
      </c>
      <c r="AN1062" s="75">
        <v>0</v>
      </c>
      <c r="AO1062" s="88">
        <v>27.01</v>
      </c>
      <c r="AP1062" s="6" t="str">
        <f t="shared" si="181"/>
        <v>Same</v>
      </c>
      <c r="AQ1062" s="81">
        <f t="shared" si="182"/>
        <v>0</v>
      </c>
      <c r="AR1062" s="81">
        <f t="shared" si="183"/>
        <v>0</v>
      </c>
      <c r="AS1062" s="81">
        <f t="shared" si="186"/>
        <v>0</v>
      </c>
    </row>
    <row r="1063" spans="1:45" hidden="1" x14ac:dyDescent="0.3">
      <c r="A1063">
        <v>5518980</v>
      </c>
      <c r="B1063" s="15" t="s">
        <v>6399</v>
      </c>
      <c r="C1063" s="16" t="s">
        <v>30</v>
      </c>
      <c r="D1063" s="6" t="s">
        <v>31</v>
      </c>
      <c r="E1063" t="s">
        <v>99</v>
      </c>
      <c r="F1063" t="s">
        <v>99</v>
      </c>
      <c r="H1063" s="11" t="s">
        <v>27</v>
      </c>
      <c r="I1063" s="6" t="s">
        <v>28</v>
      </c>
      <c r="J1063" s="6" t="s">
        <v>28</v>
      </c>
      <c r="K1063" t="s">
        <v>32</v>
      </c>
      <c r="L1063" s="35">
        <v>65.150000000000006</v>
      </c>
      <c r="M1063" s="6" t="s">
        <v>29</v>
      </c>
      <c r="N1063" s="6">
        <v>3105</v>
      </c>
      <c r="P1063" s="18"/>
      <c r="Q1063" s="17"/>
      <c r="R1063" s="19">
        <v>65.150000000000006</v>
      </c>
      <c r="S1063" s="19">
        <v>65.150000000000006</v>
      </c>
      <c r="T1063" s="38">
        <v>0</v>
      </c>
      <c r="U1063" s="38"/>
      <c r="V1063" s="30">
        <v>65.150000000000006</v>
      </c>
      <c r="W1063" s="35">
        <v>65.150000000000006</v>
      </c>
      <c r="X1063" s="32">
        <f t="shared" si="176"/>
        <v>0</v>
      </c>
      <c r="Y1063" s="32">
        <f t="shared" si="177"/>
        <v>0</v>
      </c>
      <c r="Z1063" s="32">
        <f t="shared" si="178"/>
        <v>0</v>
      </c>
      <c r="AA1063" s="38" t="s">
        <v>2573</v>
      </c>
      <c r="AB1063" s="37" t="str">
        <f>IFERROR(VLOOKUP(A1063,'Tash Lookup'!A:E,3,FALSE),"")</f>
        <v/>
      </c>
      <c r="AC1063" s="6" t="str">
        <f t="shared" si="179"/>
        <v/>
      </c>
      <c r="AD1063" s="2" t="s">
        <v>6704</v>
      </c>
      <c r="AF1063" s="56">
        <v>56.39</v>
      </c>
      <c r="AG1063" s="56" t="e">
        <f>VLOOKUP(A1063,Sheet1!$A$2:$C$1140,3,FALSE)</f>
        <v>#N/A</v>
      </c>
      <c r="AH1063" s="58" t="e">
        <v>#N/A</v>
      </c>
      <c r="AI1063" s="56" t="str">
        <f t="shared" si="180"/>
        <v>Delete</v>
      </c>
      <c r="AJ1063" s="81">
        <f t="shared" si="184"/>
        <v>0</v>
      </c>
      <c r="AK1063" s="81">
        <f t="shared" si="185"/>
        <v>0</v>
      </c>
      <c r="AL1063" s="58" t="s">
        <v>32</v>
      </c>
      <c r="AM1063" s="58" t="s">
        <v>6704</v>
      </c>
      <c r="AN1063" s="75">
        <v>0</v>
      </c>
      <c r="AO1063" s="88">
        <v>56.39</v>
      </c>
      <c r="AP1063" s="6" t="str">
        <f t="shared" si="181"/>
        <v>Same</v>
      </c>
      <c r="AQ1063" s="81">
        <f t="shared" si="182"/>
        <v>0</v>
      </c>
      <c r="AR1063" s="81">
        <f t="shared" si="183"/>
        <v>0</v>
      </c>
      <c r="AS1063" s="81">
        <f t="shared" si="186"/>
        <v>0</v>
      </c>
    </row>
    <row r="1064" spans="1:45" hidden="1" x14ac:dyDescent="0.3">
      <c r="A1064">
        <v>5091192</v>
      </c>
      <c r="B1064" s="15" t="s">
        <v>6400</v>
      </c>
      <c r="C1064" s="16" t="s">
        <v>30</v>
      </c>
      <c r="D1064" s="6" t="s">
        <v>31</v>
      </c>
      <c r="E1064" t="s">
        <v>435</v>
      </c>
      <c r="F1064" t="s">
        <v>435</v>
      </c>
      <c r="H1064" s="11" t="s">
        <v>27</v>
      </c>
      <c r="I1064" s="6" t="s">
        <v>28</v>
      </c>
      <c r="J1064" s="6" t="s">
        <v>28</v>
      </c>
      <c r="K1064" t="s">
        <v>32</v>
      </c>
      <c r="L1064" s="35">
        <v>13.52</v>
      </c>
      <c r="M1064" s="6" t="s">
        <v>29</v>
      </c>
      <c r="N1064" s="6">
        <v>3105</v>
      </c>
      <c r="P1064" s="18"/>
      <c r="Q1064" s="17"/>
      <c r="R1064" s="19">
        <v>13.52</v>
      </c>
      <c r="S1064" s="19">
        <v>13.52</v>
      </c>
      <c r="T1064" s="38">
        <v>0</v>
      </c>
      <c r="U1064" s="38"/>
      <c r="V1064" s="30">
        <v>13.52</v>
      </c>
      <c r="W1064" s="35">
        <v>13.52</v>
      </c>
      <c r="X1064" s="32">
        <f t="shared" si="176"/>
        <v>0</v>
      </c>
      <c r="Y1064" s="32">
        <f t="shared" si="177"/>
        <v>0</v>
      </c>
      <c r="Z1064" s="32">
        <f t="shared" si="178"/>
        <v>0</v>
      </c>
      <c r="AA1064" s="38" t="s">
        <v>2573</v>
      </c>
      <c r="AB1064" s="37" t="str">
        <f>IFERROR(VLOOKUP(A1064,'Tash Lookup'!A:E,3,FALSE),"")</f>
        <v/>
      </c>
      <c r="AC1064" s="6" t="str">
        <f t="shared" si="179"/>
        <v/>
      </c>
      <c r="AD1064" s="2" t="s">
        <v>6704</v>
      </c>
      <c r="AF1064" s="56">
        <v>13.52</v>
      </c>
      <c r="AG1064" s="56" t="e">
        <f>VLOOKUP(A1064,Sheet1!$A$2:$C$1140,3,FALSE)</f>
        <v>#N/A</v>
      </c>
      <c r="AH1064" s="58" t="e">
        <v>#N/A</v>
      </c>
      <c r="AI1064" s="56" t="str">
        <f t="shared" si="180"/>
        <v>Delete</v>
      </c>
      <c r="AJ1064" s="81">
        <f t="shared" si="184"/>
        <v>0</v>
      </c>
      <c r="AK1064" s="81">
        <f t="shared" si="185"/>
        <v>0</v>
      </c>
      <c r="AL1064" s="58" t="s">
        <v>32</v>
      </c>
      <c r="AM1064" s="58" t="s">
        <v>6708</v>
      </c>
      <c r="AN1064" s="75">
        <v>0</v>
      </c>
      <c r="AO1064" s="88">
        <v>13.52</v>
      </c>
      <c r="AP1064" s="6" t="str">
        <f t="shared" si="181"/>
        <v>Same</v>
      </c>
      <c r="AQ1064" s="81">
        <f t="shared" si="182"/>
        <v>0</v>
      </c>
      <c r="AR1064" s="81">
        <f t="shared" si="183"/>
        <v>0</v>
      </c>
      <c r="AS1064" s="81">
        <f t="shared" si="186"/>
        <v>0</v>
      </c>
    </row>
    <row r="1065" spans="1:45" hidden="1" x14ac:dyDescent="0.3">
      <c r="A1065">
        <v>5183325</v>
      </c>
      <c r="B1065" s="15" t="s">
        <v>6401</v>
      </c>
      <c r="C1065" s="16" t="s">
        <v>30</v>
      </c>
      <c r="D1065" s="6" t="s">
        <v>31</v>
      </c>
      <c r="E1065" t="s">
        <v>439</v>
      </c>
      <c r="F1065" t="s">
        <v>439</v>
      </c>
      <c r="H1065" s="11" t="s">
        <v>27</v>
      </c>
      <c r="I1065" s="6" t="s">
        <v>28</v>
      </c>
      <c r="J1065" s="6" t="s">
        <v>28</v>
      </c>
      <c r="K1065" t="s">
        <v>32</v>
      </c>
      <c r="L1065" s="35">
        <v>28.28</v>
      </c>
      <c r="M1065" s="6" t="s">
        <v>29</v>
      </c>
      <c r="N1065" s="6">
        <v>3105</v>
      </c>
      <c r="P1065" s="18"/>
      <c r="Q1065" s="17"/>
      <c r="R1065" s="19">
        <v>28.28</v>
      </c>
      <c r="S1065" s="19">
        <v>28.28</v>
      </c>
      <c r="T1065" s="38">
        <v>0</v>
      </c>
      <c r="U1065" s="38"/>
      <c r="V1065" s="30">
        <v>28.28</v>
      </c>
      <c r="W1065" s="35">
        <v>28.28</v>
      </c>
      <c r="X1065" s="32">
        <f t="shared" si="176"/>
        <v>0</v>
      </c>
      <c r="Y1065" s="32">
        <f t="shared" si="177"/>
        <v>0</v>
      </c>
      <c r="Z1065" s="32">
        <f t="shared" si="178"/>
        <v>0</v>
      </c>
      <c r="AA1065" s="38" t="s">
        <v>2573</v>
      </c>
      <c r="AB1065" s="37" t="str">
        <f>IFERROR(VLOOKUP(A1065,'Tash Lookup'!A:E,3,FALSE),"")</f>
        <v/>
      </c>
      <c r="AC1065" s="6" t="str">
        <f t="shared" si="179"/>
        <v/>
      </c>
      <c r="AD1065" s="2" t="s">
        <v>6708</v>
      </c>
      <c r="AF1065" s="56">
        <v>28.28</v>
      </c>
      <c r="AG1065" s="56">
        <f>VLOOKUP(A1065,Sheet1!$A$2:$C$1140,3,FALSE)</f>
        <v>28.28</v>
      </c>
      <c r="AH1065" s="58">
        <v>28.28</v>
      </c>
      <c r="AI1065" s="56" t="str">
        <f t="shared" si="180"/>
        <v>Same</v>
      </c>
      <c r="AJ1065" s="81">
        <f t="shared" si="184"/>
        <v>0</v>
      </c>
      <c r="AK1065" s="81">
        <f t="shared" si="185"/>
        <v>0</v>
      </c>
      <c r="AL1065" s="58" t="s">
        <v>32</v>
      </c>
      <c r="AM1065" s="58" t="s">
        <v>6708</v>
      </c>
      <c r="AN1065" s="75">
        <v>0</v>
      </c>
      <c r="AO1065" s="88">
        <v>28.28</v>
      </c>
      <c r="AP1065" s="6" t="str">
        <f t="shared" si="181"/>
        <v>Same</v>
      </c>
      <c r="AQ1065" s="81">
        <f t="shared" si="182"/>
        <v>0</v>
      </c>
      <c r="AR1065" s="81">
        <f t="shared" si="183"/>
        <v>0</v>
      </c>
      <c r="AS1065" s="81">
        <f t="shared" si="186"/>
        <v>0</v>
      </c>
    </row>
    <row r="1066" spans="1:45" hidden="1" x14ac:dyDescent="0.3">
      <c r="A1066">
        <v>5083552</v>
      </c>
      <c r="B1066" s="15" t="s">
        <v>6402</v>
      </c>
      <c r="C1066" s="16" t="s">
        <v>30</v>
      </c>
      <c r="D1066" s="6" t="s">
        <v>31</v>
      </c>
      <c r="E1066" t="s">
        <v>444</v>
      </c>
      <c r="F1066" t="s">
        <v>444</v>
      </c>
      <c r="H1066" s="11" t="s">
        <v>27</v>
      </c>
      <c r="I1066" s="6" t="s">
        <v>28</v>
      </c>
      <c r="J1066" s="6" t="s">
        <v>28</v>
      </c>
      <c r="K1066" t="s">
        <v>32</v>
      </c>
      <c r="L1066" s="35">
        <v>57.61</v>
      </c>
      <c r="M1066" s="6" t="s">
        <v>29</v>
      </c>
      <c r="N1066" s="6">
        <v>3105</v>
      </c>
      <c r="P1066" s="18"/>
      <c r="Q1066" s="17"/>
      <c r="R1066" s="19">
        <v>57.61</v>
      </c>
      <c r="S1066" s="19">
        <v>57.61</v>
      </c>
      <c r="T1066" s="38">
        <v>0</v>
      </c>
      <c r="U1066" s="38"/>
      <c r="V1066" s="30">
        <v>57.61</v>
      </c>
      <c r="W1066" s="35">
        <v>57.61</v>
      </c>
      <c r="X1066" s="32">
        <f t="shared" si="176"/>
        <v>0</v>
      </c>
      <c r="Y1066" s="32">
        <f t="shared" si="177"/>
        <v>0</v>
      </c>
      <c r="Z1066" s="32">
        <f t="shared" si="178"/>
        <v>0</v>
      </c>
      <c r="AA1066" s="38" t="s">
        <v>2573</v>
      </c>
      <c r="AB1066" s="37" t="str">
        <f>IFERROR(VLOOKUP(A1066,'Tash Lookup'!A:E,3,FALSE),"")</f>
        <v/>
      </c>
      <c r="AC1066" s="6" t="str">
        <f t="shared" si="179"/>
        <v/>
      </c>
      <c r="AD1066" s="2" t="s">
        <v>6703</v>
      </c>
      <c r="AF1066" s="56">
        <v>50.46</v>
      </c>
      <c r="AG1066" s="56">
        <f>VLOOKUP(A1066,Sheet1!$A$2:$C$1140,3,FALSE)</f>
        <v>51.98</v>
      </c>
      <c r="AH1066" s="58">
        <v>51.98</v>
      </c>
      <c r="AI1066" s="56" t="str">
        <f t="shared" si="180"/>
        <v>Increase</v>
      </c>
      <c r="AJ1066" s="81">
        <f t="shared" si="184"/>
        <v>0</v>
      </c>
      <c r="AK1066" s="81">
        <f t="shared" si="185"/>
        <v>0</v>
      </c>
      <c r="AL1066" s="58" t="s">
        <v>32</v>
      </c>
      <c r="AM1066" s="58" t="s">
        <v>6703</v>
      </c>
      <c r="AN1066" s="75">
        <v>0</v>
      </c>
      <c r="AO1066" s="88">
        <v>51.98</v>
      </c>
      <c r="AP1066" s="6" t="str">
        <f t="shared" si="181"/>
        <v>Increase</v>
      </c>
      <c r="AQ1066" s="81">
        <f t="shared" si="182"/>
        <v>0</v>
      </c>
      <c r="AR1066" s="81">
        <f t="shared" si="183"/>
        <v>0</v>
      </c>
      <c r="AS1066" s="81">
        <f t="shared" si="186"/>
        <v>0</v>
      </c>
    </row>
    <row r="1067" spans="1:45" hidden="1" x14ac:dyDescent="0.3">
      <c r="A1067">
        <v>5096810</v>
      </c>
      <c r="B1067" s="15" t="s">
        <v>6403</v>
      </c>
      <c r="C1067" s="16" t="s">
        <v>30</v>
      </c>
      <c r="D1067" s="6" t="s">
        <v>31</v>
      </c>
      <c r="E1067" t="s">
        <v>446</v>
      </c>
      <c r="F1067" t="s">
        <v>446</v>
      </c>
      <c r="H1067" s="11" t="s">
        <v>27</v>
      </c>
      <c r="I1067" s="6" t="s">
        <v>28</v>
      </c>
      <c r="J1067" s="6" t="s">
        <v>28</v>
      </c>
      <c r="K1067" t="s">
        <v>32</v>
      </c>
      <c r="L1067" s="35">
        <v>13.84</v>
      </c>
      <c r="M1067" s="6" t="s">
        <v>29</v>
      </c>
      <c r="N1067" s="6">
        <v>3105</v>
      </c>
      <c r="P1067" s="18"/>
      <c r="Q1067" s="17"/>
      <c r="R1067" s="19">
        <v>13.84</v>
      </c>
      <c r="S1067" s="19">
        <v>13.84</v>
      </c>
      <c r="T1067" s="38">
        <v>0</v>
      </c>
      <c r="U1067" s="38"/>
      <c r="V1067" s="30">
        <v>13.84</v>
      </c>
      <c r="W1067" s="35">
        <v>13.84</v>
      </c>
      <c r="X1067" s="32">
        <f t="shared" si="176"/>
        <v>0</v>
      </c>
      <c r="Y1067" s="32">
        <f t="shared" si="177"/>
        <v>0</v>
      </c>
      <c r="Z1067" s="32">
        <f t="shared" si="178"/>
        <v>0</v>
      </c>
      <c r="AA1067" s="38" t="s">
        <v>2573</v>
      </c>
      <c r="AB1067" s="37" t="str">
        <f>IFERROR(VLOOKUP(A1067,'Tash Lookup'!A:E,3,FALSE),"")</f>
        <v/>
      </c>
      <c r="AC1067" s="6" t="str">
        <f t="shared" si="179"/>
        <v/>
      </c>
      <c r="AD1067" s="2" t="s">
        <v>6703</v>
      </c>
      <c r="AF1067" s="56">
        <v>13.84</v>
      </c>
      <c r="AG1067" s="56">
        <f>VLOOKUP(A1067,Sheet1!$A$2:$C$1140,3,FALSE)</f>
        <v>14.25</v>
      </c>
      <c r="AH1067" s="58">
        <v>14.25</v>
      </c>
      <c r="AI1067" s="56" t="str">
        <f t="shared" si="180"/>
        <v>Increase</v>
      </c>
      <c r="AJ1067" s="81">
        <f t="shared" si="184"/>
        <v>0</v>
      </c>
      <c r="AK1067" s="81">
        <f t="shared" si="185"/>
        <v>0</v>
      </c>
      <c r="AL1067" s="58" t="s">
        <v>32</v>
      </c>
      <c r="AM1067" s="58" t="s">
        <v>6703</v>
      </c>
      <c r="AN1067" s="75">
        <v>0</v>
      </c>
      <c r="AO1067" s="88">
        <v>13.74</v>
      </c>
      <c r="AP1067" s="6" t="str">
        <f t="shared" si="181"/>
        <v>Decrease</v>
      </c>
      <c r="AQ1067" s="81">
        <f t="shared" si="182"/>
        <v>0</v>
      </c>
      <c r="AR1067" s="81">
        <f t="shared" si="183"/>
        <v>0</v>
      </c>
      <c r="AS1067" s="81">
        <f t="shared" si="186"/>
        <v>0</v>
      </c>
    </row>
    <row r="1068" spans="1:45" hidden="1" x14ac:dyDescent="0.3">
      <c r="A1068">
        <v>5090721</v>
      </c>
      <c r="B1068" s="15" t="s">
        <v>6404</v>
      </c>
      <c r="C1068" s="16" t="s">
        <v>30</v>
      </c>
      <c r="D1068" s="6" t="s">
        <v>31</v>
      </c>
      <c r="E1068" t="s">
        <v>447</v>
      </c>
      <c r="F1068" t="s">
        <v>447</v>
      </c>
      <c r="H1068" s="11" t="s">
        <v>27</v>
      </c>
      <c r="I1068" s="6" t="s">
        <v>28</v>
      </c>
      <c r="J1068" s="6" t="s">
        <v>28</v>
      </c>
      <c r="K1068" t="s">
        <v>32</v>
      </c>
      <c r="L1068" s="35">
        <v>32.04</v>
      </c>
      <c r="M1068" s="6" t="s">
        <v>29</v>
      </c>
      <c r="N1068" s="6">
        <v>3105</v>
      </c>
      <c r="P1068" s="18"/>
      <c r="Q1068" s="17"/>
      <c r="R1068" s="19">
        <v>32.04</v>
      </c>
      <c r="S1068" s="19">
        <v>32.04</v>
      </c>
      <c r="T1068" s="38">
        <v>0</v>
      </c>
      <c r="U1068" s="38"/>
      <c r="V1068" s="30">
        <v>32.04</v>
      </c>
      <c r="W1068" s="35">
        <v>32.04</v>
      </c>
      <c r="X1068" s="32">
        <f t="shared" si="176"/>
        <v>0</v>
      </c>
      <c r="Y1068" s="32">
        <f t="shared" si="177"/>
        <v>0</v>
      </c>
      <c r="Z1068" s="32">
        <f t="shared" si="178"/>
        <v>0</v>
      </c>
      <c r="AA1068" s="38" t="s">
        <v>2573</v>
      </c>
      <c r="AB1068" s="37" t="str">
        <f>IFERROR(VLOOKUP(A1068,'Tash Lookup'!A:E,3,FALSE),"")</f>
        <v/>
      </c>
      <c r="AC1068" s="6" t="str">
        <f t="shared" si="179"/>
        <v/>
      </c>
      <c r="AD1068" s="2" t="s">
        <v>6703</v>
      </c>
      <c r="AF1068" s="56">
        <v>29.84</v>
      </c>
      <c r="AG1068" s="56">
        <f>VLOOKUP(A1068,Sheet1!$A$2:$C$1140,3,FALSE)</f>
        <v>30.73</v>
      </c>
      <c r="AH1068" s="58">
        <v>30.73</v>
      </c>
      <c r="AI1068" s="56" t="str">
        <f t="shared" si="180"/>
        <v>Increase</v>
      </c>
      <c r="AJ1068" s="81">
        <f t="shared" si="184"/>
        <v>0</v>
      </c>
      <c r="AK1068" s="81">
        <f t="shared" si="185"/>
        <v>0</v>
      </c>
      <c r="AL1068" s="58" t="s">
        <v>32</v>
      </c>
      <c r="AM1068" s="58" t="s">
        <v>6703</v>
      </c>
      <c r="AN1068" s="75">
        <v>0</v>
      </c>
      <c r="AO1068" s="88">
        <v>30.73</v>
      </c>
      <c r="AP1068" s="6" t="str">
        <f t="shared" si="181"/>
        <v>Increase</v>
      </c>
      <c r="AQ1068" s="81">
        <f t="shared" si="182"/>
        <v>0</v>
      </c>
      <c r="AR1068" s="81">
        <f t="shared" si="183"/>
        <v>0</v>
      </c>
      <c r="AS1068" s="81">
        <f t="shared" si="186"/>
        <v>0</v>
      </c>
    </row>
    <row r="1069" spans="1:45" hidden="1" x14ac:dyDescent="0.3">
      <c r="A1069">
        <v>5090722</v>
      </c>
      <c r="B1069" s="15" t="s">
        <v>6405</v>
      </c>
      <c r="C1069" s="16" t="s">
        <v>30</v>
      </c>
      <c r="D1069" s="6" t="s">
        <v>31</v>
      </c>
      <c r="E1069" t="s">
        <v>448</v>
      </c>
      <c r="F1069" t="s">
        <v>448</v>
      </c>
      <c r="H1069" s="11" t="s">
        <v>27</v>
      </c>
      <c r="I1069" s="6" t="s">
        <v>28</v>
      </c>
      <c r="J1069" s="6" t="s">
        <v>28</v>
      </c>
      <c r="K1069" t="s">
        <v>32</v>
      </c>
      <c r="L1069" s="35">
        <v>59.67</v>
      </c>
      <c r="M1069" s="6" t="s">
        <v>29</v>
      </c>
      <c r="N1069" s="6">
        <v>3105</v>
      </c>
      <c r="P1069" s="18"/>
      <c r="Q1069" s="17"/>
      <c r="R1069" s="19">
        <v>59.67</v>
      </c>
      <c r="S1069" s="19">
        <v>59.67</v>
      </c>
      <c r="T1069" s="38">
        <v>0</v>
      </c>
      <c r="U1069" s="38"/>
      <c r="V1069" s="30">
        <v>59.67</v>
      </c>
      <c r="W1069" s="35">
        <v>59.67</v>
      </c>
      <c r="X1069" s="32">
        <f t="shared" si="176"/>
        <v>0</v>
      </c>
      <c r="Y1069" s="32">
        <f t="shared" si="177"/>
        <v>0</v>
      </c>
      <c r="Z1069" s="32">
        <f t="shared" si="178"/>
        <v>0</v>
      </c>
      <c r="AA1069" s="38" t="s">
        <v>2573</v>
      </c>
      <c r="AB1069" s="37" t="str">
        <f>IFERROR(VLOOKUP(A1069,'Tash Lookup'!A:E,3,FALSE),"")</f>
        <v/>
      </c>
      <c r="AC1069" s="6" t="str">
        <f t="shared" si="179"/>
        <v/>
      </c>
      <c r="AD1069" s="2" t="s">
        <v>6703</v>
      </c>
      <c r="AF1069" s="56">
        <v>56.88</v>
      </c>
      <c r="AG1069" s="56">
        <f>VLOOKUP(A1069,Sheet1!$A$2:$C$1140,3,FALSE)</f>
        <v>58.58</v>
      </c>
      <c r="AH1069" s="58">
        <v>58.58</v>
      </c>
      <c r="AI1069" s="56" t="str">
        <f t="shared" si="180"/>
        <v>Increase</v>
      </c>
      <c r="AJ1069" s="81">
        <f t="shared" si="184"/>
        <v>0</v>
      </c>
      <c r="AK1069" s="81">
        <f t="shared" si="185"/>
        <v>0</v>
      </c>
      <c r="AL1069" s="58" t="s">
        <v>32</v>
      </c>
      <c r="AM1069" s="58" t="s">
        <v>6703</v>
      </c>
      <c r="AN1069" s="75">
        <v>0</v>
      </c>
      <c r="AO1069" s="88">
        <v>58.58</v>
      </c>
      <c r="AP1069" s="6" t="str">
        <f t="shared" si="181"/>
        <v>Increase</v>
      </c>
      <c r="AQ1069" s="81">
        <f t="shared" si="182"/>
        <v>0</v>
      </c>
      <c r="AR1069" s="81">
        <f t="shared" si="183"/>
        <v>0</v>
      </c>
      <c r="AS1069" s="81">
        <f t="shared" si="186"/>
        <v>0</v>
      </c>
    </row>
    <row r="1070" spans="1:45" hidden="1" x14ac:dyDescent="0.3">
      <c r="A1070">
        <v>5220526</v>
      </c>
      <c r="B1070" s="15" t="s">
        <v>6406</v>
      </c>
      <c r="C1070" s="16" t="s">
        <v>30</v>
      </c>
      <c r="D1070" s="6" t="s">
        <v>31</v>
      </c>
      <c r="E1070" t="s">
        <v>449</v>
      </c>
      <c r="F1070" t="s">
        <v>449</v>
      </c>
      <c r="H1070" s="11" t="s">
        <v>27</v>
      </c>
      <c r="I1070" s="6" t="s">
        <v>28</v>
      </c>
      <c r="J1070" s="6" t="s">
        <v>28</v>
      </c>
      <c r="K1070" t="s">
        <v>32</v>
      </c>
      <c r="L1070" s="35">
        <v>13.91</v>
      </c>
      <c r="M1070" s="6" t="s">
        <v>29</v>
      </c>
      <c r="N1070" s="6">
        <v>3105</v>
      </c>
      <c r="P1070" s="18"/>
      <c r="Q1070" s="17"/>
      <c r="R1070" s="19">
        <v>13.91</v>
      </c>
      <c r="S1070" s="19">
        <v>13.91</v>
      </c>
      <c r="T1070" s="38">
        <v>0</v>
      </c>
      <c r="U1070" s="38"/>
      <c r="V1070" s="30">
        <v>13.91</v>
      </c>
      <c r="W1070" s="35">
        <v>13.91</v>
      </c>
      <c r="X1070" s="32">
        <f t="shared" si="176"/>
        <v>0</v>
      </c>
      <c r="Y1070" s="32">
        <f t="shared" si="177"/>
        <v>0</v>
      </c>
      <c r="Z1070" s="32">
        <f t="shared" si="178"/>
        <v>0</v>
      </c>
      <c r="AA1070" s="38" t="s">
        <v>2573</v>
      </c>
      <c r="AB1070" s="37" t="str">
        <f>IFERROR(VLOOKUP(A1070,'Tash Lookup'!A:E,3,FALSE),"")</f>
        <v/>
      </c>
      <c r="AC1070" s="6" t="str">
        <f t="shared" si="179"/>
        <v/>
      </c>
      <c r="AD1070" s="2" t="s">
        <v>6711</v>
      </c>
      <c r="AE1070" s="2" t="s">
        <v>6701</v>
      </c>
      <c r="AF1070" s="56">
        <v>13.91</v>
      </c>
      <c r="AG1070" s="56" t="e">
        <f>VLOOKUP(A1070,Sheet1!$A$2:$C$1140,3,FALSE)</f>
        <v>#N/A</v>
      </c>
      <c r="AH1070" s="58" t="e">
        <v>#N/A</v>
      </c>
      <c r="AI1070" s="56" t="str">
        <f t="shared" si="180"/>
        <v>Delete</v>
      </c>
      <c r="AJ1070" s="81">
        <f t="shared" si="184"/>
        <v>0</v>
      </c>
      <c r="AK1070" s="81">
        <f t="shared" si="185"/>
        <v>0</v>
      </c>
      <c r="AL1070" s="58" t="s">
        <v>32</v>
      </c>
      <c r="AM1070" s="58" t="s">
        <v>6711</v>
      </c>
      <c r="AN1070" s="75">
        <v>0</v>
      </c>
      <c r="AO1070" s="88">
        <v>13.91</v>
      </c>
      <c r="AP1070" s="6" t="str">
        <f t="shared" si="181"/>
        <v>Delete</v>
      </c>
      <c r="AQ1070" s="81">
        <f t="shared" si="182"/>
        <v>0</v>
      </c>
      <c r="AR1070" s="81">
        <f t="shared" si="183"/>
        <v>0</v>
      </c>
      <c r="AS1070" s="81">
        <f t="shared" si="186"/>
        <v>0</v>
      </c>
    </row>
    <row r="1071" spans="1:45" hidden="1" x14ac:dyDescent="0.3">
      <c r="A1071">
        <v>5220564</v>
      </c>
      <c r="B1071" s="15" t="s">
        <v>6407</v>
      </c>
      <c r="C1071" s="16" t="s">
        <v>30</v>
      </c>
      <c r="D1071" s="6" t="s">
        <v>31</v>
      </c>
      <c r="E1071" t="s">
        <v>450</v>
      </c>
      <c r="F1071" t="s">
        <v>450</v>
      </c>
      <c r="H1071" s="11" t="s">
        <v>27</v>
      </c>
      <c r="I1071" s="6" t="s">
        <v>28</v>
      </c>
      <c r="J1071" s="6" t="s">
        <v>28</v>
      </c>
      <c r="K1071" t="s">
        <v>32</v>
      </c>
      <c r="L1071" s="35">
        <v>32.07</v>
      </c>
      <c r="M1071" s="6" t="s">
        <v>29</v>
      </c>
      <c r="N1071" s="6">
        <v>3105</v>
      </c>
      <c r="P1071" s="18"/>
      <c r="Q1071" s="17"/>
      <c r="R1071" s="19">
        <v>32.07</v>
      </c>
      <c r="S1071" s="19">
        <v>32.07</v>
      </c>
      <c r="T1071" s="38">
        <v>0</v>
      </c>
      <c r="U1071" s="38"/>
      <c r="V1071" s="30">
        <v>32.07</v>
      </c>
      <c r="W1071" s="35">
        <v>32.07</v>
      </c>
      <c r="X1071" s="32">
        <f t="shared" si="176"/>
        <v>0</v>
      </c>
      <c r="Y1071" s="32">
        <f t="shared" si="177"/>
        <v>0</v>
      </c>
      <c r="Z1071" s="32">
        <f t="shared" si="178"/>
        <v>0</v>
      </c>
      <c r="AA1071" s="38" t="s">
        <v>2573</v>
      </c>
      <c r="AB1071" s="37" t="str">
        <f>IFERROR(VLOOKUP(A1071,'Tash Lookup'!A:E,3,FALSE),"")</f>
        <v/>
      </c>
      <c r="AC1071" s="6" t="str">
        <f t="shared" si="179"/>
        <v/>
      </c>
      <c r="AD1071" s="2" t="s">
        <v>6707</v>
      </c>
      <c r="AF1071" s="56">
        <v>28</v>
      </c>
      <c r="AG1071" s="56">
        <f>VLOOKUP(A1071,Sheet1!$A$2:$C$1140,3,FALSE)</f>
        <v>28</v>
      </c>
      <c r="AH1071" s="58">
        <v>28</v>
      </c>
      <c r="AI1071" s="56" t="str">
        <f t="shared" si="180"/>
        <v>Same</v>
      </c>
      <c r="AJ1071" s="81">
        <f t="shared" si="184"/>
        <v>0</v>
      </c>
      <c r="AK1071" s="81">
        <f t="shared" si="185"/>
        <v>0</v>
      </c>
      <c r="AL1071" s="58" t="s">
        <v>32</v>
      </c>
      <c r="AM1071" s="58" t="s">
        <v>6708</v>
      </c>
      <c r="AN1071" s="75">
        <v>0</v>
      </c>
      <c r="AO1071" s="88">
        <v>28</v>
      </c>
      <c r="AP1071" s="6" t="str">
        <f t="shared" si="181"/>
        <v>Same</v>
      </c>
      <c r="AQ1071" s="81">
        <f t="shared" si="182"/>
        <v>0</v>
      </c>
      <c r="AR1071" s="81">
        <f t="shared" si="183"/>
        <v>0</v>
      </c>
      <c r="AS1071" s="81">
        <f t="shared" si="186"/>
        <v>0</v>
      </c>
    </row>
    <row r="1072" spans="1:45" hidden="1" x14ac:dyDescent="0.3">
      <c r="A1072">
        <v>5220376</v>
      </c>
      <c r="B1072" s="15" t="s">
        <v>6408</v>
      </c>
      <c r="C1072" s="16" t="s">
        <v>30</v>
      </c>
      <c r="D1072" s="6" t="s">
        <v>31</v>
      </c>
      <c r="E1072" t="s">
        <v>451</v>
      </c>
      <c r="F1072" t="s">
        <v>451</v>
      </c>
      <c r="H1072" s="11" t="s">
        <v>27</v>
      </c>
      <c r="I1072" s="6" t="s">
        <v>28</v>
      </c>
      <c r="J1072" s="6" t="s">
        <v>28</v>
      </c>
      <c r="K1072" t="s">
        <v>32</v>
      </c>
      <c r="L1072" s="35">
        <v>58.92</v>
      </c>
      <c r="M1072" s="6" t="s">
        <v>29</v>
      </c>
      <c r="N1072" s="6">
        <v>3105</v>
      </c>
      <c r="P1072" s="18"/>
      <c r="Q1072" s="17"/>
      <c r="R1072" s="19">
        <v>58.92</v>
      </c>
      <c r="S1072" s="19">
        <v>58.92</v>
      </c>
      <c r="T1072" s="38">
        <v>0</v>
      </c>
      <c r="U1072" s="38"/>
      <c r="V1072" s="30">
        <v>58.92</v>
      </c>
      <c r="W1072" s="35">
        <v>58.92</v>
      </c>
      <c r="X1072" s="32">
        <f t="shared" si="176"/>
        <v>0</v>
      </c>
      <c r="Y1072" s="32">
        <f t="shared" si="177"/>
        <v>0</v>
      </c>
      <c r="Z1072" s="32">
        <f t="shared" si="178"/>
        <v>0</v>
      </c>
      <c r="AA1072" s="38" t="s">
        <v>2573</v>
      </c>
      <c r="AB1072" s="37" t="str">
        <f>IFERROR(VLOOKUP(A1072,'Tash Lookup'!A:E,3,FALSE),"")</f>
        <v/>
      </c>
      <c r="AC1072" s="6" t="str">
        <f t="shared" si="179"/>
        <v/>
      </c>
      <c r="AD1072" s="2" t="s">
        <v>6707</v>
      </c>
      <c r="AF1072" s="56">
        <v>53.21</v>
      </c>
      <c r="AG1072" s="56">
        <f>VLOOKUP(A1072,Sheet1!$A$2:$C$1140,3,FALSE)</f>
        <v>53.21</v>
      </c>
      <c r="AH1072" s="58">
        <v>53.21</v>
      </c>
      <c r="AI1072" s="56" t="str">
        <f t="shared" si="180"/>
        <v>Same</v>
      </c>
      <c r="AJ1072" s="81">
        <f t="shared" si="184"/>
        <v>0</v>
      </c>
      <c r="AK1072" s="81">
        <f t="shared" si="185"/>
        <v>0</v>
      </c>
      <c r="AL1072" s="58" t="s">
        <v>32</v>
      </c>
      <c r="AM1072" s="58" t="s">
        <v>6709</v>
      </c>
      <c r="AN1072" s="75">
        <v>0</v>
      </c>
      <c r="AO1072" s="88">
        <v>53.21</v>
      </c>
      <c r="AP1072" s="6" t="str">
        <f t="shared" si="181"/>
        <v>Same</v>
      </c>
      <c r="AQ1072" s="81">
        <f t="shared" si="182"/>
        <v>0</v>
      </c>
      <c r="AR1072" s="81">
        <f t="shared" si="183"/>
        <v>0</v>
      </c>
      <c r="AS1072" s="81">
        <f t="shared" si="186"/>
        <v>0</v>
      </c>
    </row>
    <row r="1073" spans="1:45" hidden="1" x14ac:dyDescent="0.3">
      <c r="A1073">
        <v>5095395</v>
      </c>
      <c r="B1073" s="15" t="s">
        <v>6409</v>
      </c>
      <c r="C1073" s="16" t="s">
        <v>30</v>
      </c>
      <c r="D1073" s="6" t="s">
        <v>31</v>
      </c>
      <c r="E1073" t="s">
        <v>452</v>
      </c>
      <c r="F1073" t="s">
        <v>452</v>
      </c>
      <c r="H1073" s="11" t="s">
        <v>27</v>
      </c>
      <c r="I1073" s="6" t="s">
        <v>28</v>
      </c>
      <c r="J1073" s="6" t="s">
        <v>28</v>
      </c>
      <c r="K1073" t="s">
        <v>32</v>
      </c>
      <c r="L1073" s="35">
        <v>13.91</v>
      </c>
      <c r="M1073" s="6" t="s">
        <v>29</v>
      </c>
      <c r="N1073" s="6">
        <v>3105</v>
      </c>
      <c r="P1073" s="18"/>
      <c r="Q1073" s="17"/>
      <c r="R1073" s="19">
        <v>13.91</v>
      </c>
      <c r="S1073" s="19">
        <v>13.91</v>
      </c>
      <c r="T1073" s="38">
        <v>0</v>
      </c>
      <c r="U1073" s="38"/>
      <c r="V1073" s="30">
        <v>13.91</v>
      </c>
      <c r="W1073" s="35">
        <v>13.91</v>
      </c>
      <c r="X1073" s="32">
        <f t="shared" si="176"/>
        <v>0</v>
      </c>
      <c r="Y1073" s="32">
        <f t="shared" si="177"/>
        <v>0</v>
      </c>
      <c r="Z1073" s="32">
        <f t="shared" si="178"/>
        <v>0</v>
      </c>
      <c r="AA1073" s="38" t="s">
        <v>2573</v>
      </c>
      <c r="AB1073" s="37" t="str">
        <f>IFERROR(VLOOKUP(A1073,'Tash Lookup'!A:E,3,FALSE),"")</f>
        <v/>
      </c>
      <c r="AC1073" s="6" t="str">
        <f t="shared" si="179"/>
        <v/>
      </c>
      <c r="AD1073" s="2" t="s">
        <v>6707</v>
      </c>
      <c r="AF1073" s="56">
        <v>12.42</v>
      </c>
      <c r="AG1073" s="56">
        <f>VLOOKUP(A1073,Sheet1!$A$2:$C$1140,3,FALSE)</f>
        <v>12.42</v>
      </c>
      <c r="AH1073" s="58">
        <v>12.42</v>
      </c>
      <c r="AI1073" s="56" t="str">
        <f t="shared" si="180"/>
        <v>Same</v>
      </c>
      <c r="AJ1073" s="81">
        <f t="shared" si="184"/>
        <v>0</v>
      </c>
      <c r="AK1073" s="81">
        <f t="shared" si="185"/>
        <v>0</v>
      </c>
      <c r="AL1073" s="58" t="s">
        <v>32</v>
      </c>
      <c r="AM1073" s="58" t="s">
        <v>6708</v>
      </c>
      <c r="AN1073" s="75">
        <v>0</v>
      </c>
      <c r="AO1073" s="88">
        <v>12.42</v>
      </c>
      <c r="AP1073" s="6" t="str">
        <f t="shared" si="181"/>
        <v>Same</v>
      </c>
      <c r="AQ1073" s="81">
        <f t="shared" si="182"/>
        <v>0</v>
      </c>
      <c r="AR1073" s="81">
        <f t="shared" si="183"/>
        <v>0</v>
      </c>
      <c r="AS1073" s="81">
        <f t="shared" si="186"/>
        <v>0</v>
      </c>
    </row>
    <row r="1074" spans="1:45" hidden="1" x14ac:dyDescent="0.3">
      <c r="A1074">
        <v>5090983</v>
      </c>
      <c r="B1074" s="15" t="s">
        <v>6410</v>
      </c>
      <c r="C1074" s="16" t="s">
        <v>30</v>
      </c>
      <c r="D1074" s="6" t="s">
        <v>31</v>
      </c>
      <c r="E1074" t="s">
        <v>453</v>
      </c>
      <c r="F1074" t="s">
        <v>453</v>
      </c>
      <c r="H1074" s="11" t="s">
        <v>27</v>
      </c>
      <c r="I1074" s="6" t="s">
        <v>28</v>
      </c>
      <c r="J1074" s="6" t="s">
        <v>28</v>
      </c>
      <c r="K1074" t="s">
        <v>32</v>
      </c>
      <c r="L1074" s="35">
        <v>32.07</v>
      </c>
      <c r="M1074" s="6" t="s">
        <v>29</v>
      </c>
      <c r="N1074" s="6">
        <v>3105</v>
      </c>
      <c r="P1074" s="18"/>
      <c r="Q1074" s="17"/>
      <c r="R1074" s="19">
        <v>32.07</v>
      </c>
      <c r="S1074" s="19">
        <v>32.07</v>
      </c>
      <c r="T1074" s="38">
        <v>0</v>
      </c>
      <c r="U1074" s="38"/>
      <c r="V1074" s="30">
        <v>32.07</v>
      </c>
      <c r="W1074" s="35">
        <v>32.07</v>
      </c>
      <c r="X1074" s="32">
        <f t="shared" si="176"/>
        <v>0</v>
      </c>
      <c r="Y1074" s="32">
        <f t="shared" si="177"/>
        <v>0</v>
      </c>
      <c r="Z1074" s="32">
        <f t="shared" si="178"/>
        <v>0</v>
      </c>
      <c r="AA1074" s="38" t="s">
        <v>2573</v>
      </c>
      <c r="AB1074" s="37" t="str">
        <f>IFERROR(VLOOKUP(A1074,'Tash Lookup'!A:E,3,FALSE),"")</f>
        <v/>
      </c>
      <c r="AC1074" s="6" t="str">
        <f t="shared" si="179"/>
        <v/>
      </c>
      <c r="AD1074" s="2" t="s">
        <v>6711</v>
      </c>
      <c r="AE1074" s="2" t="s">
        <v>6701</v>
      </c>
      <c r="AF1074" s="56">
        <v>33.020000000000003</v>
      </c>
      <c r="AG1074" s="56" t="e">
        <f>VLOOKUP(A1074,Sheet1!$A$2:$C$1140,3,FALSE)</f>
        <v>#N/A</v>
      </c>
      <c r="AH1074" s="58" t="e">
        <v>#N/A</v>
      </c>
      <c r="AI1074" s="56" t="str">
        <f t="shared" si="180"/>
        <v>Delete</v>
      </c>
      <c r="AJ1074" s="81">
        <f t="shared" si="184"/>
        <v>0</v>
      </c>
      <c r="AK1074" s="81">
        <f t="shared" si="185"/>
        <v>0</v>
      </c>
      <c r="AL1074" s="58" t="s">
        <v>32</v>
      </c>
      <c r="AM1074" s="58" t="s">
        <v>6711</v>
      </c>
      <c r="AN1074" s="75">
        <v>0</v>
      </c>
      <c r="AO1074" s="88">
        <v>33.020000000000003</v>
      </c>
      <c r="AP1074" s="6" t="str">
        <f t="shared" si="181"/>
        <v>Delete</v>
      </c>
      <c r="AQ1074" s="81">
        <f t="shared" si="182"/>
        <v>0</v>
      </c>
      <c r="AR1074" s="81">
        <f t="shared" si="183"/>
        <v>0</v>
      </c>
      <c r="AS1074" s="81">
        <f t="shared" si="186"/>
        <v>0</v>
      </c>
    </row>
    <row r="1075" spans="1:45" hidden="1" x14ac:dyDescent="0.3">
      <c r="A1075">
        <v>5220470</v>
      </c>
      <c r="B1075" s="15" t="s">
        <v>6411</v>
      </c>
      <c r="C1075" s="16" t="s">
        <v>30</v>
      </c>
      <c r="D1075" s="6" t="s">
        <v>31</v>
      </c>
      <c r="E1075" t="s">
        <v>454</v>
      </c>
      <c r="F1075" t="s">
        <v>454</v>
      </c>
      <c r="H1075" s="11" t="s">
        <v>27</v>
      </c>
      <c r="I1075" s="6" t="s">
        <v>28</v>
      </c>
      <c r="J1075" s="6" t="s">
        <v>28</v>
      </c>
      <c r="K1075" t="s">
        <v>32</v>
      </c>
      <c r="L1075" s="35">
        <v>58.92</v>
      </c>
      <c r="M1075" s="6" t="s">
        <v>29</v>
      </c>
      <c r="N1075" s="6">
        <v>3105</v>
      </c>
      <c r="P1075" s="18"/>
      <c r="Q1075" s="17"/>
      <c r="R1075" s="19">
        <v>58.92</v>
      </c>
      <c r="S1075" s="19">
        <v>58.92</v>
      </c>
      <c r="T1075" s="38">
        <v>0</v>
      </c>
      <c r="U1075" s="38"/>
      <c r="V1075" s="30">
        <v>58.92</v>
      </c>
      <c r="W1075" s="35">
        <v>58.92</v>
      </c>
      <c r="X1075" s="32">
        <f t="shared" si="176"/>
        <v>0</v>
      </c>
      <c r="Y1075" s="32">
        <f t="shared" si="177"/>
        <v>0</v>
      </c>
      <c r="Z1075" s="32">
        <f t="shared" si="178"/>
        <v>0</v>
      </c>
      <c r="AA1075" s="38" t="s">
        <v>2573</v>
      </c>
      <c r="AB1075" s="37" t="str">
        <f>IFERROR(VLOOKUP(A1075,'Tash Lookup'!A:E,3,FALSE),"")</f>
        <v/>
      </c>
      <c r="AC1075" s="6" t="str">
        <f t="shared" si="179"/>
        <v/>
      </c>
      <c r="AD1075" s="2" t="s">
        <v>6707</v>
      </c>
      <c r="AF1075" s="56">
        <v>53.21</v>
      </c>
      <c r="AG1075" s="56">
        <f>VLOOKUP(A1075,Sheet1!$A$2:$C$1140,3,FALSE)</f>
        <v>53.21</v>
      </c>
      <c r="AH1075" s="58">
        <v>53.21</v>
      </c>
      <c r="AI1075" s="56" t="str">
        <f t="shared" si="180"/>
        <v>Same</v>
      </c>
      <c r="AJ1075" s="81">
        <f t="shared" si="184"/>
        <v>0</v>
      </c>
      <c r="AK1075" s="81">
        <f t="shared" si="185"/>
        <v>0</v>
      </c>
      <c r="AL1075" s="58" t="s">
        <v>32</v>
      </c>
      <c r="AM1075" s="58" t="s">
        <v>6708</v>
      </c>
      <c r="AN1075" s="75">
        <v>0</v>
      </c>
      <c r="AO1075" s="88">
        <v>53.21</v>
      </c>
      <c r="AP1075" s="6" t="str">
        <f t="shared" si="181"/>
        <v>Same</v>
      </c>
      <c r="AQ1075" s="81">
        <f t="shared" si="182"/>
        <v>0</v>
      </c>
      <c r="AR1075" s="81">
        <f t="shared" si="183"/>
        <v>0</v>
      </c>
      <c r="AS1075" s="81">
        <f t="shared" si="186"/>
        <v>0</v>
      </c>
    </row>
    <row r="1076" spans="1:45" hidden="1" x14ac:dyDescent="0.3">
      <c r="A1076">
        <v>5095393</v>
      </c>
      <c r="B1076" s="15" t="s">
        <v>6412</v>
      </c>
      <c r="C1076" s="16" t="s">
        <v>30</v>
      </c>
      <c r="D1076" s="6" t="s">
        <v>31</v>
      </c>
      <c r="E1076" t="s">
        <v>455</v>
      </c>
      <c r="F1076" t="s">
        <v>455</v>
      </c>
      <c r="H1076" s="11" t="s">
        <v>27</v>
      </c>
      <c r="I1076" s="6" t="s">
        <v>28</v>
      </c>
      <c r="J1076" s="6" t="s">
        <v>28</v>
      </c>
      <c r="K1076" t="s">
        <v>32</v>
      </c>
      <c r="L1076" s="35">
        <v>32.07</v>
      </c>
      <c r="M1076" s="6" t="s">
        <v>29</v>
      </c>
      <c r="N1076" s="6">
        <v>3105</v>
      </c>
      <c r="P1076" s="18"/>
      <c r="Q1076" s="17"/>
      <c r="R1076" s="19">
        <v>32.07</v>
      </c>
      <c r="S1076" s="19">
        <v>32.07</v>
      </c>
      <c r="T1076" s="38">
        <v>0</v>
      </c>
      <c r="U1076" s="38"/>
      <c r="V1076" s="30">
        <v>32.07</v>
      </c>
      <c r="W1076" s="35">
        <v>32.07</v>
      </c>
      <c r="X1076" s="32">
        <f t="shared" si="176"/>
        <v>0</v>
      </c>
      <c r="Y1076" s="32">
        <f t="shared" si="177"/>
        <v>0</v>
      </c>
      <c r="Z1076" s="32">
        <f t="shared" si="178"/>
        <v>0</v>
      </c>
      <c r="AA1076" s="38" t="s">
        <v>2573</v>
      </c>
      <c r="AB1076" s="37" t="str">
        <f>IFERROR(VLOOKUP(A1076,'Tash Lookup'!A:E,3,FALSE),"")</f>
        <v/>
      </c>
      <c r="AC1076" s="6" t="str">
        <f t="shared" si="179"/>
        <v/>
      </c>
      <c r="AD1076" s="2" t="s">
        <v>6711</v>
      </c>
      <c r="AE1076" s="2" t="s">
        <v>6701</v>
      </c>
      <c r="AF1076" s="56">
        <v>33.020000000000003</v>
      </c>
      <c r="AG1076" s="56" t="e">
        <f>VLOOKUP(A1076,Sheet1!$A$2:$C$1140,3,FALSE)</f>
        <v>#N/A</v>
      </c>
      <c r="AH1076" s="58" t="e">
        <v>#N/A</v>
      </c>
      <c r="AI1076" s="56" t="str">
        <f t="shared" si="180"/>
        <v>Delete</v>
      </c>
      <c r="AJ1076" s="81">
        <f t="shared" si="184"/>
        <v>0</v>
      </c>
      <c r="AK1076" s="81">
        <f t="shared" si="185"/>
        <v>0</v>
      </c>
      <c r="AL1076" s="58" t="s">
        <v>32</v>
      </c>
      <c r="AM1076" s="58" t="s">
        <v>6711</v>
      </c>
      <c r="AN1076" s="75">
        <v>0</v>
      </c>
      <c r="AO1076" s="88">
        <v>33.020000000000003</v>
      </c>
      <c r="AP1076" s="6" t="str">
        <f t="shared" si="181"/>
        <v>Delete</v>
      </c>
      <c r="AQ1076" s="81">
        <f t="shared" si="182"/>
        <v>0</v>
      </c>
      <c r="AR1076" s="81">
        <f t="shared" si="183"/>
        <v>0</v>
      </c>
      <c r="AS1076" s="81">
        <f t="shared" si="186"/>
        <v>0</v>
      </c>
    </row>
    <row r="1077" spans="1:45" hidden="1" x14ac:dyDescent="0.3">
      <c r="A1077">
        <v>5220471</v>
      </c>
      <c r="B1077" s="15" t="s">
        <v>6413</v>
      </c>
      <c r="C1077" s="16" t="s">
        <v>30</v>
      </c>
      <c r="D1077" s="6" t="s">
        <v>31</v>
      </c>
      <c r="E1077" t="s">
        <v>456</v>
      </c>
      <c r="F1077" t="s">
        <v>456</v>
      </c>
      <c r="H1077" s="11" t="s">
        <v>27</v>
      </c>
      <c r="I1077" s="6" t="s">
        <v>28</v>
      </c>
      <c r="J1077" s="6" t="s">
        <v>28</v>
      </c>
      <c r="K1077" t="s">
        <v>32</v>
      </c>
      <c r="L1077" s="35">
        <v>58.92</v>
      </c>
      <c r="M1077" s="6" t="s">
        <v>29</v>
      </c>
      <c r="N1077" s="6">
        <v>3105</v>
      </c>
      <c r="P1077" s="18"/>
      <c r="Q1077" s="17"/>
      <c r="R1077" s="19">
        <v>58.92</v>
      </c>
      <c r="S1077" s="19">
        <v>58.92</v>
      </c>
      <c r="T1077" s="38">
        <v>0</v>
      </c>
      <c r="U1077" s="38"/>
      <c r="V1077" s="30">
        <v>58.92</v>
      </c>
      <c r="W1077" s="35">
        <v>58.92</v>
      </c>
      <c r="X1077" s="32">
        <f t="shared" si="176"/>
        <v>0</v>
      </c>
      <c r="Y1077" s="32">
        <f t="shared" si="177"/>
        <v>0</v>
      </c>
      <c r="Z1077" s="32">
        <f t="shared" si="178"/>
        <v>0</v>
      </c>
      <c r="AA1077" s="38" t="s">
        <v>2573</v>
      </c>
      <c r="AB1077" s="37" t="str">
        <f>IFERROR(VLOOKUP(A1077,'Tash Lookup'!A:E,3,FALSE),"")</f>
        <v/>
      </c>
      <c r="AC1077" s="6" t="str">
        <f t="shared" si="179"/>
        <v/>
      </c>
      <c r="AD1077" s="2" t="s">
        <v>6707</v>
      </c>
      <c r="AF1077" s="56">
        <v>53.21</v>
      </c>
      <c r="AG1077" s="56">
        <f>VLOOKUP(A1077,Sheet1!$A$2:$C$1140,3,FALSE)</f>
        <v>53.21</v>
      </c>
      <c r="AH1077" s="58">
        <v>53.21</v>
      </c>
      <c r="AI1077" s="56" t="str">
        <f t="shared" si="180"/>
        <v>Same</v>
      </c>
      <c r="AJ1077" s="81">
        <f t="shared" si="184"/>
        <v>0</v>
      </c>
      <c r="AK1077" s="81">
        <f t="shared" si="185"/>
        <v>0</v>
      </c>
      <c r="AL1077" s="58" t="s">
        <v>32</v>
      </c>
      <c r="AM1077" s="58" t="s">
        <v>6709</v>
      </c>
      <c r="AN1077" s="75">
        <v>0</v>
      </c>
      <c r="AO1077" s="88">
        <v>53.21</v>
      </c>
      <c r="AP1077" s="6" t="str">
        <f t="shared" si="181"/>
        <v>Same</v>
      </c>
      <c r="AQ1077" s="81">
        <f t="shared" si="182"/>
        <v>0</v>
      </c>
      <c r="AR1077" s="81">
        <f t="shared" si="183"/>
        <v>0</v>
      </c>
      <c r="AS1077" s="81">
        <f t="shared" si="186"/>
        <v>0</v>
      </c>
    </row>
    <row r="1078" spans="1:45" hidden="1" x14ac:dyDescent="0.3">
      <c r="A1078">
        <v>5090979</v>
      </c>
      <c r="B1078" s="15" t="s">
        <v>6414</v>
      </c>
      <c r="C1078" s="16" t="s">
        <v>30</v>
      </c>
      <c r="D1078" s="6" t="s">
        <v>31</v>
      </c>
      <c r="E1078" t="s">
        <v>457</v>
      </c>
      <c r="F1078" t="s">
        <v>457</v>
      </c>
      <c r="H1078" s="11" t="s">
        <v>27</v>
      </c>
      <c r="I1078" s="6" t="s">
        <v>28</v>
      </c>
      <c r="J1078" s="6" t="s">
        <v>28</v>
      </c>
      <c r="K1078" t="s">
        <v>32</v>
      </c>
      <c r="L1078" s="35">
        <v>13.91</v>
      </c>
      <c r="M1078" s="6" t="s">
        <v>29</v>
      </c>
      <c r="N1078" s="6">
        <v>3105</v>
      </c>
      <c r="P1078" s="18"/>
      <c r="Q1078" s="17"/>
      <c r="R1078" s="19">
        <v>13.91</v>
      </c>
      <c r="S1078" s="19">
        <v>13.91</v>
      </c>
      <c r="T1078" s="38">
        <v>0</v>
      </c>
      <c r="U1078" s="38"/>
      <c r="V1078" s="30">
        <v>13.91</v>
      </c>
      <c r="W1078" s="35">
        <v>13.91</v>
      </c>
      <c r="X1078" s="32">
        <f t="shared" si="176"/>
        <v>0</v>
      </c>
      <c r="Y1078" s="32">
        <f t="shared" si="177"/>
        <v>0</v>
      </c>
      <c r="Z1078" s="32">
        <f t="shared" si="178"/>
        <v>0</v>
      </c>
      <c r="AA1078" s="38" t="s">
        <v>2573</v>
      </c>
      <c r="AB1078" s="37" t="str">
        <f>IFERROR(VLOOKUP(A1078,'Tash Lookup'!A:E,3,FALSE),"")</f>
        <v/>
      </c>
      <c r="AC1078" s="6" t="str">
        <f t="shared" si="179"/>
        <v/>
      </c>
      <c r="AD1078" s="2" t="s">
        <v>6707</v>
      </c>
      <c r="AF1078" s="56">
        <v>12.42</v>
      </c>
      <c r="AG1078" s="56">
        <f>VLOOKUP(A1078,Sheet1!$A$2:$C$1140,3,FALSE)</f>
        <v>12.42</v>
      </c>
      <c r="AH1078" s="58">
        <v>12.42</v>
      </c>
      <c r="AI1078" s="56" t="str">
        <f t="shared" si="180"/>
        <v>Same</v>
      </c>
      <c r="AJ1078" s="81">
        <f t="shared" si="184"/>
        <v>0</v>
      </c>
      <c r="AK1078" s="81">
        <f t="shared" si="185"/>
        <v>0</v>
      </c>
      <c r="AL1078" s="58" t="s">
        <v>32</v>
      </c>
      <c r="AM1078" s="58" t="s">
        <v>6708</v>
      </c>
      <c r="AN1078" s="75">
        <v>0</v>
      </c>
      <c r="AO1078" s="88">
        <v>12.42</v>
      </c>
      <c r="AP1078" s="6" t="str">
        <f t="shared" si="181"/>
        <v>Same</v>
      </c>
      <c r="AQ1078" s="81">
        <f t="shared" si="182"/>
        <v>0</v>
      </c>
      <c r="AR1078" s="81">
        <f t="shared" si="183"/>
        <v>0</v>
      </c>
      <c r="AS1078" s="81">
        <f t="shared" si="186"/>
        <v>0</v>
      </c>
    </row>
    <row r="1079" spans="1:45" hidden="1" x14ac:dyDescent="0.3">
      <c r="A1079">
        <v>5090980</v>
      </c>
      <c r="B1079" s="15" t="s">
        <v>6415</v>
      </c>
      <c r="C1079" s="16" t="s">
        <v>30</v>
      </c>
      <c r="D1079" s="6" t="s">
        <v>31</v>
      </c>
      <c r="E1079" t="s">
        <v>458</v>
      </c>
      <c r="F1079" t="s">
        <v>458</v>
      </c>
      <c r="H1079" s="11" t="s">
        <v>27</v>
      </c>
      <c r="I1079" s="6" t="s">
        <v>28</v>
      </c>
      <c r="J1079" s="6" t="s">
        <v>28</v>
      </c>
      <c r="K1079" t="s">
        <v>32</v>
      </c>
      <c r="L1079" s="35">
        <v>32.07</v>
      </c>
      <c r="M1079" s="6" t="s">
        <v>29</v>
      </c>
      <c r="N1079" s="6">
        <v>3105</v>
      </c>
      <c r="P1079" s="18"/>
      <c r="Q1079" s="17"/>
      <c r="R1079" s="19">
        <v>32.07</v>
      </c>
      <c r="S1079" s="19">
        <v>32.07</v>
      </c>
      <c r="T1079" s="38">
        <v>0</v>
      </c>
      <c r="U1079" s="38"/>
      <c r="V1079" s="30">
        <v>32.07</v>
      </c>
      <c r="W1079" s="35">
        <v>32.07</v>
      </c>
      <c r="X1079" s="32">
        <f t="shared" si="176"/>
        <v>0</v>
      </c>
      <c r="Y1079" s="32">
        <f t="shared" si="177"/>
        <v>0</v>
      </c>
      <c r="Z1079" s="32">
        <f t="shared" si="178"/>
        <v>0</v>
      </c>
      <c r="AA1079" s="38" t="s">
        <v>2573</v>
      </c>
      <c r="AB1079" s="37" t="str">
        <f>IFERROR(VLOOKUP(A1079,'Tash Lookup'!A:E,3,FALSE),"")</f>
        <v/>
      </c>
      <c r="AC1079" s="6" t="str">
        <f t="shared" si="179"/>
        <v/>
      </c>
      <c r="AD1079" s="2" t="s">
        <v>6707</v>
      </c>
      <c r="AF1079" s="56">
        <v>28</v>
      </c>
      <c r="AG1079" s="56">
        <f>VLOOKUP(A1079,Sheet1!$A$2:$C$1140,3,FALSE)</f>
        <v>28</v>
      </c>
      <c r="AH1079" s="58">
        <v>28</v>
      </c>
      <c r="AI1079" s="56" t="str">
        <f t="shared" si="180"/>
        <v>Same</v>
      </c>
      <c r="AJ1079" s="81">
        <f t="shared" si="184"/>
        <v>0</v>
      </c>
      <c r="AK1079" s="81">
        <f t="shared" si="185"/>
        <v>0</v>
      </c>
      <c r="AL1079" s="58" t="s">
        <v>32</v>
      </c>
      <c r="AM1079" s="58" t="s">
        <v>6708</v>
      </c>
      <c r="AN1079" s="75">
        <v>0</v>
      </c>
      <c r="AO1079" s="88">
        <v>28</v>
      </c>
      <c r="AP1079" s="6" t="str">
        <f t="shared" si="181"/>
        <v>Same</v>
      </c>
      <c r="AQ1079" s="81">
        <f t="shared" si="182"/>
        <v>0</v>
      </c>
      <c r="AR1079" s="81">
        <f t="shared" si="183"/>
        <v>0</v>
      </c>
      <c r="AS1079" s="81">
        <f t="shared" si="186"/>
        <v>0</v>
      </c>
    </row>
    <row r="1080" spans="1:45" hidden="1" x14ac:dyDescent="0.3">
      <c r="A1080">
        <v>5220378</v>
      </c>
      <c r="B1080" s="15" t="s">
        <v>6416</v>
      </c>
      <c r="C1080" s="16" t="s">
        <v>30</v>
      </c>
      <c r="D1080" s="6" t="s">
        <v>31</v>
      </c>
      <c r="E1080" t="s">
        <v>459</v>
      </c>
      <c r="F1080" t="s">
        <v>459</v>
      </c>
      <c r="H1080" s="11" t="s">
        <v>27</v>
      </c>
      <c r="I1080" s="6" t="s">
        <v>28</v>
      </c>
      <c r="J1080" s="6" t="s">
        <v>28</v>
      </c>
      <c r="K1080" t="s">
        <v>32</v>
      </c>
      <c r="L1080" s="35">
        <v>58.92</v>
      </c>
      <c r="M1080" s="6" t="s">
        <v>29</v>
      </c>
      <c r="N1080" s="6">
        <v>3105</v>
      </c>
      <c r="P1080" s="18"/>
      <c r="Q1080" s="17"/>
      <c r="R1080" s="19">
        <v>58.92</v>
      </c>
      <c r="S1080" s="19">
        <v>58.92</v>
      </c>
      <c r="T1080" s="38">
        <v>0</v>
      </c>
      <c r="U1080" s="38"/>
      <c r="V1080" s="30">
        <v>58.92</v>
      </c>
      <c r="W1080" s="35">
        <v>58.92</v>
      </c>
      <c r="X1080" s="32">
        <f t="shared" si="176"/>
        <v>0</v>
      </c>
      <c r="Y1080" s="32">
        <f t="shared" si="177"/>
        <v>0</v>
      </c>
      <c r="Z1080" s="32">
        <f t="shared" si="178"/>
        <v>0</v>
      </c>
      <c r="AA1080" s="38" t="s">
        <v>2573</v>
      </c>
      <c r="AB1080" s="37" t="str">
        <f>IFERROR(VLOOKUP(A1080,'Tash Lookup'!A:E,3,FALSE),"")</f>
        <v/>
      </c>
      <c r="AC1080" s="6" t="str">
        <f t="shared" si="179"/>
        <v/>
      </c>
      <c r="AD1080" s="2" t="s">
        <v>6707</v>
      </c>
      <c r="AF1080" s="56">
        <v>53.21</v>
      </c>
      <c r="AG1080" s="56">
        <f>VLOOKUP(A1080,Sheet1!$A$2:$C$1140,3,FALSE)</f>
        <v>53.21</v>
      </c>
      <c r="AH1080" s="58">
        <v>53.21</v>
      </c>
      <c r="AI1080" s="56" t="str">
        <f t="shared" si="180"/>
        <v>Same</v>
      </c>
      <c r="AJ1080" s="81">
        <f t="shared" si="184"/>
        <v>0</v>
      </c>
      <c r="AK1080" s="81">
        <f t="shared" si="185"/>
        <v>0</v>
      </c>
      <c r="AL1080" s="58" t="s">
        <v>32</v>
      </c>
      <c r="AM1080" s="58" t="s">
        <v>6709</v>
      </c>
      <c r="AN1080" s="75">
        <v>0</v>
      </c>
      <c r="AO1080" s="88">
        <v>53.21</v>
      </c>
      <c r="AP1080" s="6" t="str">
        <f t="shared" si="181"/>
        <v>Same</v>
      </c>
      <c r="AQ1080" s="81">
        <f t="shared" si="182"/>
        <v>0</v>
      </c>
      <c r="AR1080" s="81">
        <f t="shared" si="183"/>
        <v>0</v>
      </c>
      <c r="AS1080" s="81">
        <f t="shared" si="186"/>
        <v>0</v>
      </c>
    </row>
    <row r="1081" spans="1:45" hidden="1" x14ac:dyDescent="0.3">
      <c r="A1081">
        <v>6380982</v>
      </c>
      <c r="B1081" s="15" t="s">
        <v>6417</v>
      </c>
      <c r="C1081" s="16" t="s">
        <v>30</v>
      </c>
      <c r="D1081" s="6" t="s">
        <v>31</v>
      </c>
      <c r="E1081" t="s">
        <v>908</v>
      </c>
      <c r="F1081" t="s">
        <v>908</v>
      </c>
      <c r="H1081" s="11" t="s">
        <v>27</v>
      </c>
      <c r="I1081" s="6" t="s">
        <v>28</v>
      </c>
      <c r="J1081" s="6" t="s">
        <v>28</v>
      </c>
      <c r="K1081" t="s">
        <v>32</v>
      </c>
      <c r="L1081" s="35">
        <v>160.96</v>
      </c>
      <c r="M1081" s="6" t="s">
        <v>29</v>
      </c>
      <c r="N1081" s="6">
        <v>3105</v>
      </c>
      <c r="P1081" s="18"/>
      <c r="Q1081" s="17"/>
      <c r="R1081" s="19">
        <v>160.96</v>
      </c>
      <c r="S1081" s="19">
        <v>160.96</v>
      </c>
      <c r="T1081" s="38">
        <v>0</v>
      </c>
      <c r="U1081" s="38"/>
      <c r="V1081" s="29">
        <v>160.96</v>
      </c>
      <c r="W1081" s="35">
        <v>160.96</v>
      </c>
      <c r="X1081" s="32">
        <f t="shared" si="176"/>
        <v>0</v>
      </c>
      <c r="Y1081" s="32">
        <f t="shared" si="177"/>
        <v>0</v>
      </c>
      <c r="Z1081" s="32">
        <f t="shared" si="178"/>
        <v>0</v>
      </c>
      <c r="AA1081" s="38" t="s">
        <v>2573</v>
      </c>
      <c r="AB1081" s="37" t="str">
        <f>IFERROR(VLOOKUP(A1081,'Tash Lookup'!A:E,3,FALSE),"")</f>
        <v/>
      </c>
      <c r="AC1081" s="6" t="str">
        <f t="shared" si="179"/>
        <v/>
      </c>
      <c r="AD1081" s="2" t="s">
        <v>6707</v>
      </c>
      <c r="AF1081" s="56">
        <v>162.5</v>
      </c>
      <c r="AG1081" s="56" t="e">
        <f>VLOOKUP(A1081,Sheet1!$A$2:$C$1140,3,FALSE)</f>
        <v>#N/A</v>
      </c>
      <c r="AH1081" s="58" t="e">
        <v>#N/A</v>
      </c>
      <c r="AI1081" s="56" t="str">
        <f t="shared" si="180"/>
        <v>Delete</v>
      </c>
      <c r="AJ1081" s="81">
        <f t="shared" si="184"/>
        <v>0</v>
      </c>
      <c r="AK1081" s="81">
        <f t="shared" si="185"/>
        <v>0</v>
      </c>
      <c r="AL1081" s="58" t="s">
        <v>7206</v>
      </c>
      <c r="AM1081" s="58" t="s">
        <v>6708</v>
      </c>
      <c r="AN1081" s="75">
        <v>0</v>
      </c>
      <c r="AO1081" s="88">
        <v>162.5</v>
      </c>
      <c r="AP1081" s="6" t="str">
        <f t="shared" si="181"/>
        <v>Same</v>
      </c>
      <c r="AQ1081" s="81">
        <f t="shared" si="182"/>
        <v>0</v>
      </c>
      <c r="AR1081" s="81">
        <f t="shared" si="183"/>
        <v>0</v>
      </c>
      <c r="AS1081" s="81">
        <f t="shared" si="186"/>
        <v>0</v>
      </c>
    </row>
    <row r="1082" spans="1:45" hidden="1" x14ac:dyDescent="0.3">
      <c r="A1082">
        <v>5180499</v>
      </c>
      <c r="B1082" s="15" t="s">
        <v>6418</v>
      </c>
      <c r="C1082" s="16" t="s">
        <v>30</v>
      </c>
      <c r="D1082" s="6" t="s">
        <v>31</v>
      </c>
      <c r="E1082" t="s">
        <v>461</v>
      </c>
      <c r="F1082" t="s">
        <v>461</v>
      </c>
      <c r="H1082" s="11" t="s">
        <v>27</v>
      </c>
      <c r="I1082" s="6" t="s">
        <v>28</v>
      </c>
      <c r="J1082" s="6" t="s">
        <v>28</v>
      </c>
      <c r="K1082" t="s">
        <v>32</v>
      </c>
      <c r="L1082" s="35">
        <v>14.85</v>
      </c>
      <c r="M1082" s="6" t="s">
        <v>29</v>
      </c>
      <c r="N1082" s="6">
        <v>3105</v>
      </c>
      <c r="P1082" s="18"/>
      <c r="Q1082" s="17"/>
      <c r="R1082" s="19">
        <v>14.85</v>
      </c>
      <c r="S1082" s="19">
        <v>14.85</v>
      </c>
      <c r="T1082" s="38">
        <v>0</v>
      </c>
      <c r="U1082" s="38"/>
      <c r="V1082" s="29">
        <v>14.85</v>
      </c>
      <c r="W1082" s="35">
        <v>14.85</v>
      </c>
      <c r="X1082" s="32">
        <f t="shared" si="176"/>
        <v>0</v>
      </c>
      <c r="Y1082" s="32">
        <f t="shared" si="177"/>
        <v>0</v>
      </c>
      <c r="Z1082" s="32">
        <f t="shared" si="178"/>
        <v>0</v>
      </c>
      <c r="AA1082" s="38" t="s">
        <v>2573</v>
      </c>
      <c r="AB1082" s="37" t="str">
        <f>IFERROR(VLOOKUP(A1082,'Tash Lookup'!A:E,3,FALSE),"")</f>
        <v/>
      </c>
      <c r="AC1082" s="6" t="str">
        <f t="shared" si="179"/>
        <v/>
      </c>
      <c r="AD1082" s="2" t="s">
        <v>6703</v>
      </c>
      <c r="AF1082" s="56">
        <v>17.920000000000002</v>
      </c>
      <c r="AG1082" s="56">
        <f>VLOOKUP(A1082,Sheet1!$A$2:$C$1140,3,FALSE)</f>
        <v>18.46</v>
      </c>
      <c r="AH1082" s="58">
        <v>18.46</v>
      </c>
      <c r="AI1082" s="56" t="str">
        <f t="shared" si="180"/>
        <v>Increase</v>
      </c>
      <c r="AJ1082" s="81">
        <f t="shared" si="184"/>
        <v>0</v>
      </c>
      <c r="AK1082" s="81">
        <f t="shared" si="185"/>
        <v>0</v>
      </c>
      <c r="AL1082" s="58" t="s">
        <v>32</v>
      </c>
      <c r="AM1082" s="58" t="s">
        <v>6703</v>
      </c>
      <c r="AN1082" s="75">
        <v>2</v>
      </c>
      <c r="AO1082" s="88">
        <v>18.46</v>
      </c>
      <c r="AP1082" s="6" t="str">
        <f t="shared" si="181"/>
        <v>Increase</v>
      </c>
      <c r="AQ1082" s="81">
        <f t="shared" si="182"/>
        <v>35.840000000000003</v>
      </c>
      <c r="AR1082" s="81">
        <f t="shared" si="183"/>
        <v>36.92</v>
      </c>
      <c r="AS1082" s="81">
        <f t="shared" si="186"/>
        <v>1.0799999999999983</v>
      </c>
    </row>
    <row r="1083" spans="1:45" hidden="1" x14ac:dyDescent="0.3">
      <c r="A1083">
        <v>5180638</v>
      </c>
      <c r="B1083" s="15" t="s">
        <v>6419</v>
      </c>
      <c r="C1083" s="16" t="s">
        <v>30</v>
      </c>
      <c r="D1083" s="6" t="s">
        <v>31</v>
      </c>
      <c r="E1083" t="s">
        <v>462</v>
      </c>
      <c r="F1083" t="s">
        <v>462</v>
      </c>
      <c r="H1083" s="11" t="s">
        <v>27</v>
      </c>
      <c r="I1083" s="6" t="s">
        <v>28</v>
      </c>
      <c r="J1083" s="6" t="s">
        <v>28</v>
      </c>
      <c r="K1083" t="s">
        <v>32</v>
      </c>
      <c r="L1083" s="35">
        <v>30.51</v>
      </c>
      <c r="M1083" s="6" t="s">
        <v>29</v>
      </c>
      <c r="N1083" s="6">
        <v>3105</v>
      </c>
      <c r="P1083" s="18"/>
      <c r="Q1083" s="17"/>
      <c r="R1083" s="19">
        <v>30.51</v>
      </c>
      <c r="S1083" s="19">
        <v>30.51</v>
      </c>
      <c r="T1083" s="38">
        <v>0</v>
      </c>
      <c r="U1083" s="38"/>
      <c r="V1083" s="29">
        <v>30.51</v>
      </c>
      <c r="W1083" s="35">
        <v>30.51</v>
      </c>
      <c r="X1083" s="32">
        <f t="shared" si="176"/>
        <v>0</v>
      </c>
      <c r="Y1083" s="32">
        <f t="shared" si="177"/>
        <v>0</v>
      </c>
      <c r="Z1083" s="32">
        <f t="shared" si="178"/>
        <v>0</v>
      </c>
      <c r="AA1083" s="38" t="s">
        <v>2573</v>
      </c>
      <c r="AB1083" s="37" t="str">
        <f>IFERROR(VLOOKUP(A1083,'Tash Lookup'!A:E,3,FALSE),"")</f>
        <v/>
      </c>
      <c r="AC1083" s="6" t="str">
        <f t="shared" si="179"/>
        <v/>
      </c>
      <c r="AD1083" s="2" t="s">
        <v>6703</v>
      </c>
      <c r="AF1083" s="56">
        <v>35.79</v>
      </c>
      <c r="AG1083" s="56">
        <f>VLOOKUP(A1083,Sheet1!$A$2:$C$1140,3,FALSE)</f>
        <v>36.869999999999997</v>
      </c>
      <c r="AH1083" s="58">
        <v>36.869999999999997</v>
      </c>
      <c r="AI1083" s="56" t="str">
        <f t="shared" si="180"/>
        <v>Increase</v>
      </c>
      <c r="AJ1083" s="81">
        <f t="shared" si="184"/>
        <v>0</v>
      </c>
      <c r="AK1083" s="81">
        <f t="shared" si="185"/>
        <v>0</v>
      </c>
      <c r="AL1083" s="58" t="s">
        <v>32</v>
      </c>
      <c r="AM1083" s="58" t="s">
        <v>6703</v>
      </c>
      <c r="AN1083" s="75">
        <v>10</v>
      </c>
      <c r="AO1083" s="88">
        <v>36.869999999999997</v>
      </c>
      <c r="AP1083" s="6" t="str">
        <f t="shared" si="181"/>
        <v>Increase</v>
      </c>
      <c r="AQ1083" s="81">
        <f t="shared" si="182"/>
        <v>357.9</v>
      </c>
      <c r="AR1083" s="81">
        <f t="shared" si="183"/>
        <v>368.7</v>
      </c>
      <c r="AS1083" s="81">
        <f t="shared" si="186"/>
        <v>10.800000000000011</v>
      </c>
    </row>
    <row r="1084" spans="1:45" hidden="1" x14ac:dyDescent="0.3">
      <c r="A1084">
        <v>5094279</v>
      </c>
      <c r="B1084" s="15" t="s">
        <v>6420</v>
      </c>
      <c r="C1084" s="16" t="s">
        <v>30</v>
      </c>
      <c r="D1084" s="6" t="s">
        <v>31</v>
      </c>
      <c r="E1084" t="s">
        <v>47</v>
      </c>
      <c r="F1084" t="s">
        <v>47</v>
      </c>
      <c r="H1084" s="11" t="s">
        <v>27</v>
      </c>
      <c r="I1084" s="6" t="s">
        <v>28</v>
      </c>
      <c r="J1084" s="6" t="s">
        <v>28</v>
      </c>
      <c r="K1084" t="s">
        <v>32</v>
      </c>
      <c r="L1084" s="35">
        <v>34.89</v>
      </c>
      <c r="M1084" s="6" t="s">
        <v>29</v>
      </c>
      <c r="N1084" s="6">
        <v>3105</v>
      </c>
      <c r="P1084" s="18"/>
      <c r="Q1084" s="17"/>
      <c r="R1084" s="19">
        <v>34.89</v>
      </c>
      <c r="S1084" s="19">
        <v>34.89</v>
      </c>
      <c r="T1084" s="38">
        <v>0</v>
      </c>
      <c r="U1084" s="38"/>
      <c r="V1084" s="29">
        <v>30.076999999999998</v>
      </c>
      <c r="W1084" s="35">
        <v>34.89</v>
      </c>
      <c r="X1084" s="32">
        <f t="shared" si="176"/>
        <v>0</v>
      </c>
      <c r="Y1084" s="32">
        <f t="shared" si="177"/>
        <v>0</v>
      </c>
      <c r="Z1084" s="32">
        <f t="shared" si="178"/>
        <v>0</v>
      </c>
      <c r="AA1084" s="38" t="s">
        <v>2573</v>
      </c>
      <c r="AB1084" s="37" t="str">
        <f>IFERROR(VLOOKUP(A1084,'Tash Lookup'!A:E,3,FALSE),"")</f>
        <v/>
      </c>
      <c r="AC1084" s="6" t="str">
        <f t="shared" si="179"/>
        <v/>
      </c>
      <c r="AD1084" s="2" t="s">
        <v>6704</v>
      </c>
      <c r="AF1084" s="56">
        <v>30.08</v>
      </c>
      <c r="AG1084" s="56" t="e">
        <f>VLOOKUP(A1084,Sheet1!$A$2:$C$1140,3,FALSE)</f>
        <v>#N/A</v>
      </c>
      <c r="AH1084" s="58" t="e">
        <v>#N/A</v>
      </c>
      <c r="AI1084" s="56" t="str">
        <f t="shared" si="180"/>
        <v>Delete</v>
      </c>
      <c r="AJ1084" s="81">
        <f t="shared" si="184"/>
        <v>0</v>
      </c>
      <c r="AK1084" s="81">
        <f t="shared" si="185"/>
        <v>0</v>
      </c>
      <c r="AL1084" s="58" t="s">
        <v>32</v>
      </c>
      <c r="AM1084" s="58" t="s">
        <v>6708</v>
      </c>
      <c r="AN1084" s="75">
        <v>0</v>
      </c>
      <c r="AO1084" s="88">
        <v>30.08</v>
      </c>
      <c r="AP1084" s="6" t="str">
        <f t="shared" si="181"/>
        <v>Same</v>
      </c>
      <c r="AQ1084" s="81">
        <f t="shared" si="182"/>
        <v>0</v>
      </c>
      <c r="AR1084" s="81">
        <f t="shared" si="183"/>
        <v>0</v>
      </c>
      <c r="AS1084" s="81">
        <f t="shared" si="186"/>
        <v>0</v>
      </c>
    </row>
    <row r="1085" spans="1:45" hidden="1" x14ac:dyDescent="0.3">
      <c r="A1085">
        <v>5090592</v>
      </c>
      <c r="B1085" s="15" t="s">
        <v>6421</v>
      </c>
      <c r="C1085" s="16" t="s">
        <v>30</v>
      </c>
      <c r="D1085" s="6" t="s">
        <v>31</v>
      </c>
      <c r="E1085" t="s">
        <v>48</v>
      </c>
      <c r="F1085" t="s">
        <v>48</v>
      </c>
      <c r="H1085" s="11" t="s">
        <v>27</v>
      </c>
      <c r="I1085" s="6" t="s">
        <v>28</v>
      </c>
      <c r="J1085" s="6" t="s">
        <v>28</v>
      </c>
      <c r="K1085" t="s">
        <v>32</v>
      </c>
      <c r="L1085" s="35">
        <v>56.06</v>
      </c>
      <c r="M1085" s="6" t="s">
        <v>29</v>
      </c>
      <c r="N1085" s="6">
        <v>3105</v>
      </c>
      <c r="P1085" s="18"/>
      <c r="Q1085" s="17"/>
      <c r="R1085" s="19">
        <v>56.06</v>
      </c>
      <c r="S1085" s="19">
        <v>56.06</v>
      </c>
      <c r="T1085" s="38">
        <v>0</v>
      </c>
      <c r="U1085" s="38"/>
      <c r="V1085" s="29">
        <v>56.06</v>
      </c>
      <c r="W1085" s="35">
        <v>56.06</v>
      </c>
      <c r="X1085" s="32">
        <f t="shared" si="176"/>
        <v>0</v>
      </c>
      <c r="Y1085" s="32">
        <f t="shared" si="177"/>
        <v>0</v>
      </c>
      <c r="Z1085" s="32">
        <f t="shared" si="178"/>
        <v>0</v>
      </c>
      <c r="AA1085" s="38" t="s">
        <v>2573</v>
      </c>
      <c r="AB1085" s="37" t="str">
        <f>IFERROR(VLOOKUP(A1085,'Tash Lookup'!A:E,3,FALSE),"")</f>
        <v/>
      </c>
      <c r="AC1085" s="6" t="str">
        <f t="shared" si="179"/>
        <v/>
      </c>
      <c r="AD1085" s="2" t="s">
        <v>6703</v>
      </c>
      <c r="AF1085" s="56">
        <v>56.06</v>
      </c>
      <c r="AG1085" s="56">
        <f>VLOOKUP(A1085,Sheet1!$A$2:$C$1140,3,FALSE)</f>
        <v>56.06</v>
      </c>
      <c r="AH1085" s="58">
        <v>56.06</v>
      </c>
      <c r="AI1085" s="56" t="str">
        <f t="shared" si="180"/>
        <v>Same</v>
      </c>
      <c r="AJ1085" s="81">
        <f t="shared" si="184"/>
        <v>0</v>
      </c>
      <c r="AK1085" s="81">
        <f t="shared" si="185"/>
        <v>0</v>
      </c>
      <c r="AL1085" s="58" t="s">
        <v>32</v>
      </c>
      <c r="AM1085" s="58" t="s">
        <v>6703</v>
      </c>
      <c r="AN1085" s="75">
        <v>0</v>
      </c>
      <c r="AO1085" s="88">
        <v>56.06</v>
      </c>
      <c r="AP1085" s="6" t="str">
        <f t="shared" si="181"/>
        <v>Same</v>
      </c>
      <c r="AQ1085" s="81">
        <f t="shared" si="182"/>
        <v>0</v>
      </c>
      <c r="AR1085" s="81">
        <f t="shared" si="183"/>
        <v>0</v>
      </c>
      <c r="AS1085" s="81">
        <f t="shared" si="186"/>
        <v>0</v>
      </c>
    </row>
    <row r="1086" spans="1:45" hidden="1" x14ac:dyDescent="0.3">
      <c r="A1086">
        <v>5115991</v>
      </c>
      <c r="B1086" s="15" t="s">
        <v>6422</v>
      </c>
      <c r="C1086" s="16" t="s">
        <v>30</v>
      </c>
      <c r="D1086" s="6" t="s">
        <v>31</v>
      </c>
      <c r="E1086" t="s">
        <v>55</v>
      </c>
      <c r="F1086" t="s">
        <v>55</v>
      </c>
      <c r="H1086" s="11" t="s">
        <v>27</v>
      </c>
      <c r="I1086" s="6" t="s">
        <v>28</v>
      </c>
      <c r="J1086" s="6" t="s">
        <v>28</v>
      </c>
      <c r="K1086" t="s">
        <v>32</v>
      </c>
      <c r="L1086" s="35">
        <v>34.97</v>
      </c>
      <c r="M1086" s="6" t="s">
        <v>29</v>
      </c>
      <c r="N1086" s="6">
        <v>3105</v>
      </c>
      <c r="P1086" s="18"/>
      <c r="Q1086" s="17"/>
      <c r="R1086" s="19">
        <v>34.97</v>
      </c>
      <c r="S1086" s="19">
        <v>34.97</v>
      </c>
      <c r="T1086" s="38">
        <v>0</v>
      </c>
      <c r="U1086" s="38"/>
      <c r="V1086" s="29">
        <v>34.97</v>
      </c>
      <c r="W1086" s="35">
        <v>34.97</v>
      </c>
      <c r="X1086" s="32">
        <f t="shared" si="176"/>
        <v>0</v>
      </c>
      <c r="Y1086" s="32">
        <f t="shared" si="177"/>
        <v>0</v>
      </c>
      <c r="Z1086" s="32">
        <f t="shared" si="178"/>
        <v>0</v>
      </c>
      <c r="AA1086" s="38" t="s">
        <v>2573</v>
      </c>
      <c r="AB1086" s="37" t="str">
        <f>IFERROR(VLOOKUP(A1086,'Tash Lookup'!A:E,3,FALSE),"")</f>
        <v/>
      </c>
      <c r="AC1086" s="6" t="str">
        <f t="shared" si="179"/>
        <v/>
      </c>
      <c r="AD1086" s="2" t="s">
        <v>6711</v>
      </c>
      <c r="AE1086" s="2" t="s">
        <v>6701</v>
      </c>
      <c r="AF1086" s="56">
        <v>34.97</v>
      </c>
      <c r="AG1086" s="56" t="e">
        <f>VLOOKUP(A1086,Sheet1!$A$2:$C$1140,3,FALSE)</f>
        <v>#N/A</v>
      </c>
      <c r="AH1086" s="58" t="e">
        <v>#N/A</v>
      </c>
      <c r="AI1086" s="56" t="str">
        <f t="shared" si="180"/>
        <v>Delete</v>
      </c>
      <c r="AJ1086" s="81">
        <f t="shared" si="184"/>
        <v>0</v>
      </c>
      <c r="AK1086" s="81">
        <f t="shared" si="185"/>
        <v>0</v>
      </c>
      <c r="AL1086" s="58" t="s">
        <v>32</v>
      </c>
      <c r="AM1086" s="58" t="s">
        <v>6711</v>
      </c>
      <c r="AN1086" s="75">
        <v>0</v>
      </c>
      <c r="AO1086" s="88">
        <v>34.97</v>
      </c>
      <c r="AP1086" s="6" t="str">
        <f t="shared" si="181"/>
        <v>Delete</v>
      </c>
      <c r="AQ1086" s="81">
        <f t="shared" si="182"/>
        <v>0</v>
      </c>
      <c r="AR1086" s="81">
        <f t="shared" si="183"/>
        <v>0</v>
      </c>
      <c r="AS1086" s="81">
        <f t="shared" si="186"/>
        <v>0</v>
      </c>
    </row>
    <row r="1087" spans="1:45" hidden="1" x14ac:dyDescent="0.3">
      <c r="A1087">
        <v>5091276</v>
      </c>
      <c r="B1087" s="15" t="s">
        <v>6423</v>
      </c>
      <c r="C1087" s="16" t="s">
        <v>30</v>
      </c>
      <c r="D1087" s="6" t="s">
        <v>31</v>
      </c>
      <c r="E1087" t="s">
        <v>56</v>
      </c>
      <c r="F1087" t="s">
        <v>56</v>
      </c>
      <c r="H1087" s="11" t="s">
        <v>27</v>
      </c>
      <c r="I1087" s="6" t="s">
        <v>28</v>
      </c>
      <c r="J1087" s="6" t="s">
        <v>28</v>
      </c>
      <c r="K1087" t="s">
        <v>32</v>
      </c>
      <c r="L1087" s="35">
        <v>28.63</v>
      </c>
      <c r="M1087" s="6" t="s">
        <v>29</v>
      </c>
      <c r="N1087" s="6">
        <v>3105</v>
      </c>
      <c r="P1087" s="18"/>
      <c r="Q1087" s="17"/>
      <c r="R1087" s="19">
        <v>28.63</v>
      </c>
      <c r="S1087" s="19">
        <v>28.63</v>
      </c>
      <c r="T1087" s="38">
        <v>0</v>
      </c>
      <c r="U1087" s="38"/>
      <c r="V1087" s="29">
        <v>28.63</v>
      </c>
      <c r="W1087" s="35">
        <v>28.63</v>
      </c>
      <c r="X1087" s="32">
        <f t="shared" si="176"/>
        <v>0</v>
      </c>
      <c r="Y1087" s="32">
        <f t="shared" si="177"/>
        <v>0</v>
      </c>
      <c r="Z1087" s="32">
        <f t="shared" si="178"/>
        <v>0</v>
      </c>
      <c r="AA1087" s="38" t="s">
        <v>2573</v>
      </c>
      <c r="AB1087" s="37" t="str">
        <f>IFERROR(VLOOKUP(A1087,'Tash Lookup'!A:E,3,FALSE),"")</f>
        <v/>
      </c>
      <c r="AC1087" s="6" t="str">
        <f t="shared" si="179"/>
        <v/>
      </c>
      <c r="AD1087" s="2" t="s">
        <v>6704</v>
      </c>
      <c r="AF1087" s="56">
        <v>28.63</v>
      </c>
      <c r="AG1087" s="56" t="e">
        <f>VLOOKUP(A1087,Sheet1!$A$2:$C$1140,3,FALSE)</f>
        <v>#N/A</v>
      </c>
      <c r="AH1087" s="58" t="e">
        <v>#N/A</v>
      </c>
      <c r="AI1087" s="56" t="str">
        <f t="shared" si="180"/>
        <v>Delete</v>
      </c>
      <c r="AJ1087" s="81">
        <f t="shared" si="184"/>
        <v>0</v>
      </c>
      <c r="AK1087" s="81">
        <f t="shared" si="185"/>
        <v>0</v>
      </c>
      <c r="AL1087" s="58" t="s">
        <v>32</v>
      </c>
      <c r="AM1087" s="58" t="s">
        <v>6708</v>
      </c>
      <c r="AN1087" s="75">
        <v>0</v>
      </c>
      <c r="AO1087" s="88">
        <v>28.63</v>
      </c>
      <c r="AP1087" s="6" t="str">
        <f t="shared" si="181"/>
        <v>Same</v>
      </c>
      <c r="AQ1087" s="81">
        <f t="shared" si="182"/>
        <v>0</v>
      </c>
      <c r="AR1087" s="81">
        <f t="shared" si="183"/>
        <v>0</v>
      </c>
      <c r="AS1087" s="81">
        <f t="shared" si="186"/>
        <v>0</v>
      </c>
    </row>
    <row r="1088" spans="1:45" hidden="1" x14ac:dyDescent="0.3">
      <c r="A1088">
        <v>5090767</v>
      </c>
      <c r="B1088" s="15" t="s">
        <v>6424</v>
      </c>
      <c r="C1088" s="16" t="s">
        <v>30</v>
      </c>
      <c r="D1088" s="6" t="s">
        <v>31</v>
      </c>
      <c r="E1088" t="s">
        <v>57</v>
      </c>
      <c r="F1088" t="s">
        <v>57</v>
      </c>
      <c r="H1088" s="11" t="s">
        <v>27</v>
      </c>
      <c r="I1088" s="6" t="s">
        <v>28</v>
      </c>
      <c r="J1088" s="6" t="s">
        <v>28</v>
      </c>
      <c r="K1088" t="s">
        <v>32</v>
      </c>
      <c r="L1088" s="35">
        <v>48.22</v>
      </c>
      <c r="M1088" s="6" t="s">
        <v>29</v>
      </c>
      <c r="N1088" s="6">
        <v>3105</v>
      </c>
      <c r="P1088" s="18"/>
      <c r="Q1088" s="17"/>
      <c r="R1088" s="19">
        <v>48.22</v>
      </c>
      <c r="S1088" s="19">
        <v>48.22</v>
      </c>
      <c r="T1088" s="38">
        <v>0</v>
      </c>
      <c r="U1088" s="38"/>
      <c r="V1088" s="29">
        <v>48.22</v>
      </c>
      <c r="W1088" s="35">
        <v>48.22</v>
      </c>
      <c r="X1088" s="32">
        <f t="shared" si="176"/>
        <v>0</v>
      </c>
      <c r="Y1088" s="32">
        <f t="shared" si="177"/>
        <v>0</v>
      </c>
      <c r="Z1088" s="32">
        <f t="shared" si="178"/>
        <v>0</v>
      </c>
      <c r="AA1088" s="38" t="s">
        <v>2573</v>
      </c>
      <c r="AB1088" s="37" t="str">
        <f>IFERROR(VLOOKUP(A1088,'Tash Lookup'!A:E,3,FALSE),"")</f>
        <v/>
      </c>
      <c r="AC1088" s="6" t="str">
        <f t="shared" si="179"/>
        <v/>
      </c>
      <c r="AD1088" s="2" t="s">
        <v>6703</v>
      </c>
      <c r="AF1088" s="56">
        <v>48.22</v>
      </c>
      <c r="AG1088" s="56">
        <f>VLOOKUP(A1088,Sheet1!$A$2:$C$1140,3,FALSE)</f>
        <v>48.22</v>
      </c>
      <c r="AH1088" s="58">
        <v>48.22</v>
      </c>
      <c r="AI1088" s="56" t="str">
        <f t="shared" si="180"/>
        <v>Same</v>
      </c>
      <c r="AJ1088" s="81">
        <f t="shared" si="184"/>
        <v>0</v>
      </c>
      <c r="AK1088" s="81">
        <f t="shared" si="185"/>
        <v>0</v>
      </c>
      <c r="AL1088" s="58" t="s">
        <v>32</v>
      </c>
      <c r="AM1088" s="58" t="s">
        <v>6703</v>
      </c>
      <c r="AN1088" s="75">
        <v>0</v>
      </c>
      <c r="AO1088" s="88">
        <v>48.22</v>
      </c>
      <c r="AP1088" s="6" t="str">
        <f t="shared" si="181"/>
        <v>Same</v>
      </c>
      <c r="AQ1088" s="81">
        <f t="shared" si="182"/>
        <v>0</v>
      </c>
      <c r="AR1088" s="81">
        <f t="shared" si="183"/>
        <v>0</v>
      </c>
      <c r="AS1088" s="81">
        <f t="shared" si="186"/>
        <v>0</v>
      </c>
    </row>
    <row r="1089" spans="1:45" hidden="1" x14ac:dyDescent="0.3">
      <c r="A1089">
        <v>5091341</v>
      </c>
      <c r="B1089" s="15" t="s">
        <v>6425</v>
      </c>
      <c r="C1089" s="16" t="s">
        <v>30</v>
      </c>
      <c r="D1089" s="6" t="s">
        <v>31</v>
      </c>
      <c r="E1089" t="s">
        <v>2538</v>
      </c>
      <c r="F1089" s="42" t="s">
        <v>2538</v>
      </c>
      <c r="H1089" s="11" t="s">
        <v>27</v>
      </c>
      <c r="I1089" s="6" t="s">
        <v>28</v>
      </c>
      <c r="J1089" s="6" t="s">
        <v>28</v>
      </c>
      <c r="K1089" t="s">
        <v>32</v>
      </c>
      <c r="L1089" s="35">
        <v>14.31</v>
      </c>
      <c r="M1089" s="6" t="s">
        <v>29</v>
      </c>
      <c r="N1089" s="6">
        <v>3105</v>
      </c>
      <c r="P1089" s="18"/>
      <c r="Q1089" s="17"/>
      <c r="R1089" s="19">
        <v>14.31</v>
      </c>
      <c r="S1089" s="19">
        <v>14.31</v>
      </c>
      <c r="T1089" s="38">
        <v>0</v>
      </c>
      <c r="U1089" s="38"/>
      <c r="V1089" s="29">
        <v>14.31</v>
      </c>
      <c r="W1089" s="35">
        <v>14.31</v>
      </c>
      <c r="X1089" s="32">
        <f t="shared" si="176"/>
        <v>0</v>
      </c>
      <c r="Y1089" s="32">
        <f t="shared" si="177"/>
        <v>0</v>
      </c>
      <c r="Z1089" s="32">
        <f t="shared" si="178"/>
        <v>0</v>
      </c>
      <c r="AA1089" s="38" t="s">
        <v>2573</v>
      </c>
      <c r="AB1089" s="37" t="str">
        <f>IFERROR(VLOOKUP(A1089,'Tash Lookup'!A:E,3,FALSE),"")</f>
        <v/>
      </c>
      <c r="AC1089" s="6" t="str">
        <f t="shared" si="179"/>
        <v/>
      </c>
      <c r="AD1089" s="2" t="s">
        <v>6704</v>
      </c>
      <c r="AF1089" s="56">
        <v>14.31</v>
      </c>
      <c r="AG1089" s="56" t="e">
        <f>VLOOKUP(A1089,Sheet1!$A$2:$C$1140,3,FALSE)</f>
        <v>#N/A</v>
      </c>
      <c r="AH1089" s="58" t="e">
        <v>#N/A</v>
      </c>
      <c r="AI1089" s="56" t="str">
        <f t="shared" si="180"/>
        <v>Delete</v>
      </c>
      <c r="AJ1089" s="81">
        <f t="shared" si="184"/>
        <v>0</v>
      </c>
      <c r="AK1089" s="81">
        <f t="shared" si="185"/>
        <v>0</v>
      </c>
      <c r="AL1089" s="58" t="s">
        <v>7206</v>
      </c>
      <c r="AM1089" s="58" t="s">
        <v>6708</v>
      </c>
      <c r="AN1089" s="75">
        <v>0</v>
      </c>
      <c r="AO1089" s="88">
        <v>14.31</v>
      </c>
      <c r="AP1089" s="6" t="str">
        <f t="shared" si="181"/>
        <v>Same</v>
      </c>
      <c r="AQ1089" s="81">
        <f t="shared" si="182"/>
        <v>0</v>
      </c>
      <c r="AR1089" s="81">
        <f t="shared" si="183"/>
        <v>0</v>
      </c>
      <c r="AS1089" s="81">
        <f t="shared" si="186"/>
        <v>0</v>
      </c>
    </row>
    <row r="1090" spans="1:45" hidden="1" x14ac:dyDescent="0.3">
      <c r="A1090">
        <v>5091108</v>
      </c>
      <c r="B1090" s="15" t="s">
        <v>6426</v>
      </c>
      <c r="C1090" s="16" t="s">
        <v>30</v>
      </c>
      <c r="D1090" s="6" t="s">
        <v>31</v>
      </c>
      <c r="E1090" t="s">
        <v>471</v>
      </c>
      <c r="F1090" t="s">
        <v>471</v>
      </c>
      <c r="H1090" s="11" t="s">
        <v>27</v>
      </c>
      <c r="I1090" s="6" t="s">
        <v>28</v>
      </c>
      <c r="J1090" s="6" t="s">
        <v>28</v>
      </c>
      <c r="K1090" t="s">
        <v>32</v>
      </c>
      <c r="L1090" s="35">
        <v>114.74</v>
      </c>
      <c r="M1090" s="6" t="s">
        <v>29</v>
      </c>
      <c r="N1090" s="6">
        <v>3105</v>
      </c>
      <c r="P1090" s="18"/>
      <c r="Q1090" s="17"/>
      <c r="R1090" s="19">
        <v>114.74</v>
      </c>
      <c r="S1090" s="19">
        <v>114.74</v>
      </c>
      <c r="T1090" s="38">
        <v>0</v>
      </c>
      <c r="U1090" s="38"/>
      <c r="V1090" s="29">
        <v>114.74</v>
      </c>
      <c r="W1090" s="35">
        <v>114.74</v>
      </c>
      <c r="X1090" s="32">
        <f t="shared" si="176"/>
        <v>0</v>
      </c>
      <c r="Y1090" s="32">
        <f t="shared" si="177"/>
        <v>0</v>
      </c>
      <c r="Z1090" s="32">
        <f t="shared" si="178"/>
        <v>0</v>
      </c>
      <c r="AA1090" s="38" t="s">
        <v>2573</v>
      </c>
      <c r="AB1090" s="37" t="str">
        <f>IFERROR(VLOOKUP(A1090,'Tash Lookup'!A:E,3,FALSE),"")</f>
        <v/>
      </c>
      <c r="AC1090" s="6" t="str">
        <f t="shared" si="179"/>
        <v/>
      </c>
      <c r="AD1090" s="2" t="s">
        <v>6703</v>
      </c>
      <c r="AF1090" s="56">
        <v>141.21</v>
      </c>
      <c r="AG1090" s="56">
        <f>VLOOKUP(A1090,Sheet1!$A$2:$C$1140,3,FALSE)</f>
        <v>145.44999999999999</v>
      </c>
      <c r="AH1090" s="58">
        <v>145.44999999999999</v>
      </c>
      <c r="AI1090" s="56" t="str">
        <f t="shared" si="180"/>
        <v>Increase</v>
      </c>
      <c r="AJ1090" s="81">
        <f t="shared" si="184"/>
        <v>0</v>
      </c>
      <c r="AK1090" s="81">
        <f t="shared" si="185"/>
        <v>0</v>
      </c>
      <c r="AL1090" s="58" t="s">
        <v>32</v>
      </c>
      <c r="AM1090" s="58" t="s">
        <v>6703</v>
      </c>
      <c r="AN1090" s="75">
        <v>0</v>
      </c>
      <c r="AO1090" s="88">
        <v>145.44999999999999</v>
      </c>
      <c r="AP1090" s="6" t="str">
        <f t="shared" si="181"/>
        <v>Increase</v>
      </c>
      <c r="AQ1090" s="81">
        <f t="shared" si="182"/>
        <v>0</v>
      </c>
      <c r="AR1090" s="81">
        <f t="shared" si="183"/>
        <v>0</v>
      </c>
      <c r="AS1090" s="81">
        <f t="shared" si="186"/>
        <v>0</v>
      </c>
    </row>
    <row r="1091" spans="1:45" hidden="1" x14ac:dyDescent="0.3">
      <c r="A1091">
        <v>5316733</v>
      </c>
      <c r="B1091" s="15" t="s">
        <v>6427</v>
      </c>
      <c r="C1091" s="16" t="s">
        <v>30</v>
      </c>
      <c r="D1091" s="6" t="s">
        <v>31</v>
      </c>
      <c r="E1091" t="s">
        <v>479</v>
      </c>
      <c r="F1091" t="s">
        <v>479</v>
      </c>
      <c r="H1091" s="11" t="s">
        <v>27</v>
      </c>
      <c r="I1091" s="6" t="s">
        <v>28</v>
      </c>
      <c r="J1091" s="6" t="s">
        <v>28</v>
      </c>
      <c r="K1091" t="s">
        <v>32</v>
      </c>
      <c r="L1091" s="35">
        <v>24.99</v>
      </c>
      <c r="M1091" s="6" t="s">
        <v>29</v>
      </c>
      <c r="N1091" s="6">
        <v>3105</v>
      </c>
      <c r="P1091" s="18"/>
      <c r="Q1091" s="17"/>
      <c r="R1091" s="19">
        <v>24.99</v>
      </c>
      <c r="S1091" s="19">
        <v>24.99</v>
      </c>
      <c r="T1091" s="38">
        <v>0</v>
      </c>
      <c r="U1091" s="38"/>
      <c r="V1091" s="29">
        <v>24.99</v>
      </c>
      <c r="W1091" s="35">
        <v>24.99</v>
      </c>
      <c r="X1091" s="32">
        <f t="shared" si="176"/>
        <v>0</v>
      </c>
      <c r="Y1091" s="32">
        <f t="shared" si="177"/>
        <v>0</v>
      </c>
      <c r="Z1091" s="32">
        <f t="shared" si="178"/>
        <v>0</v>
      </c>
      <c r="AA1091" s="38" t="s">
        <v>2573</v>
      </c>
      <c r="AB1091" s="37" t="str">
        <f>IFERROR(VLOOKUP(A1091,'Tash Lookup'!A:E,3,FALSE),"")</f>
        <v/>
      </c>
      <c r="AC1091" s="6" t="str">
        <f t="shared" si="179"/>
        <v/>
      </c>
      <c r="AD1091" s="2" t="s">
        <v>6705</v>
      </c>
      <c r="AF1091" s="56">
        <v>22.04</v>
      </c>
      <c r="AG1091" s="56">
        <f>VLOOKUP(A1091,Sheet1!$A$2:$C$1140,3,FALSE)</f>
        <v>22.7</v>
      </c>
      <c r="AH1091" s="58">
        <v>22.7</v>
      </c>
      <c r="AI1091" s="56" t="str">
        <f t="shared" si="180"/>
        <v>Increase</v>
      </c>
      <c r="AJ1091" s="81">
        <f t="shared" si="184"/>
        <v>0</v>
      </c>
      <c r="AK1091" s="81">
        <f t="shared" si="185"/>
        <v>0</v>
      </c>
      <c r="AL1091" s="58" t="s">
        <v>32</v>
      </c>
      <c r="AM1091" s="58" t="s">
        <v>6705</v>
      </c>
      <c r="AN1091" s="75">
        <v>0</v>
      </c>
      <c r="AO1091" s="88">
        <v>22.7</v>
      </c>
      <c r="AP1091" s="6" t="str">
        <f t="shared" si="181"/>
        <v>Increase</v>
      </c>
      <c r="AQ1091" s="81">
        <f t="shared" si="182"/>
        <v>0</v>
      </c>
      <c r="AR1091" s="81">
        <f t="shared" si="183"/>
        <v>0</v>
      </c>
      <c r="AS1091" s="81">
        <f t="shared" si="186"/>
        <v>0</v>
      </c>
    </row>
    <row r="1092" spans="1:45" hidden="1" x14ac:dyDescent="0.3">
      <c r="A1092">
        <v>5091283</v>
      </c>
      <c r="B1092" s="15" t="s">
        <v>6428</v>
      </c>
      <c r="C1092" s="16" t="s">
        <v>30</v>
      </c>
      <c r="D1092" s="6" t="s">
        <v>31</v>
      </c>
      <c r="E1092" t="s">
        <v>69</v>
      </c>
      <c r="F1092" t="s">
        <v>69</v>
      </c>
      <c r="H1092" s="11" t="s">
        <v>27</v>
      </c>
      <c r="I1092" s="6" t="s">
        <v>28</v>
      </c>
      <c r="J1092" s="6" t="s">
        <v>28</v>
      </c>
      <c r="K1092" t="s">
        <v>32</v>
      </c>
      <c r="L1092" s="35">
        <v>30.37</v>
      </c>
      <c r="M1092" s="6" t="s">
        <v>29</v>
      </c>
      <c r="N1092" s="6">
        <v>3105</v>
      </c>
      <c r="P1092" s="18"/>
      <c r="Q1092" s="17"/>
      <c r="R1092" s="19">
        <v>30.37</v>
      </c>
      <c r="S1092" s="19">
        <v>30.37</v>
      </c>
      <c r="T1092" s="38">
        <v>0</v>
      </c>
      <c r="U1092" s="38"/>
      <c r="V1092" s="29">
        <v>30.37</v>
      </c>
      <c r="W1092" s="35">
        <v>30.37</v>
      </c>
      <c r="X1092" s="32">
        <f t="shared" si="176"/>
        <v>0</v>
      </c>
      <c r="Y1092" s="32">
        <f t="shared" si="177"/>
        <v>0</v>
      </c>
      <c r="Z1092" s="32">
        <f t="shared" si="178"/>
        <v>0</v>
      </c>
      <c r="AA1092" s="38" t="s">
        <v>2573</v>
      </c>
      <c r="AB1092" s="37" t="str">
        <f>IFERROR(VLOOKUP(A1092,'Tash Lookup'!A:E,3,FALSE),"")</f>
        <v/>
      </c>
      <c r="AC1092" s="6" t="str">
        <f t="shared" si="179"/>
        <v/>
      </c>
      <c r="AD1092" s="2" t="s">
        <v>6703</v>
      </c>
      <c r="AF1092" s="56">
        <v>33</v>
      </c>
      <c r="AG1092" s="56">
        <f>VLOOKUP(A1092,Sheet1!$A$2:$C$1140,3,FALSE)</f>
        <v>33</v>
      </c>
      <c r="AH1092" s="58">
        <v>33</v>
      </c>
      <c r="AI1092" s="56" t="str">
        <f t="shared" si="180"/>
        <v>Same</v>
      </c>
      <c r="AJ1092" s="81">
        <f t="shared" si="184"/>
        <v>0</v>
      </c>
      <c r="AK1092" s="81">
        <f t="shared" si="185"/>
        <v>0</v>
      </c>
      <c r="AL1092" s="58" t="s">
        <v>32</v>
      </c>
      <c r="AM1092" s="58" t="s">
        <v>6703</v>
      </c>
      <c r="AN1092" s="75">
        <v>0</v>
      </c>
      <c r="AO1092" s="88">
        <v>33</v>
      </c>
      <c r="AP1092" s="6" t="str">
        <f t="shared" si="181"/>
        <v>Same</v>
      </c>
      <c r="AQ1092" s="81">
        <f t="shared" si="182"/>
        <v>0</v>
      </c>
      <c r="AR1092" s="81">
        <f t="shared" si="183"/>
        <v>0</v>
      </c>
      <c r="AS1092" s="81">
        <f t="shared" si="186"/>
        <v>0</v>
      </c>
    </row>
    <row r="1093" spans="1:45" hidden="1" x14ac:dyDescent="0.3">
      <c r="A1093">
        <v>5090769</v>
      </c>
      <c r="B1093" s="15" t="s">
        <v>6429</v>
      </c>
      <c r="C1093" s="16" t="s">
        <v>30</v>
      </c>
      <c r="D1093" s="6" t="s">
        <v>31</v>
      </c>
      <c r="E1093" t="s">
        <v>70</v>
      </c>
      <c r="F1093" t="s">
        <v>70</v>
      </c>
      <c r="H1093" s="11" t="s">
        <v>27</v>
      </c>
      <c r="I1093" s="6" t="s">
        <v>28</v>
      </c>
      <c r="J1093" s="6" t="s">
        <v>28</v>
      </c>
      <c r="K1093" t="s">
        <v>32</v>
      </c>
      <c r="L1093" s="35">
        <v>39.1</v>
      </c>
      <c r="M1093" s="6" t="s">
        <v>29</v>
      </c>
      <c r="N1093" s="6">
        <v>3105</v>
      </c>
      <c r="P1093" s="18"/>
      <c r="Q1093" s="17"/>
      <c r="R1093" s="19">
        <v>39.1</v>
      </c>
      <c r="S1093" s="19">
        <v>39.1</v>
      </c>
      <c r="T1093" s="38">
        <v>0</v>
      </c>
      <c r="U1093" s="38"/>
      <c r="V1093" s="29">
        <v>30.37</v>
      </c>
      <c r="W1093" s="35">
        <v>39.1</v>
      </c>
      <c r="X1093" s="32">
        <f t="shared" si="176"/>
        <v>0</v>
      </c>
      <c r="Y1093" s="32">
        <f t="shared" si="177"/>
        <v>0</v>
      </c>
      <c r="Z1093" s="32">
        <f t="shared" si="178"/>
        <v>0</v>
      </c>
      <c r="AA1093" s="38" t="s">
        <v>2573</v>
      </c>
      <c r="AB1093" s="37" t="str">
        <f>IFERROR(VLOOKUP(A1093,'Tash Lookup'!A:E,3,FALSE),"")</f>
        <v/>
      </c>
      <c r="AC1093" s="6" t="str">
        <f t="shared" si="179"/>
        <v/>
      </c>
      <c r="AD1093" s="2" t="s">
        <v>6703</v>
      </c>
      <c r="AF1093" s="56">
        <v>34.950000000000003</v>
      </c>
      <c r="AG1093" s="56">
        <f>VLOOKUP(A1093,Sheet1!$A$2:$C$1140,3,FALSE)</f>
        <v>31.28</v>
      </c>
      <c r="AH1093" s="58">
        <v>31.28</v>
      </c>
      <c r="AI1093" s="56" t="str">
        <f t="shared" si="180"/>
        <v>Decrease</v>
      </c>
      <c r="AJ1093" s="81">
        <f t="shared" si="184"/>
        <v>0</v>
      </c>
      <c r="AK1093" s="81">
        <f t="shared" si="185"/>
        <v>0</v>
      </c>
      <c r="AL1093" s="58" t="s">
        <v>32</v>
      </c>
      <c r="AM1093" s="58" t="s">
        <v>6703</v>
      </c>
      <c r="AN1093" s="75">
        <v>0</v>
      </c>
      <c r="AO1093" s="88">
        <v>31.28</v>
      </c>
      <c r="AP1093" s="6" t="str">
        <f t="shared" si="181"/>
        <v>Decrease</v>
      </c>
      <c r="AQ1093" s="81">
        <f t="shared" si="182"/>
        <v>0</v>
      </c>
      <c r="AR1093" s="81">
        <f t="shared" si="183"/>
        <v>0</v>
      </c>
      <c r="AS1093" s="81">
        <f t="shared" si="186"/>
        <v>0</v>
      </c>
    </row>
    <row r="1094" spans="1:45" hidden="1" x14ac:dyDescent="0.3">
      <c r="A1094">
        <v>5090717</v>
      </c>
      <c r="B1094" s="15" t="s">
        <v>6430</v>
      </c>
      <c r="C1094" s="16" t="s">
        <v>30</v>
      </c>
      <c r="D1094" s="6" t="s">
        <v>31</v>
      </c>
      <c r="E1094" t="s">
        <v>482</v>
      </c>
      <c r="F1094" t="s">
        <v>482</v>
      </c>
      <c r="H1094" s="11" t="s">
        <v>27</v>
      </c>
      <c r="I1094" s="6" t="s">
        <v>28</v>
      </c>
      <c r="J1094" s="6" t="s">
        <v>28</v>
      </c>
      <c r="K1094" t="s">
        <v>32</v>
      </c>
      <c r="L1094" s="35">
        <v>24.01</v>
      </c>
      <c r="M1094" s="6" t="s">
        <v>29</v>
      </c>
      <c r="N1094" s="6">
        <v>3105</v>
      </c>
      <c r="P1094" s="18"/>
      <c r="Q1094" s="17"/>
      <c r="R1094" s="19">
        <v>24.01</v>
      </c>
      <c r="S1094" s="19">
        <v>24.01</v>
      </c>
      <c r="T1094" s="38">
        <v>0</v>
      </c>
      <c r="U1094" s="38"/>
      <c r="V1094" s="29">
        <v>24.01</v>
      </c>
      <c r="W1094" s="35">
        <v>24.01</v>
      </c>
      <c r="X1094" s="32">
        <f t="shared" ref="X1094:X1157" si="187">SUM(V1094*T1094)</f>
        <v>0</v>
      </c>
      <c r="Y1094" s="32">
        <f t="shared" ref="Y1094:Y1157" si="188">SUM(L1094*T1094)</f>
        <v>0</v>
      </c>
      <c r="Z1094" s="32">
        <f t="shared" ref="Z1094:Z1157" si="189">SUM(X1094-Y1094)</f>
        <v>0</v>
      </c>
      <c r="AA1094" s="38" t="s">
        <v>2573</v>
      </c>
      <c r="AB1094" s="37" t="str">
        <f>IFERROR(VLOOKUP(A1094,'Tash Lookup'!A:E,3,FALSE),"")</f>
        <v/>
      </c>
      <c r="AC1094" s="6" t="str">
        <f t="shared" ref="AC1094:AC1157" si="190">IFERROR(AA1094-T1094,"")</f>
        <v/>
      </c>
      <c r="AD1094" s="2" t="s">
        <v>6703</v>
      </c>
      <c r="AF1094" s="56">
        <v>26.63</v>
      </c>
      <c r="AG1094" s="56">
        <f>VLOOKUP(A1094,Sheet1!$A$2:$C$1140,3,FALSE)</f>
        <v>27.42</v>
      </c>
      <c r="AH1094" s="58">
        <v>27.42</v>
      </c>
      <c r="AI1094" s="56" t="str">
        <f t="shared" ref="AI1094:AI1157" si="191">IF(ISNA(AH1094),"Delete",IF(AH1094=AF1094,"Same",IF(AH1094&gt;AF1094,"Increase","Decrease")))</f>
        <v>Increase</v>
      </c>
      <c r="AJ1094" s="81">
        <f t="shared" si="184"/>
        <v>0</v>
      </c>
      <c r="AK1094" s="81">
        <f t="shared" si="185"/>
        <v>0</v>
      </c>
      <c r="AL1094" s="58" t="s">
        <v>32</v>
      </c>
      <c r="AM1094" s="58" t="s">
        <v>6703</v>
      </c>
      <c r="AN1094" s="75">
        <v>1</v>
      </c>
      <c r="AO1094" s="88">
        <v>27.42</v>
      </c>
      <c r="AP1094" s="6" t="str">
        <f t="shared" ref="AP1094:AP1157" si="192">IF(AM1094="Delete","Delete",IF(AO1094=AF1094,"Same",IF(AO1094&gt;AF1094,"Increase","Decrease")))</f>
        <v>Increase</v>
      </c>
      <c r="AQ1094" s="81">
        <f t="shared" ref="AQ1094:AQ1157" si="193">AN1094*AF1094</f>
        <v>26.63</v>
      </c>
      <c r="AR1094" s="81">
        <f t="shared" ref="AR1094:AR1157" si="194">AN1094*AO1094</f>
        <v>27.42</v>
      </c>
      <c r="AS1094" s="81">
        <f t="shared" si="186"/>
        <v>0.7900000000000027</v>
      </c>
    </row>
    <row r="1095" spans="1:45" hidden="1" x14ac:dyDescent="0.3">
      <c r="A1095">
        <v>5480752</v>
      </c>
      <c r="B1095" s="15" t="s">
        <v>6431</v>
      </c>
      <c r="C1095" s="16" t="s">
        <v>30</v>
      </c>
      <c r="D1095" s="6" t="s">
        <v>31</v>
      </c>
      <c r="E1095" t="s">
        <v>486</v>
      </c>
      <c r="F1095" t="s">
        <v>486</v>
      </c>
      <c r="H1095" s="11" t="s">
        <v>27</v>
      </c>
      <c r="I1095" s="6" t="s">
        <v>28</v>
      </c>
      <c r="J1095" s="6" t="s">
        <v>28</v>
      </c>
      <c r="K1095" t="s">
        <v>32</v>
      </c>
      <c r="L1095" s="35">
        <v>13.95</v>
      </c>
      <c r="M1095" s="6" t="s">
        <v>29</v>
      </c>
      <c r="N1095" s="6">
        <v>3105</v>
      </c>
      <c r="P1095" s="18"/>
      <c r="Q1095" s="17"/>
      <c r="R1095" s="19">
        <v>13.95</v>
      </c>
      <c r="S1095" s="19">
        <v>13.95</v>
      </c>
      <c r="T1095" s="38">
        <v>0</v>
      </c>
      <c r="U1095" s="38"/>
      <c r="V1095" s="29">
        <v>13.95</v>
      </c>
      <c r="W1095" s="35">
        <v>13.95</v>
      </c>
      <c r="X1095" s="32">
        <f t="shared" si="187"/>
        <v>0</v>
      </c>
      <c r="Y1095" s="32">
        <f t="shared" si="188"/>
        <v>0</v>
      </c>
      <c r="Z1095" s="32">
        <f t="shared" si="189"/>
        <v>0</v>
      </c>
      <c r="AA1095" s="38" t="s">
        <v>2573</v>
      </c>
      <c r="AB1095" s="37" t="str">
        <f>IFERROR(VLOOKUP(A1095,'Tash Lookup'!A:E,3,FALSE),"")</f>
        <v/>
      </c>
      <c r="AC1095" s="6" t="str">
        <f t="shared" si="190"/>
        <v/>
      </c>
      <c r="AD1095" s="2" t="s">
        <v>6703</v>
      </c>
      <c r="AF1095" s="56">
        <v>14.45</v>
      </c>
      <c r="AG1095" s="56" t="e">
        <f>VLOOKUP(A1095,Sheet1!$A$2:$C$1140,3,FALSE)</f>
        <v>#N/A</v>
      </c>
      <c r="AH1095" s="58" t="e">
        <v>#N/A</v>
      </c>
      <c r="AI1095" s="56" t="str">
        <f t="shared" si="191"/>
        <v>Delete</v>
      </c>
      <c r="AJ1095" s="81">
        <f t="shared" ref="AJ1095:AJ1158" si="195">IFERROR(AA1095*AF1095,0)</f>
        <v>0</v>
      </c>
      <c r="AK1095" s="81">
        <f t="shared" ref="AK1095:AK1158" si="196">IFERROR(AA1095*AH1095,0)</f>
        <v>0</v>
      </c>
      <c r="AL1095" s="58" t="s">
        <v>32</v>
      </c>
      <c r="AM1095" s="58" t="s">
        <v>6703</v>
      </c>
      <c r="AN1095" s="75">
        <v>1</v>
      </c>
      <c r="AO1095" s="88">
        <v>14.45</v>
      </c>
      <c r="AP1095" s="6" t="str">
        <f t="shared" si="192"/>
        <v>Same</v>
      </c>
      <c r="AQ1095" s="81">
        <f t="shared" si="193"/>
        <v>14.45</v>
      </c>
      <c r="AR1095" s="81">
        <f t="shared" si="194"/>
        <v>14.45</v>
      </c>
      <c r="AS1095" s="81">
        <f t="shared" ref="AS1095:AS1158" si="197">AR1095-AQ1095</f>
        <v>0</v>
      </c>
    </row>
    <row r="1096" spans="1:45" hidden="1" x14ac:dyDescent="0.3">
      <c r="A1096">
        <v>5480936</v>
      </c>
      <c r="B1096" s="15" t="s">
        <v>6432</v>
      </c>
      <c r="C1096" s="16" t="s">
        <v>30</v>
      </c>
      <c r="D1096" s="6" t="s">
        <v>31</v>
      </c>
      <c r="E1096" t="s">
        <v>487</v>
      </c>
      <c r="F1096" t="s">
        <v>487</v>
      </c>
      <c r="H1096" s="11" t="s">
        <v>27</v>
      </c>
      <c r="I1096" s="6" t="s">
        <v>28</v>
      </c>
      <c r="J1096" s="6" t="s">
        <v>28</v>
      </c>
      <c r="K1096" t="s">
        <v>32</v>
      </c>
      <c r="L1096" s="35">
        <v>10.99</v>
      </c>
      <c r="M1096" s="6" t="s">
        <v>29</v>
      </c>
      <c r="N1096" s="6">
        <v>3105</v>
      </c>
      <c r="P1096" s="18"/>
      <c r="Q1096" s="17"/>
      <c r="R1096" s="19">
        <v>10.99</v>
      </c>
      <c r="S1096" s="19">
        <v>10.99</v>
      </c>
      <c r="T1096" s="38">
        <v>0</v>
      </c>
      <c r="U1096" s="38"/>
      <c r="V1096" s="29">
        <v>10.99</v>
      </c>
      <c r="W1096" s="35">
        <v>10.99</v>
      </c>
      <c r="X1096" s="32">
        <f t="shared" si="187"/>
        <v>0</v>
      </c>
      <c r="Y1096" s="32">
        <f t="shared" si="188"/>
        <v>0</v>
      </c>
      <c r="Z1096" s="32">
        <f t="shared" si="189"/>
        <v>0</v>
      </c>
      <c r="AA1096" s="38" t="s">
        <v>2573</v>
      </c>
      <c r="AB1096" s="37" t="str">
        <f>IFERROR(VLOOKUP(A1096,'Tash Lookup'!A:E,3,FALSE),"")</f>
        <v/>
      </c>
      <c r="AC1096" s="6" t="str">
        <f t="shared" si="190"/>
        <v/>
      </c>
      <c r="AD1096" s="2" t="s">
        <v>6703</v>
      </c>
      <c r="AF1096" s="56">
        <v>11.5</v>
      </c>
      <c r="AG1096" s="56">
        <f>VLOOKUP(A1096,Sheet1!$A$2:$C$1140,3,FALSE)</f>
        <v>11.5</v>
      </c>
      <c r="AH1096" s="58">
        <v>11.5</v>
      </c>
      <c r="AI1096" s="56" t="str">
        <f t="shared" si="191"/>
        <v>Same</v>
      </c>
      <c r="AJ1096" s="81">
        <f t="shared" si="195"/>
        <v>0</v>
      </c>
      <c r="AK1096" s="81">
        <f t="shared" si="196"/>
        <v>0</v>
      </c>
      <c r="AL1096" s="58" t="s">
        <v>32</v>
      </c>
      <c r="AM1096" s="58" t="s">
        <v>6703</v>
      </c>
      <c r="AN1096" s="75">
        <v>0</v>
      </c>
      <c r="AO1096" s="88">
        <v>11.5</v>
      </c>
      <c r="AP1096" s="6" t="str">
        <f t="shared" si="192"/>
        <v>Same</v>
      </c>
      <c r="AQ1096" s="81">
        <f t="shared" si="193"/>
        <v>0</v>
      </c>
      <c r="AR1096" s="81">
        <f t="shared" si="194"/>
        <v>0</v>
      </c>
      <c r="AS1096" s="81">
        <f t="shared" si="197"/>
        <v>0</v>
      </c>
    </row>
    <row r="1097" spans="1:45" hidden="1" x14ac:dyDescent="0.3">
      <c r="A1097">
        <v>5090873</v>
      </c>
      <c r="B1097" s="15" t="s">
        <v>6433</v>
      </c>
      <c r="C1097" s="16" t="s">
        <v>30</v>
      </c>
      <c r="D1097" s="6" t="s">
        <v>31</v>
      </c>
      <c r="E1097" t="s">
        <v>492</v>
      </c>
      <c r="F1097" t="s">
        <v>492</v>
      </c>
      <c r="H1097" s="11" t="s">
        <v>27</v>
      </c>
      <c r="I1097" s="6" t="s">
        <v>28</v>
      </c>
      <c r="J1097" s="6" t="s">
        <v>28</v>
      </c>
      <c r="K1097" t="s">
        <v>32</v>
      </c>
      <c r="L1097" s="35">
        <v>42.67</v>
      </c>
      <c r="M1097" s="6" t="s">
        <v>29</v>
      </c>
      <c r="N1097" s="6">
        <v>3105</v>
      </c>
      <c r="P1097" s="18"/>
      <c r="Q1097" s="17"/>
      <c r="R1097" s="19">
        <v>42.67</v>
      </c>
      <c r="S1097" s="19">
        <v>42.67</v>
      </c>
      <c r="T1097" s="38">
        <v>0</v>
      </c>
      <c r="U1097" s="38"/>
      <c r="V1097" s="29">
        <v>42.67</v>
      </c>
      <c r="W1097" s="35">
        <v>42.67</v>
      </c>
      <c r="X1097" s="32">
        <f t="shared" si="187"/>
        <v>0</v>
      </c>
      <c r="Y1097" s="32">
        <f t="shared" si="188"/>
        <v>0</v>
      </c>
      <c r="Z1097" s="32">
        <f t="shared" si="189"/>
        <v>0</v>
      </c>
      <c r="AA1097" s="38" t="s">
        <v>2573</v>
      </c>
      <c r="AB1097" s="37" t="str">
        <f>IFERROR(VLOOKUP(A1097,'Tash Lookup'!A:E,3,FALSE),"")</f>
        <v/>
      </c>
      <c r="AC1097" s="6" t="str">
        <f t="shared" si="190"/>
        <v/>
      </c>
      <c r="AD1097" s="2" t="s">
        <v>6703</v>
      </c>
      <c r="AF1097" s="56">
        <v>52.77</v>
      </c>
      <c r="AG1097" s="56">
        <f>VLOOKUP(A1097,Sheet1!$A$2:$C$1140,3,FALSE)</f>
        <v>54.36</v>
      </c>
      <c r="AH1097" s="58">
        <v>54.36</v>
      </c>
      <c r="AI1097" s="56" t="str">
        <f t="shared" si="191"/>
        <v>Increase</v>
      </c>
      <c r="AJ1097" s="81">
        <f t="shared" si="195"/>
        <v>0</v>
      </c>
      <c r="AK1097" s="81">
        <f t="shared" si="196"/>
        <v>0</v>
      </c>
      <c r="AL1097" s="58" t="s">
        <v>32</v>
      </c>
      <c r="AM1097" s="58" t="s">
        <v>6703</v>
      </c>
      <c r="AN1097" s="75">
        <v>0</v>
      </c>
      <c r="AO1097" s="88">
        <v>54.36</v>
      </c>
      <c r="AP1097" s="6" t="str">
        <f t="shared" si="192"/>
        <v>Increase</v>
      </c>
      <c r="AQ1097" s="81">
        <f t="shared" si="193"/>
        <v>0</v>
      </c>
      <c r="AR1097" s="81">
        <f t="shared" si="194"/>
        <v>0</v>
      </c>
      <c r="AS1097" s="81">
        <f t="shared" si="197"/>
        <v>0</v>
      </c>
    </row>
    <row r="1098" spans="1:45" hidden="1" x14ac:dyDescent="0.3">
      <c r="A1098">
        <v>5183956</v>
      </c>
      <c r="B1098" s="15" t="s">
        <v>6434</v>
      </c>
      <c r="C1098" s="16" t="s">
        <v>30</v>
      </c>
      <c r="D1098" s="6" t="s">
        <v>31</v>
      </c>
      <c r="E1098" t="s">
        <v>495</v>
      </c>
      <c r="F1098" t="s">
        <v>495</v>
      </c>
      <c r="H1098" s="11" t="s">
        <v>27</v>
      </c>
      <c r="I1098" s="6" t="s">
        <v>28</v>
      </c>
      <c r="J1098" s="6" t="s">
        <v>28</v>
      </c>
      <c r="K1098" t="s">
        <v>32</v>
      </c>
      <c r="L1098" s="35">
        <v>18.690000000000001</v>
      </c>
      <c r="M1098" s="6" t="s">
        <v>29</v>
      </c>
      <c r="N1098" s="6">
        <v>3105</v>
      </c>
      <c r="P1098" s="18"/>
      <c r="Q1098" s="17"/>
      <c r="R1098" s="19">
        <v>18.690000000000001</v>
      </c>
      <c r="S1098" s="19">
        <v>18.690000000000001</v>
      </c>
      <c r="T1098" s="38">
        <v>0</v>
      </c>
      <c r="U1098" s="38"/>
      <c r="V1098" s="29">
        <v>18.690000000000001</v>
      </c>
      <c r="W1098" s="35">
        <v>18.690000000000001</v>
      </c>
      <c r="X1098" s="32">
        <f t="shared" si="187"/>
        <v>0</v>
      </c>
      <c r="Y1098" s="32">
        <f t="shared" si="188"/>
        <v>0</v>
      </c>
      <c r="Z1098" s="32">
        <f t="shared" si="189"/>
        <v>0</v>
      </c>
      <c r="AA1098" s="38" t="s">
        <v>2573</v>
      </c>
      <c r="AB1098" s="37" t="str">
        <f>IFERROR(VLOOKUP(A1098,'Tash Lookup'!A:E,3,FALSE),"")</f>
        <v/>
      </c>
      <c r="AC1098" s="6" t="str">
        <f t="shared" si="190"/>
        <v/>
      </c>
      <c r="AD1098" s="2" t="s">
        <v>6704</v>
      </c>
      <c r="AF1098" s="56">
        <v>18.690000000000001</v>
      </c>
      <c r="AG1098" s="56" t="e">
        <f>VLOOKUP(A1098,Sheet1!$A$2:$C$1140,3,FALSE)</f>
        <v>#N/A</v>
      </c>
      <c r="AH1098" s="58" t="e">
        <v>#N/A</v>
      </c>
      <c r="AI1098" s="56" t="str">
        <f t="shared" si="191"/>
        <v>Delete</v>
      </c>
      <c r="AJ1098" s="81">
        <f t="shared" si="195"/>
        <v>0</v>
      </c>
      <c r="AK1098" s="81">
        <f t="shared" si="196"/>
        <v>0</v>
      </c>
      <c r="AL1098" s="58" t="s">
        <v>32</v>
      </c>
      <c r="AM1098" s="58" t="s">
        <v>6708</v>
      </c>
      <c r="AN1098" s="75">
        <v>0</v>
      </c>
      <c r="AO1098" s="88">
        <v>18.690000000000001</v>
      </c>
      <c r="AP1098" s="6" t="str">
        <f t="shared" si="192"/>
        <v>Same</v>
      </c>
      <c r="AQ1098" s="81">
        <f t="shared" si="193"/>
        <v>0</v>
      </c>
      <c r="AR1098" s="81">
        <f t="shared" si="194"/>
        <v>0</v>
      </c>
      <c r="AS1098" s="81">
        <f t="shared" si="197"/>
        <v>0</v>
      </c>
    </row>
    <row r="1099" spans="1:45" hidden="1" x14ac:dyDescent="0.3">
      <c r="A1099">
        <v>5090744</v>
      </c>
      <c r="B1099" s="15" t="s">
        <v>6435</v>
      </c>
      <c r="C1099" s="16" t="s">
        <v>30</v>
      </c>
      <c r="D1099" s="6" t="s">
        <v>31</v>
      </c>
      <c r="E1099" t="s">
        <v>498</v>
      </c>
      <c r="F1099" t="s">
        <v>498</v>
      </c>
      <c r="H1099" s="11" t="s">
        <v>27</v>
      </c>
      <c r="I1099" s="6" t="s">
        <v>28</v>
      </c>
      <c r="J1099" s="6" t="s">
        <v>28</v>
      </c>
      <c r="K1099" t="s">
        <v>32</v>
      </c>
      <c r="L1099" s="35">
        <v>41.11</v>
      </c>
      <c r="M1099" s="6" t="s">
        <v>29</v>
      </c>
      <c r="N1099" s="6">
        <v>3105</v>
      </c>
      <c r="P1099" s="18"/>
      <c r="Q1099" s="17"/>
      <c r="R1099" s="19">
        <v>41.11</v>
      </c>
      <c r="S1099" s="19">
        <v>41.11</v>
      </c>
      <c r="T1099" s="38">
        <v>0</v>
      </c>
      <c r="U1099" s="38"/>
      <c r="V1099" s="29">
        <v>41.11</v>
      </c>
      <c r="W1099" s="35">
        <v>41.11</v>
      </c>
      <c r="X1099" s="32">
        <f t="shared" si="187"/>
        <v>0</v>
      </c>
      <c r="Y1099" s="32">
        <f t="shared" si="188"/>
        <v>0</v>
      </c>
      <c r="Z1099" s="32">
        <f t="shared" si="189"/>
        <v>0</v>
      </c>
      <c r="AA1099" s="38" t="s">
        <v>2573</v>
      </c>
      <c r="AB1099" s="37" t="str">
        <f>IFERROR(VLOOKUP(A1099,'Tash Lookup'!A:E,3,FALSE),"")</f>
        <v/>
      </c>
      <c r="AC1099" s="6" t="str">
        <f t="shared" si="190"/>
        <v/>
      </c>
      <c r="AD1099" s="2" t="s">
        <v>6703</v>
      </c>
      <c r="AF1099" s="56">
        <v>40.090000000000003</v>
      </c>
      <c r="AG1099" s="56">
        <f>VLOOKUP(A1099,Sheet1!$A$2:$C$1140,3,FALSE)</f>
        <v>41.29</v>
      </c>
      <c r="AH1099" s="58">
        <v>41.29</v>
      </c>
      <c r="AI1099" s="56" t="str">
        <f t="shared" si="191"/>
        <v>Increase</v>
      </c>
      <c r="AJ1099" s="81">
        <f t="shared" si="195"/>
        <v>0</v>
      </c>
      <c r="AK1099" s="81">
        <f t="shared" si="196"/>
        <v>0</v>
      </c>
      <c r="AL1099" s="58" t="s">
        <v>32</v>
      </c>
      <c r="AM1099" s="58" t="s">
        <v>6703</v>
      </c>
      <c r="AN1099" s="75">
        <v>136</v>
      </c>
      <c r="AO1099" s="88">
        <v>41.29</v>
      </c>
      <c r="AP1099" s="6" t="str">
        <f t="shared" si="192"/>
        <v>Increase</v>
      </c>
      <c r="AQ1099" s="81">
        <f t="shared" si="193"/>
        <v>5452.2400000000007</v>
      </c>
      <c r="AR1099" s="81">
        <f t="shared" si="194"/>
        <v>5615.44</v>
      </c>
      <c r="AS1099" s="81">
        <f t="shared" si="197"/>
        <v>163.19999999999891</v>
      </c>
    </row>
    <row r="1100" spans="1:45" hidden="1" x14ac:dyDescent="0.3">
      <c r="A1100">
        <v>5090745</v>
      </c>
      <c r="B1100" s="15" t="s">
        <v>6436</v>
      </c>
      <c r="C1100" s="16" t="s">
        <v>30</v>
      </c>
      <c r="D1100" s="6" t="s">
        <v>31</v>
      </c>
      <c r="E1100" t="s">
        <v>499</v>
      </c>
      <c r="F1100" t="s">
        <v>499</v>
      </c>
      <c r="H1100" s="11" t="s">
        <v>27</v>
      </c>
      <c r="I1100" s="6" t="s">
        <v>28</v>
      </c>
      <c r="J1100" s="6" t="s">
        <v>28</v>
      </c>
      <c r="K1100" t="s">
        <v>32</v>
      </c>
      <c r="L1100" s="35">
        <v>63.18</v>
      </c>
      <c r="M1100" s="6" t="s">
        <v>29</v>
      </c>
      <c r="N1100" s="6">
        <v>3105</v>
      </c>
      <c r="P1100" s="18"/>
      <c r="Q1100" s="17"/>
      <c r="R1100" s="19">
        <v>63.18</v>
      </c>
      <c r="S1100" s="19">
        <v>63.18</v>
      </c>
      <c r="T1100" s="38">
        <v>0</v>
      </c>
      <c r="U1100" s="38"/>
      <c r="V1100" s="29">
        <v>63.18</v>
      </c>
      <c r="W1100" s="35">
        <v>63.18</v>
      </c>
      <c r="X1100" s="32">
        <f t="shared" si="187"/>
        <v>0</v>
      </c>
      <c r="Y1100" s="32">
        <f t="shared" si="188"/>
        <v>0</v>
      </c>
      <c r="Z1100" s="32">
        <f t="shared" si="189"/>
        <v>0</v>
      </c>
      <c r="AA1100" s="38" t="s">
        <v>2573</v>
      </c>
      <c r="AB1100" s="37" t="str">
        <f>IFERROR(VLOOKUP(A1100,'Tash Lookup'!A:E,3,FALSE),"")</f>
        <v/>
      </c>
      <c r="AC1100" s="6" t="str">
        <f t="shared" si="190"/>
        <v/>
      </c>
      <c r="AD1100" s="2" t="s">
        <v>6703</v>
      </c>
      <c r="AF1100" s="56">
        <v>66.78</v>
      </c>
      <c r="AG1100" s="56">
        <f>VLOOKUP(A1100,Sheet1!$A$2:$C$1140,3,FALSE)</f>
        <v>68.78</v>
      </c>
      <c r="AH1100" s="58">
        <v>68.78</v>
      </c>
      <c r="AI1100" s="56" t="str">
        <f t="shared" si="191"/>
        <v>Increase</v>
      </c>
      <c r="AJ1100" s="81">
        <f t="shared" si="195"/>
        <v>0</v>
      </c>
      <c r="AK1100" s="81">
        <f t="shared" si="196"/>
        <v>0</v>
      </c>
      <c r="AL1100" s="58" t="s">
        <v>32</v>
      </c>
      <c r="AM1100" s="58" t="s">
        <v>6703</v>
      </c>
      <c r="AN1100" s="75">
        <v>952</v>
      </c>
      <c r="AO1100" s="88">
        <v>68.78</v>
      </c>
      <c r="AP1100" s="6" t="str">
        <f t="shared" si="192"/>
        <v>Increase</v>
      </c>
      <c r="AQ1100" s="81">
        <f t="shared" si="193"/>
        <v>63574.559999999998</v>
      </c>
      <c r="AR1100" s="81">
        <f t="shared" si="194"/>
        <v>65478.559999999998</v>
      </c>
      <c r="AS1100" s="81">
        <f t="shared" si="197"/>
        <v>1904</v>
      </c>
    </row>
    <row r="1101" spans="1:45" hidden="1" x14ac:dyDescent="0.3">
      <c r="A1101">
        <v>5090969</v>
      </c>
      <c r="B1101" s="15" t="s">
        <v>6437</v>
      </c>
      <c r="C1101" s="16" t="s">
        <v>30</v>
      </c>
      <c r="D1101" s="6" t="s">
        <v>31</v>
      </c>
      <c r="E1101" t="s">
        <v>514</v>
      </c>
      <c r="F1101" t="s">
        <v>514</v>
      </c>
      <c r="H1101" s="11" t="s">
        <v>27</v>
      </c>
      <c r="I1101" s="6" t="s">
        <v>28</v>
      </c>
      <c r="J1101" s="6" t="s">
        <v>28</v>
      </c>
      <c r="K1101" t="s">
        <v>32</v>
      </c>
      <c r="L1101" s="35">
        <v>11.3</v>
      </c>
      <c r="M1101" s="6" t="s">
        <v>29</v>
      </c>
      <c r="N1101" s="6">
        <v>3105</v>
      </c>
      <c r="P1101" s="18"/>
      <c r="Q1101" s="17"/>
      <c r="R1101" s="19">
        <v>11.3</v>
      </c>
      <c r="S1101" s="19">
        <v>11.3</v>
      </c>
      <c r="T1101" s="38">
        <v>0</v>
      </c>
      <c r="U1101" s="38"/>
      <c r="V1101" s="29">
        <v>11.3</v>
      </c>
      <c r="W1101" s="35">
        <v>11.3</v>
      </c>
      <c r="X1101" s="32">
        <f t="shared" si="187"/>
        <v>0</v>
      </c>
      <c r="Y1101" s="32">
        <f t="shared" si="188"/>
        <v>0</v>
      </c>
      <c r="Z1101" s="32">
        <f t="shared" si="189"/>
        <v>0</v>
      </c>
      <c r="AA1101" s="38" t="s">
        <v>2573</v>
      </c>
      <c r="AB1101" s="37" t="str">
        <f>IFERROR(VLOOKUP(A1101,'Tash Lookup'!A:E,3,FALSE),"")</f>
        <v/>
      </c>
      <c r="AC1101" s="6" t="str">
        <f t="shared" si="190"/>
        <v/>
      </c>
      <c r="AD1101" s="2" t="s">
        <v>6703</v>
      </c>
      <c r="AF1101" s="56">
        <v>13.83</v>
      </c>
      <c r="AG1101" s="56">
        <f>VLOOKUP(A1101,Sheet1!$A$2:$C$1140,3,FALSE)</f>
        <v>14.25</v>
      </c>
      <c r="AH1101" s="58">
        <v>14.25</v>
      </c>
      <c r="AI1101" s="56" t="str">
        <f t="shared" si="191"/>
        <v>Increase</v>
      </c>
      <c r="AJ1101" s="81">
        <f t="shared" si="195"/>
        <v>0</v>
      </c>
      <c r="AK1101" s="81">
        <f t="shared" si="196"/>
        <v>0</v>
      </c>
      <c r="AL1101" s="58" t="s">
        <v>32</v>
      </c>
      <c r="AM1101" s="58" t="s">
        <v>6703</v>
      </c>
      <c r="AN1101" s="75">
        <v>0</v>
      </c>
      <c r="AO1101" s="88">
        <v>14.25</v>
      </c>
      <c r="AP1101" s="6" t="str">
        <f t="shared" si="192"/>
        <v>Increase</v>
      </c>
      <c r="AQ1101" s="81">
        <f t="shared" si="193"/>
        <v>0</v>
      </c>
      <c r="AR1101" s="81">
        <f t="shared" si="194"/>
        <v>0</v>
      </c>
      <c r="AS1101" s="81">
        <f t="shared" si="197"/>
        <v>0</v>
      </c>
    </row>
    <row r="1102" spans="1:45" hidden="1" x14ac:dyDescent="0.3">
      <c r="A1102">
        <v>5180512</v>
      </c>
      <c r="B1102" s="15" t="s">
        <v>6438</v>
      </c>
      <c r="C1102" s="16" t="s">
        <v>30</v>
      </c>
      <c r="D1102" s="6" t="s">
        <v>31</v>
      </c>
      <c r="E1102" t="s">
        <v>525</v>
      </c>
      <c r="F1102" t="s">
        <v>525</v>
      </c>
      <c r="H1102" s="11" t="s">
        <v>27</v>
      </c>
      <c r="I1102" s="6" t="s">
        <v>28</v>
      </c>
      <c r="J1102" s="6" t="s">
        <v>28</v>
      </c>
      <c r="K1102" t="s">
        <v>32</v>
      </c>
      <c r="L1102" s="35">
        <v>15.29</v>
      </c>
      <c r="M1102" s="6" t="s">
        <v>29</v>
      </c>
      <c r="N1102" s="6">
        <v>3105</v>
      </c>
      <c r="P1102" s="18"/>
      <c r="Q1102" s="17"/>
      <c r="R1102" s="19">
        <v>15.29</v>
      </c>
      <c r="S1102" s="19">
        <v>15.29</v>
      </c>
      <c r="T1102" s="38">
        <v>0</v>
      </c>
      <c r="U1102" s="38"/>
      <c r="V1102" s="29">
        <v>15.29</v>
      </c>
      <c r="W1102" s="35">
        <v>15.29</v>
      </c>
      <c r="X1102" s="32">
        <f t="shared" si="187"/>
        <v>0</v>
      </c>
      <c r="Y1102" s="32">
        <f t="shared" si="188"/>
        <v>0</v>
      </c>
      <c r="Z1102" s="32">
        <f t="shared" si="189"/>
        <v>0</v>
      </c>
      <c r="AA1102" s="38" t="s">
        <v>2573</v>
      </c>
      <c r="AB1102" s="37" t="str">
        <f>IFERROR(VLOOKUP(A1102,'Tash Lookup'!A:E,3,FALSE),"")</f>
        <v/>
      </c>
      <c r="AC1102" s="6" t="str">
        <f t="shared" si="190"/>
        <v/>
      </c>
      <c r="AD1102" s="2" t="s">
        <v>6711</v>
      </c>
      <c r="AE1102" s="2" t="s">
        <v>6701</v>
      </c>
      <c r="AF1102" s="56">
        <v>15.29</v>
      </c>
      <c r="AG1102" s="56" t="e">
        <f>VLOOKUP(A1102,Sheet1!$A$2:$C$1140,3,FALSE)</f>
        <v>#N/A</v>
      </c>
      <c r="AH1102" s="58" t="e">
        <v>#N/A</v>
      </c>
      <c r="AI1102" s="56" t="str">
        <f t="shared" si="191"/>
        <v>Delete</v>
      </c>
      <c r="AJ1102" s="81">
        <f t="shared" si="195"/>
        <v>0</v>
      </c>
      <c r="AK1102" s="81">
        <f t="shared" si="196"/>
        <v>0</v>
      </c>
      <c r="AL1102" s="58" t="s">
        <v>32</v>
      </c>
      <c r="AM1102" s="58" t="s">
        <v>6711</v>
      </c>
      <c r="AN1102" s="75">
        <v>0</v>
      </c>
      <c r="AO1102" s="88">
        <v>15.29</v>
      </c>
      <c r="AP1102" s="6" t="str">
        <f t="shared" si="192"/>
        <v>Delete</v>
      </c>
      <c r="AQ1102" s="81">
        <f t="shared" si="193"/>
        <v>0</v>
      </c>
      <c r="AR1102" s="81">
        <f t="shared" si="194"/>
        <v>0</v>
      </c>
      <c r="AS1102" s="81">
        <f t="shared" si="197"/>
        <v>0</v>
      </c>
    </row>
    <row r="1103" spans="1:45" hidden="1" x14ac:dyDescent="0.3">
      <c r="A1103">
        <v>5180642</v>
      </c>
      <c r="B1103" s="15" t="s">
        <v>6439</v>
      </c>
      <c r="C1103" s="16" t="s">
        <v>30</v>
      </c>
      <c r="D1103" s="6" t="s">
        <v>31</v>
      </c>
      <c r="E1103" t="s">
        <v>526</v>
      </c>
      <c r="F1103" t="s">
        <v>526</v>
      </c>
      <c r="H1103" s="11" t="s">
        <v>27</v>
      </c>
      <c r="I1103" s="6" t="s">
        <v>28</v>
      </c>
      <c r="J1103" s="6" t="s">
        <v>28</v>
      </c>
      <c r="K1103" t="s">
        <v>32</v>
      </c>
      <c r="L1103" s="35">
        <v>29.23</v>
      </c>
      <c r="M1103" s="6" t="s">
        <v>29</v>
      </c>
      <c r="N1103" s="6">
        <v>3105</v>
      </c>
      <c r="P1103" s="18"/>
      <c r="Q1103" s="17"/>
      <c r="R1103" s="19">
        <v>29.23</v>
      </c>
      <c r="S1103" s="19">
        <v>29.23</v>
      </c>
      <c r="T1103" s="38">
        <v>0</v>
      </c>
      <c r="U1103" s="38"/>
      <c r="V1103" s="29">
        <v>29.23</v>
      </c>
      <c r="W1103" s="35">
        <v>29.23</v>
      </c>
      <c r="X1103" s="32">
        <f t="shared" si="187"/>
        <v>0</v>
      </c>
      <c r="Y1103" s="32">
        <f t="shared" si="188"/>
        <v>0</v>
      </c>
      <c r="Z1103" s="32">
        <f t="shared" si="189"/>
        <v>0</v>
      </c>
      <c r="AA1103" s="38" t="s">
        <v>2573</v>
      </c>
      <c r="AB1103" s="37" t="str">
        <f>IFERROR(VLOOKUP(A1103,'Tash Lookup'!A:E,3,FALSE),"")</f>
        <v/>
      </c>
      <c r="AC1103" s="6" t="str">
        <f t="shared" si="190"/>
        <v/>
      </c>
      <c r="AD1103" s="2" t="s">
        <v>6704</v>
      </c>
      <c r="AF1103" s="56">
        <v>29.23</v>
      </c>
      <c r="AG1103" s="56" t="e">
        <f>VLOOKUP(A1103,Sheet1!$A$2:$C$1140,3,FALSE)</f>
        <v>#N/A</v>
      </c>
      <c r="AH1103" s="58" t="e">
        <v>#N/A</v>
      </c>
      <c r="AI1103" s="56" t="str">
        <f t="shared" si="191"/>
        <v>Delete</v>
      </c>
      <c r="AJ1103" s="81">
        <f t="shared" si="195"/>
        <v>0</v>
      </c>
      <c r="AK1103" s="81">
        <f t="shared" si="196"/>
        <v>0</v>
      </c>
      <c r="AL1103" s="58" t="s">
        <v>32</v>
      </c>
      <c r="AM1103" s="58" t="s">
        <v>6708</v>
      </c>
      <c r="AN1103" s="75">
        <v>0</v>
      </c>
      <c r="AO1103" s="88">
        <v>29.23</v>
      </c>
      <c r="AP1103" s="6" t="str">
        <f t="shared" si="192"/>
        <v>Same</v>
      </c>
      <c r="AQ1103" s="81">
        <f t="shared" si="193"/>
        <v>0</v>
      </c>
      <c r="AR1103" s="81">
        <f t="shared" si="194"/>
        <v>0</v>
      </c>
      <c r="AS1103" s="81">
        <f t="shared" si="197"/>
        <v>0</v>
      </c>
    </row>
    <row r="1104" spans="1:45" hidden="1" x14ac:dyDescent="0.3">
      <c r="A1104">
        <v>5180842</v>
      </c>
      <c r="B1104" s="15" t="s">
        <v>6440</v>
      </c>
      <c r="C1104" s="16" t="s">
        <v>30</v>
      </c>
      <c r="D1104" s="6" t="s">
        <v>31</v>
      </c>
      <c r="E1104" t="s">
        <v>527</v>
      </c>
      <c r="F1104" t="s">
        <v>527</v>
      </c>
      <c r="H1104" s="11" t="s">
        <v>27</v>
      </c>
      <c r="I1104" s="6" t="s">
        <v>28</v>
      </c>
      <c r="J1104" s="6" t="s">
        <v>28</v>
      </c>
      <c r="K1104" t="s">
        <v>32</v>
      </c>
      <c r="L1104" s="35">
        <v>50.17</v>
      </c>
      <c r="M1104" s="6" t="s">
        <v>29</v>
      </c>
      <c r="N1104" s="6">
        <v>3105</v>
      </c>
      <c r="P1104" s="18"/>
      <c r="Q1104" s="17"/>
      <c r="R1104" s="19">
        <v>50.17</v>
      </c>
      <c r="S1104" s="19">
        <v>50.17</v>
      </c>
      <c r="T1104" s="38">
        <v>0</v>
      </c>
      <c r="U1104" s="38"/>
      <c r="V1104" s="29">
        <v>50.17</v>
      </c>
      <c r="W1104" s="35">
        <v>50.17</v>
      </c>
      <c r="X1104" s="32">
        <f t="shared" si="187"/>
        <v>0</v>
      </c>
      <c r="Y1104" s="32">
        <f t="shared" si="188"/>
        <v>0</v>
      </c>
      <c r="Z1104" s="32">
        <f t="shared" si="189"/>
        <v>0</v>
      </c>
      <c r="AA1104" s="38" t="s">
        <v>2573</v>
      </c>
      <c r="AB1104" s="37" t="str">
        <f>IFERROR(VLOOKUP(A1104,'Tash Lookup'!A:E,3,FALSE),"")</f>
        <v/>
      </c>
      <c r="AC1104" s="6" t="str">
        <f t="shared" si="190"/>
        <v/>
      </c>
      <c r="AD1104" s="2" t="s">
        <v>6704</v>
      </c>
      <c r="AF1104" s="56">
        <v>50.17</v>
      </c>
      <c r="AG1104" s="56" t="e">
        <f>VLOOKUP(A1104,Sheet1!$A$2:$C$1140,3,FALSE)</f>
        <v>#N/A</v>
      </c>
      <c r="AH1104" s="58" t="e">
        <v>#N/A</v>
      </c>
      <c r="AI1104" s="56" t="str">
        <f t="shared" si="191"/>
        <v>Delete</v>
      </c>
      <c r="AJ1104" s="81">
        <f t="shared" si="195"/>
        <v>0</v>
      </c>
      <c r="AK1104" s="81">
        <f t="shared" si="196"/>
        <v>0</v>
      </c>
      <c r="AL1104" s="58" t="s">
        <v>32</v>
      </c>
      <c r="AM1104" s="58" t="s">
        <v>6708</v>
      </c>
      <c r="AN1104" s="75">
        <v>0</v>
      </c>
      <c r="AO1104" s="88">
        <v>50.17</v>
      </c>
      <c r="AP1104" s="6" t="str">
        <f t="shared" si="192"/>
        <v>Same</v>
      </c>
      <c r="AQ1104" s="81">
        <f t="shared" si="193"/>
        <v>0</v>
      </c>
      <c r="AR1104" s="81">
        <f t="shared" si="194"/>
        <v>0</v>
      </c>
      <c r="AS1104" s="81">
        <f t="shared" si="197"/>
        <v>0</v>
      </c>
    </row>
    <row r="1105" spans="1:45" hidden="1" x14ac:dyDescent="0.3">
      <c r="A1105">
        <v>5180514</v>
      </c>
      <c r="B1105" s="15" t="s">
        <v>6441</v>
      </c>
      <c r="C1105" s="16" t="s">
        <v>30</v>
      </c>
      <c r="D1105" s="6" t="s">
        <v>31</v>
      </c>
      <c r="E1105" t="s">
        <v>528</v>
      </c>
      <c r="F1105" t="s">
        <v>528</v>
      </c>
      <c r="H1105" s="11" t="s">
        <v>27</v>
      </c>
      <c r="I1105" s="6" t="s">
        <v>28</v>
      </c>
      <c r="J1105" s="6" t="s">
        <v>28</v>
      </c>
      <c r="K1105" t="s">
        <v>32</v>
      </c>
      <c r="L1105" s="35">
        <v>15.29</v>
      </c>
      <c r="M1105" s="6" t="s">
        <v>29</v>
      </c>
      <c r="N1105" s="6">
        <v>3105</v>
      </c>
      <c r="P1105" s="18"/>
      <c r="Q1105" s="17"/>
      <c r="R1105" s="19">
        <v>15.29</v>
      </c>
      <c r="S1105" s="19">
        <v>15.29</v>
      </c>
      <c r="T1105" s="38">
        <v>0</v>
      </c>
      <c r="U1105" s="38"/>
      <c r="V1105" s="29">
        <v>15.29</v>
      </c>
      <c r="W1105" s="35">
        <v>15.29</v>
      </c>
      <c r="X1105" s="32">
        <f t="shared" si="187"/>
        <v>0</v>
      </c>
      <c r="Y1105" s="32">
        <f t="shared" si="188"/>
        <v>0</v>
      </c>
      <c r="Z1105" s="32">
        <f t="shared" si="189"/>
        <v>0</v>
      </c>
      <c r="AA1105" s="38" t="s">
        <v>2573</v>
      </c>
      <c r="AB1105" s="37" t="str">
        <f>IFERROR(VLOOKUP(A1105,'Tash Lookup'!A:E,3,FALSE),"")</f>
        <v/>
      </c>
      <c r="AC1105" s="6" t="str">
        <f t="shared" si="190"/>
        <v/>
      </c>
      <c r="AD1105" s="2" t="s">
        <v>6704</v>
      </c>
      <c r="AF1105" s="56">
        <v>15.29</v>
      </c>
      <c r="AG1105" s="56" t="e">
        <f>VLOOKUP(A1105,Sheet1!$A$2:$C$1140,3,FALSE)</f>
        <v>#N/A</v>
      </c>
      <c r="AH1105" s="58" t="e">
        <v>#N/A</v>
      </c>
      <c r="AI1105" s="56" t="str">
        <f t="shared" si="191"/>
        <v>Delete</v>
      </c>
      <c r="AJ1105" s="81">
        <f t="shared" si="195"/>
        <v>0</v>
      </c>
      <c r="AK1105" s="81">
        <f t="shared" si="196"/>
        <v>0</v>
      </c>
      <c r="AL1105" s="58" t="s">
        <v>32</v>
      </c>
      <c r="AM1105" s="58" t="s">
        <v>6708</v>
      </c>
      <c r="AN1105" s="75">
        <v>0</v>
      </c>
      <c r="AO1105" s="88">
        <v>15.29</v>
      </c>
      <c r="AP1105" s="6" t="str">
        <f t="shared" si="192"/>
        <v>Same</v>
      </c>
      <c r="AQ1105" s="81">
        <f t="shared" si="193"/>
        <v>0</v>
      </c>
      <c r="AR1105" s="81">
        <f t="shared" si="194"/>
        <v>0</v>
      </c>
      <c r="AS1105" s="81">
        <f t="shared" si="197"/>
        <v>0</v>
      </c>
    </row>
    <row r="1106" spans="1:45" hidden="1" x14ac:dyDescent="0.3">
      <c r="A1106">
        <v>5180645</v>
      </c>
      <c r="B1106" s="15" t="s">
        <v>6442</v>
      </c>
      <c r="C1106" s="16" t="s">
        <v>30</v>
      </c>
      <c r="D1106" s="6" t="s">
        <v>31</v>
      </c>
      <c r="E1106" t="s">
        <v>529</v>
      </c>
      <c r="F1106" t="s">
        <v>529</v>
      </c>
      <c r="H1106" s="11" t="s">
        <v>27</v>
      </c>
      <c r="I1106" s="6" t="s">
        <v>28</v>
      </c>
      <c r="J1106" s="6" t="s">
        <v>28</v>
      </c>
      <c r="K1106" t="s">
        <v>32</v>
      </c>
      <c r="L1106" s="35">
        <v>29.23</v>
      </c>
      <c r="M1106" s="6" t="s">
        <v>29</v>
      </c>
      <c r="N1106" s="6">
        <v>3105</v>
      </c>
      <c r="P1106" s="18"/>
      <c r="Q1106" s="17"/>
      <c r="R1106" s="19">
        <v>29.23</v>
      </c>
      <c r="S1106" s="19">
        <v>29.23</v>
      </c>
      <c r="T1106" s="38">
        <v>0</v>
      </c>
      <c r="U1106" s="38"/>
      <c r="V1106" s="29">
        <v>29.23</v>
      </c>
      <c r="W1106" s="35">
        <v>29.23</v>
      </c>
      <c r="X1106" s="32">
        <f t="shared" si="187"/>
        <v>0</v>
      </c>
      <c r="Y1106" s="32">
        <f t="shared" si="188"/>
        <v>0</v>
      </c>
      <c r="Z1106" s="32">
        <f t="shared" si="189"/>
        <v>0</v>
      </c>
      <c r="AA1106" s="38" t="s">
        <v>2573</v>
      </c>
      <c r="AB1106" s="37" t="str">
        <f>IFERROR(VLOOKUP(A1106,'Tash Lookup'!A:E,3,FALSE),"")</f>
        <v/>
      </c>
      <c r="AC1106" s="6" t="str">
        <f t="shared" si="190"/>
        <v/>
      </c>
      <c r="AD1106" s="2" t="s">
        <v>6704</v>
      </c>
      <c r="AF1106" s="56">
        <v>29.23</v>
      </c>
      <c r="AG1106" s="56" t="e">
        <f>VLOOKUP(A1106,Sheet1!$A$2:$C$1140,3,FALSE)</f>
        <v>#N/A</v>
      </c>
      <c r="AH1106" s="58" t="e">
        <v>#N/A</v>
      </c>
      <c r="AI1106" s="56" t="str">
        <f t="shared" si="191"/>
        <v>Delete</v>
      </c>
      <c r="AJ1106" s="81">
        <f t="shared" si="195"/>
        <v>0</v>
      </c>
      <c r="AK1106" s="81">
        <f t="shared" si="196"/>
        <v>0</v>
      </c>
      <c r="AL1106" s="58" t="s">
        <v>32</v>
      </c>
      <c r="AM1106" s="58" t="s">
        <v>6708</v>
      </c>
      <c r="AN1106" s="75">
        <v>0</v>
      </c>
      <c r="AO1106" s="88">
        <v>29.23</v>
      </c>
      <c r="AP1106" s="6" t="str">
        <f t="shared" si="192"/>
        <v>Same</v>
      </c>
      <c r="AQ1106" s="81">
        <f t="shared" si="193"/>
        <v>0</v>
      </c>
      <c r="AR1106" s="81">
        <f t="shared" si="194"/>
        <v>0</v>
      </c>
      <c r="AS1106" s="81">
        <f t="shared" si="197"/>
        <v>0</v>
      </c>
    </row>
    <row r="1107" spans="1:45" hidden="1" x14ac:dyDescent="0.3">
      <c r="A1107">
        <v>5180844</v>
      </c>
      <c r="B1107" s="15" t="s">
        <v>6443</v>
      </c>
      <c r="C1107" s="16" t="s">
        <v>30</v>
      </c>
      <c r="D1107" s="6" t="s">
        <v>31</v>
      </c>
      <c r="E1107" t="s">
        <v>530</v>
      </c>
      <c r="F1107" t="s">
        <v>530</v>
      </c>
      <c r="H1107" s="11" t="s">
        <v>27</v>
      </c>
      <c r="I1107" s="6" t="s">
        <v>28</v>
      </c>
      <c r="J1107" s="6" t="s">
        <v>28</v>
      </c>
      <c r="K1107" t="s">
        <v>32</v>
      </c>
      <c r="L1107" s="35">
        <v>50.17</v>
      </c>
      <c r="M1107" s="6" t="s">
        <v>29</v>
      </c>
      <c r="N1107" s="6">
        <v>3105</v>
      </c>
      <c r="P1107" s="18"/>
      <c r="Q1107" s="17"/>
      <c r="R1107" s="19">
        <v>50.17</v>
      </c>
      <c r="S1107" s="19">
        <v>50.17</v>
      </c>
      <c r="T1107" s="38">
        <v>0</v>
      </c>
      <c r="U1107" s="38"/>
      <c r="V1107" s="29">
        <v>50.17</v>
      </c>
      <c r="W1107" s="35">
        <v>50.17</v>
      </c>
      <c r="X1107" s="32">
        <f t="shared" si="187"/>
        <v>0</v>
      </c>
      <c r="Y1107" s="32">
        <f t="shared" si="188"/>
        <v>0</v>
      </c>
      <c r="Z1107" s="32">
        <f t="shared" si="189"/>
        <v>0</v>
      </c>
      <c r="AA1107" s="38" t="s">
        <v>2573</v>
      </c>
      <c r="AB1107" s="37" t="str">
        <f>IFERROR(VLOOKUP(A1107,'Tash Lookup'!A:E,3,FALSE),"")</f>
        <v/>
      </c>
      <c r="AC1107" s="6" t="str">
        <f t="shared" si="190"/>
        <v/>
      </c>
      <c r="AD1107" s="2" t="s">
        <v>6704</v>
      </c>
      <c r="AF1107" s="56">
        <v>50.17</v>
      </c>
      <c r="AG1107" s="56" t="e">
        <f>VLOOKUP(A1107,Sheet1!$A$2:$C$1140,3,FALSE)</f>
        <v>#N/A</v>
      </c>
      <c r="AH1107" s="58" t="e">
        <v>#N/A</v>
      </c>
      <c r="AI1107" s="56" t="str">
        <f t="shared" si="191"/>
        <v>Delete</v>
      </c>
      <c r="AJ1107" s="81">
        <f t="shared" si="195"/>
        <v>0</v>
      </c>
      <c r="AK1107" s="81">
        <f t="shared" si="196"/>
        <v>0</v>
      </c>
      <c r="AL1107" s="58" t="s">
        <v>32</v>
      </c>
      <c r="AM1107" s="58" t="s">
        <v>6708</v>
      </c>
      <c r="AN1107" s="75">
        <v>0</v>
      </c>
      <c r="AO1107" s="88">
        <v>50.17</v>
      </c>
      <c r="AP1107" s="6" t="str">
        <f t="shared" si="192"/>
        <v>Same</v>
      </c>
      <c r="AQ1107" s="81">
        <f t="shared" si="193"/>
        <v>0</v>
      </c>
      <c r="AR1107" s="81">
        <f t="shared" si="194"/>
        <v>0</v>
      </c>
      <c r="AS1107" s="81">
        <f t="shared" si="197"/>
        <v>0</v>
      </c>
    </row>
    <row r="1108" spans="1:45" hidden="1" x14ac:dyDescent="0.3">
      <c r="A1108">
        <v>5180515</v>
      </c>
      <c r="B1108" s="15" t="s">
        <v>6444</v>
      </c>
      <c r="C1108" s="16" t="s">
        <v>30</v>
      </c>
      <c r="D1108" s="6" t="s">
        <v>31</v>
      </c>
      <c r="E1108" t="s">
        <v>531</v>
      </c>
      <c r="F1108" t="s">
        <v>531</v>
      </c>
      <c r="H1108" s="11" t="s">
        <v>27</v>
      </c>
      <c r="I1108" s="6" t="s">
        <v>28</v>
      </c>
      <c r="J1108" s="6" t="s">
        <v>28</v>
      </c>
      <c r="K1108" t="s">
        <v>32</v>
      </c>
      <c r="L1108" s="35">
        <v>15.29</v>
      </c>
      <c r="M1108" s="6" t="s">
        <v>29</v>
      </c>
      <c r="N1108" s="6">
        <v>3105</v>
      </c>
      <c r="P1108" s="18"/>
      <c r="Q1108" s="17"/>
      <c r="R1108" s="19">
        <v>15.29</v>
      </c>
      <c r="S1108" s="19">
        <v>15.29</v>
      </c>
      <c r="T1108" s="38">
        <v>0</v>
      </c>
      <c r="U1108" s="38"/>
      <c r="V1108" s="30">
        <v>15.29</v>
      </c>
      <c r="W1108" s="35">
        <v>15.29</v>
      </c>
      <c r="X1108" s="32">
        <f t="shared" si="187"/>
        <v>0</v>
      </c>
      <c r="Y1108" s="32">
        <f t="shared" si="188"/>
        <v>0</v>
      </c>
      <c r="Z1108" s="32">
        <f t="shared" si="189"/>
        <v>0</v>
      </c>
      <c r="AA1108" s="38" t="s">
        <v>2573</v>
      </c>
      <c r="AB1108" s="37" t="str">
        <f>IFERROR(VLOOKUP(A1108,'Tash Lookup'!A:E,3,FALSE),"")</f>
        <v/>
      </c>
      <c r="AC1108" s="6" t="str">
        <f t="shared" si="190"/>
        <v/>
      </c>
      <c r="AD1108" s="2" t="s">
        <v>6704</v>
      </c>
      <c r="AF1108" s="56">
        <v>15.29</v>
      </c>
      <c r="AG1108" s="56" t="e">
        <f>VLOOKUP(A1108,Sheet1!$A$2:$C$1140,3,FALSE)</f>
        <v>#N/A</v>
      </c>
      <c r="AH1108" s="58" t="e">
        <v>#N/A</v>
      </c>
      <c r="AI1108" s="56" t="str">
        <f t="shared" si="191"/>
        <v>Delete</v>
      </c>
      <c r="AJ1108" s="81">
        <f t="shared" si="195"/>
        <v>0</v>
      </c>
      <c r="AK1108" s="81">
        <f t="shared" si="196"/>
        <v>0</v>
      </c>
      <c r="AL1108" s="58" t="s">
        <v>32</v>
      </c>
      <c r="AM1108" s="58" t="s">
        <v>6708</v>
      </c>
      <c r="AN1108" s="75">
        <v>0</v>
      </c>
      <c r="AO1108" s="88">
        <v>15.29</v>
      </c>
      <c r="AP1108" s="6" t="str">
        <f t="shared" si="192"/>
        <v>Same</v>
      </c>
      <c r="AQ1108" s="81">
        <f t="shared" si="193"/>
        <v>0</v>
      </c>
      <c r="AR1108" s="81">
        <f t="shared" si="194"/>
        <v>0</v>
      </c>
      <c r="AS1108" s="81">
        <f t="shared" si="197"/>
        <v>0</v>
      </c>
    </row>
    <row r="1109" spans="1:45" hidden="1" x14ac:dyDescent="0.3">
      <c r="A1109">
        <v>5180646</v>
      </c>
      <c r="B1109" s="15" t="s">
        <v>6445</v>
      </c>
      <c r="C1109" s="16" t="s">
        <v>30</v>
      </c>
      <c r="D1109" s="6" t="s">
        <v>31</v>
      </c>
      <c r="E1109" t="s">
        <v>532</v>
      </c>
      <c r="F1109" t="s">
        <v>532</v>
      </c>
      <c r="H1109" s="11" t="s">
        <v>27</v>
      </c>
      <c r="I1109" s="6" t="s">
        <v>28</v>
      </c>
      <c r="J1109" s="6" t="s">
        <v>28</v>
      </c>
      <c r="K1109" t="s">
        <v>32</v>
      </c>
      <c r="L1109" s="35">
        <v>29.23</v>
      </c>
      <c r="M1109" s="6" t="s">
        <v>29</v>
      </c>
      <c r="N1109" s="6">
        <v>3105</v>
      </c>
      <c r="P1109" s="18"/>
      <c r="Q1109" s="17"/>
      <c r="R1109" s="19">
        <v>29.23</v>
      </c>
      <c r="S1109" s="19">
        <v>29.23</v>
      </c>
      <c r="T1109" s="38">
        <v>0</v>
      </c>
      <c r="U1109" s="38"/>
      <c r="V1109" s="30">
        <v>29.23</v>
      </c>
      <c r="W1109" s="35">
        <v>29.23</v>
      </c>
      <c r="X1109" s="32">
        <f t="shared" si="187"/>
        <v>0</v>
      </c>
      <c r="Y1109" s="32">
        <f t="shared" si="188"/>
        <v>0</v>
      </c>
      <c r="Z1109" s="32">
        <f t="shared" si="189"/>
        <v>0</v>
      </c>
      <c r="AA1109" s="38" t="s">
        <v>2573</v>
      </c>
      <c r="AB1109" s="37" t="str">
        <f>IFERROR(VLOOKUP(A1109,'Tash Lookup'!A:E,3,FALSE),"")</f>
        <v/>
      </c>
      <c r="AC1109" s="6" t="str">
        <f t="shared" si="190"/>
        <v/>
      </c>
      <c r="AD1109" s="2" t="s">
        <v>6704</v>
      </c>
      <c r="AF1109" s="56">
        <v>29.23</v>
      </c>
      <c r="AG1109" s="56" t="e">
        <f>VLOOKUP(A1109,Sheet1!$A$2:$C$1140,3,FALSE)</f>
        <v>#N/A</v>
      </c>
      <c r="AH1109" s="58" t="e">
        <v>#N/A</v>
      </c>
      <c r="AI1109" s="56" t="str">
        <f t="shared" si="191"/>
        <v>Delete</v>
      </c>
      <c r="AJ1109" s="81">
        <f t="shared" si="195"/>
        <v>0</v>
      </c>
      <c r="AK1109" s="81">
        <f t="shared" si="196"/>
        <v>0</v>
      </c>
      <c r="AL1109" s="58" t="s">
        <v>32</v>
      </c>
      <c r="AM1109" s="58" t="s">
        <v>6708</v>
      </c>
      <c r="AN1109" s="75">
        <v>0</v>
      </c>
      <c r="AO1109" s="88">
        <v>29.23</v>
      </c>
      <c r="AP1109" s="6" t="str">
        <f t="shared" si="192"/>
        <v>Same</v>
      </c>
      <c r="AQ1109" s="81">
        <f t="shared" si="193"/>
        <v>0</v>
      </c>
      <c r="AR1109" s="81">
        <f t="shared" si="194"/>
        <v>0</v>
      </c>
      <c r="AS1109" s="81">
        <f t="shared" si="197"/>
        <v>0</v>
      </c>
    </row>
    <row r="1110" spans="1:45" hidden="1" x14ac:dyDescent="0.3">
      <c r="A1110">
        <v>5180518</v>
      </c>
      <c r="B1110" s="15" t="s">
        <v>6446</v>
      </c>
      <c r="C1110" s="16" t="s">
        <v>30</v>
      </c>
      <c r="D1110" s="6" t="s">
        <v>31</v>
      </c>
      <c r="E1110" t="s">
        <v>533</v>
      </c>
      <c r="F1110" t="s">
        <v>533</v>
      </c>
      <c r="H1110" s="11" t="s">
        <v>27</v>
      </c>
      <c r="I1110" s="6" t="s">
        <v>28</v>
      </c>
      <c r="J1110" s="6" t="s">
        <v>28</v>
      </c>
      <c r="K1110" t="s">
        <v>32</v>
      </c>
      <c r="L1110" s="35">
        <v>15.29</v>
      </c>
      <c r="M1110" s="6" t="s">
        <v>29</v>
      </c>
      <c r="N1110" s="6">
        <v>3105</v>
      </c>
      <c r="P1110" s="18"/>
      <c r="Q1110" s="17"/>
      <c r="R1110" s="19">
        <v>15.29</v>
      </c>
      <c r="S1110" s="19">
        <v>15.29</v>
      </c>
      <c r="T1110" s="38">
        <v>0</v>
      </c>
      <c r="U1110" s="38"/>
      <c r="V1110" s="29">
        <v>15.29</v>
      </c>
      <c r="W1110" s="35">
        <v>15.29</v>
      </c>
      <c r="X1110" s="32">
        <f t="shared" si="187"/>
        <v>0</v>
      </c>
      <c r="Y1110" s="32">
        <f t="shared" si="188"/>
        <v>0</v>
      </c>
      <c r="Z1110" s="32">
        <f t="shared" si="189"/>
        <v>0</v>
      </c>
      <c r="AA1110" s="38" t="s">
        <v>2573</v>
      </c>
      <c r="AB1110" s="37" t="str">
        <f>IFERROR(VLOOKUP(A1110,'Tash Lookup'!A:E,3,FALSE),"")</f>
        <v/>
      </c>
      <c r="AC1110" s="6" t="str">
        <f t="shared" si="190"/>
        <v/>
      </c>
      <c r="AD1110" s="2" t="s">
        <v>6704</v>
      </c>
      <c r="AF1110" s="56">
        <v>15.29</v>
      </c>
      <c r="AG1110" s="56" t="e">
        <f>VLOOKUP(A1110,Sheet1!$A$2:$C$1140,3,FALSE)</f>
        <v>#N/A</v>
      </c>
      <c r="AH1110" s="58" t="e">
        <v>#N/A</v>
      </c>
      <c r="AI1110" s="56" t="str">
        <f t="shared" si="191"/>
        <v>Delete</v>
      </c>
      <c r="AJ1110" s="81">
        <f t="shared" si="195"/>
        <v>0</v>
      </c>
      <c r="AK1110" s="81">
        <f t="shared" si="196"/>
        <v>0</v>
      </c>
      <c r="AL1110" s="58" t="s">
        <v>32</v>
      </c>
      <c r="AM1110" s="58" t="s">
        <v>6708</v>
      </c>
      <c r="AN1110" s="75">
        <v>0</v>
      </c>
      <c r="AO1110" s="88">
        <v>15.29</v>
      </c>
      <c r="AP1110" s="6" t="str">
        <f t="shared" si="192"/>
        <v>Same</v>
      </c>
      <c r="AQ1110" s="81">
        <f t="shared" si="193"/>
        <v>0</v>
      </c>
      <c r="AR1110" s="81">
        <f t="shared" si="194"/>
        <v>0</v>
      </c>
      <c r="AS1110" s="81">
        <f t="shared" si="197"/>
        <v>0</v>
      </c>
    </row>
    <row r="1111" spans="1:45" hidden="1" x14ac:dyDescent="0.3">
      <c r="A1111">
        <v>5180648</v>
      </c>
      <c r="B1111" s="15" t="s">
        <v>6447</v>
      </c>
      <c r="C1111" s="16" t="s">
        <v>30</v>
      </c>
      <c r="D1111" s="6" t="s">
        <v>31</v>
      </c>
      <c r="E1111" t="s">
        <v>534</v>
      </c>
      <c r="F1111" t="s">
        <v>534</v>
      </c>
      <c r="H1111" s="11" t="s">
        <v>27</v>
      </c>
      <c r="I1111" s="6" t="s">
        <v>28</v>
      </c>
      <c r="J1111" s="6" t="s">
        <v>28</v>
      </c>
      <c r="K1111" t="s">
        <v>32</v>
      </c>
      <c r="L1111" s="35">
        <v>29.23</v>
      </c>
      <c r="M1111" s="6" t="s">
        <v>29</v>
      </c>
      <c r="N1111" s="6">
        <v>3105</v>
      </c>
      <c r="P1111" s="18"/>
      <c r="Q1111" s="17"/>
      <c r="R1111" s="19">
        <v>29.23</v>
      </c>
      <c r="S1111" s="19">
        <v>29.23</v>
      </c>
      <c r="T1111" s="38">
        <v>0</v>
      </c>
      <c r="U1111" s="38"/>
      <c r="V1111" s="29">
        <v>29.23</v>
      </c>
      <c r="W1111" s="35">
        <v>29.23</v>
      </c>
      <c r="X1111" s="32">
        <f t="shared" si="187"/>
        <v>0</v>
      </c>
      <c r="Y1111" s="32">
        <f t="shared" si="188"/>
        <v>0</v>
      </c>
      <c r="Z1111" s="32">
        <f t="shared" si="189"/>
        <v>0</v>
      </c>
      <c r="AA1111" s="38" t="s">
        <v>2573</v>
      </c>
      <c r="AB1111" s="37" t="str">
        <f>IFERROR(VLOOKUP(A1111,'Tash Lookup'!A:E,3,FALSE),"")</f>
        <v/>
      </c>
      <c r="AC1111" s="6" t="str">
        <f t="shared" si="190"/>
        <v/>
      </c>
      <c r="AD1111" s="2" t="s">
        <v>6704</v>
      </c>
      <c r="AF1111" s="56">
        <v>29.23</v>
      </c>
      <c r="AG1111" s="56" t="e">
        <f>VLOOKUP(A1111,Sheet1!$A$2:$C$1140,3,FALSE)</f>
        <v>#N/A</v>
      </c>
      <c r="AH1111" s="58" t="e">
        <v>#N/A</v>
      </c>
      <c r="AI1111" s="56" t="str">
        <f t="shared" si="191"/>
        <v>Delete</v>
      </c>
      <c r="AJ1111" s="81">
        <f t="shared" si="195"/>
        <v>0</v>
      </c>
      <c r="AK1111" s="81">
        <f t="shared" si="196"/>
        <v>0</v>
      </c>
      <c r="AL1111" s="58" t="s">
        <v>32</v>
      </c>
      <c r="AM1111" s="58" t="s">
        <v>6708</v>
      </c>
      <c r="AN1111" s="75">
        <v>0</v>
      </c>
      <c r="AO1111" s="88">
        <v>29.23</v>
      </c>
      <c r="AP1111" s="6" t="str">
        <f t="shared" si="192"/>
        <v>Same</v>
      </c>
      <c r="AQ1111" s="81">
        <f t="shared" si="193"/>
        <v>0</v>
      </c>
      <c r="AR1111" s="81">
        <f t="shared" si="194"/>
        <v>0</v>
      </c>
      <c r="AS1111" s="81">
        <f t="shared" si="197"/>
        <v>0</v>
      </c>
    </row>
    <row r="1112" spans="1:45" hidden="1" x14ac:dyDescent="0.3">
      <c r="A1112">
        <v>5180846</v>
      </c>
      <c r="B1112" s="15" t="s">
        <v>6448</v>
      </c>
      <c r="C1112" s="16" t="s">
        <v>30</v>
      </c>
      <c r="D1112" s="6" t="s">
        <v>31</v>
      </c>
      <c r="E1112" t="s">
        <v>535</v>
      </c>
      <c r="F1112" t="s">
        <v>535</v>
      </c>
      <c r="H1112" s="11" t="s">
        <v>27</v>
      </c>
      <c r="I1112" s="6" t="s">
        <v>28</v>
      </c>
      <c r="J1112" s="6" t="s">
        <v>28</v>
      </c>
      <c r="K1112" t="s">
        <v>32</v>
      </c>
      <c r="L1112" s="35">
        <v>50.17</v>
      </c>
      <c r="M1112" s="6" t="s">
        <v>29</v>
      </c>
      <c r="N1112" s="6">
        <v>3105</v>
      </c>
      <c r="P1112" s="18"/>
      <c r="Q1112" s="17"/>
      <c r="R1112" s="19">
        <v>50.17</v>
      </c>
      <c r="S1112" s="19">
        <v>50.17</v>
      </c>
      <c r="T1112" s="38">
        <v>0</v>
      </c>
      <c r="U1112" s="38"/>
      <c r="V1112" s="29">
        <v>50.17</v>
      </c>
      <c r="W1112" s="35">
        <v>50.17</v>
      </c>
      <c r="X1112" s="32">
        <f t="shared" si="187"/>
        <v>0</v>
      </c>
      <c r="Y1112" s="32">
        <f t="shared" si="188"/>
        <v>0</v>
      </c>
      <c r="Z1112" s="32">
        <f t="shared" si="189"/>
        <v>0</v>
      </c>
      <c r="AA1112" s="38" t="s">
        <v>2573</v>
      </c>
      <c r="AB1112" s="37" t="str">
        <f>IFERROR(VLOOKUP(A1112,'Tash Lookup'!A:E,3,FALSE),"")</f>
        <v/>
      </c>
      <c r="AC1112" s="6" t="str">
        <f t="shared" si="190"/>
        <v/>
      </c>
      <c r="AD1112" s="2" t="s">
        <v>6704</v>
      </c>
      <c r="AF1112" s="56">
        <v>50.17</v>
      </c>
      <c r="AG1112" s="56" t="e">
        <f>VLOOKUP(A1112,Sheet1!$A$2:$C$1140,3,FALSE)</f>
        <v>#N/A</v>
      </c>
      <c r="AH1112" s="58" t="e">
        <v>#N/A</v>
      </c>
      <c r="AI1112" s="56" t="str">
        <f t="shared" si="191"/>
        <v>Delete</v>
      </c>
      <c r="AJ1112" s="81">
        <f t="shared" si="195"/>
        <v>0</v>
      </c>
      <c r="AK1112" s="81">
        <f t="shared" si="196"/>
        <v>0</v>
      </c>
      <c r="AL1112" s="58" t="s">
        <v>32</v>
      </c>
      <c r="AM1112" s="58" t="s">
        <v>6708</v>
      </c>
      <c r="AN1112" s="75">
        <v>0</v>
      </c>
      <c r="AO1112" s="88">
        <v>50.17</v>
      </c>
      <c r="AP1112" s="6" t="str">
        <f t="shared" si="192"/>
        <v>Same</v>
      </c>
      <c r="AQ1112" s="81">
        <f t="shared" si="193"/>
        <v>0</v>
      </c>
      <c r="AR1112" s="81">
        <f t="shared" si="194"/>
        <v>0</v>
      </c>
      <c r="AS1112" s="81">
        <f t="shared" si="197"/>
        <v>0</v>
      </c>
    </row>
    <row r="1113" spans="1:45" hidden="1" x14ac:dyDescent="0.3">
      <c r="A1113">
        <v>5090736</v>
      </c>
      <c r="B1113" s="15" t="s">
        <v>6449</v>
      </c>
      <c r="C1113" s="16" t="s">
        <v>30</v>
      </c>
      <c r="D1113" s="6" t="s">
        <v>31</v>
      </c>
      <c r="E1113" t="s">
        <v>536</v>
      </c>
      <c r="F1113" t="s">
        <v>536</v>
      </c>
      <c r="H1113" s="11" t="s">
        <v>27</v>
      </c>
      <c r="I1113" s="6" t="s">
        <v>28</v>
      </c>
      <c r="J1113" s="6" t="s">
        <v>28</v>
      </c>
      <c r="K1113" t="s">
        <v>32</v>
      </c>
      <c r="L1113" s="35">
        <v>16.98</v>
      </c>
      <c r="M1113" s="6" t="s">
        <v>29</v>
      </c>
      <c r="N1113" s="6">
        <v>3105</v>
      </c>
      <c r="P1113" s="18"/>
      <c r="Q1113" s="17"/>
      <c r="R1113" s="19">
        <v>16.98</v>
      </c>
      <c r="S1113" s="19">
        <v>16.98</v>
      </c>
      <c r="T1113" s="38">
        <v>0</v>
      </c>
      <c r="U1113" s="38"/>
      <c r="V1113" s="30">
        <v>16.98</v>
      </c>
      <c r="W1113" s="35">
        <v>16.98</v>
      </c>
      <c r="X1113" s="32">
        <f t="shared" si="187"/>
        <v>0</v>
      </c>
      <c r="Y1113" s="32">
        <f t="shared" si="188"/>
        <v>0</v>
      </c>
      <c r="Z1113" s="32">
        <f t="shared" si="189"/>
        <v>0</v>
      </c>
      <c r="AA1113" s="38" t="s">
        <v>2573</v>
      </c>
      <c r="AB1113" s="37" t="str">
        <f>IFERROR(VLOOKUP(A1113,'Tash Lookup'!A:E,3,FALSE),"")</f>
        <v/>
      </c>
      <c r="AC1113" s="6" t="str">
        <f t="shared" si="190"/>
        <v/>
      </c>
      <c r="AD1113" s="2" t="s">
        <v>6703</v>
      </c>
      <c r="AF1113" s="56">
        <v>16.98</v>
      </c>
      <c r="AG1113" s="56">
        <f>VLOOKUP(A1113,Sheet1!$A$2:$C$1140,3,FALSE)</f>
        <v>17.489999999999998</v>
      </c>
      <c r="AH1113" s="58">
        <v>17.489999999999998</v>
      </c>
      <c r="AI1113" s="56" t="str">
        <f t="shared" si="191"/>
        <v>Increase</v>
      </c>
      <c r="AJ1113" s="81">
        <f t="shared" si="195"/>
        <v>0</v>
      </c>
      <c r="AK1113" s="81">
        <f t="shared" si="196"/>
        <v>0</v>
      </c>
      <c r="AL1113" s="58" t="s">
        <v>32</v>
      </c>
      <c r="AM1113" s="58" t="s">
        <v>6703</v>
      </c>
      <c r="AN1113" s="75">
        <v>0</v>
      </c>
      <c r="AO1113" s="88">
        <v>17.489999999999998</v>
      </c>
      <c r="AP1113" s="6" t="str">
        <f t="shared" si="192"/>
        <v>Increase</v>
      </c>
      <c r="AQ1113" s="81">
        <f t="shared" si="193"/>
        <v>0</v>
      </c>
      <c r="AR1113" s="81">
        <f t="shared" si="194"/>
        <v>0</v>
      </c>
      <c r="AS1113" s="81">
        <f t="shared" si="197"/>
        <v>0</v>
      </c>
    </row>
    <row r="1114" spans="1:45" hidden="1" x14ac:dyDescent="0.3">
      <c r="A1114">
        <v>5090737</v>
      </c>
      <c r="B1114" s="15" t="s">
        <v>6450</v>
      </c>
      <c r="C1114" s="16" t="s">
        <v>30</v>
      </c>
      <c r="D1114" s="6" t="s">
        <v>31</v>
      </c>
      <c r="E1114" t="s">
        <v>537</v>
      </c>
      <c r="F1114" t="s">
        <v>537</v>
      </c>
      <c r="H1114" s="11" t="s">
        <v>27</v>
      </c>
      <c r="I1114" s="6" t="s">
        <v>28</v>
      </c>
      <c r="J1114" s="6" t="s">
        <v>28</v>
      </c>
      <c r="K1114" t="s">
        <v>32</v>
      </c>
      <c r="L1114" s="35">
        <v>31.87</v>
      </c>
      <c r="M1114" s="6" t="s">
        <v>29</v>
      </c>
      <c r="N1114" s="6">
        <v>3105</v>
      </c>
      <c r="P1114" s="18"/>
      <c r="Q1114" s="17"/>
      <c r="R1114" s="19">
        <v>31.87</v>
      </c>
      <c r="S1114" s="19">
        <v>31.87</v>
      </c>
      <c r="T1114" s="38">
        <v>0</v>
      </c>
      <c r="U1114" s="38"/>
      <c r="V1114" s="30">
        <v>31.87</v>
      </c>
      <c r="W1114" s="35">
        <v>31.87</v>
      </c>
      <c r="X1114" s="32">
        <f t="shared" si="187"/>
        <v>0</v>
      </c>
      <c r="Y1114" s="32">
        <f t="shared" si="188"/>
        <v>0</v>
      </c>
      <c r="Z1114" s="32">
        <f t="shared" si="189"/>
        <v>0</v>
      </c>
      <c r="AA1114" s="38" t="s">
        <v>2573</v>
      </c>
      <c r="AB1114" s="37" t="str">
        <f>IFERROR(VLOOKUP(A1114,'Tash Lookup'!A:E,3,FALSE),"")</f>
        <v/>
      </c>
      <c r="AC1114" s="6" t="str">
        <f t="shared" si="190"/>
        <v/>
      </c>
      <c r="AD1114" s="2" t="s">
        <v>6703</v>
      </c>
      <c r="AF1114" s="56">
        <v>31.87</v>
      </c>
      <c r="AG1114" s="56">
        <f>VLOOKUP(A1114,Sheet1!$A$2:$C$1140,3,FALSE)</f>
        <v>32.82</v>
      </c>
      <c r="AH1114" s="58">
        <v>32.82</v>
      </c>
      <c r="AI1114" s="56" t="str">
        <f t="shared" si="191"/>
        <v>Increase</v>
      </c>
      <c r="AJ1114" s="81">
        <f t="shared" si="195"/>
        <v>0</v>
      </c>
      <c r="AK1114" s="81">
        <f t="shared" si="196"/>
        <v>0</v>
      </c>
      <c r="AL1114" s="58" t="s">
        <v>32</v>
      </c>
      <c r="AM1114" s="58" t="s">
        <v>6703</v>
      </c>
      <c r="AN1114" s="75">
        <v>0</v>
      </c>
      <c r="AO1114" s="88">
        <v>32.82</v>
      </c>
      <c r="AP1114" s="6" t="str">
        <f t="shared" si="192"/>
        <v>Increase</v>
      </c>
      <c r="AQ1114" s="81">
        <f t="shared" si="193"/>
        <v>0</v>
      </c>
      <c r="AR1114" s="81">
        <f t="shared" si="194"/>
        <v>0</v>
      </c>
      <c r="AS1114" s="81">
        <f t="shared" si="197"/>
        <v>0</v>
      </c>
    </row>
    <row r="1115" spans="1:45" hidden="1" x14ac:dyDescent="0.3">
      <c r="A1115">
        <v>5090738</v>
      </c>
      <c r="B1115" s="15" t="s">
        <v>6451</v>
      </c>
      <c r="C1115" s="16" t="s">
        <v>30</v>
      </c>
      <c r="D1115" s="6" t="s">
        <v>31</v>
      </c>
      <c r="E1115" t="s">
        <v>538</v>
      </c>
      <c r="F1115" t="s">
        <v>538</v>
      </c>
      <c r="H1115" s="11" t="s">
        <v>27</v>
      </c>
      <c r="I1115" s="6" t="s">
        <v>28</v>
      </c>
      <c r="J1115" s="6" t="s">
        <v>28</v>
      </c>
      <c r="K1115" t="s">
        <v>32</v>
      </c>
      <c r="L1115" s="35">
        <v>55.2</v>
      </c>
      <c r="M1115" s="6" t="s">
        <v>29</v>
      </c>
      <c r="N1115" s="6">
        <v>3105</v>
      </c>
      <c r="P1115" s="18"/>
      <c r="Q1115" s="17"/>
      <c r="R1115" s="19">
        <v>55.2</v>
      </c>
      <c r="S1115" s="19">
        <v>55.2</v>
      </c>
      <c r="T1115" s="38">
        <v>0</v>
      </c>
      <c r="U1115" s="38"/>
      <c r="V1115" s="30">
        <v>55.2</v>
      </c>
      <c r="W1115" s="35">
        <v>55.2</v>
      </c>
      <c r="X1115" s="32">
        <f t="shared" si="187"/>
        <v>0</v>
      </c>
      <c r="Y1115" s="32">
        <f t="shared" si="188"/>
        <v>0</v>
      </c>
      <c r="Z1115" s="32">
        <f t="shared" si="189"/>
        <v>0</v>
      </c>
      <c r="AA1115" s="38" t="s">
        <v>2573</v>
      </c>
      <c r="AB1115" s="37" t="str">
        <f>IFERROR(VLOOKUP(A1115,'Tash Lookup'!A:E,3,FALSE),"")</f>
        <v/>
      </c>
      <c r="AC1115" s="6" t="str">
        <f t="shared" si="190"/>
        <v/>
      </c>
      <c r="AD1115" s="2" t="s">
        <v>6703</v>
      </c>
      <c r="AF1115" s="56">
        <v>55.2</v>
      </c>
      <c r="AG1115" s="56">
        <f>VLOOKUP(A1115,Sheet1!$A$2:$C$1140,3,FALSE)</f>
        <v>56.86</v>
      </c>
      <c r="AH1115" s="58">
        <v>56.86</v>
      </c>
      <c r="AI1115" s="56" t="str">
        <f t="shared" si="191"/>
        <v>Increase</v>
      </c>
      <c r="AJ1115" s="81">
        <f t="shared" si="195"/>
        <v>0</v>
      </c>
      <c r="AK1115" s="81">
        <f t="shared" si="196"/>
        <v>0</v>
      </c>
      <c r="AL1115" s="58" t="s">
        <v>32</v>
      </c>
      <c r="AM1115" s="58" t="s">
        <v>6703</v>
      </c>
      <c r="AN1115" s="75">
        <v>0</v>
      </c>
      <c r="AO1115" s="88">
        <v>56.86</v>
      </c>
      <c r="AP1115" s="6" t="str">
        <f t="shared" si="192"/>
        <v>Increase</v>
      </c>
      <c r="AQ1115" s="81">
        <f t="shared" si="193"/>
        <v>0</v>
      </c>
      <c r="AR1115" s="81">
        <f t="shared" si="194"/>
        <v>0</v>
      </c>
      <c r="AS1115" s="81">
        <f t="shared" si="197"/>
        <v>0</v>
      </c>
    </row>
    <row r="1116" spans="1:45" hidden="1" x14ac:dyDescent="0.3">
      <c r="A1116">
        <v>5180519</v>
      </c>
      <c r="B1116" s="15" t="s">
        <v>6452</v>
      </c>
      <c r="C1116" s="16" t="s">
        <v>30</v>
      </c>
      <c r="D1116" s="6" t="s">
        <v>31</v>
      </c>
      <c r="E1116" t="s">
        <v>539</v>
      </c>
      <c r="F1116" t="s">
        <v>539</v>
      </c>
      <c r="H1116" s="11" t="s">
        <v>27</v>
      </c>
      <c r="I1116" s="6" t="s">
        <v>28</v>
      </c>
      <c r="J1116" s="6" t="s">
        <v>28</v>
      </c>
      <c r="K1116" t="s">
        <v>32</v>
      </c>
      <c r="L1116" s="35">
        <v>15.29</v>
      </c>
      <c r="M1116" s="6" t="s">
        <v>29</v>
      </c>
      <c r="N1116" s="6">
        <v>3105</v>
      </c>
      <c r="P1116" s="18"/>
      <c r="Q1116" s="17"/>
      <c r="R1116" s="19">
        <v>15.29</v>
      </c>
      <c r="S1116" s="19">
        <v>15.29</v>
      </c>
      <c r="T1116" s="38">
        <v>0</v>
      </c>
      <c r="U1116" s="38"/>
      <c r="V1116" s="30">
        <v>15.29</v>
      </c>
      <c r="W1116" s="35">
        <v>15.29</v>
      </c>
      <c r="X1116" s="32">
        <f t="shared" si="187"/>
        <v>0</v>
      </c>
      <c r="Y1116" s="32">
        <f t="shared" si="188"/>
        <v>0</v>
      </c>
      <c r="Z1116" s="32">
        <f t="shared" si="189"/>
        <v>0</v>
      </c>
      <c r="AA1116" s="38" t="s">
        <v>2573</v>
      </c>
      <c r="AB1116" s="37" t="str">
        <f>IFERROR(VLOOKUP(A1116,'Tash Lookup'!A:E,3,FALSE),"")</f>
        <v/>
      </c>
      <c r="AC1116" s="6" t="str">
        <f t="shared" si="190"/>
        <v/>
      </c>
      <c r="AD1116" s="2" t="s">
        <v>6704</v>
      </c>
      <c r="AF1116" s="56">
        <v>15.29</v>
      </c>
      <c r="AG1116" s="56" t="e">
        <f>VLOOKUP(A1116,Sheet1!$A$2:$C$1140,3,FALSE)</f>
        <v>#N/A</v>
      </c>
      <c r="AH1116" s="58" t="e">
        <v>#N/A</v>
      </c>
      <c r="AI1116" s="56" t="str">
        <f t="shared" si="191"/>
        <v>Delete</v>
      </c>
      <c r="AJ1116" s="81">
        <f t="shared" si="195"/>
        <v>0</v>
      </c>
      <c r="AK1116" s="81">
        <f t="shared" si="196"/>
        <v>0</v>
      </c>
      <c r="AL1116" s="58" t="s">
        <v>32</v>
      </c>
      <c r="AM1116" s="58" t="s">
        <v>6708</v>
      </c>
      <c r="AN1116" s="75">
        <v>0</v>
      </c>
      <c r="AO1116" s="88">
        <v>15.29</v>
      </c>
      <c r="AP1116" s="6" t="str">
        <f t="shared" si="192"/>
        <v>Same</v>
      </c>
      <c r="AQ1116" s="81">
        <f t="shared" si="193"/>
        <v>0</v>
      </c>
      <c r="AR1116" s="81">
        <f t="shared" si="194"/>
        <v>0</v>
      </c>
      <c r="AS1116" s="81">
        <f t="shared" si="197"/>
        <v>0</v>
      </c>
    </row>
    <row r="1117" spans="1:45" hidden="1" x14ac:dyDescent="0.3">
      <c r="A1117">
        <v>5180650</v>
      </c>
      <c r="B1117" s="15" t="s">
        <v>6453</v>
      </c>
      <c r="C1117" s="16" t="s">
        <v>30</v>
      </c>
      <c r="D1117" s="6" t="s">
        <v>31</v>
      </c>
      <c r="E1117" t="s">
        <v>540</v>
      </c>
      <c r="F1117" t="s">
        <v>540</v>
      </c>
      <c r="H1117" s="11" t="s">
        <v>27</v>
      </c>
      <c r="I1117" s="6" t="s">
        <v>28</v>
      </c>
      <c r="J1117" s="6" t="s">
        <v>28</v>
      </c>
      <c r="K1117" t="s">
        <v>32</v>
      </c>
      <c r="L1117" s="35">
        <v>29.23</v>
      </c>
      <c r="M1117" s="6" t="s">
        <v>29</v>
      </c>
      <c r="N1117" s="6">
        <v>3105</v>
      </c>
      <c r="P1117" s="18"/>
      <c r="Q1117" s="17"/>
      <c r="R1117" s="19">
        <v>29.23</v>
      </c>
      <c r="S1117" s="19">
        <v>29.23</v>
      </c>
      <c r="T1117" s="38">
        <v>0</v>
      </c>
      <c r="U1117" s="38"/>
      <c r="V1117" s="30">
        <v>29.23</v>
      </c>
      <c r="W1117" s="35">
        <v>29.23</v>
      </c>
      <c r="X1117" s="32">
        <f t="shared" si="187"/>
        <v>0</v>
      </c>
      <c r="Y1117" s="32">
        <f t="shared" si="188"/>
        <v>0</v>
      </c>
      <c r="Z1117" s="32">
        <f t="shared" si="189"/>
        <v>0</v>
      </c>
      <c r="AA1117" s="38" t="s">
        <v>2573</v>
      </c>
      <c r="AB1117" s="37" t="str">
        <f>IFERROR(VLOOKUP(A1117,'Tash Lookup'!A:E,3,FALSE),"")</f>
        <v/>
      </c>
      <c r="AC1117" s="6" t="str">
        <f t="shared" si="190"/>
        <v/>
      </c>
      <c r="AD1117" s="2" t="s">
        <v>6704</v>
      </c>
      <c r="AF1117" s="56">
        <v>29.23</v>
      </c>
      <c r="AG1117" s="56" t="e">
        <f>VLOOKUP(A1117,Sheet1!$A$2:$C$1140,3,FALSE)</f>
        <v>#N/A</v>
      </c>
      <c r="AH1117" s="58" t="e">
        <v>#N/A</v>
      </c>
      <c r="AI1117" s="56" t="str">
        <f t="shared" si="191"/>
        <v>Delete</v>
      </c>
      <c r="AJ1117" s="81">
        <f t="shared" si="195"/>
        <v>0</v>
      </c>
      <c r="AK1117" s="81">
        <f t="shared" si="196"/>
        <v>0</v>
      </c>
      <c r="AL1117" s="58" t="s">
        <v>32</v>
      </c>
      <c r="AM1117" s="58" t="s">
        <v>6708</v>
      </c>
      <c r="AN1117" s="75">
        <v>0</v>
      </c>
      <c r="AO1117" s="88">
        <v>29.23</v>
      </c>
      <c r="AP1117" s="6" t="str">
        <f t="shared" si="192"/>
        <v>Same</v>
      </c>
      <c r="AQ1117" s="81">
        <f t="shared" si="193"/>
        <v>0</v>
      </c>
      <c r="AR1117" s="81">
        <f t="shared" si="194"/>
        <v>0</v>
      </c>
      <c r="AS1117" s="81">
        <f t="shared" si="197"/>
        <v>0</v>
      </c>
    </row>
    <row r="1118" spans="1:45" hidden="1" x14ac:dyDescent="0.3">
      <c r="A1118">
        <v>5090730</v>
      </c>
      <c r="B1118" s="15" t="s">
        <v>6454</v>
      </c>
      <c r="C1118" s="16" t="s">
        <v>30</v>
      </c>
      <c r="D1118" s="6" t="s">
        <v>31</v>
      </c>
      <c r="E1118" t="s">
        <v>142</v>
      </c>
      <c r="F1118" t="s">
        <v>142</v>
      </c>
      <c r="H1118" s="11" t="s">
        <v>27</v>
      </c>
      <c r="I1118" s="6" t="s">
        <v>28</v>
      </c>
      <c r="J1118" s="6" t="s">
        <v>28</v>
      </c>
      <c r="K1118" t="s">
        <v>32</v>
      </c>
      <c r="L1118" s="35">
        <v>28.7</v>
      </c>
      <c r="M1118" s="6" t="s">
        <v>29</v>
      </c>
      <c r="N1118" s="6">
        <v>3105</v>
      </c>
      <c r="P1118" s="18"/>
      <c r="Q1118" s="17"/>
      <c r="R1118" s="19">
        <v>28.7</v>
      </c>
      <c r="S1118" s="19">
        <v>28.7</v>
      </c>
      <c r="T1118" s="38">
        <v>0</v>
      </c>
      <c r="U1118" s="38"/>
      <c r="V1118" s="29">
        <v>28.7</v>
      </c>
      <c r="W1118" s="35">
        <v>28.7</v>
      </c>
      <c r="X1118" s="32">
        <f t="shared" si="187"/>
        <v>0</v>
      </c>
      <c r="Y1118" s="32">
        <f t="shared" si="188"/>
        <v>0</v>
      </c>
      <c r="Z1118" s="32">
        <f t="shared" si="189"/>
        <v>0</v>
      </c>
      <c r="AA1118" s="38" t="s">
        <v>2573</v>
      </c>
      <c r="AB1118" s="37" t="str">
        <f>IFERROR(VLOOKUP(A1118,'Tash Lookup'!A:E,3,FALSE),"")</f>
        <v/>
      </c>
      <c r="AC1118" s="6" t="str">
        <f t="shared" si="190"/>
        <v/>
      </c>
      <c r="AD1118" s="2" t="s">
        <v>6703</v>
      </c>
      <c r="AF1118" s="56">
        <v>28.21</v>
      </c>
      <c r="AG1118" s="56">
        <f>VLOOKUP(A1118,Sheet1!$A$2:$C$1140,3,FALSE)</f>
        <v>28.21</v>
      </c>
      <c r="AH1118" s="58">
        <v>28.21</v>
      </c>
      <c r="AI1118" s="56" t="str">
        <f t="shared" si="191"/>
        <v>Same</v>
      </c>
      <c r="AJ1118" s="81">
        <f t="shared" si="195"/>
        <v>0</v>
      </c>
      <c r="AK1118" s="81">
        <f t="shared" si="196"/>
        <v>0</v>
      </c>
      <c r="AL1118" s="58" t="s">
        <v>32</v>
      </c>
      <c r="AM1118" s="58" t="s">
        <v>6703</v>
      </c>
      <c r="AN1118" s="75">
        <v>77</v>
      </c>
      <c r="AO1118" s="88">
        <v>28.21</v>
      </c>
      <c r="AP1118" s="6" t="str">
        <f t="shared" si="192"/>
        <v>Same</v>
      </c>
      <c r="AQ1118" s="81">
        <f t="shared" si="193"/>
        <v>2172.17</v>
      </c>
      <c r="AR1118" s="81">
        <f t="shared" si="194"/>
        <v>2172.17</v>
      </c>
      <c r="AS1118" s="81">
        <f t="shared" si="197"/>
        <v>0</v>
      </c>
    </row>
    <row r="1119" spans="1:45" hidden="1" x14ac:dyDescent="0.3">
      <c r="A1119">
        <v>5090731</v>
      </c>
      <c r="B1119" s="15" t="s">
        <v>6455</v>
      </c>
      <c r="C1119" s="16" t="s">
        <v>30</v>
      </c>
      <c r="D1119" s="6" t="s">
        <v>31</v>
      </c>
      <c r="E1119" t="s">
        <v>143</v>
      </c>
      <c r="F1119" t="s">
        <v>143</v>
      </c>
      <c r="H1119" s="11" t="s">
        <v>27</v>
      </c>
      <c r="I1119" s="6" t="s">
        <v>28</v>
      </c>
      <c r="J1119" s="6" t="s">
        <v>28</v>
      </c>
      <c r="K1119" t="s">
        <v>32</v>
      </c>
      <c r="L1119" s="35">
        <v>46.16</v>
      </c>
      <c r="M1119" s="6" t="s">
        <v>29</v>
      </c>
      <c r="N1119" s="6">
        <v>3105</v>
      </c>
      <c r="P1119" s="18"/>
      <c r="Q1119" s="17"/>
      <c r="R1119" s="19">
        <v>46.16</v>
      </c>
      <c r="S1119" s="19">
        <v>46.16</v>
      </c>
      <c r="T1119" s="38">
        <v>0</v>
      </c>
      <c r="U1119" s="38"/>
      <c r="V1119" s="29">
        <v>46.16</v>
      </c>
      <c r="W1119" s="35">
        <v>46.16</v>
      </c>
      <c r="X1119" s="32">
        <f t="shared" si="187"/>
        <v>0</v>
      </c>
      <c r="Y1119" s="32">
        <f t="shared" si="188"/>
        <v>0</v>
      </c>
      <c r="Z1119" s="32">
        <f t="shared" si="189"/>
        <v>0</v>
      </c>
      <c r="AA1119" s="38" t="s">
        <v>2573</v>
      </c>
      <c r="AB1119" s="37" t="str">
        <f>IFERROR(VLOOKUP(A1119,'Tash Lookup'!A:E,3,FALSE),"")</f>
        <v/>
      </c>
      <c r="AC1119" s="6" t="str">
        <f t="shared" si="190"/>
        <v/>
      </c>
      <c r="AD1119" s="2" t="s">
        <v>6703</v>
      </c>
      <c r="AF1119" s="56">
        <v>46.84</v>
      </c>
      <c r="AG1119" s="56">
        <f>VLOOKUP(A1119,Sheet1!$A$2:$C$1140,3,FALSE)</f>
        <v>46.84</v>
      </c>
      <c r="AH1119" s="58">
        <v>46.84</v>
      </c>
      <c r="AI1119" s="56" t="str">
        <f t="shared" si="191"/>
        <v>Same</v>
      </c>
      <c r="AJ1119" s="81">
        <f t="shared" si="195"/>
        <v>0</v>
      </c>
      <c r="AK1119" s="81">
        <f t="shared" si="196"/>
        <v>0</v>
      </c>
      <c r="AL1119" s="58" t="s">
        <v>32</v>
      </c>
      <c r="AM1119" s="58" t="s">
        <v>6703</v>
      </c>
      <c r="AN1119" s="75">
        <v>221</v>
      </c>
      <c r="AO1119" s="88">
        <v>46.84</v>
      </c>
      <c r="AP1119" s="6" t="str">
        <f t="shared" si="192"/>
        <v>Same</v>
      </c>
      <c r="AQ1119" s="81">
        <f t="shared" si="193"/>
        <v>10351.640000000001</v>
      </c>
      <c r="AR1119" s="81">
        <f t="shared" si="194"/>
        <v>10351.640000000001</v>
      </c>
      <c r="AS1119" s="81">
        <f t="shared" si="197"/>
        <v>0</v>
      </c>
    </row>
    <row r="1120" spans="1:45" hidden="1" x14ac:dyDescent="0.3">
      <c r="A1120">
        <v>5091670</v>
      </c>
      <c r="B1120" s="15" t="s">
        <v>6456</v>
      </c>
      <c r="C1120" s="16" t="s">
        <v>30</v>
      </c>
      <c r="D1120" s="6" t="s">
        <v>31</v>
      </c>
      <c r="E1120" t="s">
        <v>72</v>
      </c>
      <c r="F1120" t="s">
        <v>72</v>
      </c>
      <c r="H1120" s="11" t="s">
        <v>27</v>
      </c>
      <c r="I1120" s="6" t="s">
        <v>28</v>
      </c>
      <c r="J1120" s="6" t="s">
        <v>28</v>
      </c>
      <c r="K1120" t="s">
        <v>32</v>
      </c>
      <c r="L1120" s="35">
        <v>30.37</v>
      </c>
      <c r="M1120" s="6" t="s">
        <v>29</v>
      </c>
      <c r="N1120" s="6">
        <v>3105</v>
      </c>
      <c r="P1120" s="18"/>
      <c r="Q1120" s="17"/>
      <c r="R1120" s="19">
        <v>30.37</v>
      </c>
      <c r="S1120" s="19">
        <v>30.37</v>
      </c>
      <c r="T1120" s="38">
        <v>0</v>
      </c>
      <c r="U1120" s="38"/>
      <c r="V1120" s="29">
        <v>30.37</v>
      </c>
      <c r="W1120" s="35">
        <v>30.37</v>
      </c>
      <c r="X1120" s="32">
        <f t="shared" si="187"/>
        <v>0</v>
      </c>
      <c r="Y1120" s="32">
        <f t="shared" si="188"/>
        <v>0</v>
      </c>
      <c r="Z1120" s="32">
        <f t="shared" si="189"/>
        <v>0</v>
      </c>
      <c r="AA1120" s="38" t="s">
        <v>2573</v>
      </c>
      <c r="AB1120" s="37" t="str">
        <f>IFERROR(VLOOKUP(A1120,'Tash Lookup'!A:E,3,FALSE),"")</f>
        <v/>
      </c>
      <c r="AC1120" s="6" t="str">
        <f t="shared" si="190"/>
        <v/>
      </c>
      <c r="AD1120" s="2" t="s">
        <v>6703</v>
      </c>
      <c r="AF1120" s="56">
        <v>30</v>
      </c>
      <c r="AG1120" s="56">
        <f>VLOOKUP(A1120,Sheet1!$A$2:$C$1140,3,FALSE)</f>
        <v>30</v>
      </c>
      <c r="AH1120" s="58">
        <v>30</v>
      </c>
      <c r="AI1120" s="56" t="str">
        <f t="shared" si="191"/>
        <v>Same</v>
      </c>
      <c r="AJ1120" s="81">
        <f t="shared" si="195"/>
        <v>0</v>
      </c>
      <c r="AK1120" s="81">
        <f t="shared" si="196"/>
        <v>0</v>
      </c>
      <c r="AL1120" s="58" t="s">
        <v>32</v>
      </c>
      <c r="AM1120" s="58" t="s">
        <v>6703</v>
      </c>
      <c r="AN1120" s="75">
        <v>0</v>
      </c>
      <c r="AO1120" s="88">
        <v>30</v>
      </c>
      <c r="AP1120" s="6" t="str">
        <f t="shared" si="192"/>
        <v>Same</v>
      </c>
      <c r="AQ1120" s="81">
        <f t="shared" si="193"/>
        <v>0</v>
      </c>
      <c r="AR1120" s="81">
        <f t="shared" si="194"/>
        <v>0</v>
      </c>
      <c r="AS1120" s="81">
        <f t="shared" si="197"/>
        <v>0</v>
      </c>
    </row>
    <row r="1121" spans="1:45" hidden="1" x14ac:dyDescent="0.3">
      <c r="A1121">
        <v>5091667</v>
      </c>
      <c r="B1121" s="15" t="s">
        <v>6457</v>
      </c>
      <c r="C1121" s="16" t="s">
        <v>30</v>
      </c>
      <c r="D1121" s="6" t="s">
        <v>31</v>
      </c>
      <c r="E1121" t="s">
        <v>74</v>
      </c>
      <c r="F1121" t="s">
        <v>74</v>
      </c>
      <c r="H1121" s="11" t="s">
        <v>27</v>
      </c>
      <c r="I1121" s="6" t="s">
        <v>28</v>
      </c>
      <c r="J1121" s="6" t="s">
        <v>28</v>
      </c>
      <c r="K1121" t="s">
        <v>32</v>
      </c>
      <c r="L1121" s="35">
        <v>15.96</v>
      </c>
      <c r="M1121" s="6" t="s">
        <v>29</v>
      </c>
      <c r="N1121" s="6">
        <v>3105</v>
      </c>
      <c r="P1121" s="18"/>
      <c r="Q1121" s="17"/>
      <c r="R1121" s="19">
        <v>15.96</v>
      </c>
      <c r="S1121" s="19">
        <v>15.96</v>
      </c>
      <c r="T1121" s="38">
        <v>0</v>
      </c>
      <c r="U1121" s="38"/>
      <c r="V1121" s="29">
        <v>15.96</v>
      </c>
      <c r="W1121" s="35">
        <v>15.96</v>
      </c>
      <c r="X1121" s="32">
        <f t="shared" si="187"/>
        <v>0</v>
      </c>
      <c r="Y1121" s="32">
        <f t="shared" si="188"/>
        <v>0</v>
      </c>
      <c r="Z1121" s="32">
        <f t="shared" si="189"/>
        <v>0</v>
      </c>
      <c r="AA1121" s="38" t="s">
        <v>2573</v>
      </c>
      <c r="AB1121" s="37" t="str">
        <f>IFERROR(VLOOKUP(A1121,'Tash Lookup'!A:E,3,FALSE),"")</f>
        <v/>
      </c>
      <c r="AC1121" s="6" t="str">
        <f t="shared" si="190"/>
        <v/>
      </c>
      <c r="AD1121" s="2" t="s">
        <v>6703</v>
      </c>
      <c r="AF1121" s="56">
        <v>16.59</v>
      </c>
      <c r="AG1121" s="56">
        <f>VLOOKUP(A1121,Sheet1!$A$2:$C$1140,3,FALSE)</f>
        <v>16.59</v>
      </c>
      <c r="AH1121" s="58">
        <v>16.59</v>
      </c>
      <c r="AI1121" s="56" t="str">
        <f t="shared" si="191"/>
        <v>Same</v>
      </c>
      <c r="AJ1121" s="81">
        <f t="shared" si="195"/>
        <v>0</v>
      </c>
      <c r="AK1121" s="81">
        <f t="shared" si="196"/>
        <v>0</v>
      </c>
      <c r="AL1121" s="58" t="s">
        <v>32</v>
      </c>
      <c r="AM1121" s="58" t="s">
        <v>6703</v>
      </c>
      <c r="AN1121" s="75">
        <v>2</v>
      </c>
      <c r="AO1121" s="88">
        <v>16.59</v>
      </c>
      <c r="AP1121" s="6" t="str">
        <f t="shared" si="192"/>
        <v>Same</v>
      </c>
      <c r="AQ1121" s="81">
        <f t="shared" si="193"/>
        <v>33.18</v>
      </c>
      <c r="AR1121" s="81">
        <f t="shared" si="194"/>
        <v>33.18</v>
      </c>
      <c r="AS1121" s="81">
        <f t="shared" si="197"/>
        <v>0</v>
      </c>
    </row>
    <row r="1122" spans="1:45" hidden="1" x14ac:dyDescent="0.3">
      <c r="A1122">
        <v>5248426</v>
      </c>
      <c r="B1122" s="15" t="s">
        <v>6458</v>
      </c>
      <c r="C1122" s="16" t="s">
        <v>30</v>
      </c>
      <c r="D1122" s="6" t="s">
        <v>31</v>
      </c>
      <c r="E1122" t="s">
        <v>159</v>
      </c>
      <c r="F1122" t="s">
        <v>159</v>
      </c>
      <c r="H1122" s="11" t="s">
        <v>27</v>
      </c>
      <c r="I1122" s="6" t="s">
        <v>28</v>
      </c>
      <c r="J1122" s="6" t="s">
        <v>28</v>
      </c>
      <c r="K1122" t="s">
        <v>32</v>
      </c>
      <c r="L1122" s="35">
        <v>29.11</v>
      </c>
      <c r="M1122" s="6" t="s">
        <v>29</v>
      </c>
      <c r="N1122" s="6">
        <v>3105</v>
      </c>
      <c r="P1122" s="18"/>
      <c r="Q1122" s="17"/>
      <c r="R1122" s="19">
        <v>29.11</v>
      </c>
      <c r="S1122" s="19">
        <v>29.11</v>
      </c>
      <c r="T1122" s="38">
        <v>0</v>
      </c>
      <c r="U1122" s="38"/>
      <c r="V1122" s="29">
        <v>29.11</v>
      </c>
      <c r="W1122" s="35">
        <v>29.11</v>
      </c>
      <c r="X1122" s="32">
        <f t="shared" si="187"/>
        <v>0</v>
      </c>
      <c r="Y1122" s="32">
        <f t="shared" si="188"/>
        <v>0</v>
      </c>
      <c r="Z1122" s="32">
        <f t="shared" si="189"/>
        <v>0</v>
      </c>
      <c r="AA1122" s="38" t="s">
        <v>2573</v>
      </c>
      <c r="AB1122" s="37" t="str">
        <f>IFERROR(VLOOKUP(A1122,'Tash Lookup'!A:E,3,FALSE),"")</f>
        <v/>
      </c>
      <c r="AC1122" s="6" t="str">
        <f t="shared" si="190"/>
        <v/>
      </c>
      <c r="AD1122" s="2" t="s">
        <v>6703</v>
      </c>
      <c r="AF1122" s="56">
        <v>31.64</v>
      </c>
      <c r="AG1122" s="56">
        <f>VLOOKUP(A1122,Sheet1!$A$2:$C$1140,3,FALSE)</f>
        <v>31.64</v>
      </c>
      <c r="AH1122" s="58">
        <v>31.64</v>
      </c>
      <c r="AI1122" s="56" t="str">
        <f t="shared" si="191"/>
        <v>Same</v>
      </c>
      <c r="AJ1122" s="81">
        <f t="shared" si="195"/>
        <v>0</v>
      </c>
      <c r="AK1122" s="81">
        <f t="shared" si="196"/>
        <v>0</v>
      </c>
      <c r="AL1122" s="58" t="s">
        <v>32</v>
      </c>
      <c r="AM1122" s="58" t="s">
        <v>6703</v>
      </c>
      <c r="AN1122" s="75">
        <v>0</v>
      </c>
      <c r="AO1122" s="88">
        <v>31.64</v>
      </c>
      <c r="AP1122" s="6" t="str">
        <f t="shared" si="192"/>
        <v>Same</v>
      </c>
      <c r="AQ1122" s="81">
        <f t="shared" si="193"/>
        <v>0</v>
      </c>
      <c r="AR1122" s="81">
        <f t="shared" si="194"/>
        <v>0</v>
      </c>
      <c r="AS1122" s="81">
        <f t="shared" si="197"/>
        <v>0</v>
      </c>
    </row>
    <row r="1123" spans="1:45" hidden="1" x14ac:dyDescent="0.3">
      <c r="A1123">
        <v>5091656</v>
      </c>
      <c r="B1123" s="15" t="s">
        <v>6459</v>
      </c>
      <c r="C1123" s="16" t="s">
        <v>30</v>
      </c>
      <c r="D1123" s="6" t="s">
        <v>31</v>
      </c>
      <c r="E1123" t="s">
        <v>160</v>
      </c>
      <c r="F1123" t="s">
        <v>160</v>
      </c>
      <c r="H1123" s="11" t="s">
        <v>27</v>
      </c>
      <c r="I1123" s="6" t="s">
        <v>28</v>
      </c>
      <c r="J1123" s="6" t="s">
        <v>28</v>
      </c>
      <c r="K1123" t="s">
        <v>32</v>
      </c>
      <c r="L1123" s="35">
        <v>29.11</v>
      </c>
      <c r="M1123" s="6" t="s">
        <v>29</v>
      </c>
      <c r="N1123" s="6">
        <v>3105</v>
      </c>
      <c r="P1123" s="18"/>
      <c r="Q1123" s="17"/>
      <c r="R1123" s="19">
        <v>29.11</v>
      </c>
      <c r="S1123" s="19">
        <v>29.11</v>
      </c>
      <c r="T1123" s="38">
        <v>0</v>
      </c>
      <c r="U1123" s="38"/>
      <c r="V1123" s="29">
        <v>29.11</v>
      </c>
      <c r="W1123" s="35">
        <v>29.11</v>
      </c>
      <c r="X1123" s="32">
        <f t="shared" si="187"/>
        <v>0</v>
      </c>
      <c r="Y1123" s="32">
        <f t="shared" si="188"/>
        <v>0</v>
      </c>
      <c r="Z1123" s="32">
        <f t="shared" si="189"/>
        <v>0</v>
      </c>
      <c r="AA1123" s="38" t="s">
        <v>2573</v>
      </c>
      <c r="AB1123" s="37" t="str">
        <f>IFERROR(VLOOKUP(A1123,'Tash Lookup'!A:E,3,FALSE),"")</f>
        <v/>
      </c>
      <c r="AC1123" s="6" t="str">
        <f t="shared" si="190"/>
        <v/>
      </c>
      <c r="AD1123" s="2" t="s">
        <v>6703</v>
      </c>
      <c r="AF1123" s="56">
        <v>31.64</v>
      </c>
      <c r="AG1123" s="56">
        <f>VLOOKUP(A1123,Sheet1!$A$2:$C$1140,3,FALSE)</f>
        <v>31.64</v>
      </c>
      <c r="AH1123" s="58">
        <v>31.64</v>
      </c>
      <c r="AI1123" s="56" t="str">
        <f t="shared" si="191"/>
        <v>Same</v>
      </c>
      <c r="AJ1123" s="81">
        <f t="shared" si="195"/>
        <v>0</v>
      </c>
      <c r="AK1123" s="81">
        <f t="shared" si="196"/>
        <v>0</v>
      </c>
      <c r="AL1123" s="58" t="s">
        <v>32</v>
      </c>
      <c r="AM1123" s="58" t="s">
        <v>6703</v>
      </c>
      <c r="AN1123" s="75">
        <v>0</v>
      </c>
      <c r="AO1123" s="88">
        <v>31.64</v>
      </c>
      <c r="AP1123" s="6" t="str">
        <f t="shared" si="192"/>
        <v>Same</v>
      </c>
      <c r="AQ1123" s="81">
        <f t="shared" si="193"/>
        <v>0</v>
      </c>
      <c r="AR1123" s="81">
        <f t="shared" si="194"/>
        <v>0</v>
      </c>
      <c r="AS1123" s="81">
        <f t="shared" si="197"/>
        <v>0</v>
      </c>
    </row>
    <row r="1124" spans="1:45" hidden="1" x14ac:dyDescent="0.3">
      <c r="A1124">
        <v>5248419</v>
      </c>
      <c r="B1124" s="15" t="s">
        <v>6460</v>
      </c>
      <c r="C1124" s="16" t="s">
        <v>30</v>
      </c>
      <c r="D1124" s="6" t="s">
        <v>31</v>
      </c>
      <c r="E1124" t="s">
        <v>161</v>
      </c>
      <c r="F1124" t="s">
        <v>161</v>
      </c>
      <c r="H1124" s="11" t="s">
        <v>27</v>
      </c>
      <c r="I1124" s="6" t="s">
        <v>28</v>
      </c>
      <c r="J1124" s="6" t="s">
        <v>28</v>
      </c>
      <c r="K1124" t="s">
        <v>32</v>
      </c>
      <c r="L1124" s="35">
        <v>29.11</v>
      </c>
      <c r="M1124" s="6" t="s">
        <v>29</v>
      </c>
      <c r="N1124" s="6">
        <v>3105</v>
      </c>
      <c r="P1124" s="18"/>
      <c r="Q1124" s="17"/>
      <c r="R1124" s="19">
        <v>29.11</v>
      </c>
      <c r="S1124" s="19">
        <v>29.11</v>
      </c>
      <c r="T1124" s="38">
        <v>0</v>
      </c>
      <c r="U1124" s="38"/>
      <c r="V1124" s="29">
        <v>29.11</v>
      </c>
      <c r="W1124" s="35">
        <v>29.11</v>
      </c>
      <c r="X1124" s="32">
        <f t="shared" si="187"/>
        <v>0</v>
      </c>
      <c r="Y1124" s="32">
        <f t="shared" si="188"/>
        <v>0</v>
      </c>
      <c r="Z1124" s="32">
        <f t="shared" si="189"/>
        <v>0</v>
      </c>
      <c r="AA1124" s="38" t="s">
        <v>2573</v>
      </c>
      <c r="AB1124" s="37" t="str">
        <f>IFERROR(VLOOKUP(A1124,'Tash Lookup'!A:E,3,FALSE),"")</f>
        <v/>
      </c>
      <c r="AC1124" s="6" t="str">
        <f t="shared" si="190"/>
        <v/>
      </c>
      <c r="AD1124" s="2" t="s">
        <v>6703</v>
      </c>
      <c r="AF1124" s="56">
        <v>31.64</v>
      </c>
      <c r="AG1124" s="56">
        <f>VLOOKUP(A1124,Sheet1!$A$2:$C$1140,3,FALSE)</f>
        <v>31.64</v>
      </c>
      <c r="AH1124" s="58">
        <v>31.64</v>
      </c>
      <c r="AI1124" s="56" t="str">
        <f t="shared" si="191"/>
        <v>Same</v>
      </c>
      <c r="AJ1124" s="81">
        <f t="shared" si="195"/>
        <v>0</v>
      </c>
      <c r="AK1124" s="81">
        <f t="shared" si="196"/>
        <v>0</v>
      </c>
      <c r="AL1124" s="58" t="s">
        <v>32</v>
      </c>
      <c r="AM1124" s="58" t="s">
        <v>6703</v>
      </c>
      <c r="AN1124" s="75">
        <v>0</v>
      </c>
      <c r="AO1124" s="88">
        <v>31.64</v>
      </c>
      <c r="AP1124" s="6" t="str">
        <f t="shared" si="192"/>
        <v>Same</v>
      </c>
      <c r="AQ1124" s="81">
        <f t="shared" si="193"/>
        <v>0</v>
      </c>
      <c r="AR1124" s="81">
        <f t="shared" si="194"/>
        <v>0</v>
      </c>
      <c r="AS1124" s="81">
        <f t="shared" si="197"/>
        <v>0</v>
      </c>
    </row>
    <row r="1125" spans="1:45" hidden="1" x14ac:dyDescent="0.3">
      <c r="A1125">
        <v>5091652</v>
      </c>
      <c r="B1125" s="15" t="s">
        <v>6461</v>
      </c>
      <c r="C1125" s="16" t="s">
        <v>30</v>
      </c>
      <c r="D1125" s="6" t="s">
        <v>31</v>
      </c>
      <c r="E1125" t="s">
        <v>165</v>
      </c>
      <c r="F1125" t="s">
        <v>165</v>
      </c>
      <c r="H1125" s="11" t="s">
        <v>27</v>
      </c>
      <c r="I1125" s="6" t="s">
        <v>28</v>
      </c>
      <c r="J1125" s="6" t="s">
        <v>28</v>
      </c>
      <c r="K1125" t="s">
        <v>32</v>
      </c>
      <c r="L1125" s="35">
        <v>14.76</v>
      </c>
      <c r="M1125" s="6" t="s">
        <v>29</v>
      </c>
      <c r="N1125" s="6">
        <v>3105</v>
      </c>
      <c r="P1125" s="18"/>
      <c r="Q1125" s="17"/>
      <c r="R1125" s="19">
        <v>14.76</v>
      </c>
      <c r="S1125" s="19">
        <v>14.76</v>
      </c>
      <c r="T1125" s="38">
        <v>0</v>
      </c>
      <c r="U1125" s="38"/>
      <c r="V1125" s="29">
        <v>14.76</v>
      </c>
      <c r="W1125" s="35">
        <v>14.76</v>
      </c>
      <c r="X1125" s="32">
        <f t="shared" si="187"/>
        <v>0</v>
      </c>
      <c r="Y1125" s="32">
        <f t="shared" si="188"/>
        <v>0</v>
      </c>
      <c r="Z1125" s="32">
        <f t="shared" si="189"/>
        <v>0</v>
      </c>
      <c r="AA1125" s="38" t="s">
        <v>2573</v>
      </c>
      <c r="AB1125" s="37" t="str">
        <f>IFERROR(VLOOKUP(A1125,'Tash Lookup'!A:E,3,FALSE),"")</f>
        <v/>
      </c>
      <c r="AC1125" s="6" t="str">
        <f t="shared" si="190"/>
        <v/>
      </c>
      <c r="AD1125" s="2" t="s">
        <v>6703</v>
      </c>
      <c r="AF1125" s="56">
        <v>14.69</v>
      </c>
      <c r="AG1125" s="56">
        <f>VLOOKUP(A1125,Sheet1!$A$2:$C$1140,3,FALSE)</f>
        <v>14.69</v>
      </c>
      <c r="AH1125" s="58">
        <v>14.69</v>
      </c>
      <c r="AI1125" s="56" t="str">
        <f t="shared" si="191"/>
        <v>Same</v>
      </c>
      <c r="AJ1125" s="81">
        <f t="shared" si="195"/>
        <v>0</v>
      </c>
      <c r="AK1125" s="81">
        <f t="shared" si="196"/>
        <v>0</v>
      </c>
      <c r="AL1125" s="58" t="s">
        <v>32</v>
      </c>
      <c r="AM1125" s="58" t="s">
        <v>6703</v>
      </c>
      <c r="AN1125" s="75">
        <v>1</v>
      </c>
      <c r="AO1125" s="88">
        <v>14.69</v>
      </c>
      <c r="AP1125" s="6" t="str">
        <f t="shared" si="192"/>
        <v>Same</v>
      </c>
      <c r="AQ1125" s="81">
        <f t="shared" si="193"/>
        <v>14.69</v>
      </c>
      <c r="AR1125" s="81">
        <f t="shared" si="194"/>
        <v>14.69</v>
      </c>
      <c r="AS1125" s="81">
        <f t="shared" si="197"/>
        <v>0</v>
      </c>
    </row>
    <row r="1126" spans="1:45" hidden="1" x14ac:dyDescent="0.3">
      <c r="A1126">
        <v>5248422</v>
      </c>
      <c r="B1126" s="15" t="s">
        <v>6462</v>
      </c>
      <c r="C1126" s="16" t="s">
        <v>30</v>
      </c>
      <c r="D1126" s="6" t="s">
        <v>31</v>
      </c>
      <c r="E1126" t="s">
        <v>167</v>
      </c>
      <c r="F1126" t="s">
        <v>167</v>
      </c>
      <c r="H1126" s="11" t="s">
        <v>27</v>
      </c>
      <c r="I1126" s="6" t="s">
        <v>28</v>
      </c>
      <c r="J1126" s="6" t="s">
        <v>28</v>
      </c>
      <c r="K1126" t="s">
        <v>32</v>
      </c>
      <c r="L1126" s="35">
        <v>29.11</v>
      </c>
      <c r="M1126" s="6" t="s">
        <v>29</v>
      </c>
      <c r="N1126" s="6">
        <v>3105</v>
      </c>
      <c r="P1126" s="18"/>
      <c r="Q1126" s="17"/>
      <c r="R1126" s="19">
        <v>29.11</v>
      </c>
      <c r="S1126" s="19">
        <v>29.11</v>
      </c>
      <c r="T1126" s="38">
        <v>0</v>
      </c>
      <c r="U1126" s="38"/>
      <c r="V1126" s="29">
        <v>29.11</v>
      </c>
      <c r="W1126" s="35">
        <v>29.11</v>
      </c>
      <c r="X1126" s="32">
        <f t="shared" si="187"/>
        <v>0</v>
      </c>
      <c r="Y1126" s="32">
        <f t="shared" si="188"/>
        <v>0</v>
      </c>
      <c r="Z1126" s="32">
        <f t="shared" si="189"/>
        <v>0</v>
      </c>
      <c r="AA1126" s="38" t="s">
        <v>2573</v>
      </c>
      <c r="AB1126" s="37" t="str">
        <f>IFERROR(VLOOKUP(A1126,'Tash Lookup'!A:E,3,FALSE),"")</f>
        <v/>
      </c>
      <c r="AC1126" s="6" t="str">
        <f t="shared" si="190"/>
        <v/>
      </c>
      <c r="AD1126" s="2" t="s">
        <v>6703</v>
      </c>
      <c r="AF1126" s="56">
        <v>31.64</v>
      </c>
      <c r="AG1126" s="56">
        <f>VLOOKUP(A1126,Sheet1!$A$2:$C$1140,3,FALSE)</f>
        <v>31.64</v>
      </c>
      <c r="AH1126" s="58">
        <v>31.64</v>
      </c>
      <c r="AI1126" s="56" t="str">
        <f t="shared" si="191"/>
        <v>Same</v>
      </c>
      <c r="AJ1126" s="81">
        <f t="shared" si="195"/>
        <v>0</v>
      </c>
      <c r="AK1126" s="81">
        <f t="shared" si="196"/>
        <v>0</v>
      </c>
      <c r="AL1126" s="58" t="s">
        <v>32</v>
      </c>
      <c r="AM1126" s="58" t="s">
        <v>6703</v>
      </c>
      <c r="AN1126" s="75">
        <v>0</v>
      </c>
      <c r="AO1126" s="88">
        <v>31.64</v>
      </c>
      <c r="AP1126" s="6" t="str">
        <f t="shared" si="192"/>
        <v>Same</v>
      </c>
      <c r="AQ1126" s="81">
        <f t="shared" si="193"/>
        <v>0</v>
      </c>
      <c r="AR1126" s="81">
        <f t="shared" si="194"/>
        <v>0</v>
      </c>
      <c r="AS1126" s="81">
        <f t="shared" si="197"/>
        <v>0</v>
      </c>
    </row>
    <row r="1127" spans="1:45" hidden="1" x14ac:dyDescent="0.3">
      <c r="A1127">
        <v>5248423</v>
      </c>
      <c r="B1127" s="15" t="s">
        <v>6463</v>
      </c>
      <c r="C1127" s="16" t="s">
        <v>30</v>
      </c>
      <c r="D1127" s="6" t="s">
        <v>31</v>
      </c>
      <c r="E1127" t="s">
        <v>168</v>
      </c>
      <c r="F1127" t="s">
        <v>168</v>
      </c>
      <c r="H1127" s="11" t="s">
        <v>27</v>
      </c>
      <c r="I1127" s="6" t="s">
        <v>28</v>
      </c>
      <c r="J1127" s="6" t="s">
        <v>28</v>
      </c>
      <c r="K1127" t="s">
        <v>32</v>
      </c>
      <c r="L1127" s="35">
        <v>29.11</v>
      </c>
      <c r="M1127" s="6" t="s">
        <v>29</v>
      </c>
      <c r="N1127" s="6">
        <v>3105</v>
      </c>
      <c r="P1127" s="18"/>
      <c r="Q1127" s="17"/>
      <c r="R1127" s="19">
        <v>29.11</v>
      </c>
      <c r="S1127" s="19">
        <v>29.11</v>
      </c>
      <c r="T1127" s="38">
        <v>0</v>
      </c>
      <c r="U1127" s="38"/>
      <c r="V1127" s="29">
        <v>29.11</v>
      </c>
      <c r="W1127" s="35">
        <v>29.11</v>
      </c>
      <c r="X1127" s="32">
        <f t="shared" si="187"/>
        <v>0</v>
      </c>
      <c r="Y1127" s="32">
        <f t="shared" si="188"/>
        <v>0</v>
      </c>
      <c r="Z1127" s="32">
        <f t="shared" si="189"/>
        <v>0</v>
      </c>
      <c r="AA1127" s="38" t="s">
        <v>2573</v>
      </c>
      <c r="AB1127" s="37" t="str">
        <f>IFERROR(VLOOKUP(A1127,'Tash Lookup'!A:E,3,FALSE),"")</f>
        <v/>
      </c>
      <c r="AC1127" s="6" t="str">
        <f t="shared" si="190"/>
        <v/>
      </c>
      <c r="AD1127" s="2" t="s">
        <v>6703</v>
      </c>
      <c r="AF1127" s="56">
        <v>31.64</v>
      </c>
      <c r="AG1127" s="56">
        <f>VLOOKUP(A1127,Sheet1!$A$2:$C$1140,3,FALSE)</f>
        <v>31.64</v>
      </c>
      <c r="AH1127" s="58">
        <v>31.64</v>
      </c>
      <c r="AI1127" s="56" t="str">
        <f t="shared" si="191"/>
        <v>Same</v>
      </c>
      <c r="AJ1127" s="81">
        <f t="shared" si="195"/>
        <v>0</v>
      </c>
      <c r="AK1127" s="81">
        <f t="shared" si="196"/>
        <v>0</v>
      </c>
      <c r="AL1127" s="58" t="s">
        <v>32</v>
      </c>
      <c r="AM1127" s="58" t="s">
        <v>6703</v>
      </c>
      <c r="AN1127" s="75">
        <v>0</v>
      </c>
      <c r="AO1127" s="88">
        <v>31.64</v>
      </c>
      <c r="AP1127" s="6" t="str">
        <f t="shared" si="192"/>
        <v>Same</v>
      </c>
      <c r="AQ1127" s="81">
        <f t="shared" si="193"/>
        <v>0</v>
      </c>
      <c r="AR1127" s="81">
        <f t="shared" si="194"/>
        <v>0</v>
      </c>
      <c r="AS1127" s="81">
        <f t="shared" si="197"/>
        <v>0</v>
      </c>
    </row>
    <row r="1128" spans="1:45" hidden="1" x14ac:dyDescent="0.3">
      <c r="A1128">
        <v>5248424</v>
      </c>
      <c r="B1128" s="15" t="s">
        <v>6464</v>
      </c>
      <c r="C1128" s="16" t="s">
        <v>30</v>
      </c>
      <c r="D1128" s="6" t="s">
        <v>31</v>
      </c>
      <c r="E1128" t="s">
        <v>169</v>
      </c>
      <c r="F1128" t="s">
        <v>169</v>
      </c>
      <c r="H1128" s="11" t="s">
        <v>27</v>
      </c>
      <c r="I1128" s="6" t="s">
        <v>28</v>
      </c>
      <c r="J1128" s="6" t="s">
        <v>28</v>
      </c>
      <c r="K1128" t="s">
        <v>32</v>
      </c>
      <c r="L1128" s="35">
        <v>29.11</v>
      </c>
      <c r="M1128" s="6" t="s">
        <v>29</v>
      </c>
      <c r="N1128" s="6">
        <v>3105</v>
      </c>
      <c r="P1128" s="18"/>
      <c r="Q1128" s="17"/>
      <c r="R1128" s="19">
        <v>29.11</v>
      </c>
      <c r="S1128" s="19">
        <v>29.11</v>
      </c>
      <c r="T1128" s="38">
        <v>0</v>
      </c>
      <c r="U1128" s="38"/>
      <c r="V1128" s="29">
        <v>29.11</v>
      </c>
      <c r="W1128" s="35">
        <v>29.11</v>
      </c>
      <c r="X1128" s="32">
        <f t="shared" si="187"/>
        <v>0</v>
      </c>
      <c r="Y1128" s="32">
        <f t="shared" si="188"/>
        <v>0</v>
      </c>
      <c r="Z1128" s="32">
        <f t="shared" si="189"/>
        <v>0</v>
      </c>
      <c r="AA1128" s="38" t="s">
        <v>2573</v>
      </c>
      <c r="AB1128" s="37" t="str">
        <f>IFERROR(VLOOKUP(A1128,'Tash Lookup'!A:E,3,FALSE),"")</f>
        <v/>
      </c>
      <c r="AC1128" s="6" t="str">
        <f t="shared" si="190"/>
        <v/>
      </c>
      <c r="AD1128" s="2" t="s">
        <v>6703</v>
      </c>
      <c r="AF1128" s="56">
        <v>31.64</v>
      </c>
      <c r="AG1128" s="56">
        <f>VLOOKUP(A1128,Sheet1!$A$2:$C$1140,3,FALSE)</f>
        <v>31.64</v>
      </c>
      <c r="AH1128" s="58">
        <v>31.64</v>
      </c>
      <c r="AI1128" s="56" t="str">
        <f t="shared" si="191"/>
        <v>Same</v>
      </c>
      <c r="AJ1128" s="81">
        <f t="shared" si="195"/>
        <v>0</v>
      </c>
      <c r="AK1128" s="81">
        <f t="shared" si="196"/>
        <v>0</v>
      </c>
      <c r="AL1128" s="58" t="s">
        <v>32</v>
      </c>
      <c r="AM1128" s="58" t="s">
        <v>6703</v>
      </c>
      <c r="AN1128" s="75">
        <v>0</v>
      </c>
      <c r="AO1128" s="88">
        <v>31.64</v>
      </c>
      <c r="AP1128" s="6" t="str">
        <f t="shared" si="192"/>
        <v>Same</v>
      </c>
      <c r="AQ1128" s="81">
        <f t="shared" si="193"/>
        <v>0</v>
      </c>
      <c r="AR1128" s="81">
        <f t="shared" si="194"/>
        <v>0</v>
      </c>
      <c r="AS1128" s="81">
        <f t="shared" si="197"/>
        <v>0</v>
      </c>
    </row>
    <row r="1129" spans="1:45" hidden="1" x14ac:dyDescent="0.3">
      <c r="A1129">
        <v>5149182</v>
      </c>
      <c r="B1129" s="15" t="s">
        <v>6465</v>
      </c>
      <c r="C1129" s="16" t="s">
        <v>30</v>
      </c>
      <c r="D1129" s="6" t="s">
        <v>31</v>
      </c>
      <c r="E1129" t="s">
        <v>171</v>
      </c>
      <c r="F1129" t="s">
        <v>171</v>
      </c>
      <c r="H1129" s="11" t="s">
        <v>27</v>
      </c>
      <c r="I1129" s="6" t="s">
        <v>28</v>
      </c>
      <c r="J1129" s="6" t="s">
        <v>28</v>
      </c>
      <c r="K1129" t="s">
        <v>32</v>
      </c>
      <c r="L1129" s="35">
        <v>14.76</v>
      </c>
      <c r="M1129" s="6" t="s">
        <v>29</v>
      </c>
      <c r="N1129" s="6">
        <v>3105</v>
      </c>
      <c r="P1129" s="18"/>
      <c r="Q1129" s="17"/>
      <c r="R1129" s="19">
        <v>14.76</v>
      </c>
      <c r="S1129" s="19">
        <v>14.76</v>
      </c>
      <c r="T1129" s="38">
        <v>0</v>
      </c>
      <c r="U1129" s="38"/>
      <c r="V1129" s="29">
        <v>10.611499999999999</v>
      </c>
      <c r="W1129" s="35">
        <v>14.76</v>
      </c>
      <c r="X1129" s="32">
        <f t="shared" si="187"/>
        <v>0</v>
      </c>
      <c r="Y1129" s="32">
        <f t="shared" si="188"/>
        <v>0</v>
      </c>
      <c r="Z1129" s="32">
        <f t="shared" si="189"/>
        <v>0</v>
      </c>
      <c r="AA1129" s="38" t="s">
        <v>2573</v>
      </c>
      <c r="AB1129" s="37" t="str">
        <f>IFERROR(VLOOKUP(A1129,'Tash Lookup'!A:E,3,FALSE),"")</f>
        <v/>
      </c>
      <c r="AC1129" s="6" t="str">
        <f t="shared" si="190"/>
        <v/>
      </c>
      <c r="AD1129" s="2" t="s">
        <v>6703</v>
      </c>
      <c r="AF1129" s="56">
        <v>10.56</v>
      </c>
      <c r="AG1129" s="56">
        <f>VLOOKUP(A1129,Sheet1!$A$2:$C$1140,3,FALSE)</f>
        <v>10.56</v>
      </c>
      <c r="AH1129" s="58">
        <v>10.56</v>
      </c>
      <c r="AI1129" s="56" t="str">
        <f t="shared" si="191"/>
        <v>Same</v>
      </c>
      <c r="AJ1129" s="81">
        <f t="shared" si="195"/>
        <v>0</v>
      </c>
      <c r="AK1129" s="81">
        <f t="shared" si="196"/>
        <v>0</v>
      </c>
      <c r="AL1129" s="58" t="s">
        <v>32</v>
      </c>
      <c r="AM1129" s="58" t="s">
        <v>6703</v>
      </c>
      <c r="AN1129" s="75">
        <v>17</v>
      </c>
      <c r="AO1129" s="88">
        <v>10.56</v>
      </c>
      <c r="AP1129" s="6" t="str">
        <f t="shared" si="192"/>
        <v>Same</v>
      </c>
      <c r="AQ1129" s="81">
        <f t="shared" si="193"/>
        <v>179.52</v>
      </c>
      <c r="AR1129" s="81">
        <f t="shared" si="194"/>
        <v>179.52</v>
      </c>
      <c r="AS1129" s="81">
        <f t="shared" si="197"/>
        <v>0</v>
      </c>
    </row>
    <row r="1130" spans="1:45" hidden="1" x14ac:dyDescent="0.3">
      <c r="A1130">
        <v>5248425</v>
      </c>
      <c r="B1130" s="15" t="s">
        <v>6466</v>
      </c>
      <c r="C1130" s="16" t="s">
        <v>30</v>
      </c>
      <c r="D1130" s="6" t="s">
        <v>31</v>
      </c>
      <c r="E1130" t="s">
        <v>173</v>
      </c>
      <c r="F1130" t="s">
        <v>173</v>
      </c>
      <c r="H1130" s="11" t="s">
        <v>27</v>
      </c>
      <c r="I1130" s="6" t="s">
        <v>28</v>
      </c>
      <c r="J1130" s="6" t="s">
        <v>28</v>
      </c>
      <c r="K1130" t="s">
        <v>32</v>
      </c>
      <c r="L1130" s="35">
        <v>29.11</v>
      </c>
      <c r="M1130" s="6" t="s">
        <v>29</v>
      </c>
      <c r="N1130" s="6">
        <v>3105</v>
      </c>
      <c r="P1130" s="18"/>
      <c r="Q1130" s="17"/>
      <c r="R1130" s="19">
        <v>29.11</v>
      </c>
      <c r="S1130" s="19">
        <v>29.11</v>
      </c>
      <c r="T1130" s="38">
        <v>0</v>
      </c>
      <c r="U1130" s="38"/>
      <c r="V1130" s="29">
        <v>29.11</v>
      </c>
      <c r="W1130" s="35">
        <v>29.11</v>
      </c>
      <c r="X1130" s="32">
        <f t="shared" si="187"/>
        <v>0</v>
      </c>
      <c r="Y1130" s="32">
        <f t="shared" si="188"/>
        <v>0</v>
      </c>
      <c r="Z1130" s="32">
        <f t="shared" si="189"/>
        <v>0</v>
      </c>
      <c r="AA1130" s="38" t="s">
        <v>2573</v>
      </c>
      <c r="AB1130" s="37" t="str">
        <f>IFERROR(VLOOKUP(A1130,'Tash Lookup'!A:E,3,FALSE),"")</f>
        <v/>
      </c>
      <c r="AC1130" s="6" t="str">
        <f t="shared" si="190"/>
        <v/>
      </c>
      <c r="AD1130" s="2" t="s">
        <v>6703</v>
      </c>
      <c r="AF1130" s="56">
        <v>31.64</v>
      </c>
      <c r="AG1130" s="56">
        <f>VLOOKUP(A1130,Sheet1!$A$2:$C$1140,3,FALSE)</f>
        <v>31.64</v>
      </c>
      <c r="AH1130" s="58">
        <v>31.64</v>
      </c>
      <c r="AI1130" s="56" t="str">
        <f t="shared" si="191"/>
        <v>Same</v>
      </c>
      <c r="AJ1130" s="81">
        <f t="shared" si="195"/>
        <v>0</v>
      </c>
      <c r="AK1130" s="81">
        <f t="shared" si="196"/>
        <v>0</v>
      </c>
      <c r="AL1130" s="58" t="s">
        <v>32</v>
      </c>
      <c r="AM1130" s="58" t="s">
        <v>6703</v>
      </c>
      <c r="AN1130" s="75">
        <v>0</v>
      </c>
      <c r="AO1130" s="88">
        <v>31.64</v>
      </c>
      <c r="AP1130" s="6" t="str">
        <f t="shared" si="192"/>
        <v>Same</v>
      </c>
      <c r="AQ1130" s="81">
        <f t="shared" si="193"/>
        <v>0</v>
      </c>
      <c r="AR1130" s="81">
        <f t="shared" si="194"/>
        <v>0</v>
      </c>
      <c r="AS1130" s="81">
        <f t="shared" si="197"/>
        <v>0</v>
      </c>
    </row>
    <row r="1131" spans="1:45" hidden="1" x14ac:dyDescent="0.3">
      <c r="A1131">
        <v>5248421</v>
      </c>
      <c r="B1131" s="15" t="s">
        <v>6467</v>
      </c>
      <c r="C1131" s="16" t="s">
        <v>30</v>
      </c>
      <c r="D1131" s="6" t="s">
        <v>31</v>
      </c>
      <c r="E1131" t="s">
        <v>181</v>
      </c>
      <c r="F1131" t="s">
        <v>181</v>
      </c>
      <c r="H1131" s="11" t="s">
        <v>27</v>
      </c>
      <c r="I1131" s="6" t="s">
        <v>28</v>
      </c>
      <c r="J1131" s="6" t="s">
        <v>28</v>
      </c>
      <c r="K1131" t="s">
        <v>32</v>
      </c>
      <c r="L1131" s="35">
        <v>29.11</v>
      </c>
      <c r="M1131" s="6" t="s">
        <v>29</v>
      </c>
      <c r="N1131" s="6">
        <v>3105</v>
      </c>
      <c r="P1131" s="18"/>
      <c r="Q1131" s="17"/>
      <c r="R1131" s="19">
        <v>29.11</v>
      </c>
      <c r="S1131" s="19">
        <v>29.11</v>
      </c>
      <c r="T1131" s="38">
        <v>0</v>
      </c>
      <c r="U1131" s="38"/>
      <c r="V1131" s="31">
        <v>29.11</v>
      </c>
      <c r="W1131" s="35">
        <v>29.11</v>
      </c>
      <c r="X1131" s="32">
        <f t="shared" si="187"/>
        <v>0</v>
      </c>
      <c r="Y1131" s="32">
        <f t="shared" si="188"/>
        <v>0</v>
      </c>
      <c r="Z1131" s="32">
        <f t="shared" si="189"/>
        <v>0</v>
      </c>
      <c r="AA1131" s="38" t="s">
        <v>2573</v>
      </c>
      <c r="AB1131" s="37" t="str">
        <f>IFERROR(VLOOKUP(A1131,'Tash Lookup'!A:E,3,FALSE),"")</f>
        <v/>
      </c>
      <c r="AC1131" s="6" t="str">
        <f t="shared" si="190"/>
        <v/>
      </c>
      <c r="AD1131" s="2" t="s">
        <v>6703</v>
      </c>
      <c r="AF1131" s="56">
        <v>31.64</v>
      </c>
      <c r="AG1131" s="56">
        <f>VLOOKUP(A1131,Sheet1!$A$2:$C$1140,3,FALSE)</f>
        <v>31.64</v>
      </c>
      <c r="AH1131" s="58">
        <v>31.64</v>
      </c>
      <c r="AI1131" s="56" t="str">
        <f t="shared" si="191"/>
        <v>Same</v>
      </c>
      <c r="AJ1131" s="81">
        <f t="shared" si="195"/>
        <v>0</v>
      </c>
      <c r="AK1131" s="81">
        <f t="shared" si="196"/>
        <v>0</v>
      </c>
      <c r="AL1131" s="58" t="s">
        <v>32</v>
      </c>
      <c r="AM1131" s="58" t="s">
        <v>6703</v>
      </c>
      <c r="AN1131" s="75">
        <v>0</v>
      </c>
      <c r="AO1131" s="88">
        <v>31.64</v>
      </c>
      <c r="AP1131" s="6" t="str">
        <f t="shared" si="192"/>
        <v>Same</v>
      </c>
      <c r="AQ1131" s="81">
        <f t="shared" si="193"/>
        <v>0</v>
      </c>
      <c r="AR1131" s="81">
        <f t="shared" si="194"/>
        <v>0</v>
      </c>
      <c r="AS1131" s="81">
        <f t="shared" si="197"/>
        <v>0</v>
      </c>
    </row>
    <row r="1132" spans="1:45" hidden="1" x14ac:dyDescent="0.3">
      <c r="A1132">
        <v>5082983</v>
      </c>
      <c r="B1132" s="15" t="s">
        <v>6468</v>
      </c>
      <c r="C1132" s="16" t="s">
        <v>30</v>
      </c>
      <c r="D1132" s="6" t="s">
        <v>31</v>
      </c>
      <c r="E1132" t="s">
        <v>582</v>
      </c>
      <c r="F1132" t="s">
        <v>582</v>
      </c>
      <c r="H1132" s="11" t="s">
        <v>27</v>
      </c>
      <c r="I1132" s="6" t="s">
        <v>28</v>
      </c>
      <c r="J1132" s="6" t="s">
        <v>28</v>
      </c>
      <c r="K1132" t="s">
        <v>32</v>
      </c>
      <c r="L1132" s="35">
        <v>16.350000000000001</v>
      </c>
      <c r="M1132" s="6" t="s">
        <v>29</v>
      </c>
      <c r="N1132" s="6">
        <v>3105</v>
      </c>
      <c r="P1132" s="18"/>
      <c r="Q1132" s="17"/>
      <c r="R1132" s="19">
        <v>16.350000000000001</v>
      </c>
      <c r="S1132" s="19">
        <v>16.350000000000001</v>
      </c>
      <c r="T1132" s="38">
        <v>0</v>
      </c>
      <c r="U1132" s="38"/>
      <c r="V1132" s="29">
        <v>16.350000000000001</v>
      </c>
      <c r="W1132" s="35">
        <v>16.350000000000001</v>
      </c>
      <c r="X1132" s="32">
        <f t="shared" si="187"/>
        <v>0</v>
      </c>
      <c r="Y1132" s="32">
        <f t="shared" si="188"/>
        <v>0</v>
      </c>
      <c r="Z1132" s="32">
        <f t="shared" si="189"/>
        <v>0</v>
      </c>
      <c r="AA1132" s="38" t="s">
        <v>2573</v>
      </c>
      <c r="AB1132" s="37" t="str">
        <f>IFERROR(VLOOKUP(A1132,'Tash Lookup'!A:E,3,FALSE),"")</f>
        <v/>
      </c>
      <c r="AC1132" s="6" t="str">
        <f t="shared" si="190"/>
        <v/>
      </c>
      <c r="AD1132" s="2" t="s">
        <v>6703</v>
      </c>
      <c r="AF1132" s="56">
        <v>17.64</v>
      </c>
      <c r="AG1132" s="56">
        <f>VLOOKUP(A1132,Sheet1!$A$2:$C$1140,3,FALSE)</f>
        <v>18.170000000000002</v>
      </c>
      <c r="AH1132" s="58">
        <v>18.170000000000002</v>
      </c>
      <c r="AI1132" s="56" t="str">
        <f t="shared" si="191"/>
        <v>Increase</v>
      </c>
      <c r="AJ1132" s="81">
        <f t="shared" si="195"/>
        <v>0</v>
      </c>
      <c r="AK1132" s="81">
        <f t="shared" si="196"/>
        <v>0</v>
      </c>
      <c r="AL1132" s="58" t="s">
        <v>32</v>
      </c>
      <c r="AM1132" s="58" t="s">
        <v>6703</v>
      </c>
      <c r="AN1132" s="75">
        <v>0</v>
      </c>
      <c r="AO1132" s="88">
        <v>18.170000000000002</v>
      </c>
      <c r="AP1132" s="6" t="str">
        <f t="shared" si="192"/>
        <v>Increase</v>
      </c>
      <c r="AQ1132" s="81">
        <f t="shared" si="193"/>
        <v>0</v>
      </c>
      <c r="AR1132" s="81">
        <f t="shared" si="194"/>
        <v>0</v>
      </c>
      <c r="AS1132" s="81">
        <f t="shared" si="197"/>
        <v>0</v>
      </c>
    </row>
    <row r="1133" spans="1:45" hidden="1" x14ac:dyDescent="0.3">
      <c r="A1133">
        <v>5182043</v>
      </c>
      <c r="B1133" s="15" t="s">
        <v>6469</v>
      </c>
      <c r="C1133" s="16" t="s">
        <v>30</v>
      </c>
      <c r="D1133" s="6" t="s">
        <v>31</v>
      </c>
      <c r="E1133" t="s">
        <v>182</v>
      </c>
      <c r="F1133" t="s">
        <v>182</v>
      </c>
      <c r="H1133" s="11" t="s">
        <v>27</v>
      </c>
      <c r="I1133" s="6" t="s">
        <v>28</v>
      </c>
      <c r="J1133" s="6" t="s">
        <v>28</v>
      </c>
      <c r="K1133" t="s">
        <v>32</v>
      </c>
      <c r="L1133" s="35">
        <v>39.35</v>
      </c>
      <c r="M1133" s="6" t="s">
        <v>29</v>
      </c>
      <c r="N1133" s="6">
        <v>3105</v>
      </c>
      <c r="P1133" s="18"/>
      <c r="Q1133" s="17"/>
      <c r="R1133" s="19">
        <v>39.35</v>
      </c>
      <c r="S1133" s="19">
        <v>39.35</v>
      </c>
      <c r="T1133" s="38">
        <v>0</v>
      </c>
      <c r="U1133" s="38"/>
      <c r="V1133" s="29">
        <v>39.35</v>
      </c>
      <c r="W1133" s="35">
        <v>39.35</v>
      </c>
      <c r="X1133" s="32">
        <f t="shared" si="187"/>
        <v>0</v>
      </c>
      <c r="Y1133" s="32">
        <f t="shared" si="188"/>
        <v>0</v>
      </c>
      <c r="Z1133" s="32">
        <f t="shared" si="189"/>
        <v>0</v>
      </c>
      <c r="AA1133" s="38" t="s">
        <v>2573</v>
      </c>
      <c r="AB1133" s="37" t="str">
        <f>IFERROR(VLOOKUP(A1133,'Tash Lookup'!A:E,3,FALSE),"")</f>
        <v/>
      </c>
      <c r="AC1133" s="6" t="str">
        <f t="shared" si="190"/>
        <v/>
      </c>
      <c r="AD1133" s="2" t="s">
        <v>6708</v>
      </c>
      <c r="AF1133" s="56">
        <v>39.35</v>
      </c>
      <c r="AG1133" s="56" t="e">
        <f>VLOOKUP(A1133,Sheet1!$A$2:$C$1140,3,FALSE)</f>
        <v>#N/A</v>
      </c>
      <c r="AH1133" s="58" t="e">
        <v>#N/A</v>
      </c>
      <c r="AI1133" s="56" t="str">
        <f t="shared" si="191"/>
        <v>Delete</v>
      </c>
      <c r="AJ1133" s="81">
        <f t="shared" si="195"/>
        <v>0</v>
      </c>
      <c r="AK1133" s="81">
        <f t="shared" si="196"/>
        <v>0</v>
      </c>
      <c r="AL1133" s="58" t="s">
        <v>32</v>
      </c>
      <c r="AM1133" s="58" t="s">
        <v>6708</v>
      </c>
      <c r="AN1133" s="75">
        <v>0</v>
      </c>
      <c r="AO1133" s="88">
        <v>39.35</v>
      </c>
      <c r="AP1133" s="6" t="str">
        <f t="shared" si="192"/>
        <v>Same</v>
      </c>
      <c r="AQ1133" s="81">
        <f t="shared" si="193"/>
        <v>0</v>
      </c>
      <c r="AR1133" s="81">
        <f t="shared" si="194"/>
        <v>0</v>
      </c>
      <c r="AS1133" s="81">
        <f t="shared" si="197"/>
        <v>0</v>
      </c>
    </row>
    <row r="1134" spans="1:45" hidden="1" x14ac:dyDescent="0.3">
      <c r="A1134">
        <v>5182044</v>
      </c>
      <c r="B1134" s="15" t="s">
        <v>6470</v>
      </c>
      <c r="C1134" s="16" t="s">
        <v>30</v>
      </c>
      <c r="D1134" s="6" t="s">
        <v>31</v>
      </c>
      <c r="E1134" t="s">
        <v>183</v>
      </c>
      <c r="F1134" t="s">
        <v>183</v>
      </c>
      <c r="H1134" s="11" t="s">
        <v>27</v>
      </c>
      <c r="I1134" s="6" t="s">
        <v>28</v>
      </c>
      <c r="J1134" s="6" t="s">
        <v>28</v>
      </c>
      <c r="K1134" t="s">
        <v>32</v>
      </c>
      <c r="L1134" s="35">
        <v>30.74</v>
      </c>
      <c r="M1134" s="6" t="s">
        <v>29</v>
      </c>
      <c r="N1134" s="6">
        <v>3105</v>
      </c>
      <c r="P1134" s="18"/>
      <c r="Q1134" s="17"/>
      <c r="R1134" s="19">
        <v>30.74</v>
      </c>
      <c r="S1134" s="19">
        <v>30.74</v>
      </c>
      <c r="T1134" s="38">
        <v>0</v>
      </c>
      <c r="U1134" s="38"/>
      <c r="V1134" s="29">
        <v>30.74</v>
      </c>
      <c r="W1134" s="35">
        <v>30.74</v>
      </c>
      <c r="X1134" s="32">
        <f t="shared" si="187"/>
        <v>0</v>
      </c>
      <c r="Y1134" s="32">
        <f t="shared" si="188"/>
        <v>0</v>
      </c>
      <c r="Z1134" s="32">
        <f t="shared" si="189"/>
        <v>0</v>
      </c>
      <c r="AA1134" s="38" t="s">
        <v>2573</v>
      </c>
      <c r="AB1134" s="37" t="str">
        <f>IFERROR(VLOOKUP(A1134,'Tash Lookup'!A:E,3,FALSE),"")</f>
        <v/>
      </c>
      <c r="AC1134" s="6" t="str">
        <f t="shared" si="190"/>
        <v/>
      </c>
      <c r="AD1134" s="2" t="s">
        <v>6704</v>
      </c>
      <c r="AF1134" s="56">
        <v>30.74</v>
      </c>
      <c r="AG1134" s="56" t="e">
        <f>VLOOKUP(A1134,Sheet1!$A$2:$C$1140,3,FALSE)</f>
        <v>#N/A</v>
      </c>
      <c r="AH1134" s="58" t="e">
        <v>#N/A</v>
      </c>
      <c r="AI1134" s="56" t="str">
        <f t="shared" si="191"/>
        <v>Delete</v>
      </c>
      <c r="AJ1134" s="81">
        <f t="shared" si="195"/>
        <v>0</v>
      </c>
      <c r="AK1134" s="81">
        <f t="shared" si="196"/>
        <v>0</v>
      </c>
      <c r="AL1134" s="58" t="s">
        <v>32</v>
      </c>
      <c r="AM1134" s="58" t="s">
        <v>6704</v>
      </c>
      <c r="AN1134" s="75">
        <v>0</v>
      </c>
      <c r="AO1134" s="88">
        <v>30.74</v>
      </c>
      <c r="AP1134" s="6" t="str">
        <f t="shared" si="192"/>
        <v>Same</v>
      </c>
      <c r="AQ1134" s="81">
        <f t="shared" si="193"/>
        <v>0</v>
      </c>
      <c r="AR1134" s="81">
        <f t="shared" si="194"/>
        <v>0</v>
      </c>
      <c r="AS1134" s="81">
        <f t="shared" si="197"/>
        <v>0</v>
      </c>
    </row>
    <row r="1135" spans="1:45" hidden="1" x14ac:dyDescent="0.3">
      <c r="A1135">
        <v>5091277</v>
      </c>
      <c r="B1135" s="15" t="s">
        <v>6471</v>
      </c>
      <c r="C1135" s="16" t="s">
        <v>30</v>
      </c>
      <c r="D1135" s="6" t="s">
        <v>31</v>
      </c>
      <c r="E1135" t="s">
        <v>590</v>
      </c>
      <c r="F1135" t="s">
        <v>590</v>
      </c>
      <c r="H1135" s="11" t="s">
        <v>27</v>
      </c>
      <c r="I1135" s="6" t="s">
        <v>28</v>
      </c>
      <c r="J1135" s="6" t="s">
        <v>28</v>
      </c>
      <c r="K1135" t="s">
        <v>32</v>
      </c>
      <c r="L1135" s="35">
        <v>15.27</v>
      </c>
      <c r="M1135" s="6" t="s">
        <v>29</v>
      </c>
      <c r="N1135" s="6">
        <v>3105</v>
      </c>
      <c r="P1135" s="18"/>
      <c r="Q1135" s="17"/>
      <c r="R1135" s="19">
        <v>15.27</v>
      </c>
      <c r="S1135" s="19">
        <v>15.27</v>
      </c>
      <c r="T1135" s="38">
        <v>0</v>
      </c>
      <c r="U1135" s="38"/>
      <c r="V1135" s="29">
        <v>15.27</v>
      </c>
      <c r="W1135" s="35">
        <v>15.27</v>
      </c>
      <c r="X1135" s="32">
        <f t="shared" si="187"/>
        <v>0</v>
      </c>
      <c r="Y1135" s="32">
        <f t="shared" si="188"/>
        <v>0</v>
      </c>
      <c r="Z1135" s="32">
        <f t="shared" si="189"/>
        <v>0</v>
      </c>
      <c r="AA1135" s="38" t="s">
        <v>2573</v>
      </c>
      <c r="AB1135" s="37" t="str">
        <f>IFERROR(VLOOKUP(A1135,'Tash Lookup'!A:E,3,FALSE),"")</f>
        <v/>
      </c>
      <c r="AC1135" s="6" t="str">
        <f t="shared" si="190"/>
        <v/>
      </c>
      <c r="AD1135" s="2" t="s">
        <v>6711</v>
      </c>
      <c r="AE1135" s="2" t="s">
        <v>6701</v>
      </c>
      <c r="AF1135" s="56">
        <v>15.27</v>
      </c>
      <c r="AG1135" s="56" t="e">
        <f>VLOOKUP(A1135,Sheet1!$A$2:$C$1140,3,FALSE)</f>
        <v>#N/A</v>
      </c>
      <c r="AH1135" s="58" t="e">
        <v>#N/A</v>
      </c>
      <c r="AI1135" s="56" t="str">
        <f t="shared" si="191"/>
        <v>Delete</v>
      </c>
      <c r="AJ1135" s="81">
        <f t="shared" si="195"/>
        <v>0</v>
      </c>
      <c r="AK1135" s="81">
        <f t="shared" si="196"/>
        <v>0</v>
      </c>
      <c r="AL1135" s="58" t="s">
        <v>32</v>
      </c>
      <c r="AM1135" s="58" t="s">
        <v>6711</v>
      </c>
      <c r="AN1135" s="75">
        <v>0</v>
      </c>
      <c r="AO1135" s="88">
        <v>15.27</v>
      </c>
      <c r="AP1135" s="6" t="str">
        <f t="shared" si="192"/>
        <v>Delete</v>
      </c>
      <c r="AQ1135" s="81">
        <f t="shared" si="193"/>
        <v>0</v>
      </c>
      <c r="AR1135" s="81">
        <f t="shared" si="194"/>
        <v>0</v>
      </c>
      <c r="AS1135" s="81">
        <f t="shared" si="197"/>
        <v>0</v>
      </c>
    </row>
    <row r="1136" spans="1:45" hidden="1" x14ac:dyDescent="0.3">
      <c r="A1136">
        <v>5091202</v>
      </c>
      <c r="B1136" s="15" t="s">
        <v>6472</v>
      </c>
      <c r="C1136" s="16" t="s">
        <v>30</v>
      </c>
      <c r="D1136" s="6" t="s">
        <v>31</v>
      </c>
      <c r="E1136" t="s">
        <v>591</v>
      </c>
      <c r="F1136" t="s">
        <v>591</v>
      </c>
      <c r="H1136" s="11" t="s">
        <v>27</v>
      </c>
      <c r="I1136" s="6" t="s">
        <v>28</v>
      </c>
      <c r="J1136" s="6" t="s">
        <v>28</v>
      </c>
      <c r="K1136" t="s">
        <v>32</v>
      </c>
      <c r="L1136" s="35">
        <v>13.01</v>
      </c>
      <c r="M1136" s="6" t="s">
        <v>29</v>
      </c>
      <c r="N1136" s="6">
        <v>3105</v>
      </c>
      <c r="P1136" s="18"/>
      <c r="Q1136" s="17"/>
      <c r="R1136" s="19">
        <v>13.01</v>
      </c>
      <c r="S1136" s="19">
        <v>13.01</v>
      </c>
      <c r="T1136" s="38">
        <v>0</v>
      </c>
      <c r="U1136" s="38"/>
      <c r="V1136" s="29">
        <v>13.01</v>
      </c>
      <c r="W1136" s="35">
        <v>13.01</v>
      </c>
      <c r="X1136" s="32">
        <f t="shared" si="187"/>
        <v>0</v>
      </c>
      <c r="Y1136" s="32">
        <f t="shared" si="188"/>
        <v>0</v>
      </c>
      <c r="Z1136" s="32">
        <f t="shared" si="189"/>
        <v>0</v>
      </c>
      <c r="AA1136" s="38" t="s">
        <v>2573</v>
      </c>
      <c r="AB1136" s="37" t="str">
        <f>IFERROR(VLOOKUP(A1136,'Tash Lookup'!A:E,3,FALSE),"")</f>
        <v/>
      </c>
      <c r="AC1136" s="6" t="str">
        <f t="shared" si="190"/>
        <v/>
      </c>
      <c r="AD1136" s="2" t="s">
        <v>6703</v>
      </c>
      <c r="AF1136" s="56">
        <v>15.65</v>
      </c>
      <c r="AG1136" s="56">
        <f>VLOOKUP(A1136,Sheet1!$A$2:$C$1140,3,FALSE)</f>
        <v>16.13</v>
      </c>
      <c r="AH1136" s="58">
        <v>16.13</v>
      </c>
      <c r="AI1136" s="56" t="str">
        <f t="shared" si="191"/>
        <v>Increase</v>
      </c>
      <c r="AJ1136" s="81">
        <f t="shared" si="195"/>
        <v>0</v>
      </c>
      <c r="AK1136" s="81">
        <f t="shared" si="196"/>
        <v>0</v>
      </c>
      <c r="AL1136" s="58" t="s">
        <v>32</v>
      </c>
      <c r="AM1136" s="58" t="s">
        <v>6703</v>
      </c>
      <c r="AN1136" s="75">
        <v>7</v>
      </c>
      <c r="AO1136" s="88">
        <v>16.13</v>
      </c>
      <c r="AP1136" s="6" t="str">
        <f t="shared" si="192"/>
        <v>Increase</v>
      </c>
      <c r="AQ1136" s="81">
        <f t="shared" si="193"/>
        <v>109.55</v>
      </c>
      <c r="AR1136" s="81">
        <f t="shared" si="194"/>
        <v>112.91</v>
      </c>
      <c r="AS1136" s="81">
        <f t="shared" si="197"/>
        <v>3.3599999999999994</v>
      </c>
    </row>
    <row r="1137" spans="1:45" hidden="1" x14ac:dyDescent="0.3">
      <c r="A1137">
        <v>5091675</v>
      </c>
      <c r="B1137" s="15" t="s">
        <v>6473</v>
      </c>
      <c r="C1137" s="16" t="s">
        <v>30</v>
      </c>
      <c r="D1137" s="6" t="s">
        <v>31</v>
      </c>
      <c r="E1137" t="s">
        <v>206</v>
      </c>
      <c r="F1137" t="s">
        <v>206</v>
      </c>
      <c r="H1137" s="11" t="s">
        <v>27</v>
      </c>
      <c r="I1137" s="6" t="s">
        <v>28</v>
      </c>
      <c r="J1137" s="6" t="s">
        <v>28</v>
      </c>
      <c r="K1137" t="s">
        <v>32</v>
      </c>
      <c r="L1137" s="35">
        <v>20.74</v>
      </c>
      <c r="M1137" s="6" t="s">
        <v>29</v>
      </c>
      <c r="N1137" s="6">
        <v>3105</v>
      </c>
      <c r="P1137" s="18"/>
      <c r="Q1137" s="17"/>
      <c r="R1137" s="19">
        <v>20.74</v>
      </c>
      <c r="S1137" s="19">
        <v>20.74</v>
      </c>
      <c r="T1137" s="38">
        <v>0</v>
      </c>
      <c r="U1137" s="38"/>
      <c r="V1137" s="29">
        <v>20.74</v>
      </c>
      <c r="W1137" s="35">
        <v>20.74</v>
      </c>
      <c r="X1137" s="32">
        <f t="shared" si="187"/>
        <v>0</v>
      </c>
      <c r="Y1137" s="32">
        <f t="shared" si="188"/>
        <v>0</v>
      </c>
      <c r="Z1137" s="32">
        <f t="shared" si="189"/>
        <v>0</v>
      </c>
      <c r="AA1137" s="38" t="s">
        <v>2573</v>
      </c>
      <c r="AB1137" s="37" t="str">
        <f>IFERROR(VLOOKUP(A1137,'Tash Lookup'!A:E,3,FALSE),"")</f>
        <v/>
      </c>
      <c r="AC1137" s="6" t="str">
        <f t="shared" si="190"/>
        <v/>
      </c>
      <c r="AD1137" s="2" t="s">
        <v>6703</v>
      </c>
      <c r="AF1137" s="56">
        <v>21.82</v>
      </c>
      <c r="AG1137" s="56">
        <f>VLOOKUP(A1137,Sheet1!$A$2:$C$1140,3,FALSE)</f>
        <v>21.82</v>
      </c>
      <c r="AH1137" s="58">
        <v>21.82</v>
      </c>
      <c r="AI1137" s="56" t="str">
        <f t="shared" si="191"/>
        <v>Same</v>
      </c>
      <c r="AJ1137" s="81">
        <f t="shared" si="195"/>
        <v>0</v>
      </c>
      <c r="AK1137" s="81">
        <f t="shared" si="196"/>
        <v>0</v>
      </c>
      <c r="AL1137" s="58" t="s">
        <v>32</v>
      </c>
      <c r="AM1137" s="58" t="s">
        <v>6703</v>
      </c>
      <c r="AN1137" s="75">
        <v>98</v>
      </c>
      <c r="AO1137" s="88">
        <v>21.82</v>
      </c>
      <c r="AP1137" s="6" t="str">
        <f t="shared" si="192"/>
        <v>Same</v>
      </c>
      <c r="AQ1137" s="81">
        <f t="shared" si="193"/>
        <v>2138.36</v>
      </c>
      <c r="AR1137" s="81">
        <f t="shared" si="194"/>
        <v>2138.36</v>
      </c>
      <c r="AS1137" s="81">
        <f t="shared" si="197"/>
        <v>0</v>
      </c>
    </row>
    <row r="1138" spans="1:45" hidden="1" x14ac:dyDescent="0.3">
      <c r="A1138">
        <v>5091682</v>
      </c>
      <c r="B1138" s="15" t="s">
        <v>6474</v>
      </c>
      <c r="C1138" s="16" t="s">
        <v>30</v>
      </c>
      <c r="D1138" s="6" t="s">
        <v>31</v>
      </c>
      <c r="E1138" t="s">
        <v>207</v>
      </c>
      <c r="F1138" t="s">
        <v>207</v>
      </c>
      <c r="H1138" s="11" t="s">
        <v>27</v>
      </c>
      <c r="I1138" s="6" t="s">
        <v>28</v>
      </c>
      <c r="J1138" s="6" t="s">
        <v>28</v>
      </c>
      <c r="K1138" t="s">
        <v>32</v>
      </c>
      <c r="L1138" s="35">
        <v>20.74</v>
      </c>
      <c r="M1138" s="6" t="s">
        <v>29</v>
      </c>
      <c r="N1138" s="6">
        <v>3105</v>
      </c>
      <c r="P1138" s="18"/>
      <c r="Q1138" s="17"/>
      <c r="R1138" s="19">
        <v>20.74</v>
      </c>
      <c r="S1138" s="19">
        <v>20.74</v>
      </c>
      <c r="T1138" s="38">
        <v>0</v>
      </c>
      <c r="U1138" s="38"/>
      <c r="V1138" s="29">
        <v>20.74</v>
      </c>
      <c r="W1138" s="35">
        <v>20.74</v>
      </c>
      <c r="X1138" s="32">
        <f t="shared" si="187"/>
        <v>0</v>
      </c>
      <c r="Y1138" s="32">
        <f t="shared" si="188"/>
        <v>0</v>
      </c>
      <c r="Z1138" s="32">
        <f t="shared" si="189"/>
        <v>0</v>
      </c>
      <c r="AA1138" s="38" t="s">
        <v>2573</v>
      </c>
      <c r="AB1138" s="37" t="str">
        <f>IFERROR(VLOOKUP(A1138,'Tash Lookup'!A:E,3,FALSE),"")</f>
        <v/>
      </c>
      <c r="AC1138" s="6" t="str">
        <f t="shared" si="190"/>
        <v/>
      </c>
      <c r="AD1138" s="2" t="s">
        <v>6703</v>
      </c>
      <c r="AF1138" s="56">
        <v>21.82</v>
      </c>
      <c r="AG1138" s="56">
        <f>VLOOKUP(A1138,Sheet1!$A$2:$C$1140,3,FALSE)</f>
        <v>21.82</v>
      </c>
      <c r="AH1138" s="58">
        <v>21.82</v>
      </c>
      <c r="AI1138" s="56" t="str">
        <f t="shared" si="191"/>
        <v>Same</v>
      </c>
      <c r="AJ1138" s="81">
        <f t="shared" si="195"/>
        <v>0</v>
      </c>
      <c r="AK1138" s="81">
        <f t="shared" si="196"/>
        <v>0</v>
      </c>
      <c r="AL1138" s="58" t="s">
        <v>32</v>
      </c>
      <c r="AM1138" s="58" t="s">
        <v>6703</v>
      </c>
      <c r="AN1138" s="75">
        <v>23</v>
      </c>
      <c r="AO1138" s="88">
        <v>21.82</v>
      </c>
      <c r="AP1138" s="6" t="str">
        <f t="shared" si="192"/>
        <v>Same</v>
      </c>
      <c r="AQ1138" s="81">
        <f t="shared" si="193"/>
        <v>501.86</v>
      </c>
      <c r="AR1138" s="81">
        <f t="shared" si="194"/>
        <v>501.86</v>
      </c>
      <c r="AS1138" s="81">
        <f t="shared" si="197"/>
        <v>0</v>
      </c>
    </row>
    <row r="1139" spans="1:45" hidden="1" x14ac:dyDescent="0.3">
      <c r="A1139">
        <v>5091532</v>
      </c>
      <c r="B1139" s="15" t="s">
        <v>6475</v>
      </c>
      <c r="C1139" s="16" t="s">
        <v>30</v>
      </c>
      <c r="D1139" s="6" t="s">
        <v>31</v>
      </c>
      <c r="E1139" t="s">
        <v>593</v>
      </c>
      <c r="F1139" t="s">
        <v>593</v>
      </c>
      <c r="H1139" s="11" t="s">
        <v>27</v>
      </c>
      <c r="I1139" s="6" t="s">
        <v>28</v>
      </c>
      <c r="J1139" s="6" t="s">
        <v>28</v>
      </c>
      <c r="K1139" t="s">
        <v>32</v>
      </c>
      <c r="L1139" s="35">
        <v>37.549999999999997</v>
      </c>
      <c r="M1139" s="6" t="s">
        <v>29</v>
      </c>
      <c r="N1139" s="6">
        <v>3105</v>
      </c>
      <c r="P1139" s="18"/>
      <c r="Q1139" s="17"/>
      <c r="R1139" s="19">
        <v>37.549999999999997</v>
      </c>
      <c r="S1139" s="19">
        <v>37.549999999999997</v>
      </c>
      <c r="T1139" s="38">
        <v>0</v>
      </c>
      <c r="U1139" s="38"/>
      <c r="V1139" s="29">
        <v>37.549999999999997</v>
      </c>
      <c r="W1139" s="35">
        <v>37.549999999999997</v>
      </c>
      <c r="X1139" s="32">
        <f t="shared" si="187"/>
        <v>0</v>
      </c>
      <c r="Y1139" s="32">
        <f t="shared" si="188"/>
        <v>0</v>
      </c>
      <c r="Z1139" s="32">
        <f t="shared" si="189"/>
        <v>0</v>
      </c>
      <c r="AA1139" s="38" t="s">
        <v>2573</v>
      </c>
      <c r="AB1139" s="37" t="str">
        <f>IFERROR(VLOOKUP(A1139,'Tash Lookup'!A:E,3,FALSE),"")</f>
        <v/>
      </c>
      <c r="AC1139" s="6" t="str">
        <f t="shared" si="190"/>
        <v/>
      </c>
      <c r="AD1139" s="2" t="s">
        <v>6703</v>
      </c>
      <c r="AF1139" s="56">
        <v>50</v>
      </c>
      <c r="AG1139" s="56">
        <f>VLOOKUP(A1139,Sheet1!$A$2:$C$1140,3,FALSE)</f>
        <v>51.5</v>
      </c>
      <c r="AH1139" s="58">
        <v>51.5</v>
      </c>
      <c r="AI1139" s="56" t="str">
        <f t="shared" si="191"/>
        <v>Increase</v>
      </c>
      <c r="AJ1139" s="81">
        <f t="shared" si="195"/>
        <v>0</v>
      </c>
      <c r="AK1139" s="81">
        <f t="shared" si="196"/>
        <v>0</v>
      </c>
      <c r="AL1139" s="58" t="s">
        <v>32</v>
      </c>
      <c r="AM1139" s="58" t="s">
        <v>6703</v>
      </c>
      <c r="AN1139" s="75">
        <v>0</v>
      </c>
      <c r="AO1139" s="88">
        <v>51.5</v>
      </c>
      <c r="AP1139" s="6" t="str">
        <f t="shared" si="192"/>
        <v>Increase</v>
      </c>
      <c r="AQ1139" s="81">
        <f t="shared" si="193"/>
        <v>0</v>
      </c>
      <c r="AR1139" s="81">
        <f t="shared" si="194"/>
        <v>0</v>
      </c>
      <c r="AS1139" s="81">
        <f t="shared" si="197"/>
        <v>0</v>
      </c>
    </row>
    <row r="1140" spans="1:45" hidden="1" x14ac:dyDescent="0.3">
      <c r="A1140">
        <v>5583703</v>
      </c>
      <c r="B1140" s="15" t="s">
        <v>6476</v>
      </c>
      <c r="C1140" s="16" t="s">
        <v>30</v>
      </c>
      <c r="D1140" s="6" t="s">
        <v>31</v>
      </c>
      <c r="E1140" t="s">
        <v>211</v>
      </c>
      <c r="F1140" t="s">
        <v>211</v>
      </c>
      <c r="H1140" s="11" t="s">
        <v>27</v>
      </c>
      <c r="I1140" s="6" t="s">
        <v>28</v>
      </c>
      <c r="J1140" s="6" t="s">
        <v>28</v>
      </c>
      <c r="K1140" t="s">
        <v>32</v>
      </c>
      <c r="L1140" s="35">
        <v>20.74</v>
      </c>
      <c r="M1140" s="6" t="s">
        <v>29</v>
      </c>
      <c r="N1140" s="6">
        <v>3105</v>
      </c>
      <c r="P1140" s="18"/>
      <c r="Q1140" s="17"/>
      <c r="R1140" s="19">
        <v>20.74</v>
      </c>
      <c r="S1140" s="19">
        <v>20.74</v>
      </c>
      <c r="T1140" s="38">
        <v>0</v>
      </c>
      <c r="U1140" s="38"/>
      <c r="V1140" s="29">
        <v>20.74</v>
      </c>
      <c r="W1140" s="35">
        <v>20.74</v>
      </c>
      <c r="X1140" s="32">
        <f t="shared" si="187"/>
        <v>0</v>
      </c>
      <c r="Y1140" s="32">
        <f t="shared" si="188"/>
        <v>0</v>
      </c>
      <c r="Z1140" s="32">
        <f t="shared" si="189"/>
        <v>0</v>
      </c>
      <c r="AA1140" s="38" t="s">
        <v>2573</v>
      </c>
      <c r="AB1140" s="37" t="str">
        <f>IFERROR(VLOOKUP(A1140,'Tash Lookup'!A:E,3,FALSE),"")</f>
        <v/>
      </c>
      <c r="AC1140" s="6" t="str">
        <f t="shared" si="190"/>
        <v/>
      </c>
      <c r="AD1140" s="2" t="s">
        <v>6703</v>
      </c>
      <c r="AF1140" s="56">
        <v>22.47</v>
      </c>
      <c r="AG1140" s="56">
        <f>VLOOKUP(A1140,Sheet1!$A$2:$C$1140,3,FALSE)</f>
        <v>22.47</v>
      </c>
      <c r="AH1140" s="58">
        <v>22.47</v>
      </c>
      <c r="AI1140" s="56" t="str">
        <f t="shared" si="191"/>
        <v>Same</v>
      </c>
      <c r="AJ1140" s="81">
        <f t="shared" si="195"/>
        <v>0</v>
      </c>
      <c r="AK1140" s="81">
        <f t="shared" si="196"/>
        <v>0</v>
      </c>
      <c r="AL1140" s="58" t="s">
        <v>32</v>
      </c>
      <c r="AM1140" s="58" t="s">
        <v>6703</v>
      </c>
      <c r="AN1140" s="75">
        <v>10</v>
      </c>
      <c r="AO1140" s="88">
        <v>22.47</v>
      </c>
      <c r="AP1140" s="6" t="str">
        <f t="shared" si="192"/>
        <v>Same</v>
      </c>
      <c r="AQ1140" s="81">
        <f t="shared" si="193"/>
        <v>224.7</v>
      </c>
      <c r="AR1140" s="81">
        <f t="shared" si="194"/>
        <v>224.7</v>
      </c>
      <c r="AS1140" s="81">
        <f t="shared" si="197"/>
        <v>0</v>
      </c>
    </row>
    <row r="1141" spans="1:45" hidden="1" x14ac:dyDescent="0.3">
      <c r="A1141">
        <v>5091676</v>
      </c>
      <c r="B1141" s="15" t="s">
        <v>6477</v>
      </c>
      <c r="C1141" s="16" t="s">
        <v>30</v>
      </c>
      <c r="D1141" s="6" t="s">
        <v>31</v>
      </c>
      <c r="E1141" t="s">
        <v>212</v>
      </c>
      <c r="F1141" t="s">
        <v>212</v>
      </c>
      <c r="H1141" s="11" t="s">
        <v>27</v>
      </c>
      <c r="I1141" s="6" t="s">
        <v>28</v>
      </c>
      <c r="J1141" s="6" t="s">
        <v>28</v>
      </c>
      <c r="K1141" t="s">
        <v>32</v>
      </c>
      <c r="L1141" s="35">
        <v>19.12</v>
      </c>
      <c r="M1141" s="6" t="s">
        <v>29</v>
      </c>
      <c r="N1141" s="6">
        <v>3105</v>
      </c>
      <c r="P1141" s="18"/>
      <c r="Q1141" s="17"/>
      <c r="R1141" s="19">
        <v>19.12</v>
      </c>
      <c r="S1141" s="19">
        <v>19.12</v>
      </c>
      <c r="T1141" s="38">
        <v>0</v>
      </c>
      <c r="U1141" s="38"/>
      <c r="V1141" s="29">
        <v>19.12</v>
      </c>
      <c r="W1141" s="35">
        <v>19.12</v>
      </c>
      <c r="X1141" s="32">
        <f t="shared" si="187"/>
        <v>0</v>
      </c>
      <c r="Y1141" s="32">
        <f t="shared" si="188"/>
        <v>0</v>
      </c>
      <c r="Z1141" s="32">
        <f t="shared" si="189"/>
        <v>0</v>
      </c>
      <c r="AA1141" s="38" t="s">
        <v>2573</v>
      </c>
      <c r="AB1141" s="37" t="str">
        <f>IFERROR(VLOOKUP(A1141,'Tash Lookup'!A:E,3,FALSE),"")</f>
        <v/>
      </c>
      <c r="AC1141" s="6" t="str">
        <f t="shared" si="190"/>
        <v/>
      </c>
      <c r="AD1141" s="2" t="s">
        <v>6711</v>
      </c>
      <c r="AE1141" s="2" t="s">
        <v>6701</v>
      </c>
      <c r="AF1141" s="56">
        <v>19.12</v>
      </c>
      <c r="AG1141" s="56" t="e">
        <f>VLOOKUP(A1141,Sheet1!$A$2:$C$1140,3,FALSE)</f>
        <v>#N/A</v>
      </c>
      <c r="AH1141" s="58" t="e">
        <v>#N/A</v>
      </c>
      <c r="AI1141" s="56" t="str">
        <f t="shared" si="191"/>
        <v>Delete</v>
      </c>
      <c r="AJ1141" s="81">
        <f t="shared" si="195"/>
        <v>0</v>
      </c>
      <c r="AK1141" s="81">
        <f t="shared" si="196"/>
        <v>0</v>
      </c>
      <c r="AL1141" s="58" t="s">
        <v>32</v>
      </c>
      <c r="AM1141" s="58" t="s">
        <v>6711</v>
      </c>
      <c r="AN1141" s="75">
        <v>6</v>
      </c>
      <c r="AO1141" s="88">
        <v>19.12</v>
      </c>
      <c r="AP1141" s="6" t="str">
        <f t="shared" si="192"/>
        <v>Delete</v>
      </c>
      <c r="AQ1141" s="81">
        <f t="shared" si="193"/>
        <v>114.72</v>
      </c>
      <c r="AR1141" s="81">
        <f t="shared" si="194"/>
        <v>114.72</v>
      </c>
      <c r="AS1141" s="81">
        <f t="shared" si="197"/>
        <v>0</v>
      </c>
    </row>
    <row r="1142" spans="1:45" hidden="1" x14ac:dyDescent="0.3">
      <c r="A1142">
        <v>5082193</v>
      </c>
      <c r="B1142" s="15" t="s">
        <v>6478</v>
      </c>
      <c r="C1142" s="16" t="s">
        <v>30</v>
      </c>
      <c r="D1142" s="6" t="s">
        <v>31</v>
      </c>
      <c r="E1142" t="s">
        <v>218</v>
      </c>
      <c r="F1142" t="s">
        <v>218</v>
      </c>
      <c r="H1142" s="11" t="s">
        <v>27</v>
      </c>
      <c r="I1142" s="6" t="s">
        <v>28</v>
      </c>
      <c r="J1142" s="6" t="s">
        <v>28</v>
      </c>
      <c r="K1142" t="s">
        <v>32</v>
      </c>
      <c r="L1142" s="35">
        <v>23.38</v>
      </c>
      <c r="M1142" s="6" t="s">
        <v>29</v>
      </c>
      <c r="N1142" s="6">
        <v>3105</v>
      </c>
      <c r="P1142" s="18"/>
      <c r="Q1142" s="17"/>
      <c r="R1142" s="19">
        <v>23.38</v>
      </c>
      <c r="S1142" s="19">
        <v>23.38</v>
      </c>
      <c r="T1142" s="38">
        <v>0</v>
      </c>
      <c r="U1142" s="38"/>
      <c r="V1142" s="29">
        <v>23.38</v>
      </c>
      <c r="W1142" s="35">
        <v>23.38</v>
      </c>
      <c r="X1142" s="32">
        <f t="shared" si="187"/>
        <v>0</v>
      </c>
      <c r="Y1142" s="32">
        <f t="shared" si="188"/>
        <v>0</v>
      </c>
      <c r="Z1142" s="32">
        <f t="shared" si="189"/>
        <v>0</v>
      </c>
      <c r="AA1142" s="38" t="s">
        <v>2573</v>
      </c>
      <c r="AB1142" s="37" t="str">
        <f>IFERROR(VLOOKUP(A1142,'Tash Lookup'!A:E,3,FALSE),"")</f>
        <v/>
      </c>
      <c r="AC1142" s="6" t="str">
        <f t="shared" si="190"/>
        <v/>
      </c>
      <c r="AD1142" s="2" t="s">
        <v>6708</v>
      </c>
      <c r="AF1142" s="56">
        <v>23.38</v>
      </c>
      <c r="AG1142" s="56" t="e">
        <f>VLOOKUP(A1142,Sheet1!$A$2:$C$1140,3,FALSE)</f>
        <v>#N/A</v>
      </c>
      <c r="AH1142" s="58" t="e">
        <v>#N/A</v>
      </c>
      <c r="AI1142" s="56" t="str">
        <f t="shared" si="191"/>
        <v>Delete</v>
      </c>
      <c r="AJ1142" s="81">
        <f t="shared" si="195"/>
        <v>0</v>
      </c>
      <c r="AK1142" s="81">
        <f t="shared" si="196"/>
        <v>0</v>
      </c>
      <c r="AL1142" s="58" t="s">
        <v>32</v>
      </c>
      <c r="AM1142" s="58" t="s">
        <v>6708</v>
      </c>
      <c r="AN1142" s="75">
        <v>1</v>
      </c>
      <c r="AO1142" s="88">
        <v>23.38</v>
      </c>
      <c r="AP1142" s="6" t="str">
        <f t="shared" si="192"/>
        <v>Same</v>
      </c>
      <c r="AQ1142" s="81">
        <f t="shared" si="193"/>
        <v>23.38</v>
      </c>
      <c r="AR1142" s="81">
        <f t="shared" si="194"/>
        <v>23.38</v>
      </c>
      <c r="AS1142" s="81">
        <f t="shared" si="197"/>
        <v>0</v>
      </c>
    </row>
    <row r="1143" spans="1:45" hidden="1" x14ac:dyDescent="0.3">
      <c r="A1143">
        <v>5116367</v>
      </c>
      <c r="B1143" s="15" t="s">
        <v>6479</v>
      </c>
      <c r="C1143" s="16" t="s">
        <v>30</v>
      </c>
      <c r="D1143" s="6" t="s">
        <v>31</v>
      </c>
      <c r="E1143" t="s">
        <v>594</v>
      </c>
      <c r="F1143" t="s">
        <v>594</v>
      </c>
      <c r="H1143" s="11" t="s">
        <v>27</v>
      </c>
      <c r="I1143" s="6" t="s">
        <v>28</v>
      </c>
      <c r="J1143" s="6" t="s">
        <v>28</v>
      </c>
      <c r="K1143" t="s">
        <v>32</v>
      </c>
      <c r="L1143" s="35">
        <v>16.309999999999999</v>
      </c>
      <c r="M1143" s="6" t="s">
        <v>29</v>
      </c>
      <c r="N1143" s="6">
        <v>3105</v>
      </c>
      <c r="P1143" s="18"/>
      <c r="Q1143" s="17"/>
      <c r="R1143" s="19">
        <v>16.309999999999999</v>
      </c>
      <c r="S1143" s="19">
        <v>16.309999999999999</v>
      </c>
      <c r="T1143" s="38">
        <v>0</v>
      </c>
      <c r="U1143" s="38"/>
      <c r="V1143" s="31">
        <v>16.309999999999999</v>
      </c>
      <c r="W1143" s="35">
        <v>16.309999999999999</v>
      </c>
      <c r="X1143" s="32">
        <f t="shared" si="187"/>
        <v>0</v>
      </c>
      <c r="Y1143" s="32">
        <f t="shared" si="188"/>
        <v>0</v>
      </c>
      <c r="Z1143" s="32">
        <f t="shared" si="189"/>
        <v>0</v>
      </c>
      <c r="AA1143" s="38" t="s">
        <v>2573</v>
      </c>
      <c r="AB1143" s="37" t="str">
        <f>IFERROR(VLOOKUP(A1143,'Tash Lookup'!A:E,3,FALSE),"")</f>
        <v/>
      </c>
      <c r="AC1143" s="6" t="str">
        <f t="shared" si="190"/>
        <v/>
      </c>
      <c r="AD1143" s="2" t="s">
        <v>6707</v>
      </c>
      <c r="AF1143" s="56">
        <v>16.309999999999999</v>
      </c>
      <c r="AG1143" s="56" t="e">
        <f>VLOOKUP(A1143,Sheet1!$A$2:$C$1140,3,FALSE)</f>
        <v>#N/A</v>
      </c>
      <c r="AH1143" s="58" t="e">
        <v>#N/A</v>
      </c>
      <c r="AI1143" s="56" t="str">
        <f t="shared" si="191"/>
        <v>Delete</v>
      </c>
      <c r="AJ1143" s="81">
        <f t="shared" si="195"/>
        <v>0</v>
      </c>
      <c r="AK1143" s="81">
        <f t="shared" si="196"/>
        <v>0</v>
      </c>
      <c r="AL1143" s="58" t="s">
        <v>32</v>
      </c>
      <c r="AM1143" s="58" t="s">
        <v>6709</v>
      </c>
      <c r="AN1143" s="75">
        <v>0</v>
      </c>
      <c r="AO1143" s="88">
        <v>16.309999999999999</v>
      </c>
      <c r="AP1143" s="6" t="str">
        <f t="shared" si="192"/>
        <v>Same</v>
      </c>
      <c r="AQ1143" s="81">
        <f t="shared" si="193"/>
        <v>0</v>
      </c>
      <c r="AR1143" s="81">
        <f t="shared" si="194"/>
        <v>0</v>
      </c>
      <c r="AS1143" s="81">
        <f t="shared" si="197"/>
        <v>0</v>
      </c>
    </row>
    <row r="1144" spans="1:45" hidden="1" x14ac:dyDescent="0.3">
      <c r="A1144">
        <v>5116369</v>
      </c>
      <c r="B1144" s="15" t="s">
        <v>6480</v>
      </c>
      <c r="C1144" s="16" t="s">
        <v>30</v>
      </c>
      <c r="D1144" s="6" t="s">
        <v>31</v>
      </c>
      <c r="E1144" t="s">
        <v>595</v>
      </c>
      <c r="F1144" t="s">
        <v>595</v>
      </c>
      <c r="H1144" s="11" t="s">
        <v>27</v>
      </c>
      <c r="I1144" s="6" t="s">
        <v>28</v>
      </c>
      <c r="J1144" s="6" t="s">
        <v>28</v>
      </c>
      <c r="K1144" t="s">
        <v>32</v>
      </c>
      <c r="L1144" s="35">
        <v>31.17</v>
      </c>
      <c r="M1144" s="6" t="s">
        <v>29</v>
      </c>
      <c r="N1144" s="6">
        <v>3105</v>
      </c>
      <c r="P1144" s="18"/>
      <c r="Q1144" s="17"/>
      <c r="R1144" s="19">
        <v>31.17</v>
      </c>
      <c r="S1144" s="19">
        <v>31.17</v>
      </c>
      <c r="T1144" s="38">
        <v>0</v>
      </c>
      <c r="U1144" s="38"/>
      <c r="V1144" s="31">
        <v>31.17</v>
      </c>
      <c r="W1144" s="35">
        <v>31.17</v>
      </c>
      <c r="X1144" s="32">
        <f t="shared" si="187"/>
        <v>0</v>
      </c>
      <c r="Y1144" s="32">
        <f t="shared" si="188"/>
        <v>0</v>
      </c>
      <c r="Z1144" s="32">
        <f t="shared" si="189"/>
        <v>0</v>
      </c>
      <c r="AA1144" s="38" t="s">
        <v>2573</v>
      </c>
      <c r="AB1144" s="37" t="str">
        <f>IFERROR(VLOOKUP(A1144,'Tash Lookup'!A:E,3,FALSE),"")</f>
        <v/>
      </c>
      <c r="AC1144" s="6" t="str">
        <f t="shared" si="190"/>
        <v/>
      </c>
      <c r="AD1144" s="2" t="s">
        <v>6707</v>
      </c>
      <c r="AF1144" s="56">
        <v>31.17</v>
      </c>
      <c r="AG1144" s="56" t="e">
        <f>VLOOKUP(A1144,Sheet1!$A$2:$C$1140,3,FALSE)</f>
        <v>#N/A</v>
      </c>
      <c r="AH1144" s="58" t="e">
        <v>#N/A</v>
      </c>
      <c r="AI1144" s="56" t="str">
        <f t="shared" si="191"/>
        <v>Delete</v>
      </c>
      <c r="AJ1144" s="81">
        <f t="shared" si="195"/>
        <v>0</v>
      </c>
      <c r="AK1144" s="81">
        <f t="shared" si="196"/>
        <v>0</v>
      </c>
      <c r="AL1144" s="58" t="s">
        <v>32</v>
      </c>
      <c r="AM1144" s="58" t="s">
        <v>6709</v>
      </c>
      <c r="AN1144" s="75">
        <v>0</v>
      </c>
      <c r="AO1144" s="88">
        <v>31.17</v>
      </c>
      <c r="AP1144" s="6" t="str">
        <f t="shared" si="192"/>
        <v>Same</v>
      </c>
      <c r="AQ1144" s="81">
        <f t="shared" si="193"/>
        <v>0</v>
      </c>
      <c r="AR1144" s="81">
        <f t="shared" si="194"/>
        <v>0</v>
      </c>
      <c r="AS1144" s="81">
        <f t="shared" si="197"/>
        <v>0</v>
      </c>
    </row>
    <row r="1145" spans="1:45" hidden="1" x14ac:dyDescent="0.3">
      <c r="A1145">
        <v>5180586</v>
      </c>
      <c r="B1145" s="15" t="s">
        <v>6481</v>
      </c>
      <c r="C1145" s="16" t="s">
        <v>30</v>
      </c>
      <c r="D1145" s="6" t="s">
        <v>31</v>
      </c>
      <c r="E1145" t="s">
        <v>602</v>
      </c>
      <c r="F1145" t="s">
        <v>602</v>
      </c>
      <c r="H1145" s="11" t="s">
        <v>27</v>
      </c>
      <c r="I1145" s="6" t="s">
        <v>28</v>
      </c>
      <c r="J1145" s="6" t="s">
        <v>28</v>
      </c>
      <c r="K1145" t="s">
        <v>32</v>
      </c>
      <c r="L1145" s="35">
        <v>16.29</v>
      </c>
      <c r="M1145" s="6" t="s">
        <v>29</v>
      </c>
      <c r="N1145" s="6">
        <v>3105</v>
      </c>
      <c r="P1145" s="18"/>
      <c r="Q1145" s="17"/>
      <c r="R1145" s="19">
        <v>16.29</v>
      </c>
      <c r="S1145" s="19">
        <v>16.29</v>
      </c>
      <c r="T1145" s="38">
        <v>0</v>
      </c>
      <c r="U1145" s="38"/>
      <c r="V1145" s="29">
        <v>16.29</v>
      </c>
      <c r="W1145" s="35">
        <v>16.29</v>
      </c>
      <c r="X1145" s="32">
        <f t="shared" si="187"/>
        <v>0</v>
      </c>
      <c r="Y1145" s="32">
        <f t="shared" si="188"/>
        <v>0</v>
      </c>
      <c r="Z1145" s="32">
        <f t="shared" si="189"/>
        <v>0</v>
      </c>
      <c r="AA1145" s="38" t="s">
        <v>2573</v>
      </c>
      <c r="AB1145" s="37" t="str">
        <f>IFERROR(VLOOKUP(A1145,'Tash Lookup'!A:E,3,FALSE),"")</f>
        <v/>
      </c>
      <c r="AC1145" s="6" t="str">
        <f t="shared" si="190"/>
        <v/>
      </c>
      <c r="AD1145" s="2" t="s">
        <v>6703</v>
      </c>
      <c r="AF1145" s="56">
        <v>15.17</v>
      </c>
      <c r="AG1145" s="56">
        <f>VLOOKUP(A1145,Sheet1!$A$2:$C$1140,3,FALSE)</f>
        <v>15.63</v>
      </c>
      <c r="AH1145" s="58">
        <v>15.63</v>
      </c>
      <c r="AI1145" s="56" t="str">
        <f t="shared" si="191"/>
        <v>Increase</v>
      </c>
      <c r="AJ1145" s="81">
        <f t="shared" si="195"/>
        <v>0</v>
      </c>
      <c r="AK1145" s="81">
        <f t="shared" si="196"/>
        <v>0</v>
      </c>
      <c r="AL1145" s="58" t="s">
        <v>32</v>
      </c>
      <c r="AM1145" s="58" t="s">
        <v>6703</v>
      </c>
      <c r="AN1145" s="75">
        <v>0</v>
      </c>
      <c r="AO1145" s="88">
        <v>15.63</v>
      </c>
      <c r="AP1145" s="6" t="str">
        <f t="shared" si="192"/>
        <v>Increase</v>
      </c>
      <c r="AQ1145" s="81">
        <f t="shared" si="193"/>
        <v>0</v>
      </c>
      <c r="AR1145" s="81">
        <f t="shared" si="194"/>
        <v>0</v>
      </c>
      <c r="AS1145" s="81">
        <f t="shared" si="197"/>
        <v>0</v>
      </c>
    </row>
    <row r="1146" spans="1:45" hidden="1" x14ac:dyDescent="0.3">
      <c r="A1146">
        <v>5183357</v>
      </c>
      <c r="B1146" s="15" t="s">
        <v>6482</v>
      </c>
      <c r="C1146" s="16" t="s">
        <v>30</v>
      </c>
      <c r="D1146" s="6" t="s">
        <v>31</v>
      </c>
      <c r="E1146" t="s">
        <v>605</v>
      </c>
      <c r="F1146" t="s">
        <v>605</v>
      </c>
      <c r="H1146" s="11" t="s">
        <v>27</v>
      </c>
      <c r="I1146" s="6" t="s">
        <v>28</v>
      </c>
      <c r="J1146" s="6" t="s">
        <v>28</v>
      </c>
      <c r="K1146" t="s">
        <v>32</v>
      </c>
      <c r="L1146" s="35">
        <v>14.66</v>
      </c>
      <c r="M1146" s="6" t="s">
        <v>29</v>
      </c>
      <c r="N1146" s="6">
        <v>3105</v>
      </c>
      <c r="P1146" s="18"/>
      <c r="Q1146" s="17"/>
      <c r="R1146" s="19">
        <v>14.66</v>
      </c>
      <c r="S1146" s="19">
        <v>14.66</v>
      </c>
      <c r="T1146" s="38">
        <v>0</v>
      </c>
      <c r="U1146" s="38"/>
      <c r="V1146" s="29">
        <v>14.66</v>
      </c>
      <c r="W1146" s="35">
        <v>14.66</v>
      </c>
      <c r="X1146" s="32">
        <f t="shared" si="187"/>
        <v>0</v>
      </c>
      <c r="Y1146" s="32">
        <f t="shared" si="188"/>
        <v>0</v>
      </c>
      <c r="Z1146" s="32">
        <f t="shared" si="189"/>
        <v>0</v>
      </c>
      <c r="AA1146" s="38" t="s">
        <v>2573</v>
      </c>
      <c r="AB1146" s="37" t="str">
        <f>IFERROR(VLOOKUP(A1146,'Tash Lookup'!A:E,3,FALSE),"")</f>
        <v/>
      </c>
      <c r="AC1146" s="6" t="str">
        <f t="shared" si="190"/>
        <v/>
      </c>
      <c r="AD1146" s="2" t="s">
        <v>6703</v>
      </c>
      <c r="AF1146" s="56">
        <v>15.17</v>
      </c>
      <c r="AG1146" s="56">
        <f>VLOOKUP(A1146,Sheet1!$A$2:$C$1140,3,FALSE)</f>
        <v>15.63</v>
      </c>
      <c r="AH1146" s="58">
        <v>15.63</v>
      </c>
      <c r="AI1146" s="56" t="str">
        <f t="shared" si="191"/>
        <v>Increase</v>
      </c>
      <c r="AJ1146" s="81">
        <f t="shared" si="195"/>
        <v>0</v>
      </c>
      <c r="AK1146" s="81">
        <f t="shared" si="196"/>
        <v>0</v>
      </c>
      <c r="AL1146" s="58" t="s">
        <v>32</v>
      </c>
      <c r="AM1146" s="58" t="s">
        <v>6703</v>
      </c>
      <c r="AN1146" s="75">
        <v>0</v>
      </c>
      <c r="AO1146" s="88">
        <v>15.63</v>
      </c>
      <c r="AP1146" s="6" t="str">
        <f t="shared" si="192"/>
        <v>Increase</v>
      </c>
      <c r="AQ1146" s="81">
        <f t="shared" si="193"/>
        <v>0</v>
      </c>
      <c r="AR1146" s="81">
        <f t="shared" si="194"/>
        <v>0</v>
      </c>
      <c r="AS1146" s="81">
        <f t="shared" si="197"/>
        <v>0</v>
      </c>
    </row>
    <row r="1147" spans="1:45" hidden="1" x14ac:dyDescent="0.3">
      <c r="A1147">
        <v>5183422</v>
      </c>
      <c r="B1147" s="15" t="s">
        <v>6483</v>
      </c>
      <c r="C1147" s="16" t="s">
        <v>30</v>
      </c>
      <c r="D1147" s="6" t="s">
        <v>31</v>
      </c>
      <c r="E1147" t="s">
        <v>606</v>
      </c>
      <c r="F1147" t="s">
        <v>606</v>
      </c>
      <c r="H1147" s="11" t="s">
        <v>27</v>
      </c>
      <c r="I1147" s="6" t="s">
        <v>28</v>
      </c>
      <c r="J1147" s="6" t="s">
        <v>28</v>
      </c>
      <c r="K1147" t="s">
        <v>32</v>
      </c>
      <c r="L1147" s="35">
        <v>35.4</v>
      </c>
      <c r="M1147" s="6" t="s">
        <v>29</v>
      </c>
      <c r="N1147" s="6">
        <v>3105</v>
      </c>
      <c r="P1147" s="18"/>
      <c r="Q1147" s="17"/>
      <c r="R1147" s="19">
        <v>35.4</v>
      </c>
      <c r="S1147" s="19">
        <v>35.4</v>
      </c>
      <c r="T1147" s="38">
        <v>0</v>
      </c>
      <c r="U1147" s="38"/>
      <c r="V1147" s="29">
        <v>35.4</v>
      </c>
      <c r="W1147" s="35">
        <v>35.4</v>
      </c>
      <c r="X1147" s="32">
        <f t="shared" si="187"/>
        <v>0</v>
      </c>
      <c r="Y1147" s="32">
        <f t="shared" si="188"/>
        <v>0</v>
      </c>
      <c r="Z1147" s="32">
        <f t="shared" si="189"/>
        <v>0</v>
      </c>
      <c r="AA1147" s="38" t="s">
        <v>2573</v>
      </c>
      <c r="AB1147" s="37" t="str">
        <f>IFERROR(VLOOKUP(A1147,'Tash Lookup'!A:E,3,FALSE),"")</f>
        <v/>
      </c>
      <c r="AC1147" s="6" t="str">
        <f t="shared" si="190"/>
        <v/>
      </c>
      <c r="AD1147" s="2" t="s">
        <v>6703</v>
      </c>
      <c r="AF1147" s="56">
        <v>34.880000000000003</v>
      </c>
      <c r="AG1147" s="56">
        <f>VLOOKUP(A1147,Sheet1!$A$2:$C$1140,3,FALSE)</f>
        <v>35.92</v>
      </c>
      <c r="AH1147" s="58">
        <v>35.92</v>
      </c>
      <c r="AI1147" s="56" t="str">
        <f t="shared" si="191"/>
        <v>Increase</v>
      </c>
      <c r="AJ1147" s="81">
        <f t="shared" si="195"/>
        <v>0</v>
      </c>
      <c r="AK1147" s="81">
        <f t="shared" si="196"/>
        <v>0</v>
      </c>
      <c r="AL1147" s="58" t="s">
        <v>32</v>
      </c>
      <c r="AM1147" s="58" t="s">
        <v>6703</v>
      </c>
      <c r="AN1147" s="75">
        <v>0</v>
      </c>
      <c r="AO1147" s="88">
        <v>35.92</v>
      </c>
      <c r="AP1147" s="6" t="str">
        <f t="shared" si="192"/>
        <v>Increase</v>
      </c>
      <c r="AQ1147" s="81">
        <f t="shared" si="193"/>
        <v>0</v>
      </c>
      <c r="AR1147" s="81">
        <f t="shared" si="194"/>
        <v>0</v>
      </c>
      <c r="AS1147" s="81">
        <f t="shared" si="197"/>
        <v>0</v>
      </c>
    </row>
    <row r="1148" spans="1:45" hidden="1" x14ac:dyDescent="0.3">
      <c r="A1148">
        <v>5183421</v>
      </c>
      <c r="B1148" s="15" t="s">
        <v>6484</v>
      </c>
      <c r="C1148" s="16" t="s">
        <v>30</v>
      </c>
      <c r="D1148" s="6" t="s">
        <v>31</v>
      </c>
      <c r="E1148" t="s">
        <v>620</v>
      </c>
      <c r="F1148" t="s">
        <v>620</v>
      </c>
      <c r="H1148" s="11" t="s">
        <v>27</v>
      </c>
      <c r="I1148" s="6" t="s">
        <v>28</v>
      </c>
      <c r="J1148" s="6" t="s">
        <v>28</v>
      </c>
      <c r="K1148" t="s">
        <v>32</v>
      </c>
      <c r="L1148" s="35">
        <v>14.66</v>
      </c>
      <c r="M1148" s="6" t="s">
        <v>29</v>
      </c>
      <c r="N1148" s="6">
        <v>3105</v>
      </c>
      <c r="P1148" s="18"/>
      <c r="Q1148" s="17"/>
      <c r="R1148" s="19">
        <v>14.66</v>
      </c>
      <c r="S1148" s="19">
        <v>14.66</v>
      </c>
      <c r="T1148" s="38">
        <v>0</v>
      </c>
      <c r="U1148" s="38"/>
      <c r="V1148" s="29">
        <v>14.66</v>
      </c>
      <c r="W1148" s="35">
        <v>14.66</v>
      </c>
      <c r="X1148" s="32">
        <f t="shared" si="187"/>
        <v>0</v>
      </c>
      <c r="Y1148" s="32">
        <f t="shared" si="188"/>
        <v>0</v>
      </c>
      <c r="Z1148" s="32">
        <f t="shared" si="189"/>
        <v>0</v>
      </c>
      <c r="AA1148" s="38" t="s">
        <v>2573</v>
      </c>
      <c r="AB1148" s="37" t="str">
        <f>IFERROR(VLOOKUP(A1148,'Tash Lookup'!A:E,3,FALSE),"")</f>
        <v/>
      </c>
      <c r="AC1148" s="6" t="str">
        <f t="shared" si="190"/>
        <v/>
      </c>
      <c r="AD1148" s="2" t="s">
        <v>6703</v>
      </c>
      <c r="AF1148" s="56">
        <v>14.72</v>
      </c>
      <c r="AG1148" s="56">
        <f>VLOOKUP(A1148,Sheet1!$A$2:$C$1140,3,FALSE)</f>
        <v>15.16</v>
      </c>
      <c r="AH1148" s="58">
        <v>15.16</v>
      </c>
      <c r="AI1148" s="56" t="str">
        <f t="shared" si="191"/>
        <v>Increase</v>
      </c>
      <c r="AJ1148" s="81">
        <f t="shared" si="195"/>
        <v>0</v>
      </c>
      <c r="AK1148" s="81">
        <f t="shared" si="196"/>
        <v>0</v>
      </c>
      <c r="AL1148" s="58" t="s">
        <v>32</v>
      </c>
      <c r="AM1148" s="58" t="s">
        <v>6703</v>
      </c>
      <c r="AN1148" s="75">
        <v>2</v>
      </c>
      <c r="AO1148" s="88">
        <v>15.16</v>
      </c>
      <c r="AP1148" s="6" t="str">
        <f t="shared" si="192"/>
        <v>Increase</v>
      </c>
      <c r="AQ1148" s="81">
        <f t="shared" si="193"/>
        <v>29.44</v>
      </c>
      <c r="AR1148" s="81">
        <f t="shared" si="194"/>
        <v>30.32</v>
      </c>
      <c r="AS1148" s="81">
        <f t="shared" si="197"/>
        <v>0.87999999999999901</v>
      </c>
    </row>
    <row r="1149" spans="1:45" hidden="1" x14ac:dyDescent="0.3">
      <c r="A1149">
        <v>5223353</v>
      </c>
      <c r="B1149" s="15" t="s">
        <v>6485</v>
      </c>
      <c r="C1149" s="16" t="s">
        <v>30</v>
      </c>
      <c r="D1149" s="6" t="s">
        <v>31</v>
      </c>
      <c r="E1149" t="s">
        <v>911</v>
      </c>
      <c r="F1149" t="s">
        <v>911</v>
      </c>
      <c r="H1149" s="11" t="s">
        <v>27</v>
      </c>
      <c r="I1149" s="6" t="s">
        <v>28</v>
      </c>
      <c r="J1149" s="6" t="s">
        <v>28</v>
      </c>
      <c r="K1149" t="s">
        <v>32</v>
      </c>
      <c r="L1149" s="35">
        <v>1.7</v>
      </c>
      <c r="M1149" s="6" t="s">
        <v>29</v>
      </c>
      <c r="N1149" s="6">
        <v>3105</v>
      </c>
      <c r="P1149" s="18"/>
      <c r="Q1149" s="17"/>
      <c r="R1149" s="19">
        <v>1.7</v>
      </c>
      <c r="S1149" s="19">
        <v>1.7</v>
      </c>
      <c r="T1149" s="38">
        <v>0</v>
      </c>
      <c r="U1149" s="38"/>
      <c r="V1149" s="29">
        <v>1.7</v>
      </c>
      <c r="W1149" s="35">
        <v>1.7</v>
      </c>
      <c r="X1149" s="32">
        <f t="shared" si="187"/>
        <v>0</v>
      </c>
      <c r="Y1149" s="32">
        <f t="shared" si="188"/>
        <v>0</v>
      </c>
      <c r="Z1149" s="32">
        <f t="shared" si="189"/>
        <v>0</v>
      </c>
      <c r="AA1149" s="38" t="s">
        <v>2573</v>
      </c>
      <c r="AB1149" s="37" t="str">
        <f>IFERROR(VLOOKUP(A1149,'Tash Lookup'!A:E,3,FALSE),"")</f>
        <v/>
      </c>
      <c r="AC1149" s="6" t="str">
        <f t="shared" si="190"/>
        <v/>
      </c>
      <c r="AD1149" s="2" t="s">
        <v>6703</v>
      </c>
      <c r="AF1149" s="56">
        <v>1.75</v>
      </c>
      <c r="AG1149" s="56">
        <f>VLOOKUP(A1149,Sheet1!$A$2:$C$1140,3,FALSE)</f>
        <v>1.79</v>
      </c>
      <c r="AH1149" s="58">
        <v>1.79</v>
      </c>
      <c r="AI1149" s="56" t="str">
        <f t="shared" si="191"/>
        <v>Increase</v>
      </c>
      <c r="AJ1149" s="81">
        <f t="shared" si="195"/>
        <v>0</v>
      </c>
      <c r="AK1149" s="81">
        <f t="shared" si="196"/>
        <v>0</v>
      </c>
      <c r="AL1149" s="58" t="s">
        <v>7206</v>
      </c>
      <c r="AM1149" s="58" t="s">
        <v>6703</v>
      </c>
      <c r="AN1149" s="75">
        <v>0</v>
      </c>
      <c r="AO1149" s="88">
        <v>1.79</v>
      </c>
      <c r="AP1149" s="6" t="str">
        <f t="shared" si="192"/>
        <v>Increase</v>
      </c>
      <c r="AQ1149" s="81">
        <f t="shared" si="193"/>
        <v>0</v>
      </c>
      <c r="AR1149" s="81">
        <f t="shared" si="194"/>
        <v>0</v>
      </c>
      <c r="AS1149" s="81">
        <f t="shared" si="197"/>
        <v>0</v>
      </c>
    </row>
    <row r="1150" spans="1:45" hidden="1" x14ac:dyDescent="0.3">
      <c r="A1150">
        <v>6403566</v>
      </c>
      <c r="B1150" s="15" t="s">
        <v>6486</v>
      </c>
      <c r="C1150" s="16" t="s">
        <v>30</v>
      </c>
      <c r="D1150" s="6" t="s">
        <v>31</v>
      </c>
      <c r="E1150" t="s">
        <v>912</v>
      </c>
      <c r="F1150" t="s">
        <v>912</v>
      </c>
      <c r="H1150" s="11" t="s">
        <v>27</v>
      </c>
      <c r="I1150" s="6" t="s">
        <v>28</v>
      </c>
      <c r="J1150" s="6" t="s">
        <v>28</v>
      </c>
      <c r="K1150" t="s">
        <v>32</v>
      </c>
      <c r="L1150" s="35">
        <v>26.31</v>
      </c>
      <c r="M1150" s="6" t="s">
        <v>29</v>
      </c>
      <c r="N1150" s="6">
        <v>3105</v>
      </c>
      <c r="P1150" s="18"/>
      <c r="Q1150" s="17"/>
      <c r="R1150" s="19">
        <v>26.31</v>
      </c>
      <c r="S1150" s="19">
        <v>26.31</v>
      </c>
      <c r="T1150" s="38">
        <v>0</v>
      </c>
      <c r="U1150" s="38"/>
      <c r="V1150" s="29">
        <v>26.31</v>
      </c>
      <c r="W1150" s="35">
        <v>26.31</v>
      </c>
      <c r="X1150" s="32">
        <f t="shared" si="187"/>
        <v>0</v>
      </c>
      <c r="Y1150" s="32">
        <f t="shared" si="188"/>
        <v>0</v>
      </c>
      <c r="Z1150" s="32">
        <f t="shared" si="189"/>
        <v>0</v>
      </c>
      <c r="AA1150" s="38" t="s">
        <v>2573</v>
      </c>
      <c r="AB1150" s="37" t="str">
        <f>IFERROR(VLOOKUP(A1150,'Tash Lookup'!A:E,3,FALSE),"")</f>
        <v/>
      </c>
      <c r="AC1150" s="6" t="str">
        <f t="shared" si="190"/>
        <v/>
      </c>
      <c r="AD1150" s="2" t="s">
        <v>6703</v>
      </c>
      <c r="AF1150" s="56">
        <v>26.22</v>
      </c>
      <c r="AG1150" s="56">
        <f>VLOOKUP(A1150,Sheet1!$A$2:$C$1140,3,FALSE)</f>
        <v>26.22</v>
      </c>
      <c r="AH1150" s="58">
        <v>26.22</v>
      </c>
      <c r="AI1150" s="56" t="str">
        <f t="shared" si="191"/>
        <v>Same</v>
      </c>
      <c r="AJ1150" s="81">
        <f t="shared" si="195"/>
        <v>0</v>
      </c>
      <c r="AK1150" s="81">
        <f t="shared" si="196"/>
        <v>0</v>
      </c>
      <c r="AL1150" s="58" t="s">
        <v>7206</v>
      </c>
      <c r="AM1150" s="58" t="s">
        <v>6703</v>
      </c>
      <c r="AN1150" s="75">
        <v>0</v>
      </c>
      <c r="AO1150" s="88">
        <v>26.22</v>
      </c>
      <c r="AP1150" s="6" t="str">
        <f t="shared" si="192"/>
        <v>Same</v>
      </c>
      <c r="AQ1150" s="81">
        <f t="shared" si="193"/>
        <v>0</v>
      </c>
      <c r="AR1150" s="81">
        <f t="shared" si="194"/>
        <v>0</v>
      </c>
      <c r="AS1150" s="81">
        <f t="shared" si="197"/>
        <v>0</v>
      </c>
    </row>
    <row r="1151" spans="1:45" hidden="1" x14ac:dyDescent="0.3">
      <c r="A1151">
        <v>6403583</v>
      </c>
      <c r="B1151" s="15" t="s">
        <v>6487</v>
      </c>
      <c r="C1151" s="16" t="s">
        <v>30</v>
      </c>
      <c r="D1151" s="6" t="s">
        <v>31</v>
      </c>
      <c r="E1151" t="s">
        <v>913</v>
      </c>
      <c r="F1151" t="s">
        <v>913</v>
      </c>
      <c r="H1151" s="11" t="s">
        <v>27</v>
      </c>
      <c r="I1151" s="6" t="s">
        <v>28</v>
      </c>
      <c r="J1151" s="6" t="s">
        <v>28</v>
      </c>
      <c r="K1151" t="s">
        <v>32</v>
      </c>
      <c r="L1151" s="35">
        <v>26.31</v>
      </c>
      <c r="M1151" s="6" t="s">
        <v>29</v>
      </c>
      <c r="N1151" s="6">
        <v>3105</v>
      </c>
      <c r="P1151" s="18"/>
      <c r="Q1151" s="17"/>
      <c r="R1151" s="19">
        <v>26.31</v>
      </c>
      <c r="S1151" s="19">
        <v>26.31</v>
      </c>
      <c r="T1151" s="38">
        <v>0</v>
      </c>
      <c r="U1151" s="38"/>
      <c r="V1151" s="29">
        <v>26.31</v>
      </c>
      <c r="W1151" s="35">
        <v>26.31</v>
      </c>
      <c r="X1151" s="32">
        <f t="shared" si="187"/>
        <v>0</v>
      </c>
      <c r="Y1151" s="32">
        <f t="shared" si="188"/>
        <v>0</v>
      </c>
      <c r="Z1151" s="32">
        <f t="shared" si="189"/>
        <v>0</v>
      </c>
      <c r="AA1151" s="38" t="s">
        <v>2573</v>
      </c>
      <c r="AB1151" s="37" t="str">
        <f>IFERROR(VLOOKUP(A1151,'Tash Lookup'!A:E,3,FALSE),"")</f>
        <v/>
      </c>
      <c r="AC1151" s="6" t="str">
        <f t="shared" si="190"/>
        <v/>
      </c>
      <c r="AD1151" s="2" t="s">
        <v>6703</v>
      </c>
      <c r="AF1151" s="56">
        <v>26.22</v>
      </c>
      <c r="AG1151" s="56">
        <f>VLOOKUP(A1151,Sheet1!$A$2:$C$1140,3,FALSE)</f>
        <v>26.22</v>
      </c>
      <c r="AH1151" s="58">
        <v>26.22</v>
      </c>
      <c r="AI1151" s="56" t="str">
        <f t="shared" si="191"/>
        <v>Same</v>
      </c>
      <c r="AJ1151" s="81">
        <f t="shared" si="195"/>
        <v>0</v>
      </c>
      <c r="AK1151" s="81">
        <f t="shared" si="196"/>
        <v>0</v>
      </c>
      <c r="AL1151" s="58" t="s">
        <v>7206</v>
      </c>
      <c r="AM1151" s="58" t="s">
        <v>6703</v>
      </c>
      <c r="AN1151" s="75">
        <v>0</v>
      </c>
      <c r="AO1151" s="88">
        <v>26.22</v>
      </c>
      <c r="AP1151" s="6" t="str">
        <f t="shared" si="192"/>
        <v>Same</v>
      </c>
      <c r="AQ1151" s="81">
        <f t="shared" si="193"/>
        <v>0</v>
      </c>
      <c r="AR1151" s="81">
        <f t="shared" si="194"/>
        <v>0</v>
      </c>
      <c r="AS1151" s="81">
        <f t="shared" si="197"/>
        <v>0</v>
      </c>
    </row>
    <row r="1152" spans="1:45" hidden="1" x14ac:dyDescent="0.3">
      <c r="A1152">
        <v>6316456</v>
      </c>
      <c r="B1152" s="15" t="s">
        <v>6488</v>
      </c>
      <c r="C1152" s="16" t="s">
        <v>30</v>
      </c>
      <c r="D1152" s="6" t="s">
        <v>31</v>
      </c>
      <c r="E1152" t="s">
        <v>2565</v>
      </c>
      <c r="F1152" t="s">
        <v>2565</v>
      </c>
      <c r="H1152" s="11" t="s">
        <v>27</v>
      </c>
      <c r="I1152" s="6" t="s">
        <v>28</v>
      </c>
      <c r="J1152" s="6" t="s">
        <v>28</v>
      </c>
      <c r="K1152" t="s">
        <v>32</v>
      </c>
      <c r="L1152" s="35">
        <v>1536.57</v>
      </c>
      <c r="M1152" s="6" t="s">
        <v>29</v>
      </c>
      <c r="N1152" s="6">
        <v>3105</v>
      </c>
      <c r="P1152" s="18"/>
      <c r="Q1152" s="17"/>
      <c r="R1152" s="19">
        <v>0</v>
      </c>
      <c r="S1152" s="19">
        <v>0</v>
      </c>
      <c r="T1152" s="38">
        <v>0</v>
      </c>
      <c r="U1152" s="38"/>
      <c r="V1152" s="29">
        <v>1536.57</v>
      </c>
      <c r="W1152" s="35">
        <v>1536.57</v>
      </c>
      <c r="X1152" s="32">
        <f t="shared" si="187"/>
        <v>0</v>
      </c>
      <c r="Y1152" s="32">
        <f t="shared" si="188"/>
        <v>0</v>
      </c>
      <c r="Z1152" s="32">
        <f t="shared" si="189"/>
        <v>0</v>
      </c>
      <c r="AA1152" s="38" t="s">
        <v>2573</v>
      </c>
      <c r="AB1152" s="37" t="str">
        <f>IFERROR(VLOOKUP(A1152,'Tash Lookup'!A:E,3,FALSE),"")</f>
        <v/>
      </c>
      <c r="AC1152" s="6" t="str">
        <f t="shared" si="190"/>
        <v/>
      </c>
      <c r="AD1152" s="2" t="s">
        <v>6703</v>
      </c>
      <c r="AF1152" s="56">
        <v>1249.99</v>
      </c>
      <c r="AG1152" s="56">
        <f>VLOOKUP(A1152,Sheet1!$A$2:$C$1140,3,FALSE)</f>
        <v>1249.99</v>
      </c>
      <c r="AH1152" s="58">
        <v>1249.99</v>
      </c>
      <c r="AI1152" s="56" t="str">
        <f t="shared" si="191"/>
        <v>Same</v>
      </c>
      <c r="AJ1152" s="81">
        <f t="shared" si="195"/>
        <v>0</v>
      </c>
      <c r="AK1152" s="81">
        <f t="shared" si="196"/>
        <v>0</v>
      </c>
      <c r="AL1152" s="58" t="s">
        <v>7206</v>
      </c>
      <c r="AM1152" s="58" t="s">
        <v>6708</v>
      </c>
      <c r="AN1152" s="75">
        <v>0</v>
      </c>
      <c r="AO1152" s="88">
        <v>1249.99</v>
      </c>
      <c r="AP1152" s="6" t="str">
        <f t="shared" si="192"/>
        <v>Same</v>
      </c>
      <c r="AQ1152" s="81">
        <f t="shared" si="193"/>
        <v>0</v>
      </c>
      <c r="AR1152" s="81">
        <f t="shared" si="194"/>
        <v>0</v>
      </c>
      <c r="AS1152" s="81">
        <f t="shared" si="197"/>
        <v>0</v>
      </c>
    </row>
    <row r="1153" spans="1:45" hidden="1" x14ac:dyDescent="0.3">
      <c r="A1153">
        <v>6317538</v>
      </c>
      <c r="B1153" s="15" t="s">
        <v>6489</v>
      </c>
      <c r="C1153" s="16" t="s">
        <v>30</v>
      </c>
      <c r="D1153" s="6" t="s">
        <v>31</v>
      </c>
      <c r="E1153" t="s">
        <v>919</v>
      </c>
      <c r="F1153" t="s">
        <v>919</v>
      </c>
      <c r="H1153" s="11" t="s">
        <v>27</v>
      </c>
      <c r="I1153" s="6" t="s">
        <v>28</v>
      </c>
      <c r="J1153" s="6" t="s">
        <v>28</v>
      </c>
      <c r="K1153" t="s">
        <v>32</v>
      </c>
      <c r="L1153" s="35">
        <v>1754.87</v>
      </c>
      <c r="M1153" s="6" t="s">
        <v>29</v>
      </c>
      <c r="N1153" s="6">
        <v>3105</v>
      </c>
      <c r="P1153" s="18"/>
      <c r="Q1153" s="17"/>
      <c r="R1153" s="19">
        <v>0</v>
      </c>
      <c r="S1153" s="19">
        <v>0</v>
      </c>
      <c r="T1153" s="38">
        <v>0</v>
      </c>
      <c r="U1153" s="38"/>
      <c r="V1153" s="29">
        <v>1754.87</v>
      </c>
      <c r="W1153" s="35">
        <v>1754.87</v>
      </c>
      <c r="X1153" s="32">
        <f t="shared" si="187"/>
        <v>0</v>
      </c>
      <c r="Y1153" s="32">
        <f t="shared" si="188"/>
        <v>0</v>
      </c>
      <c r="Z1153" s="32">
        <f t="shared" si="189"/>
        <v>0</v>
      </c>
      <c r="AA1153" s="38" t="s">
        <v>2573</v>
      </c>
      <c r="AB1153" s="37" t="str">
        <f>IFERROR(VLOOKUP(A1153,'Tash Lookup'!A:E,3,FALSE),"")</f>
        <v/>
      </c>
      <c r="AC1153" s="6" t="str">
        <f t="shared" si="190"/>
        <v/>
      </c>
      <c r="AD1153" s="2" t="s">
        <v>6703</v>
      </c>
      <c r="AF1153" s="56">
        <v>1722.6</v>
      </c>
      <c r="AG1153" s="56">
        <f>VLOOKUP(A1153,Sheet1!$A$2:$C$1140,3,FALSE)</f>
        <v>1808.73</v>
      </c>
      <c r="AH1153" s="58">
        <v>1808.73</v>
      </c>
      <c r="AI1153" s="56" t="str">
        <f t="shared" si="191"/>
        <v>Increase</v>
      </c>
      <c r="AJ1153" s="81">
        <f t="shared" si="195"/>
        <v>0</v>
      </c>
      <c r="AK1153" s="81">
        <f t="shared" si="196"/>
        <v>0</v>
      </c>
      <c r="AL1153" s="58" t="s">
        <v>7206</v>
      </c>
      <c r="AM1153" s="58" t="s">
        <v>6708</v>
      </c>
      <c r="AN1153" s="75">
        <v>0</v>
      </c>
      <c r="AO1153" s="88">
        <v>1808.73</v>
      </c>
      <c r="AP1153" s="6" t="str">
        <f t="shared" si="192"/>
        <v>Increase</v>
      </c>
      <c r="AQ1153" s="81">
        <f t="shared" si="193"/>
        <v>0</v>
      </c>
      <c r="AR1153" s="81">
        <f t="shared" si="194"/>
        <v>0</v>
      </c>
      <c r="AS1153" s="81">
        <f t="shared" si="197"/>
        <v>0</v>
      </c>
    </row>
    <row r="1154" spans="1:45" hidden="1" x14ac:dyDescent="0.3">
      <c r="A1154">
        <v>6040541</v>
      </c>
      <c r="B1154" s="15" t="s">
        <v>6490</v>
      </c>
      <c r="C1154" s="16" t="s">
        <v>30</v>
      </c>
      <c r="D1154" s="6" t="s">
        <v>31</v>
      </c>
      <c r="E1154" t="s">
        <v>920</v>
      </c>
      <c r="F1154" t="s">
        <v>920</v>
      </c>
      <c r="H1154" s="11" t="s">
        <v>27</v>
      </c>
      <c r="I1154" s="6" t="s">
        <v>28</v>
      </c>
      <c r="J1154" s="6" t="s">
        <v>28</v>
      </c>
      <c r="K1154" t="s">
        <v>32</v>
      </c>
      <c r="L1154" s="35">
        <v>6.02</v>
      </c>
      <c r="M1154" s="6" t="s">
        <v>29</v>
      </c>
      <c r="N1154" s="6">
        <v>3105</v>
      </c>
      <c r="P1154" s="18"/>
      <c r="Q1154" s="17"/>
      <c r="R1154" s="19">
        <v>0</v>
      </c>
      <c r="S1154" s="19">
        <v>0</v>
      </c>
      <c r="T1154" s="38">
        <v>0</v>
      </c>
      <c r="U1154" s="38"/>
      <c r="V1154" s="29">
        <v>6.02</v>
      </c>
      <c r="W1154" s="35">
        <v>6.02</v>
      </c>
      <c r="X1154" s="32">
        <f t="shared" si="187"/>
        <v>0</v>
      </c>
      <c r="Y1154" s="32">
        <f t="shared" si="188"/>
        <v>0</v>
      </c>
      <c r="Z1154" s="32">
        <f t="shared" si="189"/>
        <v>0</v>
      </c>
      <c r="AA1154" s="38" t="s">
        <v>2573</v>
      </c>
      <c r="AB1154" s="37" t="str">
        <f>IFERROR(VLOOKUP(A1154,'Tash Lookup'!A:E,3,FALSE),"")</f>
        <v/>
      </c>
      <c r="AC1154" s="6" t="str">
        <f t="shared" si="190"/>
        <v/>
      </c>
      <c r="AD1154" s="2" t="s">
        <v>6703</v>
      </c>
      <c r="AF1154" s="56">
        <v>6.48</v>
      </c>
      <c r="AG1154" s="56" t="e">
        <f>VLOOKUP(A1154,Sheet1!$A$2:$C$1140,3,FALSE)</f>
        <v>#N/A</v>
      </c>
      <c r="AH1154" s="58" t="e">
        <v>#N/A</v>
      </c>
      <c r="AI1154" s="56" t="str">
        <f t="shared" si="191"/>
        <v>Delete</v>
      </c>
      <c r="AJ1154" s="81">
        <f t="shared" si="195"/>
        <v>0</v>
      </c>
      <c r="AK1154" s="81">
        <f t="shared" si="196"/>
        <v>0</v>
      </c>
      <c r="AL1154" s="58" t="s">
        <v>7206</v>
      </c>
      <c r="AM1154" s="58" t="s">
        <v>6703</v>
      </c>
      <c r="AN1154" s="75">
        <v>0</v>
      </c>
      <c r="AO1154" s="88">
        <v>6.61</v>
      </c>
      <c r="AP1154" s="6" t="str">
        <f t="shared" si="192"/>
        <v>Increase</v>
      </c>
      <c r="AQ1154" s="81">
        <f t="shared" si="193"/>
        <v>0</v>
      </c>
      <c r="AR1154" s="81">
        <f t="shared" si="194"/>
        <v>0</v>
      </c>
      <c r="AS1154" s="81">
        <f t="shared" si="197"/>
        <v>0</v>
      </c>
    </row>
    <row r="1155" spans="1:45" hidden="1" x14ac:dyDescent="0.3">
      <c r="A1155">
        <v>6314183</v>
      </c>
      <c r="B1155" s="15" t="s">
        <v>6491</v>
      </c>
      <c r="C1155" s="16" t="s">
        <v>30</v>
      </c>
      <c r="D1155" s="6" t="s">
        <v>31</v>
      </c>
      <c r="E1155" t="s">
        <v>922</v>
      </c>
      <c r="F1155" t="s">
        <v>922</v>
      </c>
      <c r="H1155" s="11" t="s">
        <v>27</v>
      </c>
      <c r="I1155" s="6" t="s">
        <v>28</v>
      </c>
      <c r="J1155" s="6" t="s">
        <v>28</v>
      </c>
      <c r="K1155" t="s">
        <v>32</v>
      </c>
      <c r="L1155" s="35">
        <v>24.38</v>
      </c>
      <c r="M1155" s="6" t="s">
        <v>29</v>
      </c>
      <c r="N1155" s="6">
        <v>3105</v>
      </c>
      <c r="P1155" s="18"/>
      <c r="Q1155" s="17"/>
      <c r="R1155" s="19">
        <v>0</v>
      </c>
      <c r="S1155" s="19">
        <v>0</v>
      </c>
      <c r="T1155" s="38">
        <v>0</v>
      </c>
      <c r="U1155" s="38"/>
      <c r="V1155" s="29">
        <v>24.38</v>
      </c>
      <c r="W1155" s="35">
        <v>24.38</v>
      </c>
      <c r="X1155" s="32">
        <f t="shared" si="187"/>
        <v>0</v>
      </c>
      <c r="Y1155" s="32">
        <f t="shared" si="188"/>
        <v>0</v>
      </c>
      <c r="Z1155" s="32">
        <f t="shared" si="189"/>
        <v>0</v>
      </c>
      <c r="AA1155" s="38" t="s">
        <v>2573</v>
      </c>
      <c r="AB1155" s="37" t="str">
        <f>IFERROR(VLOOKUP(A1155,'Tash Lookup'!A:E,3,FALSE),"")</f>
        <v/>
      </c>
      <c r="AC1155" s="6" t="str">
        <f t="shared" si="190"/>
        <v/>
      </c>
      <c r="AD1155" s="2" t="s">
        <v>6703</v>
      </c>
      <c r="AF1155" s="56">
        <v>25.11</v>
      </c>
      <c r="AG1155" s="56">
        <f>VLOOKUP(A1155,Sheet1!$A$2:$C$1140,3,FALSE)</f>
        <v>25.61</v>
      </c>
      <c r="AH1155" s="58">
        <v>25.61</v>
      </c>
      <c r="AI1155" s="56" t="str">
        <f t="shared" si="191"/>
        <v>Increase</v>
      </c>
      <c r="AJ1155" s="81">
        <f t="shared" si="195"/>
        <v>0</v>
      </c>
      <c r="AK1155" s="81">
        <f t="shared" si="196"/>
        <v>0</v>
      </c>
      <c r="AL1155" s="58" t="s">
        <v>7206</v>
      </c>
      <c r="AM1155" s="58" t="s">
        <v>6703</v>
      </c>
      <c r="AN1155" s="75">
        <v>0</v>
      </c>
      <c r="AO1155" s="88">
        <v>25.61</v>
      </c>
      <c r="AP1155" s="6" t="str">
        <f t="shared" si="192"/>
        <v>Increase</v>
      </c>
      <c r="AQ1155" s="81">
        <f t="shared" si="193"/>
        <v>0</v>
      </c>
      <c r="AR1155" s="81">
        <f t="shared" si="194"/>
        <v>0</v>
      </c>
      <c r="AS1155" s="81">
        <f t="shared" si="197"/>
        <v>0</v>
      </c>
    </row>
    <row r="1156" spans="1:45" hidden="1" x14ac:dyDescent="0.3">
      <c r="A1156">
        <v>6316096</v>
      </c>
      <c r="B1156" s="15" t="s">
        <v>6492</v>
      </c>
      <c r="C1156" s="16" t="s">
        <v>30</v>
      </c>
      <c r="D1156" s="6" t="s">
        <v>31</v>
      </c>
      <c r="E1156" t="s">
        <v>923</v>
      </c>
      <c r="F1156" t="s">
        <v>923</v>
      </c>
      <c r="H1156" s="11" t="s">
        <v>27</v>
      </c>
      <c r="I1156" s="6" t="s">
        <v>28</v>
      </c>
      <c r="J1156" s="6" t="s">
        <v>28</v>
      </c>
      <c r="K1156" t="s">
        <v>32</v>
      </c>
      <c r="L1156" s="35">
        <v>24.38</v>
      </c>
      <c r="M1156" s="6" t="s">
        <v>29</v>
      </c>
      <c r="N1156" s="6">
        <v>3105</v>
      </c>
      <c r="P1156" s="18"/>
      <c r="Q1156" s="17"/>
      <c r="R1156" s="19">
        <v>0</v>
      </c>
      <c r="S1156" s="19">
        <v>0</v>
      </c>
      <c r="T1156" s="38">
        <v>0</v>
      </c>
      <c r="U1156" s="38"/>
      <c r="V1156" s="29">
        <v>24.38</v>
      </c>
      <c r="W1156" s="35">
        <v>24.38</v>
      </c>
      <c r="X1156" s="32">
        <f t="shared" si="187"/>
        <v>0</v>
      </c>
      <c r="Y1156" s="32">
        <f t="shared" si="188"/>
        <v>0</v>
      </c>
      <c r="Z1156" s="32">
        <f t="shared" si="189"/>
        <v>0</v>
      </c>
      <c r="AA1156" s="38" t="s">
        <v>2573</v>
      </c>
      <c r="AB1156" s="37" t="str">
        <f>IFERROR(VLOOKUP(A1156,'Tash Lookup'!A:E,3,FALSE),"")</f>
        <v/>
      </c>
      <c r="AC1156" s="6" t="str">
        <f t="shared" si="190"/>
        <v/>
      </c>
      <c r="AD1156" s="2" t="s">
        <v>6703</v>
      </c>
      <c r="AF1156" s="56">
        <v>26.2</v>
      </c>
      <c r="AG1156" s="56">
        <f>VLOOKUP(A1156,Sheet1!$A$2:$C$1140,3,FALSE)</f>
        <v>26.72</v>
      </c>
      <c r="AH1156" s="58">
        <v>26.72</v>
      </c>
      <c r="AI1156" s="56" t="str">
        <f t="shared" si="191"/>
        <v>Increase</v>
      </c>
      <c r="AJ1156" s="81">
        <f t="shared" si="195"/>
        <v>0</v>
      </c>
      <c r="AK1156" s="81">
        <f t="shared" si="196"/>
        <v>0</v>
      </c>
      <c r="AL1156" s="58" t="s">
        <v>7206</v>
      </c>
      <c r="AM1156" s="58" t="s">
        <v>6703</v>
      </c>
      <c r="AN1156" s="75">
        <v>0</v>
      </c>
      <c r="AO1156" s="88">
        <v>26.72</v>
      </c>
      <c r="AP1156" s="6" t="str">
        <f t="shared" si="192"/>
        <v>Increase</v>
      </c>
      <c r="AQ1156" s="81">
        <f t="shared" si="193"/>
        <v>0</v>
      </c>
      <c r="AR1156" s="81">
        <f t="shared" si="194"/>
        <v>0</v>
      </c>
      <c r="AS1156" s="81">
        <f t="shared" si="197"/>
        <v>0</v>
      </c>
    </row>
    <row r="1157" spans="1:45" hidden="1" x14ac:dyDescent="0.3">
      <c r="A1157">
        <v>6316201</v>
      </c>
      <c r="B1157" s="15" t="s">
        <v>6493</v>
      </c>
      <c r="C1157" s="16" t="s">
        <v>30</v>
      </c>
      <c r="D1157" s="6" t="s">
        <v>31</v>
      </c>
      <c r="E1157" t="s">
        <v>924</v>
      </c>
      <c r="F1157" t="s">
        <v>924</v>
      </c>
      <c r="H1157" s="11" t="s">
        <v>27</v>
      </c>
      <c r="I1157" s="6" t="s">
        <v>28</v>
      </c>
      <c r="J1157" s="6" t="s">
        <v>28</v>
      </c>
      <c r="K1157" t="s">
        <v>32</v>
      </c>
      <c r="L1157" s="35">
        <v>23.66</v>
      </c>
      <c r="M1157" s="6" t="s">
        <v>29</v>
      </c>
      <c r="N1157" s="6">
        <v>3105</v>
      </c>
      <c r="P1157" s="18"/>
      <c r="Q1157" s="17"/>
      <c r="R1157" s="19">
        <v>0</v>
      </c>
      <c r="S1157" s="19">
        <v>0</v>
      </c>
      <c r="T1157" s="38">
        <v>0</v>
      </c>
      <c r="U1157" s="38"/>
      <c r="V1157" s="29">
        <v>23.66</v>
      </c>
      <c r="W1157" s="35">
        <v>23.66</v>
      </c>
      <c r="X1157" s="32">
        <f t="shared" si="187"/>
        <v>0</v>
      </c>
      <c r="Y1157" s="32">
        <f t="shared" si="188"/>
        <v>0</v>
      </c>
      <c r="Z1157" s="32">
        <f t="shared" si="189"/>
        <v>0</v>
      </c>
      <c r="AA1157" s="38" t="s">
        <v>2573</v>
      </c>
      <c r="AB1157" s="37" t="str">
        <f>IFERROR(VLOOKUP(A1157,'Tash Lookup'!A:E,3,FALSE),"")</f>
        <v/>
      </c>
      <c r="AC1157" s="6" t="str">
        <f t="shared" si="190"/>
        <v/>
      </c>
      <c r="AD1157" s="2" t="s">
        <v>6703</v>
      </c>
      <c r="AF1157" s="56">
        <v>24.37</v>
      </c>
      <c r="AG1157" s="56">
        <f>VLOOKUP(A1157,Sheet1!$A$2:$C$1140,3,FALSE)</f>
        <v>25.62</v>
      </c>
      <c r="AH1157" s="58">
        <v>25.62</v>
      </c>
      <c r="AI1157" s="56" t="str">
        <f t="shared" si="191"/>
        <v>Increase</v>
      </c>
      <c r="AJ1157" s="81">
        <f t="shared" si="195"/>
        <v>0</v>
      </c>
      <c r="AK1157" s="81">
        <f t="shared" si="196"/>
        <v>0</v>
      </c>
      <c r="AL1157" s="58" t="s">
        <v>7206</v>
      </c>
      <c r="AM1157" s="58" t="s">
        <v>6703</v>
      </c>
      <c r="AN1157" s="75">
        <v>0</v>
      </c>
      <c r="AO1157" s="88">
        <v>25.62</v>
      </c>
      <c r="AP1157" s="6" t="str">
        <f t="shared" si="192"/>
        <v>Increase</v>
      </c>
      <c r="AQ1157" s="81">
        <f t="shared" si="193"/>
        <v>0</v>
      </c>
      <c r="AR1157" s="81">
        <f t="shared" si="194"/>
        <v>0</v>
      </c>
      <c r="AS1157" s="81">
        <f t="shared" si="197"/>
        <v>0</v>
      </c>
    </row>
    <row r="1158" spans="1:45" hidden="1" x14ac:dyDescent="0.3">
      <c r="A1158">
        <v>6394052</v>
      </c>
      <c r="B1158" s="15" t="s">
        <v>6494</v>
      </c>
      <c r="C1158" s="16" t="s">
        <v>30</v>
      </c>
      <c r="D1158" s="6" t="s">
        <v>31</v>
      </c>
      <c r="E1158" t="s">
        <v>925</v>
      </c>
      <c r="F1158" t="s">
        <v>925</v>
      </c>
      <c r="H1158" s="11" t="s">
        <v>27</v>
      </c>
      <c r="I1158" s="6" t="s">
        <v>28</v>
      </c>
      <c r="J1158" s="6" t="s">
        <v>28</v>
      </c>
      <c r="K1158" t="s">
        <v>32</v>
      </c>
      <c r="L1158" s="35">
        <v>26.19</v>
      </c>
      <c r="M1158" s="6" t="s">
        <v>29</v>
      </c>
      <c r="N1158" s="6">
        <v>3105</v>
      </c>
      <c r="P1158" s="18"/>
      <c r="Q1158" s="17"/>
      <c r="R1158" s="19">
        <v>0</v>
      </c>
      <c r="S1158" s="19">
        <v>0</v>
      </c>
      <c r="T1158" s="38">
        <v>0</v>
      </c>
      <c r="U1158" s="38"/>
      <c r="V1158" s="29">
        <v>26.19</v>
      </c>
      <c r="W1158" s="35">
        <v>26.19</v>
      </c>
      <c r="X1158" s="32">
        <f t="shared" ref="X1158:X1221" si="198">SUM(V1158*T1158)</f>
        <v>0</v>
      </c>
      <c r="Y1158" s="32">
        <f t="shared" ref="Y1158:Y1221" si="199">SUM(L1158*T1158)</f>
        <v>0</v>
      </c>
      <c r="Z1158" s="32">
        <f t="shared" ref="Z1158:Z1221" si="200">SUM(X1158-Y1158)</f>
        <v>0</v>
      </c>
      <c r="AA1158" s="38" t="s">
        <v>2573</v>
      </c>
      <c r="AB1158" s="37" t="str">
        <f>IFERROR(VLOOKUP(A1158,'Tash Lookup'!A:E,3,FALSE),"")</f>
        <v/>
      </c>
      <c r="AC1158" s="6" t="str">
        <f t="shared" ref="AC1158:AC1221" si="201">IFERROR(AA1158-T1158,"")</f>
        <v/>
      </c>
      <c r="AD1158" s="2" t="s">
        <v>6703</v>
      </c>
      <c r="AF1158" s="56">
        <v>28.14</v>
      </c>
      <c r="AG1158" s="56">
        <f>VLOOKUP(A1158,Sheet1!$A$2:$C$1140,3,FALSE)</f>
        <v>26.71</v>
      </c>
      <c r="AH1158" s="58">
        <v>26.71</v>
      </c>
      <c r="AI1158" s="56" t="str">
        <f t="shared" ref="AI1158:AI1221" si="202">IF(ISNA(AH1158),"Delete",IF(AH1158=AF1158,"Same",IF(AH1158&gt;AF1158,"Increase","Decrease")))</f>
        <v>Decrease</v>
      </c>
      <c r="AJ1158" s="81">
        <f t="shared" si="195"/>
        <v>0</v>
      </c>
      <c r="AK1158" s="81">
        <f t="shared" si="196"/>
        <v>0</v>
      </c>
      <c r="AL1158" s="58" t="s">
        <v>7206</v>
      </c>
      <c r="AM1158" s="58" t="s">
        <v>6703</v>
      </c>
      <c r="AN1158" s="75">
        <v>0</v>
      </c>
      <c r="AO1158" s="88">
        <v>26.71</v>
      </c>
      <c r="AP1158" s="6" t="str">
        <f t="shared" ref="AP1158:AP1221" si="203">IF(AM1158="Delete","Delete",IF(AO1158=AF1158,"Same",IF(AO1158&gt;AF1158,"Increase","Decrease")))</f>
        <v>Decrease</v>
      </c>
      <c r="AQ1158" s="81">
        <f t="shared" ref="AQ1158:AQ1221" si="204">AN1158*AF1158</f>
        <v>0</v>
      </c>
      <c r="AR1158" s="81">
        <f t="shared" ref="AR1158:AR1221" si="205">AN1158*AO1158</f>
        <v>0</v>
      </c>
      <c r="AS1158" s="81">
        <f t="shared" si="197"/>
        <v>0</v>
      </c>
    </row>
    <row r="1159" spans="1:45" hidden="1" x14ac:dyDescent="0.3">
      <c r="A1159">
        <v>6391535</v>
      </c>
      <c r="B1159" s="15" t="s">
        <v>6495</v>
      </c>
      <c r="C1159" s="16" t="s">
        <v>30</v>
      </c>
      <c r="D1159" s="6" t="s">
        <v>31</v>
      </c>
      <c r="E1159" t="s">
        <v>926</v>
      </c>
      <c r="F1159" t="s">
        <v>926</v>
      </c>
      <c r="H1159" s="11" t="s">
        <v>27</v>
      </c>
      <c r="I1159" s="6" t="s">
        <v>28</v>
      </c>
      <c r="J1159" s="6" t="s">
        <v>28</v>
      </c>
      <c r="K1159" t="s">
        <v>32</v>
      </c>
      <c r="L1159" s="35">
        <v>24.43</v>
      </c>
      <c r="M1159" s="6" t="s">
        <v>29</v>
      </c>
      <c r="N1159" s="6">
        <v>3105</v>
      </c>
      <c r="P1159" s="18"/>
      <c r="Q1159" s="17"/>
      <c r="R1159" s="19">
        <v>0</v>
      </c>
      <c r="S1159" s="19">
        <v>0</v>
      </c>
      <c r="T1159" s="38">
        <v>0</v>
      </c>
      <c r="U1159" s="38"/>
      <c r="V1159" s="29">
        <v>24.43</v>
      </c>
      <c r="W1159" s="35">
        <v>24.43</v>
      </c>
      <c r="X1159" s="32">
        <f t="shared" si="198"/>
        <v>0</v>
      </c>
      <c r="Y1159" s="32">
        <f t="shared" si="199"/>
        <v>0</v>
      </c>
      <c r="Z1159" s="32">
        <f t="shared" si="200"/>
        <v>0</v>
      </c>
      <c r="AA1159" s="38" t="s">
        <v>2573</v>
      </c>
      <c r="AB1159" s="37" t="str">
        <f>IFERROR(VLOOKUP(A1159,'Tash Lookup'!A:E,3,FALSE),"")</f>
        <v/>
      </c>
      <c r="AC1159" s="6" t="str">
        <f t="shared" si="201"/>
        <v/>
      </c>
      <c r="AD1159" s="2" t="s">
        <v>6703</v>
      </c>
      <c r="AF1159" s="56">
        <v>26.26</v>
      </c>
      <c r="AG1159" s="56">
        <f>VLOOKUP(A1159,Sheet1!$A$2:$C$1140,3,FALSE)</f>
        <v>26.79</v>
      </c>
      <c r="AH1159" s="58">
        <v>26.79</v>
      </c>
      <c r="AI1159" s="56" t="str">
        <f t="shared" si="202"/>
        <v>Increase</v>
      </c>
      <c r="AJ1159" s="81">
        <f t="shared" ref="AJ1159:AJ1222" si="206">IFERROR(AA1159*AF1159,0)</f>
        <v>0</v>
      </c>
      <c r="AK1159" s="81">
        <f t="shared" ref="AK1159:AK1222" si="207">IFERROR(AA1159*AH1159,0)</f>
        <v>0</v>
      </c>
      <c r="AL1159" s="58" t="s">
        <v>7206</v>
      </c>
      <c r="AM1159" s="58" t="s">
        <v>6703</v>
      </c>
      <c r="AN1159" s="75">
        <v>0</v>
      </c>
      <c r="AO1159" s="88">
        <v>26.79</v>
      </c>
      <c r="AP1159" s="6" t="str">
        <f t="shared" si="203"/>
        <v>Increase</v>
      </c>
      <c r="AQ1159" s="81">
        <f t="shared" si="204"/>
        <v>0</v>
      </c>
      <c r="AR1159" s="81">
        <f t="shared" si="205"/>
        <v>0</v>
      </c>
      <c r="AS1159" s="81">
        <f t="shared" ref="AS1159:AS1222" si="208">AR1159-AQ1159</f>
        <v>0</v>
      </c>
    </row>
    <row r="1160" spans="1:45" hidden="1" x14ac:dyDescent="0.3">
      <c r="A1160">
        <v>6391543</v>
      </c>
      <c r="B1160" s="15" t="s">
        <v>6496</v>
      </c>
      <c r="C1160" s="16" t="s">
        <v>30</v>
      </c>
      <c r="D1160" s="6" t="s">
        <v>31</v>
      </c>
      <c r="E1160" t="s">
        <v>927</v>
      </c>
      <c r="F1160" t="s">
        <v>927</v>
      </c>
      <c r="H1160" s="11" t="s">
        <v>27</v>
      </c>
      <c r="I1160" s="6" t="s">
        <v>28</v>
      </c>
      <c r="J1160" s="6" t="s">
        <v>28</v>
      </c>
      <c r="K1160" t="s">
        <v>32</v>
      </c>
      <c r="L1160" s="35">
        <v>24.43</v>
      </c>
      <c r="M1160" s="6" t="s">
        <v>29</v>
      </c>
      <c r="N1160" s="6">
        <v>3105</v>
      </c>
      <c r="P1160" s="18"/>
      <c r="Q1160" s="17"/>
      <c r="R1160" s="19">
        <v>0</v>
      </c>
      <c r="S1160" s="19">
        <v>0</v>
      </c>
      <c r="T1160" s="38">
        <v>0</v>
      </c>
      <c r="U1160" s="38"/>
      <c r="V1160" s="29">
        <v>24.43</v>
      </c>
      <c r="W1160" s="35">
        <v>24.43</v>
      </c>
      <c r="X1160" s="32">
        <f t="shared" si="198"/>
        <v>0</v>
      </c>
      <c r="Y1160" s="32">
        <f t="shared" si="199"/>
        <v>0</v>
      </c>
      <c r="Z1160" s="32">
        <f t="shared" si="200"/>
        <v>0</v>
      </c>
      <c r="AA1160" s="38" t="s">
        <v>2573</v>
      </c>
      <c r="AB1160" s="37" t="str">
        <f>IFERROR(VLOOKUP(A1160,'Tash Lookup'!A:E,3,FALSE),"")</f>
        <v/>
      </c>
      <c r="AC1160" s="6" t="str">
        <f t="shared" si="201"/>
        <v/>
      </c>
      <c r="AD1160" s="2" t="s">
        <v>6703</v>
      </c>
      <c r="AF1160" s="56">
        <v>26.26</v>
      </c>
      <c r="AG1160" s="56">
        <f>VLOOKUP(A1160,Sheet1!$A$2:$C$1140,3,FALSE)</f>
        <v>26.79</v>
      </c>
      <c r="AH1160" s="58">
        <v>26.79</v>
      </c>
      <c r="AI1160" s="56" t="str">
        <f t="shared" si="202"/>
        <v>Increase</v>
      </c>
      <c r="AJ1160" s="81">
        <f t="shared" si="206"/>
        <v>0</v>
      </c>
      <c r="AK1160" s="81">
        <f t="shared" si="207"/>
        <v>0</v>
      </c>
      <c r="AL1160" s="58" t="s">
        <v>7206</v>
      </c>
      <c r="AM1160" s="58" t="s">
        <v>6703</v>
      </c>
      <c r="AN1160" s="75">
        <v>0</v>
      </c>
      <c r="AO1160" s="88">
        <v>26.79</v>
      </c>
      <c r="AP1160" s="6" t="str">
        <f t="shared" si="203"/>
        <v>Increase</v>
      </c>
      <c r="AQ1160" s="81">
        <f t="shared" si="204"/>
        <v>0</v>
      </c>
      <c r="AR1160" s="81">
        <f t="shared" si="205"/>
        <v>0</v>
      </c>
      <c r="AS1160" s="81">
        <f t="shared" si="208"/>
        <v>0</v>
      </c>
    </row>
    <row r="1161" spans="1:45" hidden="1" x14ac:dyDescent="0.3">
      <c r="A1161">
        <v>6391500</v>
      </c>
      <c r="B1161" s="15" t="s">
        <v>6497</v>
      </c>
      <c r="C1161" s="16" t="s">
        <v>30</v>
      </c>
      <c r="D1161" s="6" t="s">
        <v>31</v>
      </c>
      <c r="E1161" t="s">
        <v>928</v>
      </c>
      <c r="F1161" t="s">
        <v>928</v>
      </c>
      <c r="H1161" s="11" t="s">
        <v>27</v>
      </c>
      <c r="I1161" s="6" t="s">
        <v>28</v>
      </c>
      <c r="J1161" s="6" t="s">
        <v>28</v>
      </c>
      <c r="K1161" t="s">
        <v>32</v>
      </c>
      <c r="L1161" s="35">
        <v>24.43</v>
      </c>
      <c r="M1161" s="6" t="s">
        <v>29</v>
      </c>
      <c r="N1161" s="6">
        <v>3105</v>
      </c>
      <c r="P1161" s="18"/>
      <c r="Q1161" s="17"/>
      <c r="R1161" s="19">
        <v>0</v>
      </c>
      <c r="S1161" s="19">
        <v>0</v>
      </c>
      <c r="T1161" s="38">
        <v>0</v>
      </c>
      <c r="U1161" s="38"/>
      <c r="V1161" s="29">
        <v>24.43</v>
      </c>
      <c r="W1161" s="35">
        <v>24.43</v>
      </c>
      <c r="X1161" s="32">
        <f t="shared" si="198"/>
        <v>0</v>
      </c>
      <c r="Y1161" s="32">
        <f t="shared" si="199"/>
        <v>0</v>
      </c>
      <c r="Z1161" s="32">
        <f t="shared" si="200"/>
        <v>0</v>
      </c>
      <c r="AA1161" s="38" t="s">
        <v>2573</v>
      </c>
      <c r="AB1161" s="37" t="str">
        <f>IFERROR(VLOOKUP(A1161,'Tash Lookup'!A:E,3,FALSE),"")</f>
        <v/>
      </c>
      <c r="AC1161" s="6" t="str">
        <f t="shared" si="201"/>
        <v/>
      </c>
      <c r="AD1161" s="2" t="s">
        <v>6703</v>
      </c>
      <c r="AF1161" s="56">
        <v>26.26</v>
      </c>
      <c r="AG1161" s="56">
        <f>VLOOKUP(A1161,Sheet1!$A$2:$C$1140,3,FALSE)</f>
        <v>26.79</v>
      </c>
      <c r="AH1161" s="58">
        <v>26.79</v>
      </c>
      <c r="AI1161" s="56" t="str">
        <f t="shared" si="202"/>
        <v>Increase</v>
      </c>
      <c r="AJ1161" s="81">
        <f t="shared" si="206"/>
        <v>0</v>
      </c>
      <c r="AK1161" s="81">
        <f t="shared" si="207"/>
        <v>0</v>
      </c>
      <c r="AL1161" s="58" t="s">
        <v>7206</v>
      </c>
      <c r="AM1161" s="58" t="s">
        <v>6703</v>
      </c>
      <c r="AN1161" s="75">
        <v>0</v>
      </c>
      <c r="AO1161" s="88">
        <v>26.79</v>
      </c>
      <c r="AP1161" s="6" t="str">
        <f t="shared" si="203"/>
        <v>Increase</v>
      </c>
      <c r="AQ1161" s="81">
        <f t="shared" si="204"/>
        <v>0</v>
      </c>
      <c r="AR1161" s="81">
        <f t="shared" si="205"/>
        <v>0</v>
      </c>
      <c r="AS1161" s="81">
        <f t="shared" si="208"/>
        <v>0</v>
      </c>
    </row>
    <row r="1162" spans="1:45" hidden="1" x14ac:dyDescent="0.3">
      <c r="A1162">
        <v>6360902</v>
      </c>
      <c r="B1162" s="15" t="s">
        <v>6498</v>
      </c>
      <c r="C1162" s="16" t="s">
        <v>30</v>
      </c>
      <c r="D1162" s="6" t="s">
        <v>31</v>
      </c>
      <c r="E1162" t="s">
        <v>2564</v>
      </c>
      <c r="F1162" t="s">
        <v>2564</v>
      </c>
      <c r="H1162" s="11" t="s">
        <v>27</v>
      </c>
      <c r="I1162" s="6" t="s">
        <v>28</v>
      </c>
      <c r="J1162" s="6" t="s">
        <v>28</v>
      </c>
      <c r="K1162" t="s">
        <v>32</v>
      </c>
      <c r="L1162" s="35">
        <v>24.38</v>
      </c>
      <c r="M1162" s="6" t="s">
        <v>29</v>
      </c>
      <c r="N1162" s="6">
        <v>3105</v>
      </c>
      <c r="P1162" s="18"/>
      <c r="Q1162" s="17"/>
      <c r="R1162" s="19">
        <v>0</v>
      </c>
      <c r="S1162" s="19">
        <v>0</v>
      </c>
      <c r="T1162" s="38">
        <v>0</v>
      </c>
      <c r="U1162" s="38"/>
      <c r="V1162" s="29">
        <v>24.38</v>
      </c>
      <c r="W1162" s="35">
        <v>24.38</v>
      </c>
      <c r="X1162" s="32">
        <f t="shared" si="198"/>
        <v>0</v>
      </c>
      <c r="Y1162" s="32">
        <f t="shared" si="199"/>
        <v>0</v>
      </c>
      <c r="Z1162" s="32">
        <f t="shared" si="200"/>
        <v>0</v>
      </c>
      <c r="AA1162" s="38" t="s">
        <v>2573</v>
      </c>
      <c r="AB1162" s="37" t="str">
        <f>IFERROR(VLOOKUP(A1162,'Tash Lookup'!A:E,3,FALSE),"")</f>
        <v/>
      </c>
      <c r="AC1162" s="6" t="str">
        <f t="shared" si="201"/>
        <v/>
      </c>
      <c r="AD1162" s="2" t="s">
        <v>6703</v>
      </c>
      <c r="AF1162" s="56">
        <v>26.2</v>
      </c>
      <c r="AG1162" s="56">
        <f>VLOOKUP(A1162,Sheet1!$A$2:$C$1140,3,FALSE)</f>
        <v>26.72</v>
      </c>
      <c r="AH1162" s="58">
        <v>26.72</v>
      </c>
      <c r="AI1162" s="56" t="str">
        <f t="shared" si="202"/>
        <v>Increase</v>
      </c>
      <c r="AJ1162" s="81">
        <f t="shared" si="206"/>
        <v>0</v>
      </c>
      <c r="AK1162" s="81">
        <f t="shared" si="207"/>
        <v>0</v>
      </c>
      <c r="AL1162" s="58" t="s">
        <v>7206</v>
      </c>
      <c r="AM1162" s="58" t="s">
        <v>6703</v>
      </c>
      <c r="AN1162" s="75">
        <v>1</v>
      </c>
      <c r="AO1162" s="88">
        <v>26.72</v>
      </c>
      <c r="AP1162" s="6" t="str">
        <f t="shared" si="203"/>
        <v>Increase</v>
      </c>
      <c r="AQ1162" s="81">
        <f t="shared" si="204"/>
        <v>26.2</v>
      </c>
      <c r="AR1162" s="81">
        <f t="shared" si="205"/>
        <v>26.72</v>
      </c>
      <c r="AS1162" s="81">
        <f t="shared" si="208"/>
        <v>0.51999999999999957</v>
      </c>
    </row>
    <row r="1163" spans="1:45" hidden="1" x14ac:dyDescent="0.3">
      <c r="A1163">
        <v>6317315</v>
      </c>
      <c r="B1163" s="15" t="s">
        <v>6499</v>
      </c>
      <c r="C1163" s="16" t="s">
        <v>30</v>
      </c>
      <c r="D1163" s="6" t="s">
        <v>31</v>
      </c>
      <c r="E1163" t="s">
        <v>929</v>
      </c>
      <c r="F1163" t="s">
        <v>929</v>
      </c>
      <c r="H1163" s="11" t="s">
        <v>27</v>
      </c>
      <c r="I1163" s="6" t="s">
        <v>28</v>
      </c>
      <c r="J1163" s="6" t="s">
        <v>28</v>
      </c>
      <c r="K1163" t="s">
        <v>32</v>
      </c>
      <c r="L1163" s="35">
        <v>945</v>
      </c>
      <c r="M1163" s="6" t="s">
        <v>29</v>
      </c>
      <c r="N1163" s="6">
        <v>3105</v>
      </c>
      <c r="P1163" s="18"/>
      <c r="Q1163" s="17"/>
      <c r="R1163" s="19">
        <v>0</v>
      </c>
      <c r="S1163" s="19">
        <v>0</v>
      </c>
      <c r="T1163" s="38">
        <v>0</v>
      </c>
      <c r="U1163" s="38"/>
      <c r="V1163" s="29">
        <v>945</v>
      </c>
      <c r="W1163" s="35">
        <v>945</v>
      </c>
      <c r="X1163" s="32">
        <f t="shared" si="198"/>
        <v>0</v>
      </c>
      <c r="Y1163" s="32">
        <f t="shared" si="199"/>
        <v>0</v>
      </c>
      <c r="Z1163" s="32">
        <f t="shared" si="200"/>
        <v>0</v>
      </c>
      <c r="AA1163" s="38" t="s">
        <v>2573</v>
      </c>
      <c r="AB1163" s="37" t="str">
        <f>IFERROR(VLOOKUP(A1163,'Tash Lookup'!A:E,3,FALSE),"")</f>
        <v/>
      </c>
      <c r="AC1163" s="6" t="str">
        <f t="shared" si="201"/>
        <v/>
      </c>
      <c r="AD1163" s="2" t="s">
        <v>6703</v>
      </c>
      <c r="AF1163" s="56">
        <v>945</v>
      </c>
      <c r="AG1163" s="56">
        <f>VLOOKUP(A1163,Sheet1!$A$2:$C$1140,3,FALSE)</f>
        <v>945</v>
      </c>
      <c r="AH1163" s="58">
        <v>945</v>
      </c>
      <c r="AI1163" s="56" t="str">
        <f t="shared" si="202"/>
        <v>Same</v>
      </c>
      <c r="AJ1163" s="81">
        <f t="shared" si="206"/>
        <v>0</v>
      </c>
      <c r="AK1163" s="81">
        <f t="shared" si="207"/>
        <v>0</v>
      </c>
      <c r="AL1163" s="58" t="s">
        <v>7206</v>
      </c>
      <c r="AM1163" s="58" t="s">
        <v>6703</v>
      </c>
      <c r="AN1163" s="75">
        <v>0</v>
      </c>
      <c r="AO1163" s="88">
        <v>945</v>
      </c>
      <c r="AP1163" s="6" t="str">
        <f t="shared" si="203"/>
        <v>Same</v>
      </c>
      <c r="AQ1163" s="81">
        <f t="shared" si="204"/>
        <v>0</v>
      </c>
      <c r="AR1163" s="81">
        <f t="shared" si="205"/>
        <v>0</v>
      </c>
      <c r="AS1163" s="81">
        <f t="shared" si="208"/>
        <v>0</v>
      </c>
    </row>
    <row r="1164" spans="1:45" hidden="1" x14ac:dyDescent="0.3">
      <c r="A1164">
        <v>6317535</v>
      </c>
      <c r="B1164" s="15" t="s">
        <v>6500</v>
      </c>
      <c r="C1164" s="16" t="s">
        <v>30</v>
      </c>
      <c r="D1164" s="6" t="s">
        <v>31</v>
      </c>
      <c r="E1164" t="s">
        <v>930</v>
      </c>
      <c r="F1164" t="s">
        <v>930</v>
      </c>
      <c r="H1164" s="11" t="s">
        <v>27</v>
      </c>
      <c r="I1164" s="6" t="s">
        <v>28</v>
      </c>
      <c r="J1164" s="6" t="s">
        <v>28</v>
      </c>
      <c r="K1164" t="s">
        <v>32</v>
      </c>
      <c r="L1164" s="35">
        <v>3444.52</v>
      </c>
      <c r="M1164" s="6" t="s">
        <v>29</v>
      </c>
      <c r="N1164" s="6">
        <v>3105</v>
      </c>
      <c r="P1164" s="18"/>
      <c r="Q1164" s="17"/>
      <c r="R1164" s="19">
        <v>3444.52</v>
      </c>
      <c r="S1164" s="19">
        <v>3444.52</v>
      </c>
      <c r="T1164" s="38">
        <v>0</v>
      </c>
      <c r="U1164" s="38"/>
      <c r="V1164" s="29">
        <v>3444.52</v>
      </c>
      <c r="W1164" s="35">
        <v>3444.52</v>
      </c>
      <c r="X1164" s="32">
        <f t="shared" si="198"/>
        <v>0</v>
      </c>
      <c r="Y1164" s="32">
        <f t="shared" si="199"/>
        <v>0</v>
      </c>
      <c r="Z1164" s="32">
        <f t="shared" si="200"/>
        <v>0</v>
      </c>
      <c r="AA1164" s="38" t="s">
        <v>2573</v>
      </c>
      <c r="AB1164" s="37" t="str">
        <f>IFERROR(VLOOKUP(A1164,'Tash Lookup'!A:E,3,FALSE),"")</f>
        <v/>
      </c>
      <c r="AC1164" s="6" t="str">
        <f t="shared" si="201"/>
        <v/>
      </c>
      <c r="AD1164" s="2" t="s">
        <v>6707</v>
      </c>
      <c r="AF1164" s="56">
        <v>3082.99</v>
      </c>
      <c r="AG1164" s="56" t="e">
        <f>VLOOKUP(A1164,Sheet1!$A$2:$C$1140,3,FALSE)</f>
        <v>#N/A</v>
      </c>
      <c r="AH1164" s="58" t="e">
        <v>#N/A</v>
      </c>
      <c r="AI1164" s="56" t="str">
        <f t="shared" si="202"/>
        <v>Delete</v>
      </c>
      <c r="AJ1164" s="81">
        <f t="shared" si="206"/>
        <v>0</v>
      </c>
      <c r="AK1164" s="81">
        <f t="shared" si="207"/>
        <v>0</v>
      </c>
      <c r="AL1164" s="58" t="s">
        <v>7206</v>
      </c>
      <c r="AM1164" s="58" t="s">
        <v>6709</v>
      </c>
      <c r="AN1164" s="75">
        <v>0</v>
      </c>
      <c r="AO1164" s="88">
        <v>3082.99</v>
      </c>
      <c r="AP1164" s="6" t="str">
        <f t="shared" si="203"/>
        <v>Same</v>
      </c>
      <c r="AQ1164" s="81">
        <f t="shared" si="204"/>
        <v>0</v>
      </c>
      <c r="AR1164" s="81">
        <f t="shared" si="205"/>
        <v>0</v>
      </c>
      <c r="AS1164" s="81">
        <f t="shared" si="208"/>
        <v>0</v>
      </c>
    </row>
    <row r="1165" spans="1:45" hidden="1" x14ac:dyDescent="0.3">
      <c r="A1165">
        <v>6362650</v>
      </c>
      <c r="B1165" s="15" t="s">
        <v>6501</v>
      </c>
      <c r="C1165" s="16" t="s">
        <v>30</v>
      </c>
      <c r="D1165" s="6" t="s">
        <v>31</v>
      </c>
      <c r="E1165" t="s">
        <v>931</v>
      </c>
      <c r="F1165" t="s">
        <v>931</v>
      </c>
      <c r="H1165" s="11" t="s">
        <v>27</v>
      </c>
      <c r="I1165" s="6" t="s">
        <v>28</v>
      </c>
      <c r="J1165" s="6" t="s">
        <v>28</v>
      </c>
      <c r="K1165" t="s">
        <v>32</v>
      </c>
      <c r="L1165" s="35">
        <v>1440.03</v>
      </c>
      <c r="M1165" s="6" t="s">
        <v>29</v>
      </c>
      <c r="N1165" s="6">
        <v>3105</v>
      </c>
      <c r="P1165" s="18"/>
      <c r="Q1165" s="17"/>
      <c r="R1165" s="19">
        <v>0</v>
      </c>
      <c r="S1165" s="19">
        <v>0</v>
      </c>
      <c r="T1165" s="38">
        <v>0</v>
      </c>
      <c r="U1165" s="38"/>
      <c r="V1165" s="29">
        <v>1440.03</v>
      </c>
      <c r="W1165" s="35">
        <v>1440.03</v>
      </c>
      <c r="X1165" s="32">
        <f t="shared" si="198"/>
        <v>0</v>
      </c>
      <c r="Y1165" s="32">
        <f t="shared" si="199"/>
        <v>0</v>
      </c>
      <c r="Z1165" s="32">
        <f t="shared" si="200"/>
        <v>0</v>
      </c>
      <c r="AA1165" s="38" t="s">
        <v>2573</v>
      </c>
      <c r="AB1165" s="37" t="str">
        <f>IFERROR(VLOOKUP(A1165,'Tash Lookup'!A:E,3,FALSE),"")</f>
        <v/>
      </c>
      <c r="AC1165" s="6" t="str">
        <f t="shared" si="201"/>
        <v/>
      </c>
      <c r="AD1165" s="2" t="s">
        <v>6703</v>
      </c>
      <c r="AF1165" s="56">
        <v>1482.89</v>
      </c>
      <c r="AG1165" s="56">
        <f>VLOOKUP(A1165,Sheet1!$A$2:$C$1140,3,FALSE)</f>
        <v>1482.89</v>
      </c>
      <c r="AH1165" s="58">
        <v>1482.89</v>
      </c>
      <c r="AI1165" s="56" t="str">
        <f t="shared" si="202"/>
        <v>Same</v>
      </c>
      <c r="AJ1165" s="81">
        <f t="shared" si="206"/>
        <v>0</v>
      </c>
      <c r="AK1165" s="81">
        <f t="shared" si="207"/>
        <v>0</v>
      </c>
      <c r="AL1165" s="58" t="s">
        <v>7206</v>
      </c>
      <c r="AM1165" s="58" t="s">
        <v>6703</v>
      </c>
      <c r="AN1165" s="75">
        <v>0</v>
      </c>
      <c r="AO1165" s="88">
        <v>1482.89</v>
      </c>
      <c r="AP1165" s="6" t="str">
        <f t="shared" si="203"/>
        <v>Same</v>
      </c>
      <c r="AQ1165" s="81">
        <f t="shared" si="204"/>
        <v>0</v>
      </c>
      <c r="AR1165" s="81">
        <f t="shared" si="205"/>
        <v>0</v>
      </c>
      <c r="AS1165" s="81">
        <f t="shared" si="208"/>
        <v>0</v>
      </c>
    </row>
    <row r="1166" spans="1:45" hidden="1" x14ac:dyDescent="0.3">
      <c r="A1166">
        <v>6362674</v>
      </c>
      <c r="B1166" s="15" t="s">
        <v>6502</v>
      </c>
      <c r="C1166" s="16" t="s">
        <v>30</v>
      </c>
      <c r="D1166" s="6" t="s">
        <v>31</v>
      </c>
      <c r="E1166" t="s">
        <v>932</v>
      </c>
      <c r="F1166" t="s">
        <v>932</v>
      </c>
      <c r="H1166" s="11" t="s">
        <v>27</v>
      </c>
      <c r="I1166" s="6" t="s">
        <v>28</v>
      </c>
      <c r="J1166" s="6" t="s">
        <v>28</v>
      </c>
      <c r="K1166" t="s">
        <v>32</v>
      </c>
      <c r="L1166" s="35">
        <v>1409.68</v>
      </c>
      <c r="M1166" s="6" t="s">
        <v>29</v>
      </c>
      <c r="N1166" s="6">
        <v>3105</v>
      </c>
      <c r="P1166" s="18"/>
      <c r="Q1166" s="17"/>
      <c r="R1166" s="19">
        <v>0</v>
      </c>
      <c r="S1166" s="19">
        <v>0</v>
      </c>
      <c r="T1166" s="38">
        <v>0</v>
      </c>
      <c r="U1166" s="38"/>
      <c r="V1166" s="29">
        <v>1409.68</v>
      </c>
      <c r="W1166" s="35">
        <v>1409.68</v>
      </c>
      <c r="X1166" s="32">
        <f t="shared" si="198"/>
        <v>0</v>
      </c>
      <c r="Y1166" s="32">
        <f t="shared" si="199"/>
        <v>0</v>
      </c>
      <c r="Z1166" s="32">
        <f t="shared" si="200"/>
        <v>0</v>
      </c>
      <c r="AA1166" s="38" t="s">
        <v>2573</v>
      </c>
      <c r="AB1166" s="37" t="str">
        <f>IFERROR(VLOOKUP(A1166,'Tash Lookup'!A:E,3,FALSE),"")</f>
        <v/>
      </c>
      <c r="AC1166" s="6" t="str">
        <f t="shared" si="201"/>
        <v/>
      </c>
      <c r="AD1166" s="2" t="s">
        <v>6703</v>
      </c>
      <c r="AF1166" s="56">
        <v>1452.48</v>
      </c>
      <c r="AG1166" s="56">
        <f>VLOOKUP(A1166,Sheet1!$A$2:$C$1140,3,FALSE)</f>
        <v>1452.48</v>
      </c>
      <c r="AH1166" s="58">
        <v>1452.48</v>
      </c>
      <c r="AI1166" s="56" t="str">
        <f t="shared" si="202"/>
        <v>Same</v>
      </c>
      <c r="AJ1166" s="81">
        <f t="shared" si="206"/>
        <v>0</v>
      </c>
      <c r="AK1166" s="81">
        <f t="shared" si="207"/>
        <v>0</v>
      </c>
      <c r="AL1166" s="58" t="s">
        <v>7206</v>
      </c>
      <c r="AM1166" s="58" t="s">
        <v>6703</v>
      </c>
      <c r="AN1166" s="75">
        <v>0</v>
      </c>
      <c r="AO1166" s="88">
        <v>1452.48</v>
      </c>
      <c r="AP1166" s="6" t="str">
        <f t="shared" si="203"/>
        <v>Same</v>
      </c>
      <c r="AQ1166" s="81">
        <f t="shared" si="204"/>
        <v>0</v>
      </c>
      <c r="AR1166" s="81">
        <f t="shared" si="205"/>
        <v>0</v>
      </c>
      <c r="AS1166" s="81">
        <f t="shared" si="208"/>
        <v>0</v>
      </c>
    </row>
    <row r="1167" spans="1:45" hidden="1" x14ac:dyDescent="0.3">
      <c r="A1167">
        <v>6391536</v>
      </c>
      <c r="B1167" s="15" t="s">
        <v>6503</v>
      </c>
      <c r="C1167" s="16" t="s">
        <v>30</v>
      </c>
      <c r="D1167" s="6" t="s">
        <v>31</v>
      </c>
      <c r="E1167" t="s">
        <v>933</v>
      </c>
      <c r="F1167" t="s">
        <v>933</v>
      </c>
      <c r="H1167" s="11" t="s">
        <v>27</v>
      </c>
      <c r="I1167" s="6" t="s">
        <v>28</v>
      </c>
      <c r="J1167" s="6" t="s">
        <v>28</v>
      </c>
      <c r="K1167" t="s">
        <v>32</v>
      </c>
      <c r="L1167" s="35">
        <v>21.91</v>
      </c>
      <c r="M1167" s="6" t="s">
        <v>29</v>
      </c>
      <c r="N1167" s="6">
        <v>3105</v>
      </c>
      <c r="P1167" s="18"/>
      <c r="Q1167" s="17"/>
      <c r="R1167" s="19">
        <v>0</v>
      </c>
      <c r="S1167" s="19">
        <v>0</v>
      </c>
      <c r="T1167" s="38">
        <v>0</v>
      </c>
      <c r="U1167" s="38"/>
      <c r="V1167" s="29">
        <v>21.91</v>
      </c>
      <c r="W1167" s="35">
        <v>21.91</v>
      </c>
      <c r="X1167" s="32">
        <f t="shared" si="198"/>
        <v>0</v>
      </c>
      <c r="Y1167" s="32">
        <f t="shared" si="199"/>
        <v>0</v>
      </c>
      <c r="Z1167" s="32">
        <f t="shared" si="200"/>
        <v>0</v>
      </c>
      <c r="AA1167" s="38" t="s">
        <v>2573</v>
      </c>
      <c r="AB1167" s="37" t="str">
        <f>IFERROR(VLOOKUP(A1167,'Tash Lookup'!A:E,3,FALSE),"")</f>
        <v/>
      </c>
      <c r="AC1167" s="6" t="str">
        <f t="shared" si="201"/>
        <v/>
      </c>
      <c r="AD1167" s="2" t="s">
        <v>6703</v>
      </c>
      <c r="AF1167" s="56">
        <v>23.55</v>
      </c>
      <c r="AG1167" s="56">
        <f>VLOOKUP(A1167,Sheet1!$A$2:$C$1140,3,FALSE)</f>
        <v>26.79</v>
      </c>
      <c r="AH1167" s="58">
        <v>26.79</v>
      </c>
      <c r="AI1167" s="56" t="str">
        <f t="shared" si="202"/>
        <v>Increase</v>
      </c>
      <c r="AJ1167" s="81">
        <f t="shared" si="206"/>
        <v>0</v>
      </c>
      <c r="AK1167" s="81">
        <f t="shared" si="207"/>
        <v>0</v>
      </c>
      <c r="AL1167" s="58" t="s">
        <v>7206</v>
      </c>
      <c r="AM1167" s="58" t="s">
        <v>6703</v>
      </c>
      <c r="AN1167" s="75">
        <v>0</v>
      </c>
      <c r="AO1167" s="88">
        <v>26.79</v>
      </c>
      <c r="AP1167" s="6" t="str">
        <f t="shared" si="203"/>
        <v>Increase</v>
      </c>
      <c r="AQ1167" s="81">
        <f t="shared" si="204"/>
        <v>0</v>
      </c>
      <c r="AR1167" s="81">
        <f t="shared" si="205"/>
        <v>0</v>
      </c>
      <c r="AS1167" s="81">
        <f t="shared" si="208"/>
        <v>0</v>
      </c>
    </row>
    <row r="1168" spans="1:45" hidden="1" x14ac:dyDescent="0.3">
      <c r="A1168">
        <v>6391551</v>
      </c>
      <c r="B1168" s="15" t="s">
        <v>6504</v>
      </c>
      <c r="C1168" s="16" t="s">
        <v>30</v>
      </c>
      <c r="D1168" s="6" t="s">
        <v>31</v>
      </c>
      <c r="E1168" t="s">
        <v>934</v>
      </c>
      <c r="F1168" t="s">
        <v>934</v>
      </c>
      <c r="H1168" s="11" t="s">
        <v>27</v>
      </c>
      <c r="I1168" s="6" t="s">
        <v>28</v>
      </c>
      <c r="J1168" s="6" t="s">
        <v>28</v>
      </c>
      <c r="K1168" t="s">
        <v>32</v>
      </c>
      <c r="L1168" s="35">
        <v>21.91</v>
      </c>
      <c r="M1168" s="6" t="s">
        <v>29</v>
      </c>
      <c r="N1168" s="6">
        <v>3105</v>
      </c>
      <c r="P1168" s="18"/>
      <c r="Q1168" s="17"/>
      <c r="R1168" s="19">
        <v>0</v>
      </c>
      <c r="S1168" s="19">
        <v>0</v>
      </c>
      <c r="T1168" s="38">
        <v>0</v>
      </c>
      <c r="U1168" s="38"/>
      <c r="V1168" s="29">
        <v>21.91</v>
      </c>
      <c r="W1168" s="35">
        <v>21.91</v>
      </c>
      <c r="X1168" s="32">
        <f t="shared" si="198"/>
        <v>0</v>
      </c>
      <c r="Y1168" s="32">
        <f t="shared" si="199"/>
        <v>0</v>
      </c>
      <c r="Z1168" s="32">
        <f t="shared" si="200"/>
        <v>0</v>
      </c>
      <c r="AA1168" s="38" t="s">
        <v>2573</v>
      </c>
      <c r="AB1168" s="37" t="str">
        <f>IFERROR(VLOOKUP(A1168,'Tash Lookup'!A:E,3,FALSE),"")</f>
        <v/>
      </c>
      <c r="AC1168" s="6" t="str">
        <f t="shared" si="201"/>
        <v/>
      </c>
      <c r="AD1168" s="2" t="s">
        <v>6703</v>
      </c>
      <c r="AF1168" s="56">
        <v>23.55</v>
      </c>
      <c r="AG1168" s="56">
        <f>VLOOKUP(A1168,Sheet1!$A$2:$C$1140,3,FALSE)</f>
        <v>26.79</v>
      </c>
      <c r="AH1168" s="58">
        <v>26.79</v>
      </c>
      <c r="AI1168" s="56" t="str">
        <f t="shared" si="202"/>
        <v>Increase</v>
      </c>
      <c r="AJ1168" s="81">
        <f t="shared" si="206"/>
        <v>0</v>
      </c>
      <c r="AK1168" s="81">
        <f t="shared" si="207"/>
        <v>0</v>
      </c>
      <c r="AL1168" s="58" t="s">
        <v>7206</v>
      </c>
      <c r="AM1168" s="58" t="s">
        <v>6703</v>
      </c>
      <c r="AN1168" s="75">
        <v>0</v>
      </c>
      <c r="AO1168" s="88">
        <v>26.79</v>
      </c>
      <c r="AP1168" s="6" t="str">
        <f t="shared" si="203"/>
        <v>Increase</v>
      </c>
      <c r="AQ1168" s="81">
        <f t="shared" si="204"/>
        <v>0</v>
      </c>
      <c r="AR1168" s="81">
        <f t="shared" si="205"/>
        <v>0</v>
      </c>
      <c r="AS1168" s="81">
        <f t="shared" si="208"/>
        <v>0</v>
      </c>
    </row>
    <row r="1169" spans="1:45" hidden="1" x14ac:dyDescent="0.3">
      <c r="A1169">
        <v>6046970</v>
      </c>
      <c r="B1169" s="15" t="s">
        <v>6505</v>
      </c>
      <c r="C1169" s="16" t="s">
        <v>30</v>
      </c>
      <c r="D1169" s="6" t="s">
        <v>31</v>
      </c>
      <c r="E1169" t="s">
        <v>935</v>
      </c>
      <c r="F1169" t="s">
        <v>935</v>
      </c>
      <c r="H1169" s="11" t="s">
        <v>27</v>
      </c>
      <c r="I1169" s="6" t="s">
        <v>28</v>
      </c>
      <c r="J1169" s="6" t="s">
        <v>28</v>
      </c>
      <c r="K1169" t="s">
        <v>32</v>
      </c>
      <c r="L1169" s="35">
        <v>16.11</v>
      </c>
      <c r="M1169" s="6" t="s">
        <v>29</v>
      </c>
      <c r="N1169" s="6">
        <v>3105</v>
      </c>
      <c r="P1169" s="18"/>
      <c r="Q1169" s="17"/>
      <c r="R1169" s="19">
        <v>0</v>
      </c>
      <c r="S1169" s="19">
        <v>0</v>
      </c>
      <c r="T1169" s="38">
        <v>0</v>
      </c>
      <c r="U1169" s="38"/>
      <c r="V1169" s="29">
        <v>16.11</v>
      </c>
      <c r="W1169" s="35">
        <v>16.11</v>
      </c>
      <c r="X1169" s="32">
        <f t="shared" si="198"/>
        <v>0</v>
      </c>
      <c r="Y1169" s="32">
        <f t="shared" si="199"/>
        <v>0</v>
      </c>
      <c r="Z1169" s="32">
        <f t="shared" si="200"/>
        <v>0</v>
      </c>
      <c r="AA1169" s="38" t="s">
        <v>2573</v>
      </c>
      <c r="AB1169" s="37" t="str">
        <f>IFERROR(VLOOKUP(A1169,'Tash Lookup'!A:E,3,FALSE),"")</f>
        <v/>
      </c>
      <c r="AC1169" s="6" t="str">
        <f t="shared" si="201"/>
        <v/>
      </c>
      <c r="AD1169" s="2" t="s">
        <v>6703</v>
      </c>
      <c r="AF1169" s="56">
        <v>16.73</v>
      </c>
      <c r="AG1169" s="56">
        <f>VLOOKUP(A1169,Sheet1!$A$2:$C$1140,3,FALSE)</f>
        <v>17.07</v>
      </c>
      <c r="AH1169" s="58">
        <v>17.07</v>
      </c>
      <c r="AI1169" s="56" t="str">
        <f t="shared" si="202"/>
        <v>Increase</v>
      </c>
      <c r="AJ1169" s="81">
        <f t="shared" si="206"/>
        <v>0</v>
      </c>
      <c r="AK1169" s="81">
        <f t="shared" si="207"/>
        <v>0</v>
      </c>
      <c r="AL1169" s="58" t="s">
        <v>7206</v>
      </c>
      <c r="AM1169" s="58" t="s">
        <v>6703</v>
      </c>
      <c r="AN1169" s="75">
        <v>1</v>
      </c>
      <c r="AO1169" s="88">
        <v>17.07</v>
      </c>
      <c r="AP1169" s="6" t="str">
        <f t="shared" si="203"/>
        <v>Increase</v>
      </c>
      <c r="AQ1169" s="81">
        <f t="shared" si="204"/>
        <v>16.73</v>
      </c>
      <c r="AR1169" s="81">
        <f t="shared" si="205"/>
        <v>17.07</v>
      </c>
      <c r="AS1169" s="81">
        <f t="shared" si="208"/>
        <v>0.33999999999999986</v>
      </c>
    </row>
    <row r="1170" spans="1:45" hidden="1" x14ac:dyDescent="0.3">
      <c r="A1170">
        <v>6046969</v>
      </c>
      <c r="B1170" s="15" t="s">
        <v>6506</v>
      </c>
      <c r="C1170" s="16" t="s">
        <v>30</v>
      </c>
      <c r="D1170" s="6" t="s">
        <v>31</v>
      </c>
      <c r="E1170" t="s">
        <v>936</v>
      </c>
      <c r="F1170" t="s">
        <v>936</v>
      </c>
      <c r="H1170" s="11" t="s">
        <v>27</v>
      </c>
      <c r="I1170" s="6" t="s">
        <v>28</v>
      </c>
      <c r="J1170" s="6" t="s">
        <v>28</v>
      </c>
      <c r="K1170" t="s">
        <v>32</v>
      </c>
      <c r="L1170" s="35">
        <v>16.11</v>
      </c>
      <c r="M1170" s="6" t="s">
        <v>29</v>
      </c>
      <c r="N1170" s="6">
        <v>3105</v>
      </c>
      <c r="P1170" s="18"/>
      <c r="Q1170" s="17"/>
      <c r="R1170" s="19">
        <v>0</v>
      </c>
      <c r="S1170" s="19">
        <v>0</v>
      </c>
      <c r="T1170" s="38">
        <v>0</v>
      </c>
      <c r="U1170" s="38"/>
      <c r="V1170" s="29">
        <v>16.11</v>
      </c>
      <c r="W1170" s="35">
        <v>16.11</v>
      </c>
      <c r="X1170" s="32">
        <f t="shared" si="198"/>
        <v>0</v>
      </c>
      <c r="Y1170" s="32">
        <f t="shared" si="199"/>
        <v>0</v>
      </c>
      <c r="Z1170" s="32">
        <f t="shared" si="200"/>
        <v>0</v>
      </c>
      <c r="AA1170" s="38" t="s">
        <v>2573</v>
      </c>
      <c r="AB1170" s="37" t="str">
        <f>IFERROR(VLOOKUP(A1170,'Tash Lookup'!A:E,3,FALSE),"")</f>
        <v/>
      </c>
      <c r="AC1170" s="6" t="str">
        <f t="shared" si="201"/>
        <v/>
      </c>
      <c r="AD1170" s="2" t="s">
        <v>6703</v>
      </c>
      <c r="AF1170" s="56">
        <v>16.73</v>
      </c>
      <c r="AG1170" s="56">
        <f>VLOOKUP(A1170,Sheet1!$A$2:$C$1140,3,FALSE)</f>
        <v>17.07</v>
      </c>
      <c r="AH1170" s="58">
        <v>17.07</v>
      </c>
      <c r="AI1170" s="56" t="str">
        <f t="shared" si="202"/>
        <v>Increase</v>
      </c>
      <c r="AJ1170" s="81">
        <f t="shared" si="206"/>
        <v>0</v>
      </c>
      <c r="AK1170" s="81">
        <f t="shared" si="207"/>
        <v>0</v>
      </c>
      <c r="AL1170" s="58" t="s">
        <v>7206</v>
      </c>
      <c r="AM1170" s="58" t="s">
        <v>6703</v>
      </c>
      <c r="AN1170" s="75">
        <v>0</v>
      </c>
      <c r="AO1170" s="88">
        <v>17.07</v>
      </c>
      <c r="AP1170" s="6" t="str">
        <f t="shared" si="203"/>
        <v>Increase</v>
      </c>
      <c r="AQ1170" s="81">
        <f t="shared" si="204"/>
        <v>0</v>
      </c>
      <c r="AR1170" s="81">
        <f t="shared" si="205"/>
        <v>0</v>
      </c>
      <c r="AS1170" s="81">
        <f t="shared" si="208"/>
        <v>0</v>
      </c>
    </row>
    <row r="1171" spans="1:45" hidden="1" x14ac:dyDescent="0.3">
      <c r="A1171">
        <v>6391320</v>
      </c>
      <c r="B1171" s="15" t="s">
        <v>6507</v>
      </c>
      <c r="C1171" s="16" t="s">
        <v>30</v>
      </c>
      <c r="D1171" s="6" t="s">
        <v>31</v>
      </c>
      <c r="E1171" t="s">
        <v>937</v>
      </c>
      <c r="F1171" t="s">
        <v>937</v>
      </c>
      <c r="H1171" s="11" t="s">
        <v>27</v>
      </c>
      <c r="I1171" s="6" t="s">
        <v>28</v>
      </c>
      <c r="J1171" s="6" t="s">
        <v>28</v>
      </c>
      <c r="K1171" t="s">
        <v>32</v>
      </c>
      <c r="L1171" s="35">
        <v>5248.24</v>
      </c>
      <c r="M1171" s="6" t="s">
        <v>29</v>
      </c>
      <c r="N1171" s="6">
        <v>3105</v>
      </c>
      <c r="P1171" s="18"/>
      <c r="Q1171" s="17"/>
      <c r="R1171" s="19">
        <v>0</v>
      </c>
      <c r="S1171" s="19">
        <v>0</v>
      </c>
      <c r="T1171" s="38">
        <v>0</v>
      </c>
      <c r="U1171" s="38"/>
      <c r="V1171" s="29">
        <v>5248.24</v>
      </c>
      <c r="W1171" s="35">
        <v>5248.24</v>
      </c>
      <c r="X1171" s="32">
        <f t="shared" si="198"/>
        <v>0</v>
      </c>
      <c r="Y1171" s="32">
        <f t="shared" si="199"/>
        <v>0</v>
      </c>
      <c r="Z1171" s="32">
        <f t="shared" si="200"/>
        <v>0</v>
      </c>
      <c r="AA1171" s="38" t="s">
        <v>2573</v>
      </c>
      <c r="AB1171" s="37" t="str">
        <f>IFERROR(VLOOKUP(A1171,'Tash Lookup'!A:E,3,FALSE),"")</f>
        <v/>
      </c>
      <c r="AC1171" s="6" t="str">
        <f t="shared" si="201"/>
        <v/>
      </c>
      <c r="AD1171" s="2" t="s">
        <v>6703</v>
      </c>
      <c r="AF1171" s="56">
        <v>5248.24</v>
      </c>
      <c r="AG1171" s="56">
        <f>VLOOKUP(A1171,Sheet1!$A$2:$C$1140,3,FALSE)</f>
        <v>5248.24</v>
      </c>
      <c r="AH1171" s="58">
        <v>5248.24</v>
      </c>
      <c r="AI1171" s="56" t="str">
        <f t="shared" si="202"/>
        <v>Same</v>
      </c>
      <c r="AJ1171" s="81">
        <f t="shared" si="206"/>
        <v>0</v>
      </c>
      <c r="AK1171" s="81">
        <f t="shared" si="207"/>
        <v>0</v>
      </c>
      <c r="AL1171" s="58" t="s">
        <v>7206</v>
      </c>
      <c r="AM1171" s="58" t="s">
        <v>6703</v>
      </c>
      <c r="AN1171" s="75">
        <v>0</v>
      </c>
      <c r="AO1171" s="88">
        <v>5248.24</v>
      </c>
      <c r="AP1171" s="6" t="str">
        <f t="shared" si="203"/>
        <v>Same</v>
      </c>
      <c r="AQ1171" s="81">
        <f t="shared" si="204"/>
        <v>0</v>
      </c>
      <c r="AR1171" s="81">
        <f t="shared" si="205"/>
        <v>0</v>
      </c>
      <c r="AS1171" s="81">
        <f t="shared" si="208"/>
        <v>0</v>
      </c>
    </row>
    <row r="1172" spans="1:45" hidden="1" x14ac:dyDescent="0.3">
      <c r="A1172">
        <v>6391541</v>
      </c>
      <c r="B1172" s="15" t="s">
        <v>6508</v>
      </c>
      <c r="C1172" s="16" t="s">
        <v>30</v>
      </c>
      <c r="D1172" s="6" t="s">
        <v>31</v>
      </c>
      <c r="E1172" t="s">
        <v>938</v>
      </c>
      <c r="F1172" t="s">
        <v>938</v>
      </c>
      <c r="H1172" s="11" t="s">
        <v>27</v>
      </c>
      <c r="I1172" s="6" t="s">
        <v>28</v>
      </c>
      <c r="J1172" s="6" t="s">
        <v>28</v>
      </c>
      <c r="K1172" t="s">
        <v>32</v>
      </c>
      <c r="L1172" s="35">
        <v>235.81</v>
      </c>
      <c r="M1172" s="6" t="s">
        <v>29</v>
      </c>
      <c r="N1172" s="6">
        <v>3105</v>
      </c>
      <c r="P1172" s="18"/>
      <c r="Q1172" s="17"/>
      <c r="R1172" s="19">
        <v>0</v>
      </c>
      <c r="S1172" s="19">
        <v>0</v>
      </c>
      <c r="T1172" s="38">
        <v>0</v>
      </c>
      <c r="U1172" s="38"/>
      <c r="V1172" s="29">
        <v>235.81</v>
      </c>
      <c r="W1172" s="35">
        <v>235.81</v>
      </c>
      <c r="X1172" s="32">
        <f t="shared" si="198"/>
        <v>0</v>
      </c>
      <c r="Y1172" s="32">
        <f t="shared" si="199"/>
        <v>0</v>
      </c>
      <c r="Z1172" s="32">
        <f t="shared" si="200"/>
        <v>0</v>
      </c>
      <c r="AA1172" s="38" t="s">
        <v>2573</v>
      </c>
      <c r="AB1172" s="37" t="str">
        <f>IFERROR(VLOOKUP(A1172,'Tash Lookup'!A:E,3,FALSE),"")</f>
        <v/>
      </c>
      <c r="AC1172" s="6" t="str">
        <f t="shared" si="201"/>
        <v/>
      </c>
      <c r="AD1172" s="2" t="s">
        <v>6703</v>
      </c>
      <c r="AF1172" s="56">
        <v>254.89</v>
      </c>
      <c r="AG1172" s="56">
        <f>VLOOKUP(A1172,Sheet1!$A$2:$C$1140,3,FALSE)</f>
        <v>254.89</v>
      </c>
      <c r="AH1172" s="58">
        <v>254.89</v>
      </c>
      <c r="AI1172" s="56" t="str">
        <f t="shared" si="202"/>
        <v>Same</v>
      </c>
      <c r="AJ1172" s="81">
        <f t="shared" si="206"/>
        <v>0</v>
      </c>
      <c r="AK1172" s="81">
        <f t="shared" si="207"/>
        <v>0</v>
      </c>
      <c r="AL1172" s="58" t="s">
        <v>7206</v>
      </c>
      <c r="AM1172" s="58" t="s">
        <v>6708</v>
      </c>
      <c r="AN1172" s="75">
        <v>0</v>
      </c>
      <c r="AO1172" s="88">
        <v>254.89</v>
      </c>
      <c r="AP1172" s="6" t="str">
        <f t="shared" si="203"/>
        <v>Same</v>
      </c>
      <c r="AQ1172" s="81">
        <f t="shared" si="204"/>
        <v>0</v>
      </c>
      <c r="AR1172" s="81">
        <f t="shared" si="205"/>
        <v>0</v>
      </c>
      <c r="AS1172" s="81">
        <f t="shared" si="208"/>
        <v>0</v>
      </c>
    </row>
    <row r="1173" spans="1:45" hidden="1" x14ac:dyDescent="0.3">
      <c r="A1173">
        <v>6317316</v>
      </c>
      <c r="B1173" s="15" t="s">
        <v>6509</v>
      </c>
      <c r="C1173" s="16" t="s">
        <v>30</v>
      </c>
      <c r="D1173" s="6" t="s">
        <v>31</v>
      </c>
      <c r="E1173" t="s">
        <v>939</v>
      </c>
      <c r="F1173" t="s">
        <v>939</v>
      </c>
      <c r="H1173" s="11" t="s">
        <v>27</v>
      </c>
      <c r="I1173" s="6" t="s">
        <v>28</v>
      </c>
      <c r="J1173" s="6" t="s">
        <v>28</v>
      </c>
      <c r="K1173" t="s">
        <v>32</v>
      </c>
      <c r="L1173" s="35">
        <v>699.3</v>
      </c>
      <c r="M1173" s="6" t="s">
        <v>29</v>
      </c>
      <c r="N1173" s="6">
        <v>3105</v>
      </c>
      <c r="P1173" s="18"/>
      <c r="Q1173" s="17"/>
      <c r="R1173" s="19">
        <v>699.3</v>
      </c>
      <c r="S1173" s="19">
        <v>699.3</v>
      </c>
      <c r="T1173" s="38">
        <v>0</v>
      </c>
      <c r="U1173" s="38"/>
      <c r="V1173" s="29">
        <v>699.3</v>
      </c>
      <c r="W1173" s="35">
        <v>699.3</v>
      </c>
      <c r="X1173" s="32">
        <f t="shared" si="198"/>
        <v>0</v>
      </c>
      <c r="Y1173" s="32">
        <f t="shared" si="199"/>
        <v>0</v>
      </c>
      <c r="Z1173" s="32">
        <f t="shared" si="200"/>
        <v>0</v>
      </c>
      <c r="AA1173" s="38" t="s">
        <v>2573</v>
      </c>
      <c r="AB1173" s="37" t="str">
        <f>IFERROR(VLOOKUP(A1173,'Tash Lookup'!A:E,3,FALSE),"")</f>
        <v/>
      </c>
      <c r="AC1173" s="6" t="str">
        <f t="shared" si="201"/>
        <v/>
      </c>
      <c r="AD1173" s="2" t="s">
        <v>6703</v>
      </c>
      <c r="AF1173" s="56">
        <v>866.25</v>
      </c>
      <c r="AG1173" s="56">
        <f>VLOOKUP(A1173,Sheet1!$A$2:$C$1140,3,FALSE)</f>
        <v>866.25</v>
      </c>
      <c r="AH1173" s="58">
        <v>866.25</v>
      </c>
      <c r="AI1173" s="56" t="str">
        <f t="shared" si="202"/>
        <v>Same</v>
      </c>
      <c r="AJ1173" s="81">
        <f t="shared" si="206"/>
        <v>0</v>
      </c>
      <c r="AK1173" s="81">
        <f t="shared" si="207"/>
        <v>0</v>
      </c>
      <c r="AL1173" s="58" t="s">
        <v>7206</v>
      </c>
      <c r="AM1173" s="58" t="s">
        <v>6703</v>
      </c>
      <c r="AN1173" s="75">
        <v>0</v>
      </c>
      <c r="AO1173" s="88">
        <v>866.25</v>
      </c>
      <c r="AP1173" s="6" t="str">
        <f t="shared" si="203"/>
        <v>Same</v>
      </c>
      <c r="AQ1173" s="81">
        <f t="shared" si="204"/>
        <v>0</v>
      </c>
      <c r="AR1173" s="81">
        <f t="shared" si="205"/>
        <v>0</v>
      </c>
      <c r="AS1173" s="81">
        <f t="shared" si="208"/>
        <v>0</v>
      </c>
    </row>
    <row r="1174" spans="1:45" hidden="1" x14ac:dyDescent="0.3">
      <c r="A1174">
        <v>6391534</v>
      </c>
      <c r="B1174" s="15" t="s">
        <v>6510</v>
      </c>
      <c r="C1174" s="16" t="s">
        <v>30</v>
      </c>
      <c r="D1174" s="6" t="s">
        <v>31</v>
      </c>
      <c r="E1174" t="s">
        <v>940</v>
      </c>
      <c r="F1174" t="s">
        <v>940</v>
      </c>
      <c r="H1174" s="11" t="s">
        <v>27</v>
      </c>
      <c r="I1174" s="6" t="s">
        <v>28</v>
      </c>
      <c r="J1174" s="6" t="s">
        <v>28</v>
      </c>
      <c r="K1174" t="s">
        <v>32</v>
      </c>
      <c r="L1174" s="35">
        <v>99.44</v>
      </c>
      <c r="M1174" s="6" t="s">
        <v>29</v>
      </c>
      <c r="N1174" s="6">
        <v>3105</v>
      </c>
      <c r="P1174" s="18"/>
      <c r="Q1174" s="17"/>
      <c r="R1174" s="19">
        <v>0</v>
      </c>
      <c r="S1174" s="19">
        <v>0</v>
      </c>
      <c r="T1174" s="38">
        <v>0</v>
      </c>
      <c r="U1174" s="38"/>
      <c r="V1174" s="29">
        <v>99.44</v>
      </c>
      <c r="W1174" s="35">
        <v>99.44</v>
      </c>
      <c r="X1174" s="32">
        <f t="shared" si="198"/>
        <v>0</v>
      </c>
      <c r="Y1174" s="32">
        <f t="shared" si="199"/>
        <v>0</v>
      </c>
      <c r="Z1174" s="32">
        <f t="shared" si="200"/>
        <v>0</v>
      </c>
      <c r="AA1174" s="38" t="s">
        <v>2573</v>
      </c>
      <c r="AB1174" s="37" t="str">
        <f>IFERROR(VLOOKUP(A1174,'Tash Lookup'!A:E,3,FALSE),"")</f>
        <v/>
      </c>
      <c r="AC1174" s="6" t="str">
        <f t="shared" si="201"/>
        <v/>
      </c>
      <c r="AD1174" s="2" t="s">
        <v>6703</v>
      </c>
      <c r="AF1174" s="56">
        <v>107.3</v>
      </c>
      <c r="AG1174" s="56">
        <f>VLOOKUP(A1174,Sheet1!$A$2:$C$1140,3,FALSE)</f>
        <v>107.3</v>
      </c>
      <c r="AH1174" s="58">
        <v>107.3</v>
      </c>
      <c r="AI1174" s="56" t="str">
        <f t="shared" si="202"/>
        <v>Same</v>
      </c>
      <c r="AJ1174" s="81">
        <f t="shared" si="206"/>
        <v>0</v>
      </c>
      <c r="AK1174" s="81">
        <f t="shared" si="207"/>
        <v>0</v>
      </c>
      <c r="AL1174" s="58" t="s">
        <v>7206</v>
      </c>
      <c r="AM1174" s="58" t="s">
        <v>6703</v>
      </c>
      <c r="AN1174" s="75">
        <v>0</v>
      </c>
      <c r="AO1174" s="88">
        <v>107.3</v>
      </c>
      <c r="AP1174" s="6" t="str">
        <f t="shared" si="203"/>
        <v>Same</v>
      </c>
      <c r="AQ1174" s="81">
        <f t="shared" si="204"/>
        <v>0</v>
      </c>
      <c r="AR1174" s="81">
        <f t="shared" si="205"/>
        <v>0</v>
      </c>
      <c r="AS1174" s="81">
        <f t="shared" si="208"/>
        <v>0</v>
      </c>
    </row>
    <row r="1175" spans="1:45" hidden="1" x14ac:dyDescent="0.3">
      <c r="A1175">
        <v>6046971</v>
      </c>
      <c r="B1175" s="15" t="s">
        <v>6511</v>
      </c>
      <c r="C1175" s="16" t="s">
        <v>30</v>
      </c>
      <c r="D1175" s="6" t="s">
        <v>31</v>
      </c>
      <c r="E1175" t="s">
        <v>941</v>
      </c>
      <c r="F1175" t="s">
        <v>941</v>
      </c>
      <c r="H1175" s="11" t="s">
        <v>27</v>
      </c>
      <c r="I1175" s="6" t="s">
        <v>28</v>
      </c>
      <c r="J1175" s="6" t="s">
        <v>28</v>
      </c>
      <c r="K1175" t="s">
        <v>32</v>
      </c>
      <c r="L1175" s="35">
        <v>18.329999999999998</v>
      </c>
      <c r="M1175" s="6" t="s">
        <v>29</v>
      </c>
      <c r="N1175" s="6">
        <v>3105</v>
      </c>
      <c r="P1175" s="18"/>
      <c r="Q1175" s="17"/>
      <c r="R1175" s="19">
        <v>0</v>
      </c>
      <c r="S1175" s="19">
        <v>0</v>
      </c>
      <c r="T1175" s="38">
        <v>0</v>
      </c>
      <c r="U1175" s="38"/>
      <c r="V1175" s="29">
        <v>18.329999999999998</v>
      </c>
      <c r="W1175" s="35">
        <v>18.329999999999998</v>
      </c>
      <c r="X1175" s="32">
        <f t="shared" si="198"/>
        <v>0</v>
      </c>
      <c r="Y1175" s="32">
        <f t="shared" si="199"/>
        <v>0</v>
      </c>
      <c r="Z1175" s="32">
        <f t="shared" si="200"/>
        <v>0</v>
      </c>
      <c r="AA1175" s="38" t="s">
        <v>2573</v>
      </c>
      <c r="AB1175" s="37" t="str">
        <f>IFERROR(VLOOKUP(A1175,'Tash Lookup'!A:E,3,FALSE),"")</f>
        <v/>
      </c>
      <c r="AC1175" s="6" t="str">
        <f t="shared" si="201"/>
        <v/>
      </c>
      <c r="AD1175" s="2" t="s">
        <v>6703</v>
      </c>
      <c r="AF1175" s="56">
        <v>20.02</v>
      </c>
      <c r="AG1175" s="56">
        <f>VLOOKUP(A1175,Sheet1!$A$2:$C$1140,3,FALSE)</f>
        <v>20.420000000000002</v>
      </c>
      <c r="AH1175" s="58">
        <v>20.420000000000002</v>
      </c>
      <c r="AI1175" s="56" t="str">
        <f t="shared" si="202"/>
        <v>Increase</v>
      </c>
      <c r="AJ1175" s="81">
        <f t="shared" si="206"/>
        <v>0</v>
      </c>
      <c r="AK1175" s="81">
        <f t="shared" si="207"/>
        <v>0</v>
      </c>
      <c r="AL1175" s="58" t="s">
        <v>7206</v>
      </c>
      <c r="AM1175" s="58" t="s">
        <v>6703</v>
      </c>
      <c r="AN1175" s="75">
        <v>1</v>
      </c>
      <c r="AO1175" s="88">
        <v>20.420000000000002</v>
      </c>
      <c r="AP1175" s="6" t="str">
        <f t="shared" si="203"/>
        <v>Increase</v>
      </c>
      <c r="AQ1175" s="81">
        <f t="shared" si="204"/>
        <v>20.02</v>
      </c>
      <c r="AR1175" s="81">
        <f t="shared" si="205"/>
        <v>20.420000000000002</v>
      </c>
      <c r="AS1175" s="81">
        <f t="shared" si="208"/>
        <v>0.40000000000000213</v>
      </c>
    </row>
    <row r="1176" spans="1:45" hidden="1" x14ac:dyDescent="0.3">
      <c r="A1176">
        <v>6390790</v>
      </c>
      <c r="B1176" s="15" t="s">
        <v>6512</v>
      </c>
      <c r="C1176" s="16" t="s">
        <v>30</v>
      </c>
      <c r="D1176" s="6" t="s">
        <v>31</v>
      </c>
      <c r="E1176" t="s">
        <v>943</v>
      </c>
      <c r="F1176" t="s">
        <v>943</v>
      </c>
      <c r="H1176" s="11" t="s">
        <v>27</v>
      </c>
      <c r="I1176" s="6" t="s">
        <v>28</v>
      </c>
      <c r="J1176" s="6" t="s">
        <v>28</v>
      </c>
      <c r="K1176" t="s">
        <v>32</v>
      </c>
      <c r="L1176" s="35">
        <v>2259.5</v>
      </c>
      <c r="M1176" s="6" t="s">
        <v>29</v>
      </c>
      <c r="N1176" s="6">
        <v>3105</v>
      </c>
      <c r="P1176" s="18"/>
      <c r="Q1176" s="17"/>
      <c r="R1176" s="19">
        <v>0</v>
      </c>
      <c r="S1176" s="19">
        <v>0</v>
      </c>
      <c r="T1176" s="38">
        <v>0</v>
      </c>
      <c r="U1176" s="38"/>
      <c r="V1176" s="29">
        <v>2259.5</v>
      </c>
      <c r="W1176" s="35">
        <v>2259.5</v>
      </c>
      <c r="X1176" s="32">
        <f t="shared" si="198"/>
        <v>0</v>
      </c>
      <c r="Y1176" s="32">
        <f t="shared" si="199"/>
        <v>0</v>
      </c>
      <c r="Z1176" s="32">
        <f t="shared" si="200"/>
        <v>0</v>
      </c>
      <c r="AA1176" s="38" t="s">
        <v>2573</v>
      </c>
      <c r="AB1176" s="37" t="str">
        <f>IFERROR(VLOOKUP(A1176,'Tash Lookup'!A:E,3,FALSE),"")</f>
        <v/>
      </c>
      <c r="AC1176" s="6" t="str">
        <f t="shared" si="201"/>
        <v/>
      </c>
      <c r="AD1176" s="2" t="s">
        <v>6703</v>
      </c>
      <c r="AF1176" s="56">
        <v>2216.6999999999998</v>
      </c>
      <c r="AG1176" s="56">
        <f>VLOOKUP(A1176,Sheet1!$A$2:$C$1140,3,FALSE)</f>
        <v>2327.54</v>
      </c>
      <c r="AH1176" s="58">
        <v>2327.54</v>
      </c>
      <c r="AI1176" s="56" t="str">
        <f t="shared" si="202"/>
        <v>Increase</v>
      </c>
      <c r="AJ1176" s="81">
        <f t="shared" si="206"/>
        <v>0</v>
      </c>
      <c r="AK1176" s="81">
        <f t="shared" si="207"/>
        <v>0</v>
      </c>
      <c r="AL1176" s="58" t="s">
        <v>7206</v>
      </c>
      <c r="AM1176" s="58" t="s">
        <v>6708</v>
      </c>
      <c r="AN1176" s="75">
        <v>0</v>
      </c>
      <c r="AO1176" s="88">
        <v>2327.54</v>
      </c>
      <c r="AP1176" s="6" t="str">
        <f t="shared" si="203"/>
        <v>Increase</v>
      </c>
      <c r="AQ1176" s="81">
        <f t="shared" si="204"/>
        <v>0</v>
      </c>
      <c r="AR1176" s="81">
        <f t="shared" si="205"/>
        <v>0</v>
      </c>
      <c r="AS1176" s="81">
        <f t="shared" si="208"/>
        <v>0</v>
      </c>
    </row>
    <row r="1177" spans="1:45" hidden="1" x14ac:dyDescent="0.3">
      <c r="A1177">
        <v>6315731</v>
      </c>
      <c r="B1177" s="15" t="s">
        <v>6513</v>
      </c>
      <c r="C1177" s="16" t="s">
        <v>30</v>
      </c>
      <c r="D1177" s="6" t="s">
        <v>31</v>
      </c>
      <c r="E1177" t="s">
        <v>945</v>
      </c>
      <c r="F1177" t="s">
        <v>945</v>
      </c>
      <c r="H1177" s="11" t="s">
        <v>27</v>
      </c>
      <c r="I1177" s="6" t="s">
        <v>28</v>
      </c>
      <c r="J1177" s="6" t="s">
        <v>28</v>
      </c>
      <c r="K1177" t="s">
        <v>32</v>
      </c>
      <c r="L1177" s="35">
        <v>585.9</v>
      </c>
      <c r="M1177" s="6" t="s">
        <v>29</v>
      </c>
      <c r="N1177" s="6">
        <v>3105</v>
      </c>
      <c r="P1177" s="18"/>
      <c r="Q1177" s="17"/>
      <c r="R1177" s="19">
        <v>0</v>
      </c>
      <c r="S1177" s="19">
        <v>0</v>
      </c>
      <c r="T1177" s="38">
        <v>0</v>
      </c>
      <c r="U1177" s="38"/>
      <c r="V1177" s="29">
        <v>585.9</v>
      </c>
      <c r="W1177" s="35">
        <v>585.9</v>
      </c>
      <c r="X1177" s="32">
        <f t="shared" si="198"/>
        <v>0</v>
      </c>
      <c r="Y1177" s="32">
        <f t="shared" si="199"/>
        <v>0</v>
      </c>
      <c r="Z1177" s="32">
        <f t="shared" si="200"/>
        <v>0</v>
      </c>
      <c r="AA1177" s="38" t="s">
        <v>2573</v>
      </c>
      <c r="AB1177" s="37" t="str">
        <f>IFERROR(VLOOKUP(A1177,'Tash Lookup'!A:E,3,FALSE),"")</f>
        <v/>
      </c>
      <c r="AC1177" s="6" t="str">
        <f t="shared" si="201"/>
        <v/>
      </c>
      <c r="AD1177" s="2" t="s">
        <v>6703</v>
      </c>
      <c r="AF1177" s="56">
        <v>585.9</v>
      </c>
      <c r="AG1177" s="56">
        <f>VLOOKUP(A1177,Sheet1!$A$2:$C$1140,3,FALSE)</f>
        <v>585.9</v>
      </c>
      <c r="AH1177" s="58">
        <v>585.9</v>
      </c>
      <c r="AI1177" s="56" t="str">
        <f t="shared" si="202"/>
        <v>Same</v>
      </c>
      <c r="AJ1177" s="81">
        <f t="shared" si="206"/>
        <v>0</v>
      </c>
      <c r="AK1177" s="81">
        <f t="shared" si="207"/>
        <v>0</v>
      </c>
      <c r="AL1177" s="58" t="s">
        <v>7206</v>
      </c>
      <c r="AM1177" s="58" t="s">
        <v>6703</v>
      </c>
      <c r="AN1177" s="75">
        <v>0</v>
      </c>
      <c r="AO1177" s="88">
        <v>585.9</v>
      </c>
      <c r="AP1177" s="6" t="str">
        <f t="shared" si="203"/>
        <v>Same</v>
      </c>
      <c r="AQ1177" s="81">
        <f t="shared" si="204"/>
        <v>0</v>
      </c>
      <c r="AR1177" s="81">
        <f t="shared" si="205"/>
        <v>0</v>
      </c>
      <c r="AS1177" s="81">
        <f t="shared" si="208"/>
        <v>0</v>
      </c>
    </row>
    <row r="1178" spans="1:45" hidden="1" x14ac:dyDescent="0.3">
      <c r="A1178">
        <v>6107813</v>
      </c>
      <c r="B1178" s="15" t="s">
        <v>6514</v>
      </c>
      <c r="C1178" s="16" t="s">
        <v>30</v>
      </c>
      <c r="D1178" s="6" t="s">
        <v>31</v>
      </c>
      <c r="E1178" t="s">
        <v>948</v>
      </c>
      <c r="F1178" t="s">
        <v>948</v>
      </c>
      <c r="H1178" s="11" t="s">
        <v>27</v>
      </c>
      <c r="I1178" s="6" t="s">
        <v>28</v>
      </c>
      <c r="J1178" s="6" t="s">
        <v>28</v>
      </c>
      <c r="K1178" t="s">
        <v>32</v>
      </c>
      <c r="L1178" s="35">
        <v>23.77</v>
      </c>
      <c r="M1178" s="6" t="s">
        <v>29</v>
      </c>
      <c r="N1178" s="6">
        <v>3105</v>
      </c>
      <c r="P1178" s="18"/>
      <c r="Q1178" s="17"/>
      <c r="R1178" s="19">
        <v>0</v>
      </c>
      <c r="S1178" s="19">
        <v>0</v>
      </c>
      <c r="T1178" s="38">
        <v>0</v>
      </c>
      <c r="U1178" s="38"/>
      <c r="V1178" s="29">
        <v>23.77</v>
      </c>
      <c r="W1178" s="35">
        <v>23.77</v>
      </c>
      <c r="X1178" s="32">
        <f t="shared" si="198"/>
        <v>0</v>
      </c>
      <c r="Y1178" s="32">
        <f t="shared" si="199"/>
        <v>0</v>
      </c>
      <c r="Z1178" s="32">
        <f t="shared" si="200"/>
        <v>0</v>
      </c>
      <c r="AA1178" s="38" t="s">
        <v>2573</v>
      </c>
      <c r="AB1178" s="37" t="str">
        <f>IFERROR(VLOOKUP(A1178,'Tash Lookup'!A:E,3,FALSE),"")</f>
        <v/>
      </c>
      <c r="AC1178" s="6" t="str">
        <f t="shared" si="201"/>
        <v/>
      </c>
      <c r="AD1178" s="2" t="s">
        <v>6703</v>
      </c>
      <c r="AF1178" s="56">
        <v>24.48</v>
      </c>
      <c r="AG1178" s="56">
        <f>VLOOKUP(A1178,Sheet1!$A$2:$C$1140,3,FALSE)</f>
        <v>24.97</v>
      </c>
      <c r="AH1178" s="58">
        <v>24.97</v>
      </c>
      <c r="AI1178" s="56" t="str">
        <f t="shared" si="202"/>
        <v>Increase</v>
      </c>
      <c r="AJ1178" s="81">
        <f t="shared" si="206"/>
        <v>0</v>
      </c>
      <c r="AK1178" s="81">
        <f t="shared" si="207"/>
        <v>0</v>
      </c>
      <c r="AL1178" s="58" t="s">
        <v>7206</v>
      </c>
      <c r="AM1178" s="58" t="s">
        <v>6703</v>
      </c>
      <c r="AN1178" s="75">
        <v>1</v>
      </c>
      <c r="AO1178" s="88">
        <v>24.97</v>
      </c>
      <c r="AP1178" s="6" t="str">
        <f t="shared" si="203"/>
        <v>Increase</v>
      </c>
      <c r="AQ1178" s="81">
        <f t="shared" si="204"/>
        <v>24.48</v>
      </c>
      <c r="AR1178" s="81">
        <f t="shared" si="205"/>
        <v>24.97</v>
      </c>
      <c r="AS1178" s="81">
        <f t="shared" si="208"/>
        <v>0.48999999999999844</v>
      </c>
    </row>
    <row r="1179" spans="1:45" hidden="1" x14ac:dyDescent="0.3">
      <c r="A1179">
        <v>6107267</v>
      </c>
      <c r="B1179" s="15" t="s">
        <v>6515</v>
      </c>
      <c r="C1179" s="16" t="s">
        <v>30</v>
      </c>
      <c r="D1179" s="6" t="s">
        <v>31</v>
      </c>
      <c r="E1179" t="s">
        <v>950</v>
      </c>
      <c r="F1179" t="s">
        <v>950</v>
      </c>
      <c r="H1179" s="11" t="s">
        <v>27</v>
      </c>
      <c r="I1179" s="6" t="s">
        <v>28</v>
      </c>
      <c r="J1179" s="6" t="s">
        <v>28</v>
      </c>
      <c r="K1179" t="s">
        <v>32</v>
      </c>
      <c r="L1179" s="35">
        <v>9.35</v>
      </c>
      <c r="M1179" s="6" t="s">
        <v>29</v>
      </c>
      <c r="N1179" s="6">
        <v>3105</v>
      </c>
      <c r="P1179" s="18"/>
      <c r="Q1179" s="17"/>
      <c r="R1179" s="19">
        <v>0</v>
      </c>
      <c r="S1179" s="19">
        <v>0</v>
      </c>
      <c r="T1179" s="38">
        <v>0</v>
      </c>
      <c r="U1179" s="38"/>
      <c r="V1179" s="29">
        <v>9.35</v>
      </c>
      <c r="W1179" s="35">
        <v>9.35</v>
      </c>
      <c r="X1179" s="32">
        <f t="shared" si="198"/>
        <v>0</v>
      </c>
      <c r="Y1179" s="32">
        <f t="shared" si="199"/>
        <v>0</v>
      </c>
      <c r="Z1179" s="32">
        <f t="shared" si="200"/>
        <v>0</v>
      </c>
      <c r="AA1179" s="38" t="s">
        <v>2573</v>
      </c>
      <c r="AB1179" s="37" t="str">
        <f>IFERROR(VLOOKUP(A1179,'Tash Lookup'!A:E,3,FALSE),"")</f>
        <v/>
      </c>
      <c r="AC1179" s="6" t="str">
        <f t="shared" si="201"/>
        <v/>
      </c>
      <c r="AD1179" s="2" t="s">
        <v>6703</v>
      </c>
      <c r="AF1179" s="56">
        <v>9.69</v>
      </c>
      <c r="AG1179" s="56">
        <f>VLOOKUP(A1179,Sheet1!$A$2:$C$1140,3,FALSE)</f>
        <v>9.69</v>
      </c>
      <c r="AH1179" s="58">
        <v>9.69</v>
      </c>
      <c r="AI1179" s="56" t="str">
        <f t="shared" si="202"/>
        <v>Same</v>
      </c>
      <c r="AJ1179" s="81">
        <f t="shared" si="206"/>
        <v>0</v>
      </c>
      <c r="AK1179" s="81">
        <f t="shared" si="207"/>
        <v>0</v>
      </c>
      <c r="AL1179" s="58" t="s">
        <v>7206</v>
      </c>
      <c r="AM1179" s="58" t="s">
        <v>6703</v>
      </c>
      <c r="AN1179" s="75">
        <v>0</v>
      </c>
      <c r="AO1179" s="88">
        <v>9.69</v>
      </c>
      <c r="AP1179" s="6" t="str">
        <f t="shared" si="203"/>
        <v>Same</v>
      </c>
      <c r="AQ1179" s="81">
        <f t="shared" si="204"/>
        <v>0</v>
      </c>
      <c r="AR1179" s="81">
        <f t="shared" si="205"/>
        <v>0</v>
      </c>
      <c r="AS1179" s="81">
        <f t="shared" si="208"/>
        <v>0</v>
      </c>
    </row>
    <row r="1180" spans="1:45" hidden="1" x14ac:dyDescent="0.3">
      <c r="A1180">
        <v>6107260</v>
      </c>
      <c r="B1180" s="15" t="s">
        <v>6516</v>
      </c>
      <c r="C1180" s="16" t="s">
        <v>30</v>
      </c>
      <c r="D1180" s="6" t="s">
        <v>31</v>
      </c>
      <c r="E1180" t="s">
        <v>951</v>
      </c>
      <c r="F1180" t="s">
        <v>951</v>
      </c>
      <c r="H1180" s="11" t="s">
        <v>27</v>
      </c>
      <c r="I1180" s="6" t="s">
        <v>28</v>
      </c>
      <c r="J1180" s="6" t="s">
        <v>28</v>
      </c>
      <c r="K1180" t="s">
        <v>32</v>
      </c>
      <c r="L1180" s="35">
        <v>6.51</v>
      </c>
      <c r="M1180" s="6" t="s">
        <v>29</v>
      </c>
      <c r="N1180" s="6">
        <v>3105</v>
      </c>
      <c r="P1180" s="18"/>
      <c r="Q1180" s="17"/>
      <c r="R1180" s="19">
        <v>0</v>
      </c>
      <c r="S1180" s="19">
        <v>0</v>
      </c>
      <c r="T1180" s="38">
        <v>0</v>
      </c>
      <c r="U1180" s="38"/>
      <c r="V1180" s="29">
        <v>6.51</v>
      </c>
      <c r="W1180" s="35">
        <v>6.51</v>
      </c>
      <c r="X1180" s="32">
        <f t="shared" si="198"/>
        <v>0</v>
      </c>
      <c r="Y1180" s="32">
        <f t="shared" si="199"/>
        <v>0</v>
      </c>
      <c r="Z1180" s="32">
        <f t="shared" si="200"/>
        <v>0</v>
      </c>
      <c r="AA1180" s="38" t="s">
        <v>2573</v>
      </c>
      <c r="AB1180" s="37" t="str">
        <f>IFERROR(VLOOKUP(A1180,'Tash Lookup'!A:E,3,FALSE),"")</f>
        <v/>
      </c>
      <c r="AC1180" s="6" t="str">
        <f t="shared" si="201"/>
        <v/>
      </c>
      <c r="AD1180" s="2" t="s">
        <v>6703</v>
      </c>
      <c r="AF1180" s="56">
        <v>6.75</v>
      </c>
      <c r="AG1180" s="56">
        <f>VLOOKUP(A1180,Sheet1!$A$2:$C$1140,3,FALSE)</f>
        <v>6.75</v>
      </c>
      <c r="AH1180" s="58">
        <v>6.75</v>
      </c>
      <c r="AI1180" s="56" t="str">
        <f t="shared" si="202"/>
        <v>Same</v>
      </c>
      <c r="AJ1180" s="81">
        <f t="shared" si="206"/>
        <v>0</v>
      </c>
      <c r="AK1180" s="81">
        <f t="shared" si="207"/>
        <v>0</v>
      </c>
      <c r="AL1180" s="58" t="s">
        <v>7206</v>
      </c>
      <c r="AM1180" s="58" t="s">
        <v>6703</v>
      </c>
      <c r="AN1180" s="75">
        <v>12</v>
      </c>
      <c r="AO1180" s="88">
        <v>6.75</v>
      </c>
      <c r="AP1180" s="6" t="str">
        <f t="shared" si="203"/>
        <v>Same</v>
      </c>
      <c r="AQ1180" s="81">
        <f t="shared" si="204"/>
        <v>81</v>
      </c>
      <c r="AR1180" s="81">
        <f t="shared" si="205"/>
        <v>81</v>
      </c>
      <c r="AS1180" s="81">
        <f t="shared" si="208"/>
        <v>0</v>
      </c>
    </row>
    <row r="1181" spans="1:45" hidden="1" x14ac:dyDescent="0.3">
      <c r="A1181">
        <v>6344663</v>
      </c>
      <c r="B1181" s="15" t="s">
        <v>6517</v>
      </c>
      <c r="C1181" s="16" t="s">
        <v>30</v>
      </c>
      <c r="D1181" s="6" t="s">
        <v>31</v>
      </c>
      <c r="E1181" t="s">
        <v>961</v>
      </c>
      <c r="F1181" t="s">
        <v>961</v>
      </c>
      <c r="H1181" s="11" t="s">
        <v>27</v>
      </c>
      <c r="I1181" s="6" t="s">
        <v>28</v>
      </c>
      <c r="J1181" s="6" t="s">
        <v>28</v>
      </c>
      <c r="K1181" t="s">
        <v>32</v>
      </c>
      <c r="L1181" s="35">
        <v>42.97</v>
      </c>
      <c r="M1181" s="6" t="s">
        <v>29</v>
      </c>
      <c r="N1181" s="6">
        <v>3105</v>
      </c>
      <c r="P1181" s="18"/>
      <c r="Q1181" s="17"/>
      <c r="R1181" s="19">
        <v>42.97</v>
      </c>
      <c r="S1181" s="19">
        <v>42.97</v>
      </c>
      <c r="T1181" s="38">
        <v>0</v>
      </c>
      <c r="U1181" s="38"/>
      <c r="V1181" s="29">
        <v>42.97</v>
      </c>
      <c r="W1181" s="35">
        <v>42.97</v>
      </c>
      <c r="X1181" s="32">
        <f t="shared" si="198"/>
        <v>0</v>
      </c>
      <c r="Y1181" s="32">
        <f t="shared" si="199"/>
        <v>0</v>
      </c>
      <c r="Z1181" s="32">
        <f t="shared" si="200"/>
        <v>0</v>
      </c>
      <c r="AA1181" s="38" t="s">
        <v>2573</v>
      </c>
      <c r="AB1181" s="37" t="str">
        <f>IFERROR(VLOOKUP(A1181,'Tash Lookup'!A:E,3,FALSE),"")</f>
        <v/>
      </c>
      <c r="AC1181" s="6" t="str">
        <f t="shared" si="201"/>
        <v/>
      </c>
      <c r="AD1181" s="2" t="s">
        <v>6704</v>
      </c>
      <c r="AF1181" s="56">
        <v>42.97</v>
      </c>
      <c r="AG1181" s="56" t="e">
        <f>VLOOKUP(A1181,Sheet1!$A$2:$C$1140,3,FALSE)</f>
        <v>#N/A</v>
      </c>
      <c r="AH1181" s="58" t="e">
        <v>#N/A</v>
      </c>
      <c r="AI1181" s="56" t="str">
        <f t="shared" si="202"/>
        <v>Delete</v>
      </c>
      <c r="AJ1181" s="81">
        <f t="shared" si="206"/>
        <v>0</v>
      </c>
      <c r="AK1181" s="81">
        <f t="shared" si="207"/>
        <v>0</v>
      </c>
      <c r="AL1181" s="58" t="s">
        <v>7206</v>
      </c>
      <c r="AM1181" s="58" t="s">
        <v>6711</v>
      </c>
      <c r="AN1181" s="75">
        <v>0</v>
      </c>
      <c r="AO1181" s="88">
        <v>42.97</v>
      </c>
      <c r="AP1181" s="6" t="str">
        <f t="shared" si="203"/>
        <v>Delete</v>
      </c>
      <c r="AQ1181" s="81">
        <f t="shared" si="204"/>
        <v>0</v>
      </c>
      <c r="AR1181" s="81">
        <f t="shared" si="205"/>
        <v>0</v>
      </c>
      <c r="AS1181" s="81">
        <f t="shared" si="208"/>
        <v>0</v>
      </c>
    </row>
    <row r="1182" spans="1:45" hidden="1" x14ac:dyDescent="0.3">
      <c r="A1182">
        <v>6352887</v>
      </c>
      <c r="B1182" s="15" t="s">
        <v>6518</v>
      </c>
      <c r="C1182" s="16" t="s">
        <v>30</v>
      </c>
      <c r="D1182" s="6" t="s">
        <v>31</v>
      </c>
      <c r="E1182" t="s">
        <v>966</v>
      </c>
      <c r="F1182" t="s">
        <v>966</v>
      </c>
      <c r="H1182" s="11" t="s">
        <v>27</v>
      </c>
      <c r="I1182" s="6" t="s">
        <v>28</v>
      </c>
      <c r="J1182" s="6" t="s">
        <v>28</v>
      </c>
      <c r="K1182" t="s">
        <v>32</v>
      </c>
      <c r="L1182" s="35">
        <v>34.28</v>
      </c>
      <c r="M1182" s="6" t="s">
        <v>29</v>
      </c>
      <c r="N1182" s="6">
        <v>3105</v>
      </c>
      <c r="P1182" s="18"/>
      <c r="Q1182" s="17"/>
      <c r="R1182" s="19">
        <v>0</v>
      </c>
      <c r="S1182" s="19">
        <v>0</v>
      </c>
      <c r="T1182" s="38">
        <v>0</v>
      </c>
      <c r="U1182" s="38"/>
      <c r="V1182" s="29">
        <v>34.28</v>
      </c>
      <c r="W1182" s="35">
        <v>34.28</v>
      </c>
      <c r="X1182" s="32">
        <f t="shared" si="198"/>
        <v>0</v>
      </c>
      <c r="Y1182" s="32">
        <f t="shared" si="199"/>
        <v>0</v>
      </c>
      <c r="Z1182" s="32">
        <f t="shared" si="200"/>
        <v>0</v>
      </c>
      <c r="AA1182" s="38" t="s">
        <v>2573</v>
      </c>
      <c r="AB1182" s="37" t="str">
        <f>IFERROR(VLOOKUP(A1182,'Tash Lookup'!A:E,3,FALSE),"")</f>
        <v/>
      </c>
      <c r="AC1182" s="6" t="str">
        <f t="shared" si="201"/>
        <v/>
      </c>
      <c r="AD1182" s="2" t="s">
        <v>6703</v>
      </c>
      <c r="AF1182" s="56">
        <v>35.51</v>
      </c>
      <c r="AG1182" s="56">
        <f>VLOOKUP(A1182,Sheet1!$A$2:$C$1140,3,FALSE)</f>
        <v>35.51</v>
      </c>
      <c r="AH1182" s="58">
        <v>35.51</v>
      </c>
      <c r="AI1182" s="56" t="str">
        <f t="shared" si="202"/>
        <v>Same</v>
      </c>
      <c r="AJ1182" s="81">
        <f t="shared" si="206"/>
        <v>0</v>
      </c>
      <c r="AK1182" s="81">
        <f t="shared" si="207"/>
        <v>0</v>
      </c>
      <c r="AL1182" s="58" t="s">
        <v>7206</v>
      </c>
      <c r="AM1182" s="58" t="s">
        <v>6703</v>
      </c>
      <c r="AN1182" s="75">
        <v>0</v>
      </c>
      <c r="AO1182" s="88">
        <v>35.51</v>
      </c>
      <c r="AP1182" s="6" t="str">
        <f t="shared" si="203"/>
        <v>Same</v>
      </c>
      <c r="AQ1182" s="81">
        <f t="shared" si="204"/>
        <v>0</v>
      </c>
      <c r="AR1182" s="81">
        <f t="shared" si="205"/>
        <v>0</v>
      </c>
      <c r="AS1182" s="81">
        <f t="shared" si="208"/>
        <v>0</v>
      </c>
    </row>
    <row r="1183" spans="1:45" hidden="1" x14ac:dyDescent="0.3">
      <c r="A1183">
        <v>6338056</v>
      </c>
      <c r="B1183" s="15" t="s">
        <v>6519</v>
      </c>
      <c r="C1183" s="16" t="s">
        <v>30</v>
      </c>
      <c r="D1183" s="6" t="s">
        <v>31</v>
      </c>
      <c r="E1183" t="s">
        <v>2978</v>
      </c>
      <c r="F1183" t="s">
        <v>2978</v>
      </c>
      <c r="H1183" s="11" t="s">
        <v>27</v>
      </c>
      <c r="I1183" s="6" t="s">
        <v>28</v>
      </c>
      <c r="J1183" s="6" t="s">
        <v>28</v>
      </c>
      <c r="K1183" t="s">
        <v>32</v>
      </c>
      <c r="L1183" s="35">
        <v>11.77</v>
      </c>
      <c r="M1183" s="6" t="s">
        <v>29</v>
      </c>
      <c r="N1183" s="6">
        <v>3105</v>
      </c>
      <c r="P1183" s="18"/>
      <c r="Q1183" s="17"/>
      <c r="R1183" s="19">
        <v>11.77</v>
      </c>
      <c r="S1183" s="19">
        <v>11.77</v>
      </c>
      <c r="T1183" s="38">
        <v>0</v>
      </c>
      <c r="U1183" s="38"/>
      <c r="V1183" s="29">
        <v>11.77</v>
      </c>
      <c r="W1183" s="35">
        <v>11.77</v>
      </c>
      <c r="X1183" s="32">
        <f t="shared" si="198"/>
        <v>0</v>
      </c>
      <c r="Y1183" s="32">
        <f t="shared" si="199"/>
        <v>0</v>
      </c>
      <c r="Z1183" s="32">
        <f t="shared" si="200"/>
        <v>0</v>
      </c>
      <c r="AA1183" s="38" t="s">
        <v>2573</v>
      </c>
      <c r="AB1183" s="37" t="str">
        <f>IFERROR(VLOOKUP(A1183,'Tash Lookup'!A:E,3,FALSE),"")</f>
        <v/>
      </c>
      <c r="AC1183" s="6" t="str">
        <f t="shared" si="201"/>
        <v/>
      </c>
      <c r="AD1183" s="2" t="s">
        <v>6704</v>
      </c>
      <c r="AF1183" s="56">
        <v>11.77</v>
      </c>
      <c r="AG1183" s="56" t="e">
        <f>VLOOKUP(A1183,Sheet1!$A$2:$C$1140,3,FALSE)</f>
        <v>#N/A</v>
      </c>
      <c r="AH1183" s="58" t="e">
        <v>#N/A</v>
      </c>
      <c r="AI1183" s="56" t="str">
        <f t="shared" si="202"/>
        <v>Delete</v>
      </c>
      <c r="AJ1183" s="81">
        <f t="shared" si="206"/>
        <v>0</v>
      </c>
      <c r="AK1183" s="81">
        <f t="shared" si="207"/>
        <v>0</v>
      </c>
      <c r="AL1183" s="58" t="s">
        <v>7206</v>
      </c>
      <c r="AM1183" s="58" t="s">
        <v>6708</v>
      </c>
      <c r="AN1183" s="75">
        <v>0</v>
      </c>
      <c r="AO1183" s="88">
        <v>11.77</v>
      </c>
      <c r="AP1183" s="6" t="str">
        <f t="shared" si="203"/>
        <v>Same</v>
      </c>
      <c r="AQ1183" s="81">
        <f t="shared" si="204"/>
        <v>0</v>
      </c>
      <c r="AR1183" s="81">
        <f t="shared" si="205"/>
        <v>0</v>
      </c>
      <c r="AS1183" s="81">
        <f t="shared" si="208"/>
        <v>0</v>
      </c>
    </row>
    <row r="1184" spans="1:45" hidden="1" x14ac:dyDescent="0.3">
      <c r="A1184">
        <v>6392195</v>
      </c>
      <c r="B1184" s="15" t="s">
        <v>6520</v>
      </c>
      <c r="C1184" s="16" t="s">
        <v>30</v>
      </c>
      <c r="D1184" s="6" t="s">
        <v>31</v>
      </c>
      <c r="E1184" t="s">
        <v>2550</v>
      </c>
      <c r="F1184" t="s">
        <v>2550</v>
      </c>
      <c r="H1184" s="11" t="s">
        <v>27</v>
      </c>
      <c r="I1184" s="6" t="s">
        <v>28</v>
      </c>
      <c r="J1184" s="6" t="s">
        <v>28</v>
      </c>
      <c r="K1184" t="s">
        <v>32</v>
      </c>
      <c r="L1184" s="35">
        <v>2.62</v>
      </c>
      <c r="M1184" s="6" t="s">
        <v>29</v>
      </c>
      <c r="N1184" s="6">
        <v>3105</v>
      </c>
      <c r="P1184" s="18"/>
      <c r="Q1184" s="17"/>
      <c r="R1184" s="19">
        <v>2.62</v>
      </c>
      <c r="S1184" s="19">
        <v>2.62</v>
      </c>
      <c r="T1184" s="38">
        <v>0</v>
      </c>
      <c r="U1184" s="38"/>
      <c r="V1184" s="29">
        <v>2.62</v>
      </c>
      <c r="W1184" s="35">
        <v>2.62</v>
      </c>
      <c r="X1184" s="32">
        <f t="shared" si="198"/>
        <v>0</v>
      </c>
      <c r="Y1184" s="32">
        <f t="shared" si="199"/>
        <v>0</v>
      </c>
      <c r="Z1184" s="32">
        <f t="shared" si="200"/>
        <v>0</v>
      </c>
      <c r="AA1184" s="38" t="s">
        <v>2573</v>
      </c>
      <c r="AB1184" s="37" t="str">
        <f>IFERROR(VLOOKUP(A1184,'Tash Lookup'!A:E,3,FALSE),"")</f>
        <v/>
      </c>
      <c r="AC1184" s="6" t="str">
        <f t="shared" si="201"/>
        <v/>
      </c>
      <c r="AD1184" s="2" t="s">
        <v>6703</v>
      </c>
      <c r="AF1184" s="56">
        <v>2.7</v>
      </c>
      <c r="AG1184" s="56">
        <f>VLOOKUP(A1184,Sheet1!$A$2:$C$1140,3,FALSE)</f>
        <v>2.75</v>
      </c>
      <c r="AH1184" s="58">
        <v>2.75</v>
      </c>
      <c r="AI1184" s="56" t="str">
        <f t="shared" si="202"/>
        <v>Increase</v>
      </c>
      <c r="AJ1184" s="81">
        <f t="shared" si="206"/>
        <v>0</v>
      </c>
      <c r="AK1184" s="81">
        <f t="shared" si="207"/>
        <v>0</v>
      </c>
      <c r="AL1184" s="58" t="s">
        <v>7206</v>
      </c>
      <c r="AM1184" s="58" t="s">
        <v>6703</v>
      </c>
      <c r="AN1184" s="75">
        <v>4</v>
      </c>
      <c r="AO1184" s="88">
        <v>2.75</v>
      </c>
      <c r="AP1184" s="6" t="str">
        <f t="shared" si="203"/>
        <v>Increase</v>
      </c>
      <c r="AQ1184" s="81">
        <f t="shared" si="204"/>
        <v>10.8</v>
      </c>
      <c r="AR1184" s="81">
        <f t="shared" si="205"/>
        <v>11</v>
      </c>
      <c r="AS1184" s="81">
        <f t="shared" si="208"/>
        <v>0.19999999999999929</v>
      </c>
    </row>
    <row r="1185" spans="1:45" hidden="1" x14ac:dyDescent="0.3">
      <c r="A1185">
        <v>6309562</v>
      </c>
      <c r="B1185" s="15" t="s">
        <v>6521</v>
      </c>
      <c r="C1185" s="16" t="s">
        <v>30</v>
      </c>
      <c r="D1185" s="6" t="s">
        <v>31</v>
      </c>
      <c r="E1185" t="s">
        <v>972</v>
      </c>
      <c r="F1185" t="s">
        <v>972</v>
      </c>
      <c r="H1185" s="11" t="s">
        <v>27</v>
      </c>
      <c r="I1185" s="6" t="s">
        <v>28</v>
      </c>
      <c r="J1185" s="6" t="s">
        <v>28</v>
      </c>
      <c r="K1185" t="s">
        <v>32</v>
      </c>
      <c r="L1185" s="35">
        <v>8.07</v>
      </c>
      <c r="M1185" s="6" t="s">
        <v>29</v>
      </c>
      <c r="N1185" s="6">
        <v>3105</v>
      </c>
      <c r="P1185" s="18"/>
      <c r="Q1185" s="17"/>
      <c r="R1185" s="19">
        <v>8.07</v>
      </c>
      <c r="S1185" s="19">
        <v>8.07</v>
      </c>
      <c r="T1185" s="38">
        <v>0</v>
      </c>
      <c r="U1185" s="38"/>
      <c r="V1185" s="29">
        <v>8.07</v>
      </c>
      <c r="W1185" s="35">
        <v>8.07</v>
      </c>
      <c r="X1185" s="32">
        <f t="shared" si="198"/>
        <v>0</v>
      </c>
      <c r="Y1185" s="32">
        <f t="shared" si="199"/>
        <v>0</v>
      </c>
      <c r="Z1185" s="32">
        <f t="shared" si="200"/>
        <v>0</v>
      </c>
      <c r="AA1185" s="38" t="s">
        <v>2573</v>
      </c>
      <c r="AB1185" s="37" t="str">
        <f>IFERROR(VLOOKUP(A1185,'Tash Lookup'!A:E,3,FALSE),"")</f>
        <v/>
      </c>
      <c r="AC1185" s="6" t="str">
        <f t="shared" si="201"/>
        <v/>
      </c>
      <c r="AD1185" s="2" t="s">
        <v>6703</v>
      </c>
      <c r="AF1185" s="56">
        <v>8.32</v>
      </c>
      <c r="AG1185" s="56">
        <f>VLOOKUP(A1185,Sheet1!$A$2:$C$1140,3,FALSE)</f>
        <v>8.48</v>
      </c>
      <c r="AH1185" s="58">
        <v>8.48</v>
      </c>
      <c r="AI1185" s="56" t="str">
        <f t="shared" si="202"/>
        <v>Increase</v>
      </c>
      <c r="AJ1185" s="81">
        <f t="shared" si="206"/>
        <v>0</v>
      </c>
      <c r="AK1185" s="81">
        <f t="shared" si="207"/>
        <v>0</v>
      </c>
      <c r="AL1185" s="58" t="s">
        <v>7206</v>
      </c>
      <c r="AM1185" s="58" t="s">
        <v>6703</v>
      </c>
      <c r="AN1185" s="75">
        <v>0</v>
      </c>
      <c r="AO1185" s="88">
        <v>8.48</v>
      </c>
      <c r="AP1185" s="6" t="str">
        <f t="shared" si="203"/>
        <v>Increase</v>
      </c>
      <c r="AQ1185" s="81">
        <f t="shared" si="204"/>
        <v>0</v>
      </c>
      <c r="AR1185" s="81">
        <f t="shared" si="205"/>
        <v>0</v>
      </c>
      <c r="AS1185" s="81">
        <f t="shared" si="208"/>
        <v>0</v>
      </c>
    </row>
    <row r="1186" spans="1:45" hidden="1" x14ac:dyDescent="0.3">
      <c r="A1186">
        <v>6416434</v>
      </c>
      <c r="B1186" s="15" t="s">
        <v>6522</v>
      </c>
      <c r="C1186" s="16" t="s">
        <v>30</v>
      </c>
      <c r="D1186" s="6" t="s">
        <v>31</v>
      </c>
      <c r="E1186" t="s">
        <v>2979</v>
      </c>
      <c r="F1186" t="s">
        <v>2979</v>
      </c>
      <c r="H1186" s="11" t="s">
        <v>27</v>
      </c>
      <c r="I1186" s="6" t="s">
        <v>28</v>
      </c>
      <c r="J1186" s="6" t="s">
        <v>28</v>
      </c>
      <c r="K1186" t="s">
        <v>32</v>
      </c>
      <c r="L1186" s="35">
        <v>5.19</v>
      </c>
      <c r="M1186" s="6" t="s">
        <v>29</v>
      </c>
      <c r="N1186" s="6">
        <v>3105</v>
      </c>
      <c r="P1186" s="18"/>
      <c r="Q1186" s="17"/>
      <c r="R1186" s="19">
        <v>5.19</v>
      </c>
      <c r="S1186" s="19">
        <v>5.19</v>
      </c>
      <c r="T1186" s="38">
        <v>0</v>
      </c>
      <c r="U1186" s="38"/>
      <c r="V1186" s="30">
        <v>5.19</v>
      </c>
      <c r="W1186" s="35">
        <v>5.19</v>
      </c>
      <c r="X1186" s="32">
        <f t="shared" si="198"/>
        <v>0</v>
      </c>
      <c r="Y1186" s="32">
        <f t="shared" si="199"/>
        <v>0</v>
      </c>
      <c r="Z1186" s="32">
        <f t="shared" si="200"/>
        <v>0</v>
      </c>
      <c r="AA1186" s="38" t="s">
        <v>2573</v>
      </c>
      <c r="AB1186" s="37" t="str">
        <f>IFERROR(VLOOKUP(A1186,'Tash Lookup'!A:E,3,FALSE),"")</f>
        <v/>
      </c>
      <c r="AC1186" s="6" t="str">
        <f t="shared" si="201"/>
        <v/>
      </c>
      <c r="AD1186" s="2" t="s">
        <v>6704</v>
      </c>
      <c r="AF1186" s="56">
        <v>5.19</v>
      </c>
      <c r="AG1186" s="56" t="e">
        <f>VLOOKUP(A1186,Sheet1!$A$2:$C$1140,3,FALSE)</f>
        <v>#N/A</v>
      </c>
      <c r="AH1186" s="58" t="e">
        <v>#N/A</v>
      </c>
      <c r="AI1186" s="56" t="str">
        <f t="shared" si="202"/>
        <v>Delete</v>
      </c>
      <c r="AJ1186" s="81">
        <f t="shared" si="206"/>
        <v>0</v>
      </c>
      <c r="AK1186" s="81">
        <f t="shared" si="207"/>
        <v>0</v>
      </c>
      <c r="AL1186" s="58" t="s">
        <v>7206</v>
      </c>
      <c r="AM1186" s="58" t="s">
        <v>6708</v>
      </c>
      <c r="AN1186" s="75">
        <v>0</v>
      </c>
      <c r="AO1186" s="88">
        <v>5.19</v>
      </c>
      <c r="AP1186" s="6" t="str">
        <f t="shared" si="203"/>
        <v>Same</v>
      </c>
      <c r="AQ1186" s="81">
        <f t="shared" si="204"/>
        <v>0</v>
      </c>
      <c r="AR1186" s="81">
        <f t="shared" si="205"/>
        <v>0</v>
      </c>
      <c r="AS1186" s="81">
        <f t="shared" si="208"/>
        <v>0</v>
      </c>
    </row>
    <row r="1187" spans="1:45" hidden="1" x14ac:dyDescent="0.3">
      <c r="A1187">
        <v>5084917</v>
      </c>
      <c r="B1187" s="15" t="s">
        <v>6523</v>
      </c>
      <c r="C1187" s="16" t="s">
        <v>30</v>
      </c>
      <c r="D1187" s="6" t="s">
        <v>31</v>
      </c>
      <c r="E1187" t="s">
        <v>976</v>
      </c>
      <c r="F1187" t="s">
        <v>976</v>
      </c>
      <c r="H1187" s="11" t="s">
        <v>27</v>
      </c>
      <c r="I1187" s="6" t="s">
        <v>28</v>
      </c>
      <c r="J1187" s="6" t="s">
        <v>28</v>
      </c>
      <c r="K1187" t="s">
        <v>32</v>
      </c>
      <c r="L1187" s="35">
        <v>11.2</v>
      </c>
      <c r="M1187" s="6" t="s">
        <v>29</v>
      </c>
      <c r="N1187" s="6">
        <v>3105</v>
      </c>
      <c r="P1187" s="18"/>
      <c r="Q1187" s="17"/>
      <c r="R1187" s="19">
        <v>11.2</v>
      </c>
      <c r="S1187" s="19">
        <v>11.2</v>
      </c>
      <c r="T1187" s="38">
        <v>0</v>
      </c>
      <c r="U1187" s="38"/>
      <c r="V1187" s="30">
        <v>11.2</v>
      </c>
      <c r="W1187" s="35">
        <v>11.2</v>
      </c>
      <c r="X1187" s="32">
        <f t="shared" si="198"/>
        <v>0</v>
      </c>
      <c r="Y1187" s="32">
        <f t="shared" si="199"/>
        <v>0</v>
      </c>
      <c r="Z1187" s="32">
        <f t="shared" si="200"/>
        <v>0</v>
      </c>
      <c r="AA1187" s="38" t="s">
        <v>2573</v>
      </c>
      <c r="AB1187" s="37" t="str">
        <f>IFERROR(VLOOKUP(A1187,'Tash Lookup'!A:E,3,FALSE),"")</f>
        <v/>
      </c>
      <c r="AC1187" s="6" t="str">
        <f t="shared" si="201"/>
        <v/>
      </c>
      <c r="AD1187" s="2" t="s">
        <v>6703</v>
      </c>
      <c r="AF1187" s="56">
        <v>17.5</v>
      </c>
      <c r="AG1187" s="56">
        <f>VLOOKUP(A1187,Sheet1!$A$2:$C$1140,3,FALSE)</f>
        <v>17.5</v>
      </c>
      <c r="AH1187" s="58">
        <v>17.5</v>
      </c>
      <c r="AI1187" s="56" t="str">
        <f t="shared" si="202"/>
        <v>Same</v>
      </c>
      <c r="AJ1187" s="81">
        <f t="shared" si="206"/>
        <v>0</v>
      </c>
      <c r="AK1187" s="81">
        <f t="shared" si="207"/>
        <v>0</v>
      </c>
      <c r="AL1187" s="58" t="s">
        <v>7206</v>
      </c>
      <c r="AM1187" s="58" t="s">
        <v>6703</v>
      </c>
      <c r="AN1187" s="75">
        <v>14</v>
      </c>
      <c r="AO1187" s="88">
        <v>17.5</v>
      </c>
      <c r="AP1187" s="6" t="str">
        <f t="shared" si="203"/>
        <v>Same</v>
      </c>
      <c r="AQ1187" s="81">
        <f t="shared" si="204"/>
        <v>245</v>
      </c>
      <c r="AR1187" s="81">
        <f t="shared" si="205"/>
        <v>245</v>
      </c>
      <c r="AS1187" s="81">
        <f t="shared" si="208"/>
        <v>0</v>
      </c>
    </row>
    <row r="1188" spans="1:45" hidden="1" x14ac:dyDescent="0.3">
      <c r="A1188">
        <v>5084863</v>
      </c>
      <c r="B1188" s="15" t="s">
        <v>6524</v>
      </c>
      <c r="C1188" s="16" t="s">
        <v>30</v>
      </c>
      <c r="D1188" s="6" t="s">
        <v>31</v>
      </c>
      <c r="E1188" t="s">
        <v>978</v>
      </c>
      <c r="F1188" t="s">
        <v>978</v>
      </c>
      <c r="H1188" s="11" t="s">
        <v>27</v>
      </c>
      <c r="I1188" s="6" t="s">
        <v>28</v>
      </c>
      <c r="J1188" s="6" t="s">
        <v>28</v>
      </c>
      <c r="K1188" t="s">
        <v>32</v>
      </c>
      <c r="L1188" s="35">
        <v>7.55</v>
      </c>
      <c r="M1188" s="6" t="s">
        <v>29</v>
      </c>
      <c r="N1188" s="6">
        <v>3105</v>
      </c>
      <c r="P1188" s="18"/>
      <c r="Q1188" s="17"/>
      <c r="R1188" s="19">
        <v>7.55</v>
      </c>
      <c r="S1188" s="19">
        <v>7.55</v>
      </c>
      <c r="T1188" s="38">
        <v>0</v>
      </c>
      <c r="U1188" s="38"/>
      <c r="V1188" s="30">
        <v>7.55</v>
      </c>
      <c r="W1188" s="35">
        <v>7.55</v>
      </c>
      <c r="X1188" s="32">
        <f t="shared" si="198"/>
        <v>0</v>
      </c>
      <c r="Y1188" s="32">
        <f t="shared" si="199"/>
        <v>0</v>
      </c>
      <c r="Z1188" s="32">
        <f t="shared" si="200"/>
        <v>0</v>
      </c>
      <c r="AA1188" s="38" t="s">
        <v>2573</v>
      </c>
      <c r="AB1188" s="37" t="str">
        <f>IFERROR(VLOOKUP(A1188,'Tash Lookup'!A:E,3,FALSE),"")</f>
        <v/>
      </c>
      <c r="AC1188" s="6" t="str">
        <f t="shared" si="201"/>
        <v/>
      </c>
      <c r="AD1188" s="2" t="s">
        <v>6703</v>
      </c>
      <c r="AF1188" s="56">
        <v>11.67</v>
      </c>
      <c r="AG1188" s="56">
        <f>VLOOKUP(A1188,Sheet1!$A$2:$C$1140,3,FALSE)</f>
        <v>11.67</v>
      </c>
      <c r="AH1188" s="58">
        <v>11.67</v>
      </c>
      <c r="AI1188" s="56" t="str">
        <f t="shared" si="202"/>
        <v>Same</v>
      </c>
      <c r="AJ1188" s="81">
        <f t="shared" si="206"/>
        <v>0</v>
      </c>
      <c r="AK1188" s="81">
        <f t="shared" si="207"/>
        <v>0</v>
      </c>
      <c r="AL1188" s="58" t="s">
        <v>7206</v>
      </c>
      <c r="AM1188" s="58" t="s">
        <v>6703</v>
      </c>
      <c r="AN1188" s="75">
        <v>0</v>
      </c>
      <c r="AO1188" s="88">
        <v>11.67</v>
      </c>
      <c r="AP1188" s="6" t="str">
        <f t="shared" si="203"/>
        <v>Same</v>
      </c>
      <c r="AQ1188" s="81">
        <f t="shared" si="204"/>
        <v>0</v>
      </c>
      <c r="AR1188" s="81">
        <f t="shared" si="205"/>
        <v>0</v>
      </c>
      <c r="AS1188" s="81">
        <f t="shared" si="208"/>
        <v>0</v>
      </c>
    </row>
    <row r="1189" spans="1:45" hidden="1" x14ac:dyDescent="0.3">
      <c r="A1189">
        <v>5092956</v>
      </c>
      <c r="B1189" s="15" t="s">
        <v>6525</v>
      </c>
      <c r="C1189" s="16" t="s">
        <v>30</v>
      </c>
      <c r="D1189" s="6" t="s">
        <v>31</v>
      </c>
      <c r="E1189" t="s">
        <v>988</v>
      </c>
      <c r="F1189" t="s">
        <v>988</v>
      </c>
      <c r="H1189" s="11" t="s">
        <v>27</v>
      </c>
      <c r="I1189" s="6" t="s">
        <v>28</v>
      </c>
      <c r="J1189" s="6" t="s">
        <v>28</v>
      </c>
      <c r="K1189" t="s">
        <v>32</v>
      </c>
      <c r="L1189" s="35">
        <v>17.579999999999998</v>
      </c>
      <c r="M1189" s="6" t="s">
        <v>29</v>
      </c>
      <c r="N1189" s="6">
        <v>3105</v>
      </c>
      <c r="P1189" s="18"/>
      <c r="Q1189" s="17"/>
      <c r="R1189" s="19">
        <v>17.579999999999998</v>
      </c>
      <c r="S1189" s="19">
        <v>17.579999999999998</v>
      </c>
      <c r="T1189" s="38">
        <v>0</v>
      </c>
      <c r="U1189" s="38"/>
      <c r="V1189" s="30">
        <v>17.579999999999998</v>
      </c>
      <c r="W1189" s="35">
        <v>17.579999999999998</v>
      </c>
      <c r="X1189" s="32">
        <f t="shared" si="198"/>
        <v>0</v>
      </c>
      <c r="Y1189" s="32">
        <f t="shared" si="199"/>
        <v>0</v>
      </c>
      <c r="Z1189" s="32">
        <f t="shared" si="200"/>
        <v>0</v>
      </c>
      <c r="AA1189" s="38" t="s">
        <v>2573</v>
      </c>
      <c r="AB1189" s="37" t="str">
        <f>IFERROR(VLOOKUP(A1189,'Tash Lookup'!A:E,3,FALSE),"")</f>
        <v/>
      </c>
      <c r="AC1189" s="6" t="str">
        <f t="shared" si="201"/>
        <v/>
      </c>
      <c r="AD1189" s="2" t="s">
        <v>6703</v>
      </c>
      <c r="AF1189" s="56">
        <v>20</v>
      </c>
      <c r="AG1189" s="56">
        <f>VLOOKUP(A1189,Sheet1!$A$2:$C$1140,3,FALSE)</f>
        <v>20</v>
      </c>
      <c r="AH1189" s="58">
        <v>20</v>
      </c>
      <c r="AI1189" s="56" t="str">
        <f t="shared" si="202"/>
        <v>Same</v>
      </c>
      <c r="AJ1189" s="81">
        <f t="shared" si="206"/>
        <v>0</v>
      </c>
      <c r="AK1189" s="81">
        <f t="shared" si="207"/>
        <v>0</v>
      </c>
      <c r="AL1189" s="58" t="s">
        <v>7206</v>
      </c>
      <c r="AM1189" s="58" t="s">
        <v>6703</v>
      </c>
      <c r="AN1189" s="75">
        <v>1</v>
      </c>
      <c r="AO1189" s="88">
        <v>20</v>
      </c>
      <c r="AP1189" s="6" t="str">
        <f t="shared" si="203"/>
        <v>Same</v>
      </c>
      <c r="AQ1189" s="81">
        <f t="shared" si="204"/>
        <v>20</v>
      </c>
      <c r="AR1189" s="81">
        <f t="shared" si="205"/>
        <v>20</v>
      </c>
      <c r="AS1189" s="81">
        <f t="shared" si="208"/>
        <v>0</v>
      </c>
    </row>
    <row r="1190" spans="1:45" hidden="1" x14ac:dyDescent="0.3">
      <c r="A1190">
        <v>5084878</v>
      </c>
      <c r="B1190" s="15" t="s">
        <v>6526</v>
      </c>
      <c r="C1190" s="16" t="s">
        <v>30</v>
      </c>
      <c r="D1190" s="6" t="s">
        <v>31</v>
      </c>
      <c r="E1190" t="s">
        <v>990</v>
      </c>
      <c r="F1190" t="s">
        <v>990</v>
      </c>
      <c r="H1190" s="11" t="s">
        <v>27</v>
      </c>
      <c r="I1190" s="6" t="s">
        <v>28</v>
      </c>
      <c r="J1190" s="6" t="s">
        <v>28</v>
      </c>
      <c r="K1190" t="s">
        <v>32</v>
      </c>
      <c r="L1190" s="35">
        <v>77.48</v>
      </c>
      <c r="M1190" s="6" t="s">
        <v>29</v>
      </c>
      <c r="N1190" s="6">
        <v>3105</v>
      </c>
      <c r="P1190" s="18"/>
      <c r="Q1190" s="17"/>
      <c r="R1190" s="19">
        <v>77.48</v>
      </c>
      <c r="S1190" s="19">
        <v>77.48</v>
      </c>
      <c r="T1190" s="38">
        <v>0</v>
      </c>
      <c r="U1190" s="38"/>
      <c r="V1190" s="30">
        <v>77.48</v>
      </c>
      <c r="W1190" s="35">
        <v>77.48</v>
      </c>
      <c r="X1190" s="32">
        <f t="shared" si="198"/>
        <v>0</v>
      </c>
      <c r="Y1190" s="32">
        <f t="shared" si="199"/>
        <v>0</v>
      </c>
      <c r="Z1190" s="32">
        <f t="shared" si="200"/>
        <v>0</v>
      </c>
      <c r="AA1190" s="38" t="s">
        <v>2573</v>
      </c>
      <c r="AB1190" s="37" t="str">
        <f>IFERROR(VLOOKUP(A1190,'Tash Lookup'!A:E,3,FALSE),"")</f>
        <v/>
      </c>
      <c r="AC1190" s="6" t="str">
        <f t="shared" si="201"/>
        <v/>
      </c>
      <c r="AD1190" s="2" t="s">
        <v>6703</v>
      </c>
      <c r="AF1190" s="56">
        <v>78.33</v>
      </c>
      <c r="AG1190" s="56">
        <f>VLOOKUP(A1190,Sheet1!$A$2:$C$1140,3,FALSE)</f>
        <v>78.33</v>
      </c>
      <c r="AH1190" s="58">
        <v>78.33</v>
      </c>
      <c r="AI1190" s="56" t="str">
        <f t="shared" si="202"/>
        <v>Same</v>
      </c>
      <c r="AJ1190" s="81">
        <f t="shared" si="206"/>
        <v>0</v>
      </c>
      <c r="AK1190" s="81">
        <f t="shared" si="207"/>
        <v>0</v>
      </c>
      <c r="AL1190" s="58" t="s">
        <v>7206</v>
      </c>
      <c r="AM1190" s="58" t="s">
        <v>6703</v>
      </c>
      <c r="AN1190" s="75">
        <v>0</v>
      </c>
      <c r="AO1190" s="88">
        <v>78.33</v>
      </c>
      <c r="AP1190" s="6" t="str">
        <f t="shared" si="203"/>
        <v>Same</v>
      </c>
      <c r="AQ1190" s="81">
        <f t="shared" si="204"/>
        <v>0</v>
      </c>
      <c r="AR1190" s="81">
        <f t="shared" si="205"/>
        <v>0</v>
      </c>
      <c r="AS1190" s="81">
        <f t="shared" si="208"/>
        <v>0</v>
      </c>
    </row>
    <row r="1191" spans="1:45" hidden="1" x14ac:dyDescent="0.3">
      <c r="A1191">
        <v>5223748</v>
      </c>
      <c r="B1191" s="15" t="s">
        <v>6527</v>
      </c>
      <c r="C1191" s="16" t="s">
        <v>30</v>
      </c>
      <c r="D1191" s="6" t="s">
        <v>31</v>
      </c>
      <c r="E1191" t="s">
        <v>991</v>
      </c>
      <c r="F1191" t="s">
        <v>991</v>
      </c>
      <c r="H1191" s="11" t="s">
        <v>27</v>
      </c>
      <c r="I1191" s="6" t="s">
        <v>28</v>
      </c>
      <c r="J1191" s="6" t="s">
        <v>28</v>
      </c>
      <c r="K1191" t="s">
        <v>32</v>
      </c>
      <c r="L1191" s="35">
        <v>17</v>
      </c>
      <c r="M1191" s="6" t="s">
        <v>29</v>
      </c>
      <c r="N1191" s="6">
        <v>3105</v>
      </c>
      <c r="P1191" s="18"/>
      <c r="Q1191" s="17"/>
      <c r="R1191" s="19">
        <v>17</v>
      </c>
      <c r="S1191" s="19">
        <v>17</v>
      </c>
      <c r="T1191" s="38">
        <v>0</v>
      </c>
      <c r="U1191" s="38"/>
      <c r="V1191" s="30">
        <v>17</v>
      </c>
      <c r="W1191" s="35">
        <v>17</v>
      </c>
      <c r="X1191" s="32">
        <f t="shared" si="198"/>
        <v>0</v>
      </c>
      <c r="Y1191" s="32">
        <f t="shared" si="199"/>
        <v>0</v>
      </c>
      <c r="Z1191" s="32">
        <f t="shared" si="200"/>
        <v>0</v>
      </c>
      <c r="AA1191" s="38" t="s">
        <v>2573</v>
      </c>
      <c r="AB1191" s="37" t="str">
        <f>IFERROR(VLOOKUP(A1191,'Tash Lookup'!A:E,3,FALSE),"")</f>
        <v/>
      </c>
      <c r="AC1191" s="6" t="str">
        <f t="shared" si="201"/>
        <v/>
      </c>
      <c r="AD1191" s="2" t="s">
        <v>6703</v>
      </c>
      <c r="AF1191" s="56">
        <v>17</v>
      </c>
      <c r="AG1191" s="56">
        <f>VLOOKUP(A1191,Sheet1!$A$2:$C$1140,3,FALSE)</f>
        <v>17</v>
      </c>
      <c r="AH1191" s="58">
        <v>17</v>
      </c>
      <c r="AI1191" s="56" t="str">
        <f t="shared" si="202"/>
        <v>Same</v>
      </c>
      <c r="AJ1191" s="81">
        <f t="shared" si="206"/>
        <v>0</v>
      </c>
      <c r="AK1191" s="81">
        <f t="shared" si="207"/>
        <v>0</v>
      </c>
      <c r="AL1191" s="58" t="s">
        <v>7206</v>
      </c>
      <c r="AM1191" s="58" t="s">
        <v>6703</v>
      </c>
      <c r="AN1191" s="75">
        <v>0</v>
      </c>
      <c r="AO1191" s="88">
        <v>17</v>
      </c>
      <c r="AP1191" s="6" t="str">
        <f t="shared" si="203"/>
        <v>Same</v>
      </c>
      <c r="AQ1191" s="81">
        <f t="shared" si="204"/>
        <v>0</v>
      </c>
      <c r="AR1191" s="81">
        <f t="shared" si="205"/>
        <v>0</v>
      </c>
      <c r="AS1191" s="81">
        <f t="shared" si="208"/>
        <v>0</v>
      </c>
    </row>
    <row r="1192" spans="1:45" hidden="1" x14ac:dyDescent="0.3">
      <c r="A1192">
        <v>5362532</v>
      </c>
      <c r="B1192" s="15" t="s">
        <v>6528</v>
      </c>
      <c r="C1192" s="16" t="s">
        <v>30</v>
      </c>
      <c r="D1192" s="6" t="s">
        <v>31</v>
      </c>
      <c r="E1192" t="s">
        <v>993</v>
      </c>
      <c r="F1192" t="s">
        <v>993</v>
      </c>
      <c r="H1192" s="11" t="s">
        <v>27</v>
      </c>
      <c r="I1192" s="6" t="s">
        <v>28</v>
      </c>
      <c r="J1192" s="6" t="s">
        <v>28</v>
      </c>
      <c r="K1192" t="s">
        <v>32</v>
      </c>
      <c r="L1192" s="35">
        <v>21.17</v>
      </c>
      <c r="M1192" s="6" t="s">
        <v>29</v>
      </c>
      <c r="N1192" s="6">
        <v>3105</v>
      </c>
      <c r="P1192" s="18"/>
      <c r="Q1192" s="17"/>
      <c r="R1192" s="19">
        <v>21.17</v>
      </c>
      <c r="S1192" s="19">
        <v>21.17</v>
      </c>
      <c r="T1192" s="38">
        <v>0</v>
      </c>
      <c r="U1192" s="38"/>
      <c r="V1192" s="30">
        <v>21.17</v>
      </c>
      <c r="W1192" s="35">
        <v>21.17</v>
      </c>
      <c r="X1192" s="32">
        <f t="shared" si="198"/>
        <v>0</v>
      </c>
      <c r="Y1192" s="32">
        <f t="shared" si="199"/>
        <v>0</v>
      </c>
      <c r="Z1192" s="32">
        <f t="shared" si="200"/>
        <v>0</v>
      </c>
      <c r="AA1192" s="38" t="s">
        <v>2573</v>
      </c>
      <c r="AB1192" s="37" t="str">
        <f>IFERROR(VLOOKUP(A1192,'Tash Lookup'!A:E,3,FALSE),"")</f>
        <v/>
      </c>
      <c r="AC1192" s="6" t="str">
        <f t="shared" si="201"/>
        <v/>
      </c>
      <c r="AD1192" s="2" t="s">
        <v>6703</v>
      </c>
      <c r="AF1192" s="56">
        <v>25.83</v>
      </c>
      <c r="AG1192" s="56">
        <f>VLOOKUP(A1192,Sheet1!$A$2:$C$1140,3,FALSE)</f>
        <v>25.83</v>
      </c>
      <c r="AH1192" s="58">
        <v>25.83</v>
      </c>
      <c r="AI1192" s="56" t="str">
        <f t="shared" si="202"/>
        <v>Same</v>
      </c>
      <c r="AJ1192" s="81">
        <f t="shared" si="206"/>
        <v>0</v>
      </c>
      <c r="AK1192" s="81">
        <f t="shared" si="207"/>
        <v>0</v>
      </c>
      <c r="AL1192" s="58" t="s">
        <v>7206</v>
      </c>
      <c r="AM1192" s="58" t="s">
        <v>6705</v>
      </c>
      <c r="AN1192" s="75">
        <v>0</v>
      </c>
      <c r="AO1192" s="88">
        <v>25.83</v>
      </c>
      <c r="AP1192" s="6" t="str">
        <f t="shared" si="203"/>
        <v>Same</v>
      </c>
      <c r="AQ1192" s="81">
        <f t="shared" si="204"/>
        <v>0</v>
      </c>
      <c r="AR1192" s="81">
        <f t="shared" si="205"/>
        <v>0</v>
      </c>
      <c r="AS1192" s="81">
        <f t="shared" si="208"/>
        <v>0</v>
      </c>
    </row>
    <row r="1193" spans="1:45" hidden="1" x14ac:dyDescent="0.3">
      <c r="A1193">
        <v>5362538</v>
      </c>
      <c r="B1193" s="15" t="s">
        <v>6529</v>
      </c>
      <c r="C1193" s="16" t="s">
        <v>30</v>
      </c>
      <c r="D1193" s="6" t="s">
        <v>31</v>
      </c>
      <c r="E1193" t="s">
        <v>994</v>
      </c>
      <c r="F1193" t="s">
        <v>994</v>
      </c>
      <c r="H1193" s="11" t="s">
        <v>27</v>
      </c>
      <c r="I1193" s="6" t="s">
        <v>28</v>
      </c>
      <c r="J1193" s="6" t="s">
        <v>28</v>
      </c>
      <c r="K1193" t="s">
        <v>32</v>
      </c>
      <c r="L1193" s="35">
        <v>21.17</v>
      </c>
      <c r="M1193" s="6" t="s">
        <v>29</v>
      </c>
      <c r="N1193" s="6">
        <v>3105</v>
      </c>
      <c r="P1193" s="18"/>
      <c r="Q1193" s="17"/>
      <c r="R1193" s="19">
        <v>21.17</v>
      </c>
      <c r="S1193" s="19">
        <v>21.17</v>
      </c>
      <c r="T1193" s="38">
        <v>0</v>
      </c>
      <c r="U1193" s="38"/>
      <c r="V1193" s="30">
        <v>21.17</v>
      </c>
      <c r="W1193" s="35">
        <v>21.17</v>
      </c>
      <c r="X1193" s="32">
        <f t="shared" si="198"/>
        <v>0</v>
      </c>
      <c r="Y1193" s="32">
        <f t="shared" si="199"/>
        <v>0</v>
      </c>
      <c r="Z1193" s="32">
        <f t="shared" si="200"/>
        <v>0</v>
      </c>
      <c r="AA1193" s="38" t="s">
        <v>2573</v>
      </c>
      <c r="AB1193" s="37" t="str">
        <f>IFERROR(VLOOKUP(A1193,'Tash Lookup'!A:E,3,FALSE),"")</f>
        <v/>
      </c>
      <c r="AC1193" s="6" t="str">
        <f t="shared" si="201"/>
        <v/>
      </c>
      <c r="AD1193" s="2" t="s">
        <v>6703</v>
      </c>
      <c r="AF1193" s="56">
        <v>25.83</v>
      </c>
      <c r="AG1193" s="56">
        <f>VLOOKUP(A1193,Sheet1!$A$2:$C$1140,3,FALSE)</f>
        <v>25.83</v>
      </c>
      <c r="AH1193" s="58">
        <v>25.83</v>
      </c>
      <c r="AI1193" s="56" t="str">
        <f t="shared" si="202"/>
        <v>Same</v>
      </c>
      <c r="AJ1193" s="81">
        <f t="shared" si="206"/>
        <v>0</v>
      </c>
      <c r="AK1193" s="81">
        <f t="shared" si="207"/>
        <v>0</v>
      </c>
      <c r="AL1193" s="58" t="s">
        <v>7206</v>
      </c>
      <c r="AM1193" s="58" t="s">
        <v>6705</v>
      </c>
      <c r="AN1193" s="75">
        <v>0</v>
      </c>
      <c r="AO1193" s="88">
        <v>25.83</v>
      </c>
      <c r="AP1193" s="6" t="str">
        <f t="shared" si="203"/>
        <v>Same</v>
      </c>
      <c r="AQ1193" s="81">
        <f t="shared" si="204"/>
        <v>0</v>
      </c>
      <c r="AR1193" s="81">
        <f t="shared" si="205"/>
        <v>0</v>
      </c>
      <c r="AS1193" s="81">
        <f t="shared" si="208"/>
        <v>0</v>
      </c>
    </row>
    <row r="1194" spans="1:45" hidden="1" x14ac:dyDescent="0.3">
      <c r="A1194">
        <v>5362526</v>
      </c>
      <c r="B1194" s="15" t="s">
        <v>6530</v>
      </c>
      <c r="C1194" s="16" t="s">
        <v>30</v>
      </c>
      <c r="D1194" s="6" t="s">
        <v>31</v>
      </c>
      <c r="E1194" t="s">
        <v>995</v>
      </c>
      <c r="F1194" t="s">
        <v>995</v>
      </c>
      <c r="H1194" s="11" t="s">
        <v>27</v>
      </c>
      <c r="I1194" s="6" t="s">
        <v>28</v>
      </c>
      <c r="J1194" s="6" t="s">
        <v>28</v>
      </c>
      <c r="K1194" t="s">
        <v>32</v>
      </c>
      <c r="L1194" s="35">
        <v>21.17</v>
      </c>
      <c r="M1194" s="6" t="s">
        <v>29</v>
      </c>
      <c r="N1194" s="6">
        <v>3105</v>
      </c>
      <c r="P1194" s="18"/>
      <c r="Q1194" s="17"/>
      <c r="R1194" s="19">
        <v>21.17</v>
      </c>
      <c r="S1194" s="19">
        <v>21.17</v>
      </c>
      <c r="T1194" s="38">
        <v>0</v>
      </c>
      <c r="U1194" s="38"/>
      <c r="V1194" s="30">
        <v>21.17</v>
      </c>
      <c r="W1194" s="35">
        <v>21.17</v>
      </c>
      <c r="X1194" s="32">
        <f t="shared" si="198"/>
        <v>0</v>
      </c>
      <c r="Y1194" s="32">
        <f t="shared" si="199"/>
        <v>0</v>
      </c>
      <c r="Z1194" s="32">
        <f t="shared" si="200"/>
        <v>0</v>
      </c>
      <c r="AA1194" s="38" t="s">
        <v>2573</v>
      </c>
      <c r="AB1194" s="37" t="str">
        <f>IFERROR(VLOOKUP(A1194,'Tash Lookup'!A:E,3,FALSE),"")</f>
        <v/>
      </c>
      <c r="AC1194" s="6" t="str">
        <f t="shared" si="201"/>
        <v/>
      </c>
      <c r="AD1194" s="2" t="s">
        <v>6703</v>
      </c>
      <c r="AF1194" s="56">
        <v>17.55</v>
      </c>
      <c r="AG1194" s="56">
        <f>VLOOKUP(A1194,Sheet1!$A$2:$C$1140,3,FALSE)</f>
        <v>17.55</v>
      </c>
      <c r="AH1194" s="58">
        <v>17.55</v>
      </c>
      <c r="AI1194" s="56" t="str">
        <f t="shared" si="202"/>
        <v>Same</v>
      </c>
      <c r="AJ1194" s="81">
        <f t="shared" si="206"/>
        <v>0</v>
      </c>
      <c r="AK1194" s="81">
        <f t="shared" si="207"/>
        <v>0</v>
      </c>
      <c r="AL1194" s="58" t="s">
        <v>7206</v>
      </c>
      <c r="AM1194" s="58" t="s">
        <v>6705</v>
      </c>
      <c r="AN1194" s="75">
        <v>0</v>
      </c>
      <c r="AO1194" s="88">
        <v>17.55</v>
      </c>
      <c r="AP1194" s="6" t="str">
        <f t="shared" si="203"/>
        <v>Same</v>
      </c>
      <c r="AQ1194" s="81">
        <f t="shared" si="204"/>
        <v>0</v>
      </c>
      <c r="AR1194" s="81">
        <f t="shared" si="205"/>
        <v>0</v>
      </c>
      <c r="AS1194" s="81">
        <f t="shared" si="208"/>
        <v>0</v>
      </c>
    </row>
    <row r="1195" spans="1:45" hidden="1" x14ac:dyDescent="0.3">
      <c r="A1195">
        <v>5362528</v>
      </c>
      <c r="B1195" s="15" t="s">
        <v>6531</v>
      </c>
      <c r="C1195" s="16" t="s">
        <v>30</v>
      </c>
      <c r="D1195" s="6" t="s">
        <v>31</v>
      </c>
      <c r="E1195" t="s">
        <v>997</v>
      </c>
      <c r="F1195" t="s">
        <v>997</v>
      </c>
      <c r="H1195" s="11" t="s">
        <v>27</v>
      </c>
      <c r="I1195" s="6" t="s">
        <v>28</v>
      </c>
      <c r="J1195" s="6" t="s">
        <v>28</v>
      </c>
      <c r="K1195" t="s">
        <v>32</v>
      </c>
      <c r="L1195" s="35">
        <v>21.17</v>
      </c>
      <c r="M1195" s="6" t="s">
        <v>29</v>
      </c>
      <c r="N1195" s="6">
        <v>3105</v>
      </c>
      <c r="P1195" s="18"/>
      <c r="Q1195" s="17"/>
      <c r="R1195" s="19">
        <v>21.17</v>
      </c>
      <c r="S1195" s="19">
        <v>21.17</v>
      </c>
      <c r="T1195" s="38">
        <v>0</v>
      </c>
      <c r="U1195" s="38"/>
      <c r="V1195" s="30">
        <v>21.17</v>
      </c>
      <c r="W1195" s="35">
        <v>21.17</v>
      </c>
      <c r="X1195" s="32">
        <f t="shared" si="198"/>
        <v>0</v>
      </c>
      <c r="Y1195" s="32">
        <f t="shared" si="199"/>
        <v>0</v>
      </c>
      <c r="Z1195" s="32">
        <f t="shared" si="200"/>
        <v>0</v>
      </c>
      <c r="AA1195" s="38" t="s">
        <v>2573</v>
      </c>
      <c r="AB1195" s="37" t="str">
        <f>IFERROR(VLOOKUP(A1195,'Tash Lookup'!A:E,3,FALSE),"")</f>
        <v/>
      </c>
      <c r="AC1195" s="6" t="str">
        <f t="shared" si="201"/>
        <v/>
      </c>
      <c r="AD1195" s="2" t="s">
        <v>6703</v>
      </c>
      <c r="AF1195" s="56">
        <v>25.83</v>
      </c>
      <c r="AG1195" s="56">
        <f>VLOOKUP(A1195,Sheet1!$A$2:$C$1140,3,FALSE)</f>
        <v>25.83</v>
      </c>
      <c r="AH1195" s="58">
        <v>25.83</v>
      </c>
      <c r="AI1195" s="56" t="str">
        <f t="shared" si="202"/>
        <v>Same</v>
      </c>
      <c r="AJ1195" s="81">
        <f t="shared" si="206"/>
        <v>0</v>
      </c>
      <c r="AK1195" s="81">
        <f t="shared" si="207"/>
        <v>0</v>
      </c>
      <c r="AL1195" s="58" t="s">
        <v>7206</v>
      </c>
      <c r="AM1195" s="58" t="s">
        <v>6705</v>
      </c>
      <c r="AN1195" s="75">
        <v>0</v>
      </c>
      <c r="AO1195" s="88">
        <v>25.83</v>
      </c>
      <c r="AP1195" s="6" t="str">
        <f t="shared" si="203"/>
        <v>Same</v>
      </c>
      <c r="AQ1195" s="81">
        <f t="shared" si="204"/>
        <v>0</v>
      </c>
      <c r="AR1195" s="81">
        <f t="shared" si="205"/>
        <v>0</v>
      </c>
      <c r="AS1195" s="81">
        <f t="shared" si="208"/>
        <v>0</v>
      </c>
    </row>
    <row r="1196" spans="1:45" hidden="1" x14ac:dyDescent="0.3">
      <c r="A1196">
        <v>5362531</v>
      </c>
      <c r="B1196" s="15" t="s">
        <v>6532</v>
      </c>
      <c r="C1196" s="16" t="s">
        <v>30</v>
      </c>
      <c r="D1196" s="6" t="s">
        <v>31</v>
      </c>
      <c r="E1196" t="s">
        <v>998</v>
      </c>
      <c r="F1196" t="s">
        <v>998</v>
      </c>
      <c r="H1196" s="11" t="s">
        <v>27</v>
      </c>
      <c r="I1196" s="6" t="s">
        <v>28</v>
      </c>
      <c r="J1196" s="6" t="s">
        <v>28</v>
      </c>
      <c r="K1196" t="s">
        <v>32</v>
      </c>
      <c r="L1196" s="35">
        <v>21.17</v>
      </c>
      <c r="M1196" s="6" t="s">
        <v>29</v>
      </c>
      <c r="N1196" s="6">
        <v>3105</v>
      </c>
      <c r="P1196" s="18"/>
      <c r="Q1196" s="17"/>
      <c r="R1196" s="19">
        <v>21.17</v>
      </c>
      <c r="S1196" s="19">
        <v>21.17</v>
      </c>
      <c r="T1196" s="38">
        <v>0</v>
      </c>
      <c r="U1196" s="38"/>
      <c r="V1196" s="30">
        <v>21.17</v>
      </c>
      <c r="W1196" s="35">
        <v>21.17</v>
      </c>
      <c r="X1196" s="32">
        <f t="shared" si="198"/>
        <v>0</v>
      </c>
      <c r="Y1196" s="32">
        <f t="shared" si="199"/>
        <v>0</v>
      </c>
      <c r="Z1196" s="32">
        <f t="shared" si="200"/>
        <v>0</v>
      </c>
      <c r="AA1196" s="38" t="s">
        <v>2573</v>
      </c>
      <c r="AB1196" s="37" t="str">
        <f>IFERROR(VLOOKUP(A1196,'Tash Lookup'!A:E,3,FALSE),"")</f>
        <v/>
      </c>
      <c r="AC1196" s="6" t="str">
        <f t="shared" si="201"/>
        <v/>
      </c>
      <c r="AD1196" s="2" t="s">
        <v>6703</v>
      </c>
      <c r="AF1196" s="56">
        <v>25.83</v>
      </c>
      <c r="AG1196" s="56">
        <f>VLOOKUP(A1196,Sheet1!$A$2:$C$1140,3,FALSE)</f>
        <v>25.83</v>
      </c>
      <c r="AH1196" s="58">
        <v>25.83</v>
      </c>
      <c r="AI1196" s="56" t="str">
        <f t="shared" si="202"/>
        <v>Same</v>
      </c>
      <c r="AJ1196" s="81">
        <f t="shared" si="206"/>
        <v>0</v>
      </c>
      <c r="AK1196" s="81">
        <f t="shared" si="207"/>
        <v>0</v>
      </c>
      <c r="AL1196" s="58" t="s">
        <v>7206</v>
      </c>
      <c r="AM1196" s="58" t="s">
        <v>6705</v>
      </c>
      <c r="AN1196" s="75">
        <v>0</v>
      </c>
      <c r="AO1196" s="88">
        <v>25.83</v>
      </c>
      <c r="AP1196" s="6" t="str">
        <f t="shared" si="203"/>
        <v>Same</v>
      </c>
      <c r="AQ1196" s="81">
        <f t="shared" si="204"/>
        <v>0</v>
      </c>
      <c r="AR1196" s="81">
        <f t="shared" si="205"/>
        <v>0</v>
      </c>
      <c r="AS1196" s="81">
        <f t="shared" si="208"/>
        <v>0</v>
      </c>
    </row>
    <row r="1197" spans="1:45" hidden="1" x14ac:dyDescent="0.3">
      <c r="A1197">
        <v>6393986</v>
      </c>
      <c r="B1197" s="15" t="s">
        <v>6533</v>
      </c>
      <c r="C1197" s="16" t="s">
        <v>30</v>
      </c>
      <c r="D1197" s="6" t="s">
        <v>31</v>
      </c>
      <c r="E1197" t="s">
        <v>999</v>
      </c>
      <c r="F1197" t="s">
        <v>999</v>
      </c>
      <c r="H1197" s="11" t="s">
        <v>27</v>
      </c>
      <c r="I1197" s="6" t="s">
        <v>28</v>
      </c>
      <c r="J1197" s="6" t="s">
        <v>28</v>
      </c>
      <c r="K1197" t="s">
        <v>32</v>
      </c>
      <c r="L1197" s="35">
        <v>0.35</v>
      </c>
      <c r="M1197" s="6" t="s">
        <v>29</v>
      </c>
      <c r="N1197" s="6">
        <v>3105</v>
      </c>
      <c r="P1197" s="18"/>
      <c r="Q1197" s="17"/>
      <c r="R1197" s="19">
        <v>0.35</v>
      </c>
      <c r="S1197" s="19">
        <v>0.35</v>
      </c>
      <c r="T1197" s="38">
        <v>0</v>
      </c>
      <c r="U1197" s="38"/>
      <c r="V1197" s="30">
        <v>0.35</v>
      </c>
      <c r="W1197" s="35">
        <v>0.35</v>
      </c>
      <c r="X1197" s="32">
        <f t="shared" si="198"/>
        <v>0</v>
      </c>
      <c r="Y1197" s="32">
        <f t="shared" si="199"/>
        <v>0</v>
      </c>
      <c r="Z1197" s="32">
        <f t="shared" si="200"/>
        <v>0</v>
      </c>
      <c r="AA1197" s="38" t="s">
        <v>2573</v>
      </c>
      <c r="AB1197" s="37" t="str">
        <f>IFERROR(VLOOKUP(A1197,'Tash Lookup'!A:E,3,FALSE),"")</f>
        <v/>
      </c>
      <c r="AC1197" s="6" t="str">
        <f t="shared" si="201"/>
        <v/>
      </c>
      <c r="AD1197" s="2" t="s">
        <v>6704</v>
      </c>
      <c r="AF1197" s="56">
        <v>0.35</v>
      </c>
      <c r="AG1197" s="56" t="e">
        <f>VLOOKUP(A1197,Sheet1!$A$2:$C$1140,3,FALSE)</f>
        <v>#N/A</v>
      </c>
      <c r="AH1197" s="58" t="e">
        <v>#N/A</v>
      </c>
      <c r="AI1197" s="56" t="str">
        <f t="shared" si="202"/>
        <v>Delete</v>
      </c>
      <c r="AJ1197" s="81">
        <f t="shared" si="206"/>
        <v>0</v>
      </c>
      <c r="AK1197" s="81">
        <f t="shared" si="207"/>
        <v>0</v>
      </c>
      <c r="AL1197" s="58" t="s">
        <v>7206</v>
      </c>
      <c r="AM1197" s="58" t="s">
        <v>6708</v>
      </c>
      <c r="AN1197" s="75">
        <v>0</v>
      </c>
      <c r="AO1197" s="88">
        <v>0.35</v>
      </c>
      <c r="AP1197" s="6" t="str">
        <f t="shared" si="203"/>
        <v>Same</v>
      </c>
      <c r="AQ1197" s="81">
        <f t="shared" si="204"/>
        <v>0</v>
      </c>
      <c r="AR1197" s="81">
        <f t="shared" si="205"/>
        <v>0</v>
      </c>
      <c r="AS1197" s="81">
        <f t="shared" si="208"/>
        <v>0</v>
      </c>
    </row>
    <row r="1198" spans="1:45" hidden="1" x14ac:dyDescent="0.3">
      <c r="A1198">
        <v>6394089</v>
      </c>
      <c r="B1198" s="15" t="s">
        <v>6534</v>
      </c>
      <c r="C1198" s="16" t="s">
        <v>30</v>
      </c>
      <c r="D1198" s="6" t="s">
        <v>31</v>
      </c>
      <c r="E1198" t="s">
        <v>1000</v>
      </c>
      <c r="F1198" t="s">
        <v>1000</v>
      </c>
      <c r="H1198" s="11" t="s">
        <v>27</v>
      </c>
      <c r="I1198" s="6" t="s">
        <v>28</v>
      </c>
      <c r="J1198" s="6" t="s">
        <v>28</v>
      </c>
      <c r="K1198" t="s">
        <v>32</v>
      </c>
      <c r="L1198" s="35">
        <v>0.35</v>
      </c>
      <c r="M1198" s="6" t="s">
        <v>29</v>
      </c>
      <c r="N1198" s="6">
        <v>3105</v>
      </c>
      <c r="P1198" s="18"/>
      <c r="Q1198" s="17"/>
      <c r="R1198" s="19">
        <v>0.35</v>
      </c>
      <c r="S1198" s="19">
        <v>0.35</v>
      </c>
      <c r="T1198" s="38">
        <v>0</v>
      </c>
      <c r="U1198" s="38"/>
      <c r="V1198" s="30">
        <v>0.35</v>
      </c>
      <c r="W1198" s="35">
        <v>0.35</v>
      </c>
      <c r="X1198" s="32">
        <f t="shared" si="198"/>
        <v>0</v>
      </c>
      <c r="Y1198" s="32">
        <f t="shared" si="199"/>
        <v>0</v>
      </c>
      <c r="Z1198" s="32">
        <f t="shared" si="200"/>
        <v>0</v>
      </c>
      <c r="AA1198" s="38" t="s">
        <v>2573</v>
      </c>
      <c r="AB1198" s="37" t="str">
        <f>IFERROR(VLOOKUP(A1198,'Tash Lookup'!A:E,3,FALSE),"")</f>
        <v/>
      </c>
      <c r="AC1198" s="6" t="str">
        <f t="shared" si="201"/>
        <v/>
      </c>
      <c r="AD1198" s="2" t="s">
        <v>6704</v>
      </c>
      <c r="AF1198" s="56">
        <v>0.35</v>
      </c>
      <c r="AG1198" s="56" t="e">
        <f>VLOOKUP(A1198,Sheet1!$A$2:$C$1140,3,FALSE)</f>
        <v>#N/A</v>
      </c>
      <c r="AH1198" s="58" t="e">
        <v>#N/A</v>
      </c>
      <c r="AI1198" s="56" t="str">
        <f t="shared" si="202"/>
        <v>Delete</v>
      </c>
      <c r="AJ1198" s="81">
        <f t="shared" si="206"/>
        <v>0</v>
      </c>
      <c r="AK1198" s="81">
        <f t="shared" si="207"/>
        <v>0</v>
      </c>
      <c r="AL1198" s="58" t="s">
        <v>7206</v>
      </c>
      <c r="AM1198" s="58" t="s">
        <v>6708</v>
      </c>
      <c r="AN1198" s="75">
        <v>0</v>
      </c>
      <c r="AO1198" s="88">
        <v>0.35</v>
      </c>
      <c r="AP1198" s="6" t="str">
        <f t="shared" si="203"/>
        <v>Same</v>
      </c>
      <c r="AQ1198" s="81">
        <f t="shared" si="204"/>
        <v>0</v>
      </c>
      <c r="AR1198" s="81">
        <f t="shared" si="205"/>
        <v>0</v>
      </c>
      <c r="AS1198" s="81">
        <f t="shared" si="208"/>
        <v>0</v>
      </c>
    </row>
    <row r="1199" spans="1:45" hidden="1" x14ac:dyDescent="0.3">
      <c r="A1199">
        <v>6108634</v>
      </c>
      <c r="B1199" s="15" t="s">
        <v>6535</v>
      </c>
      <c r="C1199" s="16" t="s">
        <v>30</v>
      </c>
      <c r="D1199" s="6" t="s">
        <v>31</v>
      </c>
      <c r="E1199" t="s">
        <v>1003</v>
      </c>
      <c r="F1199" t="s">
        <v>1003</v>
      </c>
      <c r="H1199" s="11" t="s">
        <v>27</v>
      </c>
      <c r="I1199" s="6" t="s">
        <v>28</v>
      </c>
      <c r="J1199" s="6" t="s">
        <v>28</v>
      </c>
      <c r="K1199" t="s">
        <v>32</v>
      </c>
      <c r="L1199" s="35">
        <v>5.17</v>
      </c>
      <c r="M1199" s="6" t="s">
        <v>29</v>
      </c>
      <c r="N1199" s="6">
        <v>3105</v>
      </c>
      <c r="P1199" s="18"/>
      <c r="Q1199" s="17"/>
      <c r="R1199" s="19">
        <v>0</v>
      </c>
      <c r="S1199" s="19">
        <v>0</v>
      </c>
      <c r="T1199" s="38">
        <v>0</v>
      </c>
      <c r="U1199" s="38"/>
      <c r="V1199" s="31">
        <v>5.17</v>
      </c>
      <c r="W1199" s="35">
        <v>5.17</v>
      </c>
      <c r="X1199" s="32">
        <f t="shared" si="198"/>
        <v>0</v>
      </c>
      <c r="Y1199" s="32">
        <f t="shared" si="199"/>
        <v>0</v>
      </c>
      <c r="Z1199" s="32">
        <f t="shared" si="200"/>
        <v>0</v>
      </c>
      <c r="AA1199" s="38" t="s">
        <v>2573</v>
      </c>
      <c r="AB1199" s="37" t="str">
        <f>IFERROR(VLOOKUP(A1199,'Tash Lookup'!A:E,3,FALSE),"")</f>
        <v/>
      </c>
      <c r="AC1199" s="6" t="str">
        <f t="shared" si="201"/>
        <v/>
      </c>
      <c r="AD1199" s="2" t="s">
        <v>6707</v>
      </c>
      <c r="AF1199" s="56">
        <v>5.33</v>
      </c>
      <c r="AG1199" s="56" t="e">
        <f>VLOOKUP(A1199,Sheet1!$A$2:$C$1140,3,FALSE)</f>
        <v>#N/A</v>
      </c>
      <c r="AH1199" s="58" t="e">
        <v>#N/A</v>
      </c>
      <c r="AI1199" s="56" t="str">
        <f t="shared" si="202"/>
        <v>Delete</v>
      </c>
      <c r="AJ1199" s="81">
        <f t="shared" si="206"/>
        <v>0</v>
      </c>
      <c r="AK1199" s="81">
        <f t="shared" si="207"/>
        <v>0</v>
      </c>
      <c r="AL1199" s="58" t="s">
        <v>7206</v>
      </c>
      <c r="AM1199" s="58" t="s">
        <v>6708</v>
      </c>
      <c r="AN1199" s="75">
        <v>0</v>
      </c>
      <c r="AO1199" s="88">
        <v>5.33</v>
      </c>
      <c r="AP1199" s="6" t="str">
        <f t="shared" si="203"/>
        <v>Same</v>
      </c>
      <c r="AQ1199" s="81">
        <f t="shared" si="204"/>
        <v>0</v>
      </c>
      <c r="AR1199" s="81">
        <f t="shared" si="205"/>
        <v>0</v>
      </c>
      <c r="AS1199" s="81">
        <f t="shared" si="208"/>
        <v>0</v>
      </c>
    </row>
    <row r="1200" spans="1:45" hidden="1" x14ac:dyDescent="0.3">
      <c r="A1200">
        <v>6317839</v>
      </c>
      <c r="B1200" s="15" t="s">
        <v>6536</v>
      </c>
      <c r="C1200" s="16" t="s">
        <v>30</v>
      </c>
      <c r="D1200" s="6" t="s">
        <v>31</v>
      </c>
      <c r="E1200" t="s">
        <v>1004</v>
      </c>
      <c r="F1200" t="s">
        <v>1004</v>
      </c>
      <c r="H1200" s="11" t="s">
        <v>27</v>
      </c>
      <c r="I1200" s="6" t="s">
        <v>28</v>
      </c>
      <c r="J1200" s="6" t="s">
        <v>28</v>
      </c>
      <c r="K1200" t="s">
        <v>32</v>
      </c>
      <c r="L1200" s="35">
        <v>424.04</v>
      </c>
      <c r="M1200" s="6" t="s">
        <v>29</v>
      </c>
      <c r="N1200" s="6">
        <v>3105</v>
      </c>
      <c r="P1200" s="18"/>
      <c r="Q1200" s="17"/>
      <c r="R1200" s="19">
        <v>424.04</v>
      </c>
      <c r="S1200" s="19">
        <v>424.04</v>
      </c>
      <c r="T1200" s="38">
        <v>0</v>
      </c>
      <c r="U1200" s="38"/>
      <c r="V1200" s="30">
        <v>424.04</v>
      </c>
      <c r="W1200" s="35">
        <v>424.04</v>
      </c>
      <c r="X1200" s="32">
        <f t="shared" si="198"/>
        <v>0</v>
      </c>
      <c r="Y1200" s="32">
        <f t="shared" si="199"/>
        <v>0</v>
      </c>
      <c r="Z1200" s="32">
        <f t="shared" si="200"/>
        <v>0</v>
      </c>
      <c r="AA1200" s="38" t="s">
        <v>2573</v>
      </c>
      <c r="AB1200" s="37" t="str">
        <f>IFERROR(VLOOKUP(A1200,'Tash Lookup'!A:E,3,FALSE),"")</f>
        <v/>
      </c>
      <c r="AC1200" s="6" t="str">
        <f t="shared" si="201"/>
        <v/>
      </c>
      <c r="AD1200" s="2" t="s">
        <v>6703</v>
      </c>
      <c r="AF1200" s="56">
        <v>436.76</v>
      </c>
      <c r="AG1200" s="56">
        <f>VLOOKUP(A1200,Sheet1!$A$2:$C$1140,3,FALSE)</f>
        <v>445.49</v>
      </c>
      <c r="AH1200" s="58">
        <v>445.49</v>
      </c>
      <c r="AI1200" s="56" t="str">
        <f t="shared" si="202"/>
        <v>Increase</v>
      </c>
      <c r="AJ1200" s="81">
        <f t="shared" si="206"/>
        <v>0</v>
      </c>
      <c r="AK1200" s="81">
        <f t="shared" si="207"/>
        <v>0</v>
      </c>
      <c r="AL1200" s="58" t="s">
        <v>7206</v>
      </c>
      <c r="AM1200" s="58" t="s">
        <v>6703</v>
      </c>
      <c r="AN1200" s="75">
        <v>0</v>
      </c>
      <c r="AO1200" s="88">
        <v>445.49</v>
      </c>
      <c r="AP1200" s="6" t="str">
        <f t="shared" si="203"/>
        <v>Increase</v>
      </c>
      <c r="AQ1200" s="81">
        <f t="shared" si="204"/>
        <v>0</v>
      </c>
      <c r="AR1200" s="81">
        <f t="shared" si="205"/>
        <v>0</v>
      </c>
      <c r="AS1200" s="81">
        <f t="shared" si="208"/>
        <v>0</v>
      </c>
    </row>
    <row r="1201" spans="1:45" hidden="1" x14ac:dyDescent="0.3">
      <c r="A1201">
        <v>6392118</v>
      </c>
      <c r="B1201" s="15" t="s">
        <v>6537</v>
      </c>
      <c r="C1201" s="16" t="s">
        <v>30</v>
      </c>
      <c r="D1201" s="6" t="s">
        <v>31</v>
      </c>
      <c r="E1201" t="s">
        <v>1005</v>
      </c>
      <c r="F1201" t="s">
        <v>1005</v>
      </c>
      <c r="H1201" s="11" t="s">
        <v>27</v>
      </c>
      <c r="I1201" s="6" t="s">
        <v>28</v>
      </c>
      <c r="J1201" s="6" t="s">
        <v>28</v>
      </c>
      <c r="K1201" t="s">
        <v>32</v>
      </c>
      <c r="L1201" s="35">
        <v>6.82</v>
      </c>
      <c r="M1201" s="6" t="s">
        <v>29</v>
      </c>
      <c r="N1201" s="6">
        <v>3105</v>
      </c>
      <c r="P1201" s="18"/>
      <c r="Q1201" s="17"/>
      <c r="R1201" s="19">
        <v>0</v>
      </c>
      <c r="S1201" s="19">
        <v>0</v>
      </c>
      <c r="T1201" s="38">
        <v>0</v>
      </c>
      <c r="U1201" s="38"/>
      <c r="V1201" s="31">
        <v>6.82</v>
      </c>
      <c r="W1201" s="35">
        <v>6.82</v>
      </c>
      <c r="X1201" s="32">
        <f t="shared" si="198"/>
        <v>0</v>
      </c>
      <c r="Y1201" s="32">
        <f t="shared" si="199"/>
        <v>0</v>
      </c>
      <c r="Z1201" s="32">
        <f t="shared" si="200"/>
        <v>0</v>
      </c>
      <c r="AA1201" s="38" t="s">
        <v>2573</v>
      </c>
      <c r="AB1201" s="37" t="str">
        <f>IFERROR(VLOOKUP(A1201,'Tash Lookup'!A:E,3,FALSE),"")</f>
        <v/>
      </c>
      <c r="AC1201" s="6" t="str">
        <f t="shared" si="201"/>
        <v/>
      </c>
      <c r="AD1201" s="2" t="s">
        <v>6703</v>
      </c>
      <c r="AF1201" s="56">
        <v>7</v>
      </c>
      <c r="AG1201" s="56">
        <f>VLOOKUP(A1201,Sheet1!$A$2:$C$1140,3,FALSE)</f>
        <v>7.14</v>
      </c>
      <c r="AH1201" s="58">
        <v>7.14</v>
      </c>
      <c r="AI1201" s="56" t="str">
        <f t="shared" si="202"/>
        <v>Increase</v>
      </c>
      <c r="AJ1201" s="81">
        <f t="shared" si="206"/>
        <v>0</v>
      </c>
      <c r="AK1201" s="81">
        <f t="shared" si="207"/>
        <v>0</v>
      </c>
      <c r="AL1201" s="58" t="s">
        <v>7206</v>
      </c>
      <c r="AM1201" s="58" t="s">
        <v>6703</v>
      </c>
      <c r="AN1201" s="75">
        <v>5</v>
      </c>
      <c r="AO1201" s="88">
        <v>7.14</v>
      </c>
      <c r="AP1201" s="6" t="str">
        <f t="shared" si="203"/>
        <v>Increase</v>
      </c>
      <c r="AQ1201" s="81">
        <f t="shared" si="204"/>
        <v>35</v>
      </c>
      <c r="AR1201" s="81">
        <f t="shared" si="205"/>
        <v>35.699999999999996</v>
      </c>
      <c r="AS1201" s="81">
        <f t="shared" si="208"/>
        <v>0.69999999999999574</v>
      </c>
    </row>
    <row r="1202" spans="1:45" hidden="1" x14ac:dyDescent="0.3">
      <c r="A1202">
        <v>6392107</v>
      </c>
      <c r="B1202" s="15" t="s">
        <v>6538</v>
      </c>
      <c r="C1202" s="16" t="s">
        <v>30</v>
      </c>
      <c r="D1202" s="6" t="s">
        <v>31</v>
      </c>
      <c r="E1202" t="s">
        <v>1006</v>
      </c>
      <c r="F1202" t="s">
        <v>1006</v>
      </c>
      <c r="H1202" s="11" t="s">
        <v>27</v>
      </c>
      <c r="I1202" s="6" t="s">
        <v>28</v>
      </c>
      <c r="J1202" s="6" t="s">
        <v>28</v>
      </c>
      <c r="K1202" t="s">
        <v>32</v>
      </c>
      <c r="L1202" s="35">
        <v>6.82</v>
      </c>
      <c r="M1202" s="6" t="s">
        <v>29</v>
      </c>
      <c r="N1202" s="6">
        <v>3105</v>
      </c>
      <c r="P1202" s="18"/>
      <c r="Q1202" s="17"/>
      <c r="R1202" s="19">
        <v>0</v>
      </c>
      <c r="S1202" s="19">
        <v>0</v>
      </c>
      <c r="T1202" s="38">
        <v>0</v>
      </c>
      <c r="U1202" s="38"/>
      <c r="V1202" s="31">
        <v>6.82</v>
      </c>
      <c r="W1202" s="35">
        <v>6.82</v>
      </c>
      <c r="X1202" s="32">
        <f t="shared" si="198"/>
        <v>0</v>
      </c>
      <c r="Y1202" s="32">
        <f t="shared" si="199"/>
        <v>0</v>
      </c>
      <c r="Z1202" s="32">
        <f t="shared" si="200"/>
        <v>0</v>
      </c>
      <c r="AA1202" s="38" t="s">
        <v>2573</v>
      </c>
      <c r="AB1202" s="37" t="str">
        <f>IFERROR(VLOOKUP(A1202,'Tash Lookup'!A:E,3,FALSE),"")</f>
        <v/>
      </c>
      <c r="AC1202" s="6" t="str">
        <f t="shared" si="201"/>
        <v/>
      </c>
      <c r="AD1202" s="2" t="s">
        <v>6703</v>
      </c>
      <c r="AF1202" s="56">
        <v>7.21</v>
      </c>
      <c r="AG1202" s="56">
        <f>VLOOKUP(A1202,Sheet1!$A$2:$C$1140,3,FALSE)</f>
        <v>7.35</v>
      </c>
      <c r="AH1202" s="58">
        <v>7.35</v>
      </c>
      <c r="AI1202" s="56" t="str">
        <f t="shared" si="202"/>
        <v>Increase</v>
      </c>
      <c r="AJ1202" s="81">
        <f t="shared" si="206"/>
        <v>0</v>
      </c>
      <c r="AK1202" s="81">
        <f t="shared" si="207"/>
        <v>0</v>
      </c>
      <c r="AL1202" s="58" t="s">
        <v>7206</v>
      </c>
      <c r="AM1202" s="58" t="s">
        <v>6703</v>
      </c>
      <c r="AN1202" s="75">
        <v>0</v>
      </c>
      <c r="AO1202" s="88">
        <v>7.35</v>
      </c>
      <c r="AP1202" s="6" t="str">
        <f t="shared" si="203"/>
        <v>Increase</v>
      </c>
      <c r="AQ1202" s="81">
        <f t="shared" si="204"/>
        <v>0</v>
      </c>
      <c r="AR1202" s="81">
        <f t="shared" si="205"/>
        <v>0</v>
      </c>
      <c r="AS1202" s="81">
        <f t="shared" si="208"/>
        <v>0</v>
      </c>
    </row>
    <row r="1203" spans="1:45" hidden="1" x14ac:dyDescent="0.3">
      <c r="A1203">
        <v>6392108</v>
      </c>
      <c r="B1203" s="15" t="s">
        <v>6539</v>
      </c>
      <c r="C1203" s="16" t="s">
        <v>30</v>
      </c>
      <c r="D1203" s="6" t="s">
        <v>31</v>
      </c>
      <c r="E1203" t="s">
        <v>1007</v>
      </c>
      <c r="F1203" t="s">
        <v>1007</v>
      </c>
      <c r="H1203" s="11" t="s">
        <v>27</v>
      </c>
      <c r="I1203" s="6" t="s">
        <v>28</v>
      </c>
      <c r="J1203" s="6" t="s">
        <v>28</v>
      </c>
      <c r="K1203" t="s">
        <v>32</v>
      </c>
      <c r="L1203" s="35">
        <v>6.82</v>
      </c>
      <c r="M1203" s="6" t="s">
        <v>29</v>
      </c>
      <c r="N1203" s="6">
        <v>3105</v>
      </c>
      <c r="P1203" s="18"/>
      <c r="Q1203" s="17"/>
      <c r="R1203" s="19">
        <v>0</v>
      </c>
      <c r="S1203" s="19">
        <v>0</v>
      </c>
      <c r="T1203" s="38">
        <v>0</v>
      </c>
      <c r="U1203" s="38"/>
      <c r="V1203" s="31">
        <v>6.82</v>
      </c>
      <c r="W1203" s="35">
        <v>6.82</v>
      </c>
      <c r="X1203" s="32">
        <f t="shared" si="198"/>
        <v>0</v>
      </c>
      <c r="Y1203" s="32">
        <f t="shared" si="199"/>
        <v>0</v>
      </c>
      <c r="Z1203" s="32">
        <f t="shared" si="200"/>
        <v>0</v>
      </c>
      <c r="AA1203" s="38" t="s">
        <v>2573</v>
      </c>
      <c r="AB1203" s="37" t="str">
        <f>IFERROR(VLOOKUP(A1203,'Tash Lookup'!A:E,3,FALSE),"")</f>
        <v/>
      </c>
      <c r="AC1203" s="6" t="str">
        <f t="shared" si="201"/>
        <v/>
      </c>
      <c r="AD1203" s="2" t="s">
        <v>6703</v>
      </c>
      <c r="AF1203" s="56">
        <v>7.21</v>
      </c>
      <c r="AG1203" s="56">
        <f>VLOOKUP(A1203,Sheet1!$A$2:$C$1140,3,FALSE)</f>
        <v>7.35</v>
      </c>
      <c r="AH1203" s="58">
        <v>7.35</v>
      </c>
      <c r="AI1203" s="56" t="str">
        <f t="shared" si="202"/>
        <v>Increase</v>
      </c>
      <c r="AJ1203" s="81">
        <f t="shared" si="206"/>
        <v>0</v>
      </c>
      <c r="AK1203" s="81">
        <f t="shared" si="207"/>
        <v>0</v>
      </c>
      <c r="AL1203" s="58" t="s">
        <v>7206</v>
      </c>
      <c r="AM1203" s="58" t="s">
        <v>6703</v>
      </c>
      <c r="AN1203" s="75">
        <v>0</v>
      </c>
      <c r="AO1203" s="88">
        <v>7.35</v>
      </c>
      <c r="AP1203" s="6" t="str">
        <f t="shared" si="203"/>
        <v>Increase</v>
      </c>
      <c r="AQ1203" s="81">
        <f t="shared" si="204"/>
        <v>0</v>
      </c>
      <c r="AR1203" s="81">
        <f t="shared" si="205"/>
        <v>0</v>
      </c>
      <c r="AS1203" s="81">
        <f t="shared" si="208"/>
        <v>0</v>
      </c>
    </row>
    <row r="1204" spans="1:45" hidden="1" x14ac:dyDescent="0.3">
      <c r="A1204">
        <v>6392205</v>
      </c>
      <c r="B1204" s="15" t="s">
        <v>6540</v>
      </c>
      <c r="C1204" s="16" t="s">
        <v>30</v>
      </c>
      <c r="D1204" s="6" t="s">
        <v>31</v>
      </c>
      <c r="E1204" t="s">
        <v>1008</v>
      </c>
      <c r="F1204" t="s">
        <v>1008</v>
      </c>
      <c r="H1204" s="11" t="s">
        <v>27</v>
      </c>
      <c r="I1204" s="6" t="s">
        <v>28</v>
      </c>
      <c r="J1204" s="6" t="s">
        <v>28</v>
      </c>
      <c r="K1204" t="s">
        <v>32</v>
      </c>
      <c r="L1204" s="35">
        <v>34.1</v>
      </c>
      <c r="M1204" s="6" t="s">
        <v>29</v>
      </c>
      <c r="N1204" s="6">
        <v>3105</v>
      </c>
      <c r="P1204" s="18"/>
      <c r="Q1204" s="17"/>
      <c r="R1204" s="19">
        <v>34.1</v>
      </c>
      <c r="S1204" s="19">
        <v>34.1</v>
      </c>
      <c r="T1204" s="38">
        <v>0</v>
      </c>
      <c r="U1204" s="38"/>
      <c r="V1204" s="30">
        <v>34.1</v>
      </c>
      <c r="W1204" s="35">
        <v>34.1</v>
      </c>
      <c r="X1204" s="32">
        <f t="shared" si="198"/>
        <v>0</v>
      </c>
      <c r="Y1204" s="32">
        <f t="shared" si="199"/>
        <v>0</v>
      </c>
      <c r="Z1204" s="32">
        <f t="shared" si="200"/>
        <v>0</v>
      </c>
      <c r="AA1204" s="38" t="s">
        <v>2573</v>
      </c>
      <c r="AB1204" s="37" t="str">
        <f>IFERROR(VLOOKUP(A1204,'Tash Lookup'!A:E,3,FALSE),"")</f>
        <v/>
      </c>
      <c r="AC1204" s="6" t="str">
        <f t="shared" si="201"/>
        <v/>
      </c>
      <c r="AD1204" s="2" t="s">
        <v>6703</v>
      </c>
      <c r="AF1204" s="56">
        <v>35.130000000000003</v>
      </c>
      <c r="AG1204" s="56">
        <f>VLOOKUP(A1204,Sheet1!$A$2:$C$1140,3,FALSE)</f>
        <v>35.83</v>
      </c>
      <c r="AH1204" s="58">
        <v>35.83</v>
      </c>
      <c r="AI1204" s="56" t="str">
        <f t="shared" si="202"/>
        <v>Increase</v>
      </c>
      <c r="AJ1204" s="81">
        <f t="shared" si="206"/>
        <v>0</v>
      </c>
      <c r="AK1204" s="81">
        <f t="shared" si="207"/>
        <v>0</v>
      </c>
      <c r="AL1204" s="58" t="s">
        <v>7206</v>
      </c>
      <c r="AM1204" s="58" t="s">
        <v>6703</v>
      </c>
      <c r="AN1204" s="75">
        <v>0</v>
      </c>
      <c r="AO1204" s="88">
        <v>35.83</v>
      </c>
      <c r="AP1204" s="6" t="str">
        <f t="shared" si="203"/>
        <v>Increase</v>
      </c>
      <c r="AQ1204" s="81">
        <f t="shared" si="204"/>
        <v>0</v>
      </c>
      <c r="AR1204" s="81">
        <f t="shared" si="205"/>
        <v>0</v>
      </c>
      <c r="AS1204" s="81">
        <f t="shared" si="208"/>
        <v>0</v>
      </c>
    </row>
    <row r="1205" spans="1:45" hidden="1" x14ac:dyDescent="0.3">
      <c r="A1205">
        <v>5257702</v>
      </c>
      <c r="B1205" s="15" t="s">
        <v>6541</v>
      </c>
      <c r="C1205" s="16" t="s">
        <v>30</v>
      </c>
      <c r="D1205" s="6" t="s">
        <v>31</v>
      </c>
      <c r="E1205" t="s">
        <v>1009</v>
      </c>
      <c r="F1205" t="s">
        <v>1009</v>
      </c>
      <c r="H1205" s="11" t="s">
        <v>27</v>
      </c>
      <c r="I1205" s="6" t="s">
        <v>28</v>
      </c>
      <c r="J1205" s="6" t="s">
        <v>28</v>
      </c>
      <c r="K1205" t="s">
        <v>32</v>
      </c>
      <c r="L1205" s="35">
        <v>77.48</v>
      </c>
      <c r="M1205" s="6" t="s">
        <v>29</v>
      </c>
      <c r="N1205" s="6">
        <v>3105</v>
      </c>
      <c r="P1205" s="18"/>
      <c r="Q1205" s="17"/>
      <c r="R1205" s="19">
        <v>77.48</v>
      </c>
      <c r="S1205" s="19">
        <v>77.48</v>
      </c>
      <c r="T1205" s="38">
        <v>0</v>
      </c>
      <c r="U1205" s="38"/>
      <c r="V1205" s="30">
        <v>77.48</v>
      </c>
      <c r="W1205" s="35">
        <v>77.48</v>
      </c>
      <c r="X1205" s="32">
        <f t="shared" si="198"/>
        <v>0</v>
      </c>
      <c r="Y1205" s="32">
        <f t="shared" si="199"/>
        <v>0</v>
      </c>
      <c r="Z1205" s="32">
        <f t="shared" si="200"/>
        <v>0</v>
      </c>
      <c r="AA1205" s="38" t="s">
        <v>2573</v>
      </c>
      <c r="AB1205" s="37" t="str">
        <f>IFERROR(VLOOKUP(A1205,'Tash Lookup'!A:E,3,FALSE),"")</f>
        <v/>
      </c>
      <c r="AC1205" s="6" t="str">
        <f t="shared" si="201"/>
        <v/>
      </c>
      <c r="AD1205" s="2" t="s">
        <v>6703</v>
      </c>
      <c r="AF1205" s="56">
        <v>79.8</v>
      </c>
      <c r="AG1205" s="56">
        <f>VLOOKUP(A1205,Sheet1!$A$2:$C$1140,3,FALSE)</f>
        <v>81.400000000000006</v>
      </c>
      <c r="AH1205" s="58">
        <v>81.400000000000006</v>
      </c>
      <c r="AI1205" s="56" t="str">
        <f t="shared" si="202"/>
        <v>Increase</v>
      </c>
      <c r="AJ1205" s="81">
        <f t="shared" si="206"/>
        <v>0</v>
      </c>
      <c r="AK1205" s="81">
        <f t="shared" si="207"/>
        <v>0</v>
      </c>
      <c r="AL1205" s="58" t="s">
        <v>7206</v>
      </c>
      <c r="AM1205" s="58" t="s">
        <v>6703</v>
      </c>
      <c r="AN1205" s="75">
        <v>0</v>
      </c>
      <c r="AO1205" s="88">
        <v>81.400000000000006</v>
      </c>
      <c r="AP1205" s="6" t="str">
        <f t="shared" si="203"/>
        <v>Increase</v>
      </c>
      <c r="AQ1205" s="81">
        <f t="shared" si="204"/>
        <v>0</v>
      </c>
      <c r="AR1205" s="81">
        <f t="shared" si="205"/>
        <v>0</v>
      </c>
      <c r="AS1205" s="81">
        <f t="shared" si="208"/>
        <v>0</v>
      </c>
    </row>
    <row r="1206" spans="1:45" hidden="1" x14ac:dyDescent="0.3">
      <c r="A1206">
        <v>5257695</v>
      </c>
      <c r="B1206" s="15" t="s">
        <v>6542</v>
      </c>
      <c r="C1206" s="16" t="s">
        <v>30</v>
      </c>
      <c r="D1206" s="6" t="s">
        <v>31</v>
      </c>
      <c r="E1206" t="s">
        <v>1010</v>
      </c>
      <c r="F1206" t="s">
        <v>1010</v>
      </c>
      <c r="H1206" s="11" t="s">
        <v>27</v>
      </c>
      <c r="I1206" s="6" t="s">
        <v>28</v>
      </c>
      <c r="J1206" s="6" t="s">
        <v>28</v>
      </c>
      <c r="K1206" t="s">
        <v>32</v>
      </c>
      <c r="L1206" s="35">
        <v>103.76</v>
      </c>
      <c r="M1206" s="6" t="s">
        <v>29</v>
      </c>
      <c r="N1206" s="6">
        <v>3105</v>
      </c>
      <c r="P1206" s="18"/>
      <c r="Q1206" s="17"/>
      <c r="R1206" s="19">
        <v>103.76</v>
      </c>
      <c r="S1206" s="19">
        <v>103.76</v>
      </c>
      <c r="T1206" s="38">
        <v>0</v>
      </c>
      <c r="U1206" s="38"/>
      <c r="V1206" s="30">
        <v>103.76</v>
      </c>
      <c r="W1206" s="35">
        <v>103.76</v>
      </c>
      <c r="X1206" s="32">
        <f t="shared" si="198"/>
        <v>0</v>
      </c>
      <c r="Y1206" s="32">
        <f t="shared" si="199"/>
        <v>0</v>
      </c>
      <c r="Z1206" s="32">
        <f t="shared" si="200"/>
        <v>0</v>
      </c>
      <c r="AA1206" s="38" t="s">
        <v>2573</v>
      </c>
      <c r="AB1206" s="37" t="str">
        <f>IFERROR(VLOOKUP(A1206,'Tash Lookup'!A:E,3,FALSE),"")</f>
        <v/>
      </c>
      <c r="AC1206" s="6" t="str">
        <f t="shared" si="201"/>
        <v/>
      </c>
      <c r="AD1206" s="2" t="s">
        <v>6703</v>
      </c>
      <c r="AF1206" s="56">
        <v>106.88</v>
      </c>
      <c r="AG1206" s="56">
        <f>VLOOKUP(A1206,Sheet1!$A$2:$C$1140,3,FALSE)</f>
        <v>109.01</v>
      </c>
      <c r="AH1206" s="58">
        <v>109.01</v>
      </c>
      <c r="AI1206" s="56" t="str">
        <f t="shared" si="202"/>
        <v>Increase</v>
      </c>
      <c r="AJ1206" s="81">
        <f t="shared" si="206"/>
        <v>0</v>
      </c>
      <c r="AK1206" s="81">
        <f t="shared" si="207"/>
        <v>0</v>
      </c>
      <c r="AL1206" s="58" t="s">
        <v>7206</v>
      </c>
      <c r="AM1206" s="58" t="s">
        <v>6703</v>
      </c>
      <c r="AN1206" s="75">
        <v>0</v>
      </c>
      <c r="AO1206" s="88">
        <v>109.01</v>
      </c>
      <c r="AP1206" s="6" t="str">
        <f t="shared" si="203"/>
        <v>Increase</v>
      </c>
      <c r="AQ1206" s="81">
        <f t="shared" si="204"/>
        <v>0</v>
      </c>
      <c r="AR1206" s="81">
        <f t="shared" si="205"/>
        <v>0</v>
      </c>
      <c r="AS1206" s="81">
        <f t="shared" si="208"/>
        <v>0</v>
      </c>
    </row>
    <row r="1207" spans="1:45" hidden="1" x14ac:dyDescent="0.3">
      <c r="A1207">
        <v>6351631</v>
      </c>
      <c r="B1207" s="15" t="s">
        <v>6543</v>
      </c>
      <c r="C1207" s="16" t="s">
        <v>30</v>
      </c>
      <c r="D1207" s="6" t="s">
        <v>31</v>
      </c>
      <c r="E1207" t="s">
        <v>1012</v>
      </c>
      <c r="F1207" t="s">
        <v>1012</v>
      </c>
      <c r="H1207" s="11" t="s">
        <v>27</v>
      </c>
      <c r="I1207" s="6" t="s">
        <v>28</v>
      </c>
      <c r="J1207" s="6" t="s">
        <v>28</v>
      </c>
      <c r="K1207" t="s">
        <v>32</v>
      </c>
      <c r="L1207" s="35">
        <v>27.71</v>
      </c>
      <c r="M1207" s="6" t="s">
        <v>29</v>
      </c>
      <c r="N1207" s="6">
        <v>3105</v>
      </c>
      <c r="P1207" s="18"/>
      <c r="Q1207" s="17"/>
      <c r="R1207" s="19">
        <v>27.71</v>
      </c>
      <c r="S1207" s="19">
        <v>27.71</v>
      </c>
      <c r="T1207" s="38">
        <v>0</v>
      </c>
      <c r="U1207" s="38"/>
      <c r="V1207" s="30">
        <v>27.71</v>
      </c>
      <c r="W1207" s="35">
        <v>27.71</v>
      </c>
      <c r="X1207" s="32">
        <f t="shared" si="198"/>
        <v>0</v>
      </c>
      <c r="Y1207" s="32">
        <f t="shared" si="199"/>
        <v>0</v>
      </c>
      <c r="Z1207" s="32">
        <f t="shared" si="200"/>
        <v>0</v>
      </c>
      <c r="AA1207" s="38" t="s">
        <v>2573</v>
      </c>
      <c r="AB1207" s="37" t="str">
        <f>IFERROR(VLOOKUP(A1207,'Tash Lookup'!A:E,3,FALSE),"")</f>
        <v/>
      </c>
      <c r="AC1207" s="6" t="str">
        <f t="shared" si="201"/>
        <v/>
      </c>
      <c r="AD1207" s="2" t="s">
        <v>6703</v>
      </c>
      <c r="AF1207" s="56">
        <v>30.2</v>
      </c>
      <c r="AG1207" s="56" t="e">
        <f>VLOOKUP(A1207,Sheet1!$A$2:$C$1140,3,FALSE)</f>
        <v>#N/A</v>
      </c>
      <c r="AH1207" s="58" t="e">
        <v>#N/A</v>
      </c>
      <c r="AI1207" s="56" t="str">
        <f t="shared" si="202"/>
        <v>Delete</v>
      </c>
      <c r="AJ1207" s="81">
        <f t="shared" si="206"/>
        <v>0</v>
      </c>
      <c r="AK1207" s="81">
        <f t="shared" si="207"/>
        <v>0</v>
      </c>
      <c r="AL1207" s="58" t="s">
        <v>7206</v>
      </c>
      <c r="AM1207" s="58" t="s">
        <v>6703</v>
      </c>
      <c r="AN1207" s="75">
        <v>0</v>
      </c>
      <c r="AO1207" s="88">
        <v>30.8</v>
      </c>
      <c r="AP1207" s="6" t="str">
        <f t="shared" si="203"/>
        <v>Increase</v>
      </c>
      <c r="AQ1207" s="81">
        <f t="shared" si="204"/>
        <v>0</v>
      </c>
      <c r="AR1207" s="81">
        <f t="shared" si="205"/>
        <v>0</v>
      </c>
      <c r="AS1207" s="81">
        <f t="shared" si="208"/>
        <v>0</v>
      </c>
    </row>
    <row r="1208" spans="1:45" hidden="1" x14ac:dyDescent="0.3">
      <c r="A1208">
        <v>6352979</v>
      </c>
      <c r="B1208" s="15" t="s">
        <v>6544</v>
      </c>
      <c r="C1208" s="16" t="s">
        <v>30</v>
      </c>
      <c r="D1208" s="6" t="s">
        <v>31</v>
      </c>
      <c r="E1208" t="s">
        <v>1014</v>
      </c>
      <c r="F1208" t="s">
        <v>1014</v>
      </c>
      <c r="H1208" s="11" t="s">
        <v>27</v>
      </c>
      <c r="I1208" s="6" t="s">
        <v>28</v>
      </c>
      <c r="J1208" s="6" t="s">
        <v>28</v>
      </c>
      <c r="K1208" t="s">
        <v>32</v>
      </c>
      <c r="L1208" s="35">
        <v>43.5</v>
      </c>
      <c r="M1208" s="6" t="s">
        <v>29</v>
      </c>
      <c r="N1208" s="6">
        <v>3105</v>
      </c>
      <c r="P1208" s="18"/>
      <c r="Q1208" s="17"/>
      <c r="R1208" s="19">
        <v>43.5</v>
      </c>
      <c r="S1208" s="19">
        <v>43.5</v>
      </c>
      <c r="T1208" s="38">
        <v>0</v>
      </c>
      <c r="U1208" s="38"/>
      <c r="V1208" s="30">
        <v>43.5</v>
      </c>
      <c r="W1208" s="35">
        <v>43.5</v>
      </c>
      <c r="X1208" s="32">
        <f t="shared" si="198"/>
        <v>0</v>
      </c>
      <c r="Y1208" s="32">
        <f t="shared" si="199"/>
        <v>0</v>
      </c>
      <c r="Z1208" s="32">
        <f t="shared" si="200"/>
        <v>0</v>
      </c>
      <c r="AA1208" s="38" t="s">
        <v>2573</v>
      </c>
      <c r="AB1208" s="37" t="str">
        <f>IFERROR(VLOOKUP(A1208,'Tash Lookup'!A:E,3,FALSE),"")</f>
        <v/>
      </c>
      <c r="AC1208" s="6" t="str">
        <f t="shared" si="201"/>
        <v/>
      </c>
      <c r="AD1208" s="2" t="s">
        <v>6711</v>
      </c>
      <c r="AE1208" s="2" t="s">
        <v>6701</v>
      </c>
      <c r="AF1208" s="56">
        <v>43.5</v>
      </c>
      <c r="AG1208" s="56" t="e">
        <f>VLOOKUP(A1208,Sheet1!$A$2:$C$1140,3,FALSE)</f>
        <v>#N/A</v>
      </c>
      <c r="AH1208" s="58" t="e">
        <v>#N/A</v>
      </c>
      <c r="AI1208" s="56" t="str">
        <f t="shared" si="202"/>
        <v>Delete</v>
      </c>
      <c r="AJ1208" s="81">
        <f t="shared" si="206"/>
        <v>0</v>
      </c>
      <c r="AK1208" s="81">
        <f t="shared" si="207"/>
        <v>0</v>
      </c>
      <c r="AL1208" s="58" t="s">
        <v>7206</v>
      </c>
      <c r="AM1208" s="58" t="s">
        <v>6711</v>
      </c>
      <c r="AN1208" s="75">
        <v>0</v>
      </c>
      <c r="AO1208" s="88">
        <v>43.5</v>
      </c>
      <c r="AP1208" s="6" t="str">
        <f t="shared" si="203"/>
        <v>Delete</v>
      </c>
      <c r="AQ1208" s="81">
        <f t="shared" si="204"/>
        <v>0</v>
      </c>
      <c r="AR1208" s="81">
        <f t="shared" si="205"/>
        <v>0</v>
      </c>
      <c r="AS1208" s="81">
        <f t="shared" si="208"/>
        <v>0</v>
      </c>
    </row>
    <row r="1209" spans="1:45" hidden="1" x14ac:dyDescent="0.3">
      <c r="A1209">
        <v>6352960</v>
      </c>
      <c r="B1209" s="15" t="s">
        <v>6545</v>
      </c>
      <c r="C1209" s="16" t="s">
        <v>30</v>
      </c>
      <c r="D1209" s="6" t="s">
        <v>31</v>
      </c>
      <c r="E1209" t="s">
        <v>1015</v>
      </c>
      <c r="F1209" t="s">
        <v>1015</v>
      </c>
      <c r="H1209" s="11" t="s">
        <v>27</v>
      </c>
      <c r="I1209" s="6" t="s">
        <v>28</v>
      </c>
      <c r="J1209" s="6" t="s">
        <v>28</v>
      </c>
      <c r="K1209" t="s">
        <v>32</v>
      </c>
      <c r="L1209" s="35">
        <v>43.5</v>
      </c>
      <c r="M1209" s="6" t="s">
        <v>29</v>
      </c>
      <c r="N1209" s="6">
        <v>3105</v>
      </c>
      <c r="P1209" s="18"/>
      <c r="Q1209" s="17"/>
      <c r="R1209" s="19">
        <v>43.5</v>
      </c>
      <c r="S1209" s="19">
        <v>43.5</v>
      </c>
      <c r="T1209" s="38">
        <v>0</v>
      </c>
      <c r="U1209" s="38"/>
      <c r="V1209" s="30">
        <v>43.5</v>
      </c>
      <c r="W1209" s="35">
        <v>43.5</v>
      </c>
      <c r="X1209" s="32">
        <f t="shared" si="198"/>
        <v>0</v>
      </c>
      <c r="Y1209" s="32">
        <f t="shared" si="199"/>
        <v>0</v>
      </c>
      <c r="Z1209" s="32">
        <f t="shared" si="200"/>
        <v>0</v>
      </c>
      <c r="AA1209" s="38" t="s">
        <v>2573</v>
      </c>
      <c r="AB1209" s="37" t="str">
        <f>IFERROR(VLOOKUP(A1209,'Tash Lookup'!A:E,3,FALSE),"")</f>
        <v/>
      </c>
      <c r="AC1209" s="6" t="str">
        <f t="shared" si="201"/>
        <v/>
      </c>
      <c r="AD1209" s="2" t="s">
        <v>6711</v>
      </c>
      <c r="AE1209" s="2" t="s">
        <v>6701</v>
      </c>
      <c r="AF1209" s="56">
        <v>43.5</v>
      </c>
      <c r="AG1209" s="56" t="e">
        <f>VLOOKUP(A1209,Sheet1!$A$2:$C$1140,3,FALSE)</f>
        <v>#N/A</v>
      </c>
      <c r="AH1209" s="58" t="e">
        <v>#N/A</v>
      </c>
      <c r="AI1209" s="56" t="str">
        <f t="shared" si="202"/>
        <v>Delete</v>
      </c>
      <c r="AJ1209" s="81">
        <f t="shared" si="206"/>
        <v>0</v>
      </c>
      <c r="AK1209" s="81">
        <f t="shared" si="207"/>
        <v>0</v>
      </c>
      <c r="AL1209" s="58" t="s">
        <v>7206</v>
      </c>
      <c r="AM1209" s="58" t="s">
        <v>6711</v>
      </c>
      <c r="AN1209" s="75">
        <v>0</v>
      </c>
      <c r="AO1209" s="88">
        <v>43.5</v>
      </c>
      <c r="AP1209" s="6" t="str">
        <f t="shared" si="203"/>
        <v>Delete</v>
      </c>
      <c r="AQ1209" s="81">
        <f t="shared" si="204"/>
        <v>0</v>
      </c>
      <c r="AR1209" s="81">
        <f t="shared" si="205"/>
        <v>0</v>
      </c>
      <c r="AS1209" s="81">
        <f t="shared" si="208"/>
        <v>0</v>
      </c>
    </row>
    <row r="1210" spans="1:45" hidden="1" x14ac:dyDescent="0.3">
      <c r="A1210">
        <v>6352981</v>
      </c>
      <c r="B1210" s="15" t="s">
        <v>6546</v>
      </c>
      <c r="C1210" s="16" t="s">
        <v>30</v>
      </c>
      <c r="D1210" s="6" t="s">
        <v>31</v>
      </c>
      <c r="E1210" t="s">
        <v>1018</v>
      </c>
      <c r="F1210" t="s">
        <v>1018</v>
      </c>
      <c r="H1210" s="11" t="s">
        <v>27</v>
      </c>
      <c r="I1210" s="6" t="s">
        <v>28</v>
      </c>
      <c r="J1210" s="6" t="s">
        <v>28</v>
      </c>
      <c r="K1210" t="s">
        <v>32</v>
      </c>
      <c r="L1210" s="35">
        <v>43.5</v>
      </c>
      <c r="M1210" s="6" t="s">
        <v>29</v>
      </c>
      <c r="N1210" s="6">
        <v>3105</v>
      </c>
      <c r="P1210" s="18"/>
      <c r="Q1210" s="17"/>
      <c r="R1210" s="19">
        <v>43.5</v>
      </c>
      <c r="S1210" s="19">
        <v>43.5</v>
      </c>
      <c r="T1210" s="38">
        <v>0</v>
      </c>
      <c r="U1210" s="38"/>
      <c r="V1210" s="30">
        <v>43.5</v>
      </c>
      <c r="W1210" s="35">
        <v>43.5</v>
      </c>
      <c r="X1210" s="32">
        <f t="shared" si="198"/>
        <v>0</v>
      </c>
      <c r="Y1210" s="32">
        <f t="shared" si="199"/>
        <v>0</v>
      </c>
      <c r="Z1210" s="32">
        <f t="shared" si="200"/>
        <v>0</v>
      </c>
      <c r="AA1210" s="38" t="s">
        <v>2573</v>
      </c>
      <c r="AB1210" s="37" t="str">
        <f>IFERROR(VLOOKUP(A1210,'Tash Lookup'!A:E,3,FALSE),"")</f>
        <v/>
      </c>
      <c r="AC1210" s="6" t="str">
        <f t="shared" si="201"/>
        <v/>
      </c>
      <c r="AD1210" s="2" t="s">
        <v>6711</v>
      </c>
      <c r="AE1210" s="2" t="s">
        <v>6701</v>
      </c>
      <c r="AF1210" s="56">
        <v>43.5</v>
      </c>
      <c r="AG1210" s="56" t="e">
        <f>VLOOKUP(A1210,Sheet1!$A$2:$C$1140,3,FALSE)</f>
        <v>#N/A</v>
      </c>
      <c r="AH1210" s="58" t="e">
        <v>#N/A</v>
      </c>
      <c r="AI1210" s="56" t="str">
        <f t="shared" si="202"/>
        <v>Delete</v>
      </c>
      <c r="AJ1210" s="81">
        <f t="shared" si="206"/>
        <v>0</v>
      </c>
      <c r="AK1210" s="81">
        <f t="shared" si="207"/>
        <v>0</v>
      </c>
      <c r="AL1210" s="58" t="s">
        <v>7206</v>
      </c>
      <c r="AM1210" s="58" t="s">
        <v>6711</v>
      </c>
      <c r="AN1210" s="75">
        <v>0</v>
      </c>
      <c r="AO1210" s="88">
        <v>43.5</v>
      </c>
      <c r="AP1210" s="6" t="str">
        <f t="shared" si="203"/>
        <v>Delete</v>
      </c>
      <c r="AQ1210" s="81">
        <f t="shared" si="204"/>
        <v>0</v>
      </c>
      <c r="AR1210" s="81">
        <f t="shared" si="205"/>
        <v>0</v>
      </c>
      <c r="AS1210" s="81">
        <f t="shared" si="208"/>
        <v>0</v>
      </c>
    </row>
    <row r="1211" spans="1:45" hidden="1" x14ac:dyDescent="0.3">
      <c r="A1211">
        <v>6352972</v>
      </c>
      <c r="B1211" s="15" t="s">
        <v>6547</v>
      </c>
      <c r="C1211" s="16" t="s">
        <v>30</v>
      </c>
      <c r="D1211" s="6" t="s">
        <v>31</v>
      </c>
      <c r="E1211" t="s">
        <v>1019</v>
      </c>
      <c r="F1211" t="s">
        <v>1019</v>
      </c>
      <c r="H1211" s="11" t="s">
        <v>27</v>
      </c>
      <c r="I1211" s="6" t="s">
        <v>28</v>
      </c>
      <c r="J1211" s="6" t="s">
        <v>28</v>
      </c>
      <c r="K1211" t="s">
        <v>32</v>
      </c>
      <c r="L1211" s="35">
        <v>43.5</v>
      </c>
      <c r="M1211" s="6" t="s">
        <v>29</v>
      </c>
      <c r="N1211" s="6">
        <v>3105</v>
      </c>
      <c r="P1211" s="18"/>
      <c r="Q1211" s="17"/>
      <c r="R1211" s="19">
        <v>43.5</v>
      </c>
      <c r="S1211" s="19">
        <v>43.5</v>
      </c>
      <c r="T1211" s="38">
        <v>0</v>
      </c>
      <c r="U1211" s="38"/>
      <c r="V1211" s="30">
        <v>43.5</v>
      </c>
      <c r="W1211" s="35">
        <v>43.5</v>
      </c>
      <c r="X1211" s="32">
        <f t="shared" si="198"/>
        <v>0</v>
      </c>
      <c r="Y1211" s="32">
        <f t="shared" si="199"/>
        <v>0</v>
      </c>
      <c r="Z1211" s="32">
        <f t="shared" si="200"/>
        <v>0</v>
      </c>
      <c r="AA1211" s="38" t="s">
        <v>2573</v>
      </c>
      <c r="AB1211" s="37" t="str">
        <f>IFERROR(VLOOKUP(A1211,'Tash Lookup'!A:E,3,FALSE),"")</f>
        <v/>
      </c>
      <c r="AC1211" s="6" t="str">
        <f t="shared" si="201"/>
        <v/>
      </c>
      <c r="AD1211" s="2" t="s">
        <v>6711</v>
      </c>
      <c r="AE1211" s="2" t="s">
        <v>6701</v>
      </c>
      <c r="AF1211" s="56">
        <v>43.5</v>
      </c>
      <c r="AG1211" s="56" t="e">
        <f>VLOOKUP(A1211,Sheet1!$A$2:$C$1140,3,FALSE)</f>
        <v>#N/A</v>
      </c>
      <c r="AH1211" s="58" t="e">
        <v>#N/A</v>
      </c>
      <c r="AI1211" s="56" t="str">
        <f t="shared" si="202"/>
        <v>Delete</v>
      </c>
      <c r="AJ1211" s="81">
        <f t="shared" si="206"/>
        <v>0</v>
      </c>
      <c r="AK1211" s="81">
        <f t="shared" si="207"/>
        <v>0</v>
      </c>
      <c r="AL1211" s="58" t="s">
        <v>7206</v>
      </c>
      <c r="AM1211" s="58" t="s">
        <v>6711</v>
      </c>
      <c r="AN1211" s="75">
        <v>0</v>
      </c>
      <c r="AO1211" s="88">
        <v>43.5</v>
      </c>
      <c r="AP1211" s="6" t="str">
        <f t="shared" si="203"/>
        <v>Delete</v>
      </c>
      <c r="AQ1211" s="81">
        <f t="shared" si="204"/>
        <v>0</v>
      </c>
      <c r="AR1211" s="81">
        <f t="shared" si="205"/>
        <v>0</v>
      </c>
      <c r="AS1211" s="81">
        <f t="shared" si="208"/>
        <v>0</v>
      </c>
    </row>
    <row r="1212" spans="1:45" hidden="1" x14ac:dyDescent="0.3">
      <c r="A1212">
        <v>6352973</v>
      </c>
      <c r="B1212" s="15" t="s">
        <v>6548</v>
      </c>
      <c r="C1212" s="16" t="s">
        <v>30</v>
      </c>
      <c r="D1212" s="6" t="s">
        <v>31</v>
      </c>
      <c r="E1212" t="s">
        <v>1021</v>
      </c>
      <c r="F1212" t="s">
        <v>1021</v>
      </c>
      <c r="H1212" s="11" t="s">
        <v>27</v>
      </c>
      <c r="I1212" s="6" t="s">
        <v>28</v>
      </c>
      <c r="J1212" s="6" t="s">
        <v>28</v>
      </c>
      <c r="K1212" t="s">
        <v>32</v>
      </c>
      <c r="L1212" s="35">
        <v>43.5</v>
      </c>
      <c r="M1212" s="6" t="s">
        <v>29</v>
      </c>
      <c r="N1212" s="6">
        <v>3105</v>
      </c>
      <c r="P1212" s="18"/>
      <c r="Q1212" s="17"/>
      <c r="R1212" s="19">
        <v>43.5</v>
      </c>
      <c r="S1212" s="19">
        <v>43.5</v>
      </c>
      <c r="T1212" s="38">
        <v>0</v>
      </c>
      <c r="U1212" s="38"/>
      <c r="V1212" s="30">
        <v>43.5</v>
      </c>
      <c r="W1212" s="35">
        <v>43.5</v>
      </c>
      <c r="X1212" s="32">
        <f t="shared" si="198"/>
        <v>0</v>
      </c>
      <c r="Y1212" s="32">
        <f t="shared" si="199"/>
        <v>0</v>
      </c>
      <c r="Z1212" s="32">
        <f t="shared" si="200"/>
        <v>0</v>
      </c>
      <c r="AA1212" s="38" t="s">
        <v>2573</v>
      </c>
      <c r="AB1212" s="37" t="str">
        <f>IFERROR(VLOOKUP(A1212,'Tash Lookup'!A:E,3,FALSE),"")</f>
        <v/>
      </c>
      <c r="AC1212" s="6" t="str">
        <f t="shared" si="201"/>
        <v/>
      </c>
      <c r="AD1212" s="2" t="s">
        <v>6711</v>
      </c>
      <c r="AE1212" s="2" t="s">
        <v>6701</v>
      </c>
      <c r="AF1212" s="56">
        <v>43.5</v>
      </c>
      <c r="AG1212" s="56" t="e">
        <f>VLOOKUP(A1212,Sheet1!$A$2:$C$1140,3,FALSE)</f>
        <v>#N/A</v>
      </c>
      <c r="AH1212" s="58" t="e">
        <v>#N/A</v>
      </c>
      <c r="AI1212" s="56" t="str">
        <f t="shared" si="202"/>
        <v>Delete</v>
      </c>
      <c r="AJ1212" s="81">
        <f t="shared" si="206"/>
        <v>0</v>
      </c>
      <c r="AK1212" s="81">
        <f t="shared" si="207"/>
        <v>0</v>
      </c>
      <c r="AL1212" s="58" t="s">
        <v>7206</v>
      </c>
      <c r="AM1212" s="58" t="s">
        <v>6711</v>
      </c>
      <c r="AN1212" s="75">
        <v>0</v>
      </c>
      <c r="AO1212" s="88">
        <v>43.5</v>
      </c>
      <c r="AP1212" s="6" t="str">
        <f t="shared" si="203"/>
        <v>Delete</v>
      </c>
      <c r="AQ1212" s="81">
        <f t="shared" si="204"/>
        <v>0</v>
      </c>
      <c r="AR1212" s="81">
        <f t="shared" si="205"/>
        <v>0</v>
      </c>
      <c r="AS1212" s="81">
        <f t="shared" si="208"/>
        <v>0</v>
      </c>
    </row>
    <row r="1213" spans="1:45" hidden="1" x14ac:dyDescent="0.3">
      <c r="A1213">
        <v>6352983</v>
      </c>
      <c r="B1213" s="15" t="s">
        <v>6549</v>
      </c>
      <c r="C1213" s="16" t="s">
        <v>30</v>
      </c>
      <c r="D1213" s="6" t="s">
        <v>31</v>
      </c>
      <c r="E1213" t="s">
        <v>1022</v>
      </c>
      <c r="F1213" t="s">
        <v>1022</v>
      </c>
      <c r="H1213" s="11" t="s">
        <v>27</v>
      </c>
      <c r="I1213" s="6" t="s">
        <v>28</v>
      </c>
      <c r="J1213" s="6" t="s">
        <v>28</v>
      </c>
      <c r="K1213" t="s">
        <v>32</v>
      </c>
      <c r="L1213" s="35">
        <v>43.5</v>
      </c>
      <c r="M1213" s="6" t="s">
        <v>29</v>
      </c>
      <c r="N1213" s="6">
        <v>3105</v>
      </c>
      <c r="P1213" s="18"/>
      <c r="Q1213" s="17"/>
      <c r="R1213" s="19">
        <v>43.5</v>
      </c>
      <c r="S1213" s="19">
        <v>43.5</v>
      </c>
      <c r="T1213" s="38">
        <v>0</v>
      </c>
      <c r="U1213" s="38"/>
      <c r="V1213" s="30">
        <v>43.5</v>
      </c>
      <c r="W1213" s="35">
        <v>43.5</v>
      </c>
      <c r="X1213" s="32">
        <f t="shared" si="198"/>
        <v>0</v>
      </c>
      <c r="Y1213" s="32">
        <f t="shared" si="199"/>
        <v>0</v>
      </c>
      <c r="Z1213" s="32">
        <f t="shared" si="200"/>
        <v>0</v>
      </c>
      <c r="AA1213" s="38" t="s">
        <v>2573</v>
      </c>
      <c r="AB1213" s="37" t="str">
        <f>IFERROR(VLOOKUP(A1213,'Tash Lookup'!A:E,3,FALSE),"")</f>
        <v/>
      </c>
      <c r="AC1213" s="6" t="str">
        <f t="shared" si="201"/>
        <v/>
      </c>
      <c r="AD1213" s="2" t="s">
        <v>6711</v>
      </c>
      <c r="AE1213" s="2" t="s">
        <v>6701</v>
      </c>
      <c r="AF1213" s="56">
        <v>43.5</v>
      </c>
      <c r="AG1213" s="56" t="e">
        <f>VLOOKUP(A1213,Sheet1!$A$2:$C$1140,3,FALSE)</f>
        <v>#N/A</v>
      </c>
      <c r="AH1213" s="58" t="e">
        <v>#N/A</v>
      </c>
      <c r="AI1213" s="56" t="str">
        <f t="shared" si="202"/>
        <v>Delete</v>
      </c>
      <c r="AJ1213" s="81">
        <f t="shared" si="206"/>
        <v>0</v>
      </c>
      <c r="AK1213" s="81">
        <f t="shared" si="207"/>
        <v>0</v>
      </c>
      <c r="AL1213" s="58" t="s">
        <v>7206</v>
      </c>
      <c r="AM1213" s="58" t="s">
        <v>6711</v>
      </c>
      <c r="AN1213" s="75">
        <v>0</v>
      </c>
      <c r="AO1213" s="88">
        <v>43.5</v>
      </c>
      <c r="AP1213" s="6" t="str">
        <f t="shared" si="203"/>
        <v>Delete</v>
      </c>
      <c r="AQ1213" s="81">
        <f t="shared" si="204"/>
        <v>0</v>
      </c>
      <c r="AR1213" s="81">
        <f t="shared" si="205"/>
        <v>0</v>
      </c>
      <c r="AS1213" s="81">
        <f t="shared" si="208"/>
        <v>0</v>
      </c>
    </row>
    <row r="1214" spans="1:45" hidden="1" x14ac:dyDescent="0.3">
      <c r="A1214">
        <v>6352974</v>
      </c>
      <c r="B1214" s="15" t="s">
        <v>6550</v>
      </c>
      <c r="C1214" s="16" t="s">
        <v>30</v>
      </c>
      <c r="D1214" s="6" t="s">
        <v>31</v>
      </c>
      <c r="E1214" t="s">
        <v>1023</v>
      </c>
      <c r="F1214" t="s">
        <v>1023</v>
      </c>
      <c r="H1214" s="11" t="s">
        <v>27</v>
      </c>
      <c r="I1214" s="6" t="s">
        <v>28</v>
      </c>
      <c r="J1214" s="6" t="s">
        <v>28</v>
      </c>
      <c r="K1214" t="s">
        <v>32</v>
      </c>
      <c r="L1214" s="35">
        <v>43.5</v>
      </c>
      <c r="M1214" s="6" t="s">
        <v>29</v>
      </c>
      <c r="N1214" s="6">
        <v>3105</v>
      </c>
      <c r="P1214" s="18"/>
      <c r="Q1214" s="17"/>
      <c r="R1214" s="19">
        <v>43.5</v>
      </c>
      <c r="S1214" s="19">
        <v>43.5</v>
      </c>
      <c r="T1214" s="38">
        <v>0</v>
      </c>
      <c r="U1214" s="38"/>
      <c r="V1214" s="30">
        <v>43.5</v>
      </c>
      <c r="W1214" s="35">
        <v>43.5</v>
      </c>
      <c r="X1214" s="32">
        <f t="shared" si="198"/>
        <v>0</v>
      </c>
      <c r="Y1214" s="32">
        <f t="shared" si="199"/>
        <v>0</v>
      </c>
      <c r="Z1214" s="32">
        <f t="shared" si="200"/>
        <v>0</v>
      </c>
      <c r="AA1214" s="38" t="s">
        <v>2573</v>
      </c>
      <c r="AB1214" s="37" t="str">
        <f>IFERROR(VLOOKUP(A1214,'Tash Lookup'!A:E,3,FALSE),"")</f>
        <v/>
      </c>
      <c r="AC1214" s="6" t="str">
        <f t="shared" si="201"/>
        <v/>
      </c>
      <c r="AD1214" s="2" t="s">
        <v>6711</v>
      </c>
      <c r="AE1214" s="2" t="s">
        <v>6701</v>
      </c>
      <c r="AF1214" s="56">
        <v>43.5</v>
      </c>
      <c r="AG1214" s="56" t="e">
        <f>VLOOKUP(A1214,Sheet1!$A$2:$C$1140,3,FALSE)</f>
        <v>#N/A</v>
      </c>
      <c r="AH1214" s="58" t="e">
        <v>#N/A</v>
      </c>
      <c r="AI1214" s="56" t="str">
        <f t="shared" si="202"/>
        <v>Delete</v>
      </c>
      <c r="AJ1214" s="81">
        <f t="shared" si="206"/>
        <v>0</v>
      </c>
      <c r="AK1214" s="81">
        <f t="shared" si="207"/>
        <v>0</v>
      </c>
      <c r="AL1214" s="58" t="s">
        <v>7206</v>
      </c>
      <c r="AM1214" s="58" t="s">
        <v>6711</v>
      </c>
      <c r="AN1214" s="75">
        <v>0</v>
      </c>
      <c r="AO1214" s="88">
        <v>43.5</v>
      </c>
      <c r="AP1214" s="6" t="str">
        <f t="shared" si="203"/>
        <v>Delete</v>
      </c>
      <c r="AQ1214" s="81">
        <f t="shared" si="204"/>
        <v>0</v>
      </c>
      <c r="AR1214" s="81">
        <f t="shared" si="205"/>
        <v>0</v>
      </c>
      <c r="AS1214" s="81">
        <f t="shared" si="208"/>
        <v>0</v>
      </c>
    </row>
    <row r="1215" spans="1:45" hidden="1" x14ac:dyDescent="0.3">
      <c r="A1215">
        <v>6352984</v>
      </c>
      <c r="B1215" s="15" t="s">
        <v>6551</v>
      </c>
      <c r="C1215" s="16" t="s">
        <v>30</v>
      </c>
      <c r="D1215" s="6" t="s">
        <v>31</v>
      </c>
      <c r="E1215" t="s">
        <v>1024</v>
      </c>
      <c r="F1215" t="s">
        <v>1024</v>
      </c>
      <c r="H1215" s="11" t="s">
        <v>27</v>
      </c>
      <c r="I1215" s="6" t="s">
        <v>28</v>
      </c>
      <c r="J1215" s="6" t="s">
        <v>28</v>
      </c>
      <c r="K1215" t="s">
        <v>32</v>
      </c>
      <c r="L1215" s="35">
        <v>43.5</v>
      </c>
      <c r="M1215" s="6" t="s">
        <v>29</v>
      </c>
      <c r="N1215" s="6">
        <v>3105</v>
      </c>
      <c r="P1215" s="18"/>
      <c r="Q1215" s="17"/>
      <c r="R1215" s="19">
        <v>43.5</v>
      </c>
      <c r="S1215" s="19">
        <v>43.5</v>
      </c>
      <c r="T1215" s="38">
        <v>0</v>
      </c>
      <c r="U1215" s="38"/>
      <c r="V1215" s="30">
        <v>43.5</v>
      </c>
      <c r="W1215" s="35">
        <v>43.5</v>
      </c>
      <c r="X1215" s="32">
        <f t="shared" si="198"/>
        <v>0</v>
      </c>
      <c r="Y1215" s="32">
        <f t="shared" si="199"/>
        <v>0</v>
      </c>
      <c r="Z1215" s="32">
        <f t="shared" si="200"/>
        <v>0</v>
      </c>
      <c r="AA1215" s="38" t="s">
        <v>2573</v>
      </c>
      <c r="AB1215" s="37" t="str">
        <f>IFERROR(VLOOKUP(A1215,'Tash Lookup'!A:E,3,FALSE),"")</f>
        <v/>
      </c>
      <c r="AC1215" s="6" t="str">
        <f t="shared" si="201"/>
        <v/>
      </c>
      <c r="AD1215" s="2" t="s">
        <v>6711</v>
      </c>
      <c r="AE1215" s="2" t="s">
        <v>6701</v>
      </c>
      <c r="AF1215" s="56">
        <v>43.5</v>
      </c>
      <c r="AG1215" s="56" t="e">
        <f>VLOOKUP(A1215,Sheet1!$A$2:$C$1140,3,FALSE)</f>
        <v>#N/A</v>
      </c>
      <c r="AH1215" s="58" t="e">
        <v>#N/A</v>
      </c>
      <c r="AI1215" s="56" t="str">
        <f t="shared" si="202"/>
        <v>Delete</v>
      </c>
      <c r="AJ1215" s="81">
        <f t="shared" si="206"/>
        <v>0</v>
      </c>
      <c r="AK1215" s="81">
        <f t="shared" si="207"/>
        <v>0</v>
      </c>
      <c r="AL1215" s="58" t="s">
        <v>7206</v>
      </c>
      <c r="AM1215" s="58" t="s">
        <v>6711</v>
      </c>
      <c r="AN1215" s="75">
        <v>0</v>
      </c>
      <c r="AO1215" s="88">
        <v>43.5</v>
      </c>
      <c r="AP1215" s="6" t="str">
        <f t="shared" si="203"/>
        <v>Delete</v>
      </c>
      <c r="AQ1215" s="81">
        <f t="shared" si="204"/>
        <v>0</v>
      </c>
      <c r="AR1215" s="81">
        <f t="shared" si="205"/>
        <v>0</v>
      </c>
      <c r="AS1215" s="81">
        <f t="shared" si="208"/>
        <v>0</v>
      </c>
    </row>
    <row r="1216" spans="1:45" hidden="1" x14ac:dyDescent="0.3">
      <c r="A1216">
        <v>6352975</v>
      </c>
      <c r="B1216" s="15" t="s">
        <v>6552</v>
      </c>
      <c r="C1216" s="16" t="s">
        <v>30</v>
      </c>
      <c r="D1216" s="6" t="s">
        <v>31</v>
      </c>
      <c r="E1216" t="s">
        <v>1025</v>
      </c>
      <c r="F1216" t="s">
        <v>1025</v>
      </c>
      <c r="H1216" s="11" t="s">
        <v>27</v>
      </c>
      <c r="I1216" s="6" t="s">
        <v>28</v>
      </c>
      <c r="J1216" s="6" t="s">
        <v>28</v>
      </c>
      <c r="K1216" t="s">
        <v>32</v>
      </c>
      <c r="L1216" s="35">
        <v>43.5</v>
      </c>
      <c r="M1216" s="6" t="s">
        <v>29</v>
      </c>
      <c r="N1216" s="6">
        <v>3105</v>
      </c>
      <c r="P1216" s="18"/>
      <c r="Q1216" s="17"/>
      <c r="R1216" s="19">
        <v>43.5</v>
      </c>
      <c r="S1216" s="19">
        <v>43.5</v>
      </c>
      <c r="T1216" s="38">
        <v>0</v>
      </c>
      <c r="U1216" s="38"/>
      <c r="V1216" s="30">
        <v>43.5</v>
      </c>
      <c r="W1216" s="35">
        <v>43.5</v>
      </c>
      <c r="X1216" s="32">
        <f t="shared" si="198"/>
        <v>0</v>
      </c>
      <c r="Y1216" s="32">
        <f t="shared" si="199"/>
        <v>0</v>
      </c>
      <c r="Z1216" s="32">
        <f t="shared" si="200"/>
        <v>0</v>
      </c>
      <c r="AA1216" s="38" t="s">
        <v>2573</v>
      </c>
      <c r="AB1216" s="37" t="str">
        <f>IFERROR(VLOOKUP(A1216,'Tash Lookup'!A:E,3,FALSE),"")</f>
        <v/>
      </c>
      <c r="AC1216" s="6" t="str">
        <f t="shared" si="201"/>
        <v/>
      </c>
      <c r="AD1216" s="2" t="s">
        <v>6711</v>
      </c>
      <c r="AE1216" s="2" t="s">
        <v>6701</v>
      </c>
      <c r="AF1216" s="56">
        <v>43.5</v>
      </c>
      <c r="AG1216" s="56" t="e">
        <f>VLOOKUP(A1216,Sheet1!$A$2:$C$1140,3,FALSE)</f>
        <v>#N/A</v>
      </c>
      <c r="AH1216" s="58" t="e">
        <v>#N/A</v>
      </c>
      <c r="AI1216" s="56" t="str">
        <f t="shared" si="202"/>
        <v>Delete</v>
      </c>
      <c r="AJ1216" s="81">
        <f t="shared" si="206"/>
        <v>0</v>
      </c>
      <c r="AK1216" s="81">
        <f t="shared" si="207"/>
        <v>0</v>
      </c>
      <c r="AL1216" s="58" t="s">
        <v>7206</v>
      </c>
      <c r="AM1216" s="58" t="s">
        <v>6711</v>
      </c>
      <c r="AN1216" s="75">
        <v>0</v>
      </c>
      <c r="AO1216" s="88">
        <v>43.5</v>
      </c>
      <c r="AP1216" s="6" t="str">
        <f t="shared" si="203"/>
        <v>Delete</v>
      </c>
      <c r="AQ1216" s="81">
        <f t="shared" si="204"/>
        <v>0</v>
      </c>
      <c r="AR1216" s="81">
        <f t="shared" si="205"/>
        <v>0</v>
      </c>
      <c r="AS1216" s="81">
        <f t="shared" si="208"/>
        <v>0</v>
      </c>
    </row>
    <row r="1217" spans="1:45" hidden="1" x14ac:dyDescent="0.3">
      <c r="A1217">
        <v>6183774</v>
      </c>
      <c r="B1217" s="15" t="s">
        <v>6553</v>
      </c>
      <c r="C1217" s="16" t="s">
        <v>30</v>
      </c>
      <c r="D1217" s="6" t="s">
        <v>31</v>
      </c>
      <c r="E1217" t="s">
        <v>1027</v>
      </c>
      <c r="F1217" t="s">
        <v>1027</v>
      </c>
      <c r="H1217" s="11" t="s">
        <v>27</v>
      </c>
      <c r="I1217" s="6" t="s">
        <v>28</v>
      </c>
      <c r="J1217" s="6" t="s">
        <v>28</v>
      </c>
      <c r="K1217" t="s">
        <v>32</v>
      </c>
      <c r="L1217" s="35">
        <v>234.99</v>
      </c>
      <c r="M1217" s="6" t="s">
        <v>29</v>
      </c>
      <c r="N1217" s="6">
        <v>3105</v>
      </c>
      <c r="P1217" s="18"/>
      <c r="Q1217" s="17"/>
      <c r="R1217" s="19">
        <v>234.99</v>
      </c>
      <c r="S1217" s="19">
        <v>234.99</v>
      </c>
      <c r="T1217" s="38">
        <v>0</v>
      </c>
      <c r="U1217" s="38"/>
      <c r="V1217" s="30">
        <v>234.99</v>
      </c>
      <c r="W1217" s="35">
        <v>234.99</v>
      </c>
      <c r="X1217" s="32">
        <f t="shared" si="198"/>
        <v>0</v>
      </c>
      <c r="Y1217" s="32">
        <f t="shared" si="199"/>
        <v>0</v>
      </c>
      <c r="Z1217" s="32">
        <f t="shared" si="200"/>
        <v>0</v>
      </c>
      <c r="AA1217" s="38" t="s">
        <v>2573</v>
      </c>
      <c r="AB1217" s="37" t="str">
        <f>IFERROR(VLOOKUP(A1217,'Tash Lookup'!A:E,3,FALSE),"")</f>
        <v/>
      </c>
      <c r="AC1217" s="6" t="str">
        <f t="shared" si="201"/>
        <v/>
      </c>
      <c r="AD1217" s="2" t="s">
        <v>6708</v>
      </c>
      <c r="AF1217" s="56">
        <v>234.99</v>
      </c>
      <c r="AG1217" s="56" t="e">
        <f>VLOOKUP(A1217,Sheet1!$A$2:$C$1140,3,FALSE)</f>
        <v>#N/A</v>
      </c>
      <c r="AH1217" s="58" t="e">
        <v>#N/A</v>
      </c>
      <c r="AI1217" s="56" t="str">
        <f t="shared" si="202"/>
        <v>Delete</v>
      </c>
      <c r="AJ1217" s="81">
        <f t="shared" si="206"/>
        <v>0</v>
      </c>
      <c r="AK1217" s="81">
        <f t="shared" si="207"/>
        <v>0</v>
      </c>
      <c r="AL1217" s="58" t="s">
        <v>7206</v>
      </c>
      <c r="AM1217" s="58" t="s">
        <v>6708</v>
      </c>
      <c r="AN1217" s="75">
        <v>0</v>
      </c>
      <c r="AO1217" s="88">
        <v>234.99</v>
      </c>
      <c r="AP1217" s="6" t="str">
        <f t="shared" si="203"/>
        <v>Same</v>
      </c>
      <c r="AQ1217" s="81">
        <f t="shared" si="204"/>
        <v>0</v>
      </c>
      <c r="AR1217" s="81">
        <f t="shared" si="205"/>
        <v>0</v>
      </c>
      <c r="AS1217" s="81">
        <f t="shared" si="208"/>
        <v>0</v>
      </c>
    </row>
    <row r="1218" spans="1:45" hidden="1" x14ac:dyDescent="0.3">
      <c r="A1218">
        <v>6059429</v>
      </c>
      <c r="B1218" s="15" t="s">
        <v>6554</v>
      </c>
      <c r="C1218" s="16" t="s">
        <v>30</v>
      </c>
      <c r="D1218" s="6" t="s">
        <v>31</v>
      </c>
      <c r="E1218" t="s">
        <v>1029</v>
      </c>
      <c r="F1218" t="s">
        <v>1029</v>
      </c>
      <c r="H1218" s="11" t="s">
        <v>27</v>
      </c>
      <c r="I1218" s="6" t="s">
        <v>28</v>
      </c>
      <c r="J1218" s="6" t="s">
        <v>28</v>
      </c>
      <c r="K1218" t="s">
        <v>32</v>
      </c>
      <c r="L1218" s="35">
        <v>11.23</v>
      </c>
      <c r="M1218" s="6" t="s">
        <v>29</v>
      </c>
      <c r="N1218" s="6">
        <v>3105</v>
      </c>
      <c r="P1218" s="18"/>
      <c r="Q1218" s="17"/>
      <c r="R1218" s="19">
        <v>0</v>
      </c>
      <c r="S1218" s="19">
        <v>0</v>
      </c>
      <c r="T1218" s="38">
        <v>0</v>
      </c>
      <c r="U1218" s="38"/>
      <c r="V1218" s="31">
        <v>11.23</v>
      </c>
      <c r="W1218" s="35">
        <v>11.23</v>
      </c>
      <c r="X1218" s="32">
        <f t="shared" si="198"/>
        <v>0</v>
      </c>
      <c r="Y1218" s="32">
        <f t="shared" si="199"/>
        <v>0</v>
      </c>
      <c r="Z1218" s="32">
        <f t="shared" si="200"/>
        <v>0</v>
      </c>
      <c r="AA1218" s="38" t="s">
        <v>2573</v>
      </c>
      <c r="AB1218" s="37" t="str">
        <f>IFERROR(VLOOKUP(A1218,'Tash Lookup'!A:E,3,FALSE),"")</f>
        <v/>
      </c>
      <c r="AC1218" s="6" t="str">
        <f t="shared" si="201"/>
        <v/>
      </c>
      <c r="AD1218" s="2" t="s">
        <v>6703</v>
      </c>
      <c r="AF1218" s="56">
        <v>11.87</v>
      </c>
      <c r="AG1218" s="56">
        <f>VLOOKUP(A1218,Sheet1!$A$2:$C$1140,3,FALSE)</f>
        <v>12.11</v>
      </c>
      <c r="AH1218" s="58">
        <v>12.11</v>
      </c>
      <c r="AI1218" s="56" t="str">
        <f t="shared" si="202"/>
        <v>Increase</v>
      </c>
      <c r="AJ1218" s="81">
        <f t="shared" si="206"/>
        <v>0</v>
      </c>
      <c r="AK1218" s="81">
        <f t="shared" si="207"/>
        <v>0</v>
      </c>
      <c r="AL1218" s="58" t="s">
        <v>7206</v>
      </c>
      <c r="AM1218" s="58" t="s">
        <v>6703</v>
      </c>
      <c r="AN1218" s="75">
        <v>0</v>
      </c>
      <c r="AO1218" s="88">
        <v>12.11</v>
      </c>
      <c r="AP1218" s="6" t="str">
        <f t="shared" si="203"/>
        <v>Increase</v>
      </c>
      <c r="AQ1218" s="81">
        <f t="shared" si="204"/>
        <v>0</v>
      </c>
      <c r="AR1218" s="81">
        <f t="shared" si="205"/>
        <v>0</v>
      </c>
      <c r="AS1218" s="81">
        <f t="shared" si="208"/>
        <v>0</v>
      </c>
    </row>
    <row r="1219" spans="1:45" hidden="1" x14ac:dyDescent="0.3">
      <c r="A1219">
        <v>6059435</v>
      </c>
      <c r="B1219" s="15" t="s">
        <v>6555</v>
      </c>
      <c r="C1219" s="16" t="s">
        <v>30</v>
      </c>
      <c r="D1219" s="6" t="s">
        <v>31</v>
      </c>
      <c r="E1219" t="s">
        <v>1030</v>
      </c>
      <c r="F1219" t="s">
        <v>1030</v>
      </c>
      <c r="H1219" s="11" t="s">
        <v>27</v>
      </c>
      <c r="I1219" s="6" t="s">
        <v>28</v>
      </c>
      <c r="J1219" s="6" t="s">
        <v>28</v>
      </c>
      <c r="K1219" t="s">
        <v>32</v>
      </c>
      <c r="L1219" s="35">
        <v>11.23</v>
      </c>
      <c r="M1219" s="6" t="s">
        <v>29</v>
      </c>
      <c r="N1219" s="6">
        <v>3105</v>
      </c>
      <c r="P1219" s="18"/>
      <c r="Q1219" s="17"/>
      <c r="R1219" s="19">
        <v>0</v>
      </c>
      <c r="S1219" s="19">
        <v>0</v>
      </c>
      <c r="T1219" s="38">
        <v>0</v>
      </c>
      <c r="U1219" s="38"/>
      <c r="V1219" s="31">
        <v>11.23</v>
      </c>
      <c r="W1219" s="35">
        <v>11.23</v>
      </c>
      <c r="X1219" s="32">
        <f t="shared" si="198"/>
        <v>0</v>
      </c>
      <c r="Y1219" s="32">
        <f t="shared" si="199"/>
        <v>0</v>
      </c>
      <c r="Z1219" s="32">
        <f t="shared" si="200"/>
        <v>0</v>
      </c>
      <c r="AA1219" s="38" t="s">
        <v>2573</v>
      </c>
      <c r="AB1219" s="37" t="str">
        <f>IFERROR(VLOOKUP(A1219,'Tash Lookup'!A:E,3,FALSE),"")</f>
        <v/>
      </c>
      <c r="AC1219" s="6" t="str">
        <f t="shared" si="201"/>
        <v/>
      </c>
      <c r="AD1219" s="2" t="s">
        <v>6703</v>
      </c>
      <c r="AF1219" s="56">
        <v>11.53</v>
      </c>
      <c r="AG1219" s="56">
        <f>VLOOKUP(A1219,Sheet1!$A$2:$C$1140,3,FALSE)</f>
        <v>11.76</v>
      </c>
      <c r="AH1219" s="58">
        <v>11.76</v>
      </c>
      <c r="AI1219" s="56" t="str">
        <f t="shared" si="202"/>
        <v>Increase</v>
      </c>
      <c r="AJ1219" s="81">
        <f t="shared" si="206"/>
        <v>0</v>
      </c>
      <c r="AK1219" s="81">
        <f t="shared" si="207"/>
        <v>0</v>
      </c>
      <c r="AL1219" s="58" t="s">
        <v>7206</v>
      </c>
      <c r="AM1219" s="58" t="s">
        <v>6703</v>
      </c>
      <c r="AN1219" s="75">
        <v>0</v>
      </c>
      <c r="AO1219" s="88">
        <v>11.76</v>
      </c>
      <c r="AP1219" s="6" t="str">
        <f t="shared" si="203"/>
        <v>Increase</v>
      </c>
      <c r="AQ1219" s="81">
        <f t="shared" si="204"/>
        <v>0</v>
      </c>
      <c r="AR1219" s="81">
        <f t="shared" si="205"/>
        <v>0</v>
      </c>
      <c r="AS1219" s="81">
        <f t="shared" si="208"/>
        <v>0</v>
      </c>
    </row>
    <row r="1220" spans="1:45" hidden="1" x14ac:dyDescent="0.3">
      <c r="A1220">
        <v>6020457</v>
      </c>
      <c r="B1220" s="15" t="s">
        <v>6556</v>
      </c>
      <c r="C1220" s="16" t="s">
        <v>30</v>
      </c>
      <c r="D1220" s="6" t="s">
        <v>31</v>
      </c>
      <c r="E1220" t="s">
        <v>1034</v>
      </c>
      <c r="F1220" t="s">
        <v>1034</v>
      </c>
      <c r="H1220" s="11" t="s">
        <v>27</v>
      </c>
      <c r="I1220" s="6" t="s">
        <v>28</v>
      </c>
      <c r="J1220" s="6" t="s">
        <v>28</v>
      </c>
      <c r="K1220" t="s">
        <v>32</v>
      </c>
      <c r="L1220" s="35">
        <v>40.799999999999997</v>
      </c>
      <c r="M1220" s="6" t="s">
        <v>29</v>
      </c>
      <c r="N1220" s="6">
        <v>3105</v>
      </c>
      <c r="P1220" s="18"/>
      <c r="Q1220" s="17"/>
      <c r="R1220" s="19">
        <v>0</v>
      </c>
      <c r="S1220" s="19">
        <v>0</v>
      </c>
      <c r="T1220" s="38">
        <v>0</v>
      </c>
      <c r="U1220" s="38"/>
      <c r="V1220" s="31">
        <v>40.799999999999997</v>
      </c>
      <c r="W1220" s="35">
        <v>40.799999999999997</v>
      </c>
      <c r="X1220" s="32">
        <f t="shared" si="198"/>
        <v>0</v>
      </c>
      <c r="Y1220" s="32">
        <f t="shared" si="199"/>
        <v>0</v>
      </c>
      <c r="Z1220" s="32">
        <f t="shared" si="200"/>
        <v>0</v>
      </c>
      <c r="AA1220" s="38" t="s">
        <v>2573</v>
      </c>
      <c r="AB1220" s="37" t="str">
        <f>IFERROR(VLOOKUP(A1220,'Tash Lookup'!A:E,3,FALSE),"")</f>
        <v/>
      </c>
      <c r="AC1220" s="6" t="str">
        <f t="shared" si="201"/>
        <v/>
      </c>
      <c r="AD1220" s="2" t="s">
        <v>6703</v>
      </c>
      <c r="AF1220" s="56">
        <v>43.11</v>
      </c>
      <c r="AG1220" s="56">
        <f>VLOOKUP(A1220,Sheet1!$A$2:$C$1140,3,FALSE)</f>
        <v>43.98</v>
      </c>
      <c r="AH1220" s="58">
        <v>43.98</v>
      </c>
      <c r="AI1220" s="56" t="str">
        <f t="shared" si="202"/>
        <v>Increase</v>
      </c>
      <c r="AJ1220" s="81">
        <f t="shared" si="206"/>
        <v>0</v>
      </c>
      <c r="AK1220" s="81">
        <f t="shared" si="207"/>
        <v>0</v>
      </c>
      <c r="AL1220" s="58" t="s">
        <v>7206</v>
      </c>
      <c r="AM1220" s="58" t="s">
        <v>6703</v>
      </c>
      <c r="AN1220" s="75">
        <v>1</v>
      </c>
      <c r="AO1220" s="88">
        <v>43.98</v>
      </c>
      <c r="AP1220" s="6" t="str">
        <f t="shared" si="203"/>
        <v>Increase</v>
      </c>
      <c r="AQ1220" s="81">
        <f t="shared" si="204"/>
        <v>43.11</v>
      </c>
      <c r="AR1220" s="81">
        <f t="shared" si="205"/>
        <v>43.98</v>
      </c>
      <c r="AS1220" s="81">
        <f t="shared" si="208"/>
        <v>0.86999999999999744</v>
      </c>
    </row>
    <row r="1221" spans="1:45" hidden="1" x14ac:dyDescent="0.3">
      <c r="A1221">
        <v>6093278</v>
      </c>
      <c r="B1221" s="15" t="s">
        <v>6557</v>
      </c>
      <c r="C1221" s="16" t="s">
        <v>30</v>
      </c>
      <c r="D1221" s="6" t="s">
        <v>31</v>
      </c>
      <c r="E1221" t="s">
        <v>2986</v>
      </c>
      <c r="F1221" t="s">
        <v>2986</v>
      </c>
      <c r="H1221" s="11" t="s">
        <v>27</v>
      </c>
      <c r="I1221" s="6" t="s">
        <v>28</v>
      </c>
      <c r="J1221" s="6" t="s">
        <v>28</v>
      </c>
      <c r="K1221" t="s">
        <v>32</v>
      </c>
      <c r="L1221" s="35">
        <v>28.32</v>
      </c>
      <c r="M1221" s="6" t="s">
        <v>29</v>
      </c>
      <c r="N1221" s="6">
        <v>3105</v>
      </c>
      <c r="P1221" s="18"/>
      <c r="Q1221" s="17"/>
      <c r="R1221" s="19">
        <v>0</v>
      </c>
      <c r="S1221" s="19">
        <v>0</v>
      </c>
      <c r="T1221" s="38">
        <v>0</v>
      </c>
      <c r="U1221" s="38"/>
      <c r="V1221" s="31">
        <v>28.32</v>
      </c>
      <c r="W1221" s="35">
        <v>28.32</v>
      </c>
      <c r="X1221" s="32">
        <f t="shared" si="198"/>
        <v>0</v>
      </c>
      <c r="Y1221" s="32">
        <f t="shared" si="199"/>
        <v>0</v>
      </c>
      <c r="Z1221" s="32">
        <f t="shared" si="200"/>
        <v>0</v>
      </c>
      <c r="AA1221" s="38" t="s">
        <v>2573</v>
      </c>
      <c r="AB1221" s="37" t="str">
        <f>IFERROR(VLOOKUP(A1221,'Tash Lookup'!A:E,3,FALSE),"")</f>
        <v/>
      </c>
      <c r="AC1221" s="6" t="str">
        <f t="shared" si="201"/>
        <v/>
      </c>
      <c r="AD1221" s="2" t="s">
        <v>6703</v>
      </c>
      <c r="AF1221" s="56">
        <v>29.92</v>
      </c>
      <c r="AG1221" s="56">
        <f>VLOOKUP(A1221,Sheet1!$A$2:$C$1140,3,FALSE)</f>
        <v>30.52</v>
      </c>
      <c r="AH1221" s="58">
        <v>30.52</v>
      </c>
      <c r="AI1221" s="56" t="str">
        <f t="shared" si="202"/>
        <v>Increase</v>
      </c>
      <c r="AJ1221" s="81">
        <f t="shared" si="206"/>
        <v>0</v>
      </c>
      <c r="AK1221" s="81">
        <f t="shared" si="207"/>
        <v>0</v>
      </c>
      <c r="AL1221" s="58" t="s">
        <v>7206</v>
      </c>
      <c r="AM1221" s="58" t="s">
        <v>6703</v>
      </c>
      <c r="AN1221" s="75">
        <v>1</v>
      </c>
      <c r="AO1221" s="88">
        <v>30.52</v>
      </c>
      <c r="AP1221" s="6" t="str">
        <f t="shared" si="203"/>
        <v>Increase</v>
      </c>
      <c r="AQ1221" s="81">
        <f t="shared" si="204"/>
        <v>29.92</v>
      </c>
      <c r="AR1221" s="81">
        <f t="shared" si="205"/>
        <v>30.52</v>
      </c>
      <c r="AS1221" s="81">
        <f t="shared" si="208"/>
        <v>0.59999999999999787</v>
      </c>
    </row>
    <row r="1222" spans="1:45" hidden="1" x14ac:dyDescent="0.3">
      <c r="A1222">
        <v>6317386</v>
      </c>
      <c r="B1222" s="15" t="s">
        <v>6558</v>
      </c>
      <c r="C1222" s="16" t="s">
        <v>30</v>
      </c>
      <c r="D1222" s="6" t="s">
        <v>31</v>
      </c>
      <c r="E1222" t="s">
        <v>1037</v>
      </c>
      <c r="F1222" t="s">
        <v>1037</v>
      </c>
      <c r="H1222" s="11" t="s">
        <v>27</v>
      </c>
      <c r="I1222" s="6" t="s">
        <v>28</v>
      </c>
      <c r="J1222" s="6" t="s">
        <v>28</v>
      </c>
      <c r="K1222" t="s">
        <v>32</v>
      </c>
      <c r="L1222" s="35">
        <v>484.93</v>
      </c>
      <c r="M1222" s="6" t="s">
        <v>29</v>
      </c>
      <c r="N1222" s="6">
        <v>3105</v>
      </c>
      <c r="P1222" s="18"/>
      <c r="Q1222" s="17"/>
      <c r="R1222" s="19">
        <v>484.93</v>
      </c>
      <c r="S1222" s="19">
        <v>484.93</v>
      </c>
      <c r="T1222" s="38">
        <v>0</v>
      </c>
      <c r="U1222" s="38"/>
      <c r="V1222" s="30">
        <v>484.93</v>
      </c>
      <c r="W1222" s="35">
        <v>484.93</v>
      </c>
      <c r="X1222" s="32">
        <f t="shared" ref="X1222:X1285" si="209">SUM(V1222*T1222)</f>
        <v>0</v>
      </c>
      <c r="Y1222" s="32">
        <f t="shared" ref="Y1222:Y1285" si="210">SUM(L1222*T1222)</f>
        <v>0</v>
      </c>
      <c r="Z1222" s="32">
        <f t="shared" ref="Z1222:Z1285" si="211">SUM(X1222-Y1222)</f>
        <v>0</v>
      </c>
      <c r="AA1222" s="38" t="s">
        <v>2573</v>
      </c>
      <c r="AB1222" s="37" t="str">
        <f>IFERROR(VLOOKUP(A1222,'Tash Lookup'!A:E,3,FALSE),"")</f>
        <v/>
      </c>
      <c r="AC1222" s="6" t="str">
        <f t="shared" ref="AC1222:AC1285" si="212">IFERROR(AA1222-T1222,"")</f>
        <v/>
      </c>
      <c r="AD1222" s="2" t="s">
        <v>6708</v>
      </c>
      <c r="AF1222" s="56">
        <v>484.93</v>
      </c>
      <c r="AG1222" s="56" t="e">
        <f>VLOOKUP(A1222,Sheet1!$A$2:$C$1140,3,FALSE)</f>
        <v>#N/A</v>
      </c>
      <c r="AH1222" s="58" t="e">
        <v>#N/A</v>
      </c>
      <c r="AI1222" s="56" t="str">
        <f t="shared" ref="AI1222:AI1285" si="213">IF(ISNA(AH1222),"Delete",IF(AH1222=AF1222,"Same",IF(AH1222&gt;AF1222,"Increase","Decrease")))</f>
        <v>Delete</v>
      </c>
      <c r="AJ1222" s="81">
        <f t="shared" si="206"/>
        <v>0</v>
      </c>
      <c r="AK1222" s="81">
        <f t="shared" si="207"/>
        <v>0</v>
      </c>
      <c r="AL1222" s="58" t="s">
        <v>7206</v>
      </c>
      <c r="AM1222" s="58" t="s">
        <v>6708</v>
      </c>
      <c r="AN1222" s="75">
        <v>0</v>
      </c>
      <c r="AO1222" s="88">
        <v>484.93</v>
      </c>
      <c r="AP1222" s="6" t="str">
        <f t="shared" ref="AP1222:AP1285" si="214">IF(AM1222="Delete","Delete",IF(AO1222=AF1222,"Same",IF(AO1222&gt;AF1222,"Increase","Decrease")))</f>
        <v>Same</v>
      </c>
      <c r="AQ1222" s="81">
        <f t="shared" ref="AQ1222:AQ1285" si="215">AN1222*AF1222</f>
        <v>0</v>
      </c>
      <c r="AR1222" s="81">
        <f t="shared" ref="AR1222:AR1285" si="216">AN1222*AO1222</f>
        <v>0</v>
      </c>
      <c r="AS1222" s="81">
        <f t="shared" si="208"/>
        <v>0</v>
      </c>
    </row>
    <row r="1223" spans="1:45" hidden="1" x14ac:dyDescent="0.3">
      <c r="A1223">
        <v>6385002</v>
      </c>
      <c r="B1223" s="15" t="s">
        <v>6559</v>
      </c>
      <c r="C1223" s="16" t="s">
        <v>30</v>
      </c>
      <c r="D1223" s="6" t="s">
        <v>31</v>
      </c>
      <c r="E1223" t="s">
        <v>1038</v>
      </c>
      <c r="F1223" t="s">
        <v>1038</v>
      </c>
      <c r="H1223" s="11" t="s">
        <v>27</v>
      </c>
      <c r="I1223" s="6" t="s">
        <v>28</v>
      </c>
      <c r="J1223" s="6" t="s">
        <v>28</v>
      </c>
      <c r="K1223" t="s">
        <v>32</v>
      </c>
      <c r="L1223" s="35">
        <v>466.83</v>
      </c>
      <c r="M1223" s="6" t="s">
        <v>29</v>
      </c>
      <c r="N1223" s="6">
        <v>3105</v>
      </c>
      <c r="P1223" s="18"/>
      <c r="Q1223" s="17"/>
      <c r="R1223" s="19">
        <v>466.83</v>
      </c>
      <c r="S1223" s="19">
        <v>466.83</v>
      </c>
      <c r="T1223" s="38">
        <v>0</v>
      </c>
      <c r="U1223" s="38"/>
      <c r="V1223" s="30">
        <v>466.83</v>
      </c>
      <c r="W1223" s="35">
        <v>466.83</v>
      </c>
      <c r="X1223" s="32">
        <f t="shared" si="209"/>
        <v>0</v>
      </c>
      <c r="Y1223" s="32">
        <f t="shared" si="210"/>
        <v>0</v>
      </c>
      <c r="Z1223" s="32">
        <f t="shared" si="211"/>
        <v>0</v>
      </c>
      <c r="AA1223" s="38" t="s">
        <v>2573</v>
      </c>
      <c r="AB1223" s="37" t="str">
        <f>IFERROR(VLOOKUP(A1223,'Tash Lookup'!A:E,3,FALSE),"")</f>
        <v/>
      </c>
      <c r="AC1223" s="6" t="str">
        <f t="shared" si="212"/>
        <v/>
      </c>
      <c r="AD1223" s="2" t="s">
        <v>6708</v>
      </c>
      <c r="AF1223" s="56">
        <v>466.83</v>
      </c>
      <c r="AG1223" s="56" t="e">
        <f>VLOOKUP(A1223,Sheet1!$A$2:$C$1140,3,FALSE)</f>
        <v>#N/A</v>
      </c>
      <c r="AH1223" s="58" t="e">
        <v>#N/A</v>
      </c>
      <c r="AI1223" s="56" t="str">
        <f t="shared" si="213"/>
        <v>Delete</v>
      </c>
      <c r="AJ1223" s="81">
        <f t="shared" ref="AJ1223:AJ1286" si="217">IFERROR(AA1223*AF1223,0)</f>
        <v>0</v>
      </c>
      <c r="AK1223" s="81">
        <f t="shared" ref="AK1223:AK1286" si="218">IFERROR(AA1223*AH1223,0)</f>
        <v>0</v>
      </c>
      <c r="AL1223" s="58" t="s">
        <v>7206</v>
      </c>
      <c r="AM1223" s="58" t="s">
        <v>6708</v>
      </c>
      <c r="AN1223" s="75">
        <v>0</v>
      </c>
      <c r="AO1223" s="88">
        <v>466.83</v>
      </c>
      <c r="AP1223" s="6" t="str">
        <f t="shared" si="214"/>
        <v>Same</v>
      </c>
      <c r="AQ1223" s="81">
        <f t="shared" si="215"/>
        <v>0</v>
      </c>
      <c r="AR1223" s="81">
        <f t="shared" si="216"/>
        <v>0</v>
      </c>
      <c r="AS1223" s="81">
        <f t="shared" ref="AS1223:AS1286" si="219">AR1223-AQ1223</f>
        <v>0</v>
      </c>
    </row>
    <row r="1224" spans="1:45" hidden="1" x14ac:dyDescent="0.3">
      <c r="A1224">
        <v>6385005</v>
      </c>
      <c r="B1224" s="15" t="s">
        <v>6560</v>
      </c>
      <c r="C1224" s="16" t="s">
        <v>30</v>
      </c>
      <c r="D1224" s="6" t="s">
        <v>31</v>
      </c>
      <c r="E1224" t="s">
        <v>1039</v>
      </c>
      <c r="F1224" t="s">
        <v>1039</v>
      </c>
      <c r="H1224" s="11" t="s">
        <v>27</v>
      </c>
      <c r="I1224" s="6" t="s">
        <v>28</v>
      </c>
      <c r="J1224" s="6" t="s">
        <v>28</v>
      </c>
      <c r="K1224" t="s">
        <v>32</v>
      </c>
      <c r="L1224" s="35">
        <v>761.53</v>
      </c>
      <c r="M1224" s="6" t="s">
        <v>29</v>
      </c>
      <c r="N1224" s="6">
        <v>3105</v>
      </c>
      <c r="P1224" s="18"/>
      <c r="Q1224" s="17"/>
      <c r="R1224" s="19">
        <v>0</v>
      </c>
      <c r="S1224" s="19">
        <v>0</v>
      </c>
      <c r="T1224" s="38">
        <v>0</v>
      </c>
      <c r="U1224" s="38"/>
      <c r="V1224" s="31">
        <v>761.53</v>
      </c>
      <c r="W1224" s="35">
        <v>761.53</v>
      </c>
      <c r="X1224" s="32">
        <f t="shared" si="209"/>
        <v>0</v>
      </c>
      <c r="Y1224" s="32">
        <f t="shared" si="210"/>
        <v>0</v>
      </c>
      <c r="Z1224" s="32">
        <f t="shared" si="211"/>
        <v>0</v>
      </c>
      <c r="AA1224" s="38" t="s">
        <v>2573</v>
      </c>
      <c r="AB1224" s="37" t="str">
        <f>IFERROR(VLOOKUP(A1224,'Tash Lookup'!A:E,3,FALSE),"")</f>
        <v/>
      </c>
      <c r="AC1224" s="6" t="str">
        <f t="shared" si="212"/>
        <v/>
      </c>
      <c r="AD1224" s="2" t="s">
        <v>6708</v>
      </c>
      <c r="AF1224" s="56">
        <v>761.53</v>
      </c>
      <c r="AG1224" s="56" t="e">
        <f>VLOOKUP(A1224,Sheet1!$A$2:$C$1140,3,FALSE)</f>
        <v>#N/A</v>
      </c>
      <c r="AH1224" s="58" t="e">
        <v>#N/A</v>
      </c>
      <c r="AI1224" s="56" t="str">
        <f t="shared" si="213"/>
        <v>Delete</v>
      </c>
      <c r="AJ1224" s="81">
        <f t="shared" si="217"/>
        <v>0</v>
      </c>
      <c r="AK1224" s="81">
        <f t="shared" si="218"/>
        <v>0</v>
      </c>
      <c r="AL1224" s="58" t="s">
        <v>7206</v>
      </c>
      <c r="AM1224" s="58" t="s">
        <v>6708</v>
      </c>
      <c r="AN1224" s="75">
        <v>0</v>
      </c>
      <c r="AO1224" s="88">
        <v>761.53</v>
      </c>
      <c r="AP1224" s="6" t="str">
        <f t="shared" si="214"/>
        <v>Same</v>
      </c>
      <c r="AQ1224" s="81">
        <f t="shared" si="215"/>
        <v>0</v>
      </c>
      <c r="AR1224" s="81">
        <f t="shared" si="216"/>
        <v>0</v>
      </c>
      <c r="AS1224" s="81">
        <f t="shared" si="219"/>
        <v>0</v>
      </c>
    </row>
    <row r="1225" spans="1:45" hidden="1" x14ac:dyDescent="0.3">
      <c r="A1225">
        <v>6108565</v>
      </c>
      <c r="B1225" s="15" t="s">
        <v>6561</v>
      </c>
      <c r="C1225" s="16" t="s">
        <v>30</v>
      </c>
      <c r="D1225" s="6" t="s">
        <v>31</v>
      </c>
      <c r="E1225" t="s">
        <v>1040</v>
      </c>
      <c r="F1225" t="s">
        <v>1040</v>
      </c>
      <c r="H1225" s="11" t="s">
        <v>27</v>
      </c>
      <c r="I1225" s="6" t="s">
        <v>28</v>
      </c>
      <c r="J1225" s="6" t="s">
        <v>28</v>
      </c>
      <c r="K1225" t="s">
        <v>32</v>
      </c>
      <c r="L1225" s="35">
        <v>473.58</v>
      </c>
      <c r="M1225" s="6" t="s">
        <v>29</v>
      </c>
      <c r="N1225" s="6">
        <v>3105</v>
      </c>
      <c r="P1225" s="18"/>
      <c r="Q1225" s="17"/>
      <c r="R1225" s="19">
        <v>0</v>
      </c>
      <c r="S1225" s="19">
        <v>0</v>
      </c>
      <c r="T1225" s="38">
        <v>0</v>
      </c>
      <c r="U1225" s="38"/>
      <c r="V1225" s="31">
        <v>473.58</v>
      </c>
      <c r="W1225" s="35">
        <v>473.58</v>
      </c>
      <c r="X1225" s="32">
        <f t="shared" si="209"/>
        <v>0</v>
      </c>
      <c r="Y1225" s="32">
        <f t="shared" si="210"/>
        <v>0</v>
      </c>
      <c r="Z1225" s="32">
        <f t="shared" si="211"/>
        <v>0</v>
      </c>
      <c r="AA1225" s="38" t="s">
        <v>2573</v>
      </c>
      <c r="AB1225" s="37" t="str">
        <f>IFERROR(VLOOKUP(A1225,'Tash Lookup'!A:E,3,FALSE),"")</f>
        <v/>
      </c>
      <c r="AC1225" s="6" t="str">
        <f t="shared" si="212"/>
        <v/>
      </c>
      <c r="AD1225" s="2" t="s">
        <v>6708</v>
      </c>
      <c r="AF1225" s="56">
        <v>473.58</v>
      </c>
      <c r="AG1225" s="56" t="e">
        <f>VLOOKUP(A1225,Sheet1!$A$2:$C$1140,3,FALSE)</f>
        <v>#N/A</v>
      </c>
      <c r="AH1225" s="58" t="e">
        <v>#N/A</v>
      </c>
      <c r="AI1225" s="56" t="str">
        <f t="shared" si="213"/>
        <v>Delete</v>
      </c>
      <c r="AJ1225" s="81">
        <f t="shared" si="217"/>
        <v>0</v>
      </c>
      <c r="AK1225" s="81">
        <f t="shared" si="218"/>
        <v>0</v>
      </c>
      <c r="AL1225" s="58" t="s">
        <v>7206</v>
      </c>
      <c r="AM1225" s="58" t="s">
        <v>6708</v>
      </c>
      <c r="AN1225" s="75">
        <v>0</v>
      </c>
      <c r="AO1225" s="88">
        <v>473.58</v>
      </c>
      <c r="AP1225" s="6" t="str">
        <f t="shared" si="214"/>
        <v>Same</v>
      </c>
      <c r="AQ1225" s="81">
        <f t="shared" si="215"/>
        <v>0</v>
      </c>
      <c r="AR1225" s="81">
        <f t="shared" si="216"/>
        <v>0</v>
      </c>
      <c r="AS1225" s="81">
        <f t="shared" si="219"/>
        <v>0</v>
      </c>
    </row>
    <row r="1226" spans="1:45" hidden="1" x14ac:dyDescent="0.3">
      <c r="A1226">
        <v>6183769</v>
      </c>
      <c r="B1226" s="15" t="s">
        <v>6562</v>
      </c>
      <c r="C1226" s="16" t="s">
        <v>30</v>
      </c>
      <c r="D1226" s="6" t="s">
        <v>31</v>
      </c>
      <c r="E1226" t="s">
        <v>1041</v>
      </c>
      <c r="F1226" t="s">
        <v>1041</v>
      </c>
      <c r="H1226" s="11" t="s">
        <v>27</v>
      </c>
      <c r="I1226" s="6" t="s">
        <v>28</v>
      </c>
      <c r="J1226" s="6" t="s">
        <v>28</v>
      </c>
      <c r="K1226" t="s">
        <v>32</v>
      </c>
      <c r="L1226" s="35">
        <v>491.57</v>
      </c>
      <c r="M1226" s="6" t="s">
        <v>29</v>
      </c>
      <c r="N1226" s="6">
        <v>3105</v>
      </c>
      <c r="P1226" s="18"/>
      <c r="Q1226" s="17"/>
      <c r="R1226" s="19">
        <v>0</v>
      </c>
      <c r="S1226" s="19">
        <v>0</v>
      </c>
      <c r="T1226" s="38">
        <v>0</v>
      </c>
      <c r="U1226" s="38"/>
      <c r="V1226" s="31">
        <v>491.57</v>
      </c>
      <c r="W1226" s="35">
        <v>491.57</v>
      </c>
      <c r="X1226" s="32">
        <f t="shared" si="209"/>
        <v>0</v>
      </c>
      <c r="Y1226" s="32">
        <f t="shared" si="210"/>
        <v>0</v>
      </c>
      <c r="Z1226" s="32">
        <f t="shared" si="211"/>
        <v>0</v>
      </c>
      <c r="AA1226" s="38" t="s">
        <v>2573</v>
      </c>
      <c r="AB1226" s="37" t="str">
        <f>IFERROR(VLOOKUP(A1226,'Tash Lookup'!A:E,3,FALSE),"")</f>
        <v/>
      </c>
      <c r="AC1226" s="6" t="str">
        <f t="shared" si="212"/>
        <v/>
      </c>
      <c r="AD1226" s="2" t="s">
        <v>6703</v>
      </c>
      <c r="AF1226" s="56">
        <v>504.35</v>
      </c>
      <c r="AG1226" s="56">
        <f>VLOOKUP(A1226,Sheet1!$A$2:$C$1140,3,FALSE)</f>
        <v>504.35</v>
      </c>
      <c r="AH1226" s="58">
        <v>504.35</v>
      </c>
      <c r="AI1226" s="56" t="str">
        <f t="shared" si="213"/>
        <v>Same</v>
      </c>
      <c r="AJ1226" s="81">
        <f t="shared" si="217"/>
        <v>0</v>
      </c>
      <c r="AK1226" s="81">
        <f t="shared" si="218"/>
        <v>0</v>
      </c>
      <c r="AL1226" s="58" t="s">
        <v>7206</v>
      </c>
      <c r="AM1226" s="58" t="s">
        <v>6703</v>
      </c>
      <c r="AN1226" s="75">
        <v>0</v>
      </c>
      <c r="AO1226" s="88">
        <v>504.35</v>
      </c>
      <c r="AP1226" s="6" t="str">
        <f t="shared" si="214"/>
        <v>Same</v>
      </c>
      <c r="AQ1226" s="81">
        <f t="shared" si="215"/>
        <v>0</v>
      </c>
      <c r="AR1226" s="81">
        <f t="shared" si="216"/>
        <v>0</v>
      </c>
      <c r="AS1226" s="81">
        <f t="shared" si="219"/>
        <v>0</v>
      </c>
    </row>
    <row r="1227" spans="1:45" hidden="1" x14ac:dyDescent="0.3">
      <c r="A1227">
        <v>6183760</v>
      </c>
      <c r="B1227" s="15" t="s">
        <v>6563</v>
      </c>
      <c r="C1227" s="16" t="s">
        <v>30</v>
      </c>
      <c r="D1227" s="6" t="s">
        <v>31</v>
      </c>
      <c r="E1227" t="s">
        <v>1042</v>
      </c>
      <c r="F1227" t="s">
        <v>1042</v>
      </c>
      <c r="H1227" s="11" t="s">
        <v>27</v>
      </c>
      <c r="I1227" s="6" t="s">
        <v>28</v>
      </c>
      <c r="J1227" s="6" t="s">
        <v>28</v>
      </c>
      <c r="K1227" t="s">
        <v>32</v>
      </c>
      <c r="L1227" s="35">
        <v>514.53</v>
      </c>
      <c r="M1227" s="6" t="s">
        <v>29</v>
      </c>
      <c r="N1227" s="6">
        <v>3105</v>
      </c>
      <c r="P1227" s="18"/>
      <c r="Q1227" s="17"/>
      <c r="R1227" s="19">
        <v>514.53</v>
      </c>
      <c r="S1227" s="19">
        <v>514.53</v>
      </c>
      <c r="T1227" s="38">
        <v>0</v>
      </c>
      <c r="U1227" s="38"/>
      <c r="V1227" s="30">
        <v>514.53</v>
      </c>
      <c r="W1227" s="35">
        <v>514.53</v>
      </c>
      <c r="X1227" s="32">
        <f t="shared" si="209"/>
        <v>0</v>
      </c>
      <c r="Y1227" s="32">
        <f t="shared" si="210"/>
        <v>0</v>
      </c>
      <c r="Z1227" s="32">
        <f t="shared" si="211"/>
        <v>0</v>
      </c>
      <c r="AA1227" s="38" t="s">
        <v>2573</v>
      </c>
      <c r="AB1227" s="37" t="str">
        <f>IFERROR(VLOOKUP(A1227,'Tash Lookup'!A:E,3,FALSE),"")</f>
        <v/>
      </c>
      <c r="AC1227" s="6" t="str">
        <f t="shared" si="212"/>
        <v/>
      </c>
      <c r="AD1227" s="2" t="s">
        <v>6708</v>
      </c>
      <c r="AF1227" s="56">
        <v>514.53</v>
      </c>
      <c r="AG1227" s="56" t="e">
        <f>VLOOKUP(A1227,Sheet1!$A$2:$C$1140,3,FALSE)</f>
        <v>#N/A</v>
      </c>
      <c r="AH1227" s="58" t="e">
        <v>#N/A</v>
      </c>
      <c r="AI1227" s="56" t="str">
        <f t="shared" si="213"/>
        <v>Delete</v>
      </c>
      <c r="AJ1227" s="81">
        <f t="shared" si="217"/>
        <v>0</v>
      </c>
      <c r="AK1227" s="81">
        <f t="shared" si="218"/>
        <v>0</v>
      </c>
      <c r="AL1227" s="58" t="s">
        <v>7206</v>
      </c>
      <c r="AM1227" s="58" t="s">
        <v>6708</v>
      </c>
      <c r="AN1227" s="75">
        <v>0</v>
      </c>
      <c r="AO1227" s="88">
        <v>514.53</v>
      </c>
      <c r="AP1227" s="6" t="str">
        <f t="shared" si="214"/>
        <v>Same</v>
      </c>
      <c r="AQ1227" s="81">
        <f t="shared" si="215"/>
        <v>0</v>
      </c>
      <c r="AR1227" s="81">
        <f t="shared" si="216"/>
        <v>0</v>
      </c>
      <c r="AS1227" s="81">
        <f t="shared" si="219"/>
        <v>0</v>
      </c>
    </row>
    <row r="1228" spans="1:45" hidden="1" x14ac:dyDescent="0.3">
      <c r="A1228">
        <v>6108557</v>
      </c>
      <c r="B1228" s="15" t="s">
        <v>6564</v>
      </c>
      <c r="C1228" s="16" t="s">
        <v>30</v>
      </c>
      <c r="D1228" s="6" t="s">
        <v>31</v>
      </c>
      <c r="E1228" t="s">
        <v>1043</v>
      </c>
      <c r="F1228" t="s">
        <v>1043</v>
      </c>
      <c r="H1228" s="11" t="s">
        <v>27</v>
      </c>
      <c r="I1228" s="6" t="s">
        <v>28</v>
      </c>
      <c r="J1228" s="6" t="s">
        <v>28</v>
      </c>
      <c r="K1228" t="s">
        <v>32</v>
      </c>
      <c r="L1228" s="35">
        <v>491.72</v>
      </c>
      <c r="M1228" s="6" t="s">
        <v>29</v>
      </c>
      <c r="N1228" s="6">
        <v>3105</v>
      </c>
      <c r="P1228" s="18"/>
      <c r="Q1228" s="17"/>
      <c r="R1228" s="19">
        <v>491.72</v>
      </c>
      <c r="S1228" s="19">
        <v>491.72</v>
      </c>
      <c r="T1228" s="38">
        <v>0</v>
      </c>
      <c r="U1228" s="38"/>
      <c r="V1228" s="30">
        <v>491.72</v>
      </c>
      <c r="W1228" s="35">
        <v>491.72</v>
      </c>
      <c r="X1228" s="32">
        <f t="shared" si="209"/>
        <v>0</v>
      </c>
      <c r="Y1228" s="32">
        <f t="shared" si="210"/>
        <v>0</v>
      </c>
      <c r="Z1228" s="32">
        <f t="shared" si="211"/>
        <v>0</v>
      </c>
      <c r="AA1228" s="38" t="s">
        <v>2573</v>
      </c>
      <c r="AB1228" s="37" t="str">
        <f>IFERROR(VLOOKUP(A1228,'Tash Lookup'!A:E,3,FALSE),"")</f>
        <v/>
      </c>
      <c r="AC1228" s="6" t="str">
        <f t="shared" si="212"/>
        <v/>
      </c>
      <c r="AD1228" s="2" t="s">
        <v>6708</v>
      </c>
      <c r="AF1228" s="56">
        <v>491.72</v>
      </c>
      <c r="AG1228" s="56" t="e">
        <f>VLOOKUP(A1228,Sheet1!$A$2:$C$1140,3,FALSE)</f>
        <v>#N/A</v>
      </c>
      <c r="AH1228" s="58" t="e">
        <v>#N/A</v>
      </c>
      <c r="AI1228" s="56" t="str">
        <f t="shared" si="213"/>
        <v>Delete</v>
      </c>
      <c r="AJ1228" s="81">
        <f t="shared" si="217"/>
        <v>0</v>
      </c>
      <c r="AK1228" s="81">
        <f t="shared" si="218"/>
        <v>0</v>
      </c>
      <c r="AL1228" s="58" t="s">
        <v>7206</v>
      </c>
      <c r="AM1228" s="58" t="s">
        <v>6708</v>
      </c>
      <c r="AN1228" s="75">
        <v>0</v>
      </c>
      <c r="AO1228" s="88">
        <v>491.72</v>
      </c>
      <c r="AP1228" s="6" t="str">
        <f t="shared" si="214"/>
        <v>Same</v>
      </c>
      <c r="AQ1228" s="81">
        <f t="shared" si="215"/>
        <v>0</v>
      </c>
      <c r="AR1228" s="81">
        <f t="shared" si="216"/>
        <v>0</v>
      </c>
      <c r="AS1228" s="81">
        <f t="shared" si="219"/>
        <v>0</v>
      </c>
    </row>
    <row r="1229" spans="1:45" hidden="1" x14ac:dyDescent="0.3">
      <c r="A1229">
        <v>6308825</v>
      </c>
      <c r="B1229" s="15" t="s">
        <v>6565</v>
      </c>
      <c r="C1229" s="16" t="s">
        <v>30</v>
      </c>
      <c r="D1229" s="6" t="s">
        <v>31</v>
      </c>
      <c r="E1229" t="s">
        <v>1044</v>
      </c>
      <c r="F1229" t="s">
        <v>1044</v>
      </c>
      <c r="H1229" s="11" t="s">
        <v>27</v>
      </c>
      <c r="I1229" s="6" t="s">
        <v>28</v>
      </c>
      <c r="J1229" s="6" t="s">
        <v>28</v>
      </c>
      <c r="K1229" t="s">
        <v>32</v>
      </c>
      <c r="L1229" s="35">
        <v>387.6</v>
      </c>
      <c r="M1229" s="6" t="s">
        <v>29</v>
      </c>
      <c r="N1229" s="6">
        <v>3105</v>
      </c>
      <c r="P1229" s="18"/>
      <c r="Q1229" s="17"/>
      <c r="R1229" s="19">
        <v>387.6</v>
      </c>
      <c r="S1229" s="19">
        <v>387.6</v>
      </c>
      <c r="T1229" s="38">
        <v>0</v>
      </c>
      <c r="U1229" s="38"/>
      <c r="V1229" s="30">
        <v>387.6</v>
      </c>
      <c r="W1229" s="35">
        <v>387.6</v>
      </c>
      <c r="X1229" s="32">
        <f t="shared" si="209"/>
        <v>0</v>
      </c>
      <c r="Y1229" s="32">
        <f t="shared" si="210"/>
        <v>0</v>
      </c>
      <c r="Z1229" s="32">
        <f t="shared" si="211"/>
        <v>0</v>
      </c>
      <c r="AA1229" s="38" t="s">
        <v>2573</v>
      </c>
      <c r="AB1229" s="37" t="str">
        <f>IFERROR(VLOOKUP(A1229,'Tash Lookup'!A:E,3,FALSE),"")</f>
        <v/>
      </c>
      <c r="AC1229" s="6" t="str">
        <f t="shared" si="212"/>
        <v/>
      </c>
      <c r="AD1229" s="2" t="s">
        <v>6707</v>
      </c>
      <c r="AF1229" s="56">
        <v>439.2</v>
      </c>
      <c r="AG1229" s="56" t="e">
        <f>VLOOKUP(A1229,Sheet1!$A$2:$C$1140,3,FALSE)</f>
        <v>#N/A</v>
      </c>
      <c r="AH1229" s="58" t="e">
        <v>#N/A</v>
      </c>
      <c r="AI1229" s="56" t="str">
        <f t="shared" si="213"/>
        <v>Delete</v>
      </c>
      <c r="AJ1229" s="81">
        <f t="shared" si="217"/>
        <v>0</v>
      </c>
      <c r="AK1229" s="81">
        <f t="shared" si="218"/>
        <v>0</v>
      </c>
      <c r="AL1229" s="58" t="s">
        <v>7206</v>
      </c>
      <c r="AM1229" s="58" t="s">
        <v>6708</v>
      </c>
      <c r="AN1229" s="75">
        <v>0</v>
      </c>
      <c r="AO1229" s="88">
        <v>439.2</v>
      </c>
      <c r="AP1229" s="6" t="str">
        <f t="shared" si="214"/>
        <v>Same</v>
      </c>
      <c r="AQ1229" s="81">
        <f t="shared" si="215"/>
        <v>0</v>
      </c>
      <c r="AR1229" s="81">
        <f t="shared" si="216"/>
        <v>0</v>
      </c>
      <c r="AS1229" s="81">
        <f t="shared" si="219"/>
        <v>0</v>
      </c>
    </row>
    <row r="1230" spans="1:45" hidden="1" x14ac:dyDescent="0.3">
      <c r="A1230">
        <v>6308826</v>
      </c>
      <c r="B1230" s="15" t="s">
        <v>6566</v>
      </c>
      <c r="C1230" s="16" t="s">
        <v>30</v>
      </c>
      <c r="D1230" s="6" t="s">
        <v>31</v>
      </c>
      <c r="E1230" t="s">
        <v>1045</v>
      </c>
      <c r="F1230" t="s">
        <v>1045</v>
      </c>
      <c r="H1230" s="11" t="s">
        <v>27</v>
      </c>
      <c r="I1230" s="6" t="s">
        <v>28</v>
      </c>
      <c r="J1230" s="6" t="s">
        <v>28</v>
      </c>
      <c r="K1230" t="s">
        <v>32</v>
      </c>
      <c r="L1230" s="35">
        <v>620.12</v>
      </c>
      <c r="M1230" s="6" t="s">
        <v>29</v>
      </c>
      <c r="N1230" s="6">
        <v>3105</v>
      </c>
      <c r="P1230" s="18"/>
      <c r="Q1230" s="17"/>
      <c r="R1230" s="19">
        <v>620.12</v>
      </c>
      <c r="S1230" s="19">
        <v>620.12</v>
      </c>
      <c r="T1230" s="38">
        <v>0</v>
      </c>
      <c r="U1230" s="38"/>
      <c r="V1230" s="30">
        <v>620.12</v>
      </c>
      <c r="W1230" s="35">
        <v>620.12</v>
      </c>
      <c r="X1230" s="32">
        <f t="shared" si="209"/>
        <v>0</v>
      </c>
      <c r="Y1230" s="32">
        <f t="shared" si="210"/>
        <v>0</v>
      </c>
      <c r="Z1230" s="32">
        <f t="shared" si="211"/>
        <v>0</v>
      </c>
      <c r="AA1230" s="38" t="s">
        <v>2573</v>
      </c>
      <c r="AB1230" s="37" t="str">
        <f>IFERROR(VLOOKUP(A1230,'Tash Lookup'!A:E,3,FALSE),"")</f>
        <v/>
      </c>
      <c r="AC1230" s="6" t="str">
        <f t="shared" si="212"/>
        <v/>
      </c>
      <c r="AD1230" s="2" t="s">
        <v>6707</v>
      </c>
      <c r="AF1230" s="56">
        <v>636.37</v>
      </c>
      <c r="AG1230" s="56" t="e">
        <f>VLOOKUP(A1230,Sheet1!$A$2:$C$1140,3,FALSE)</f>
        <v>#N/A</v>
      </c>
      <c r="AH1230" s="58" t="e">
        <v>#N/A</v>
      </c>
      <c r="AI1230" s="56" t="str">
        <f t="shared" si="213"/>
        <v>Delete</v>
      </c>
      <c r="AJ1230" s="81">
        <f t="shared" si="217"/>
        <v>0</v>
      </c>
      <c r="AK1230" s="81">
        <f t="shared" si="218"/>
        <v>0</v>
      </c>
      <c r="AL1230" s="58" t="s">
        <v>7206</v>
      </c>
      <c r="AM1230" s="58" t="s">
        <v>6708</v>
      </c>
      <c r="AN1230" s="75">
        <v>0</v>
      </c>
      <c r="AO1230" s="88">
        <v>636.37</v>
      </c>
      <c r="AP1230" s="6" t="str">
        <f t="shared" si="214"/>
        <v>Same</v>
      </c>
      <c r="AQ1230" s="81">
        <f t="shared" si="215"/>
        <v>0</v>
      </c>
      <c r="AR1230" s="81">
        <f t="shared" si="216"/>
        <v>0</v>
      </c>
      <c r="AS1230" s="81">
        <f t="shared" si="219"/>
        <v>0</v>
      </c>
    </row>
    <row r="1231" spans="1:45" hidden="1" x14ac:dyDescent="0.3">
      <c r="A1231">
        <v>6308786</v>
      </c>
      <c r="B1231" s="15" t="s">
        <v>6567</v>
      </c>
      <c r="C1231" s="16" t="s">
        <v>30</v>
      </c>
      <c r="D1231" s="6" t="s">
        <v>31</v>
      </c>
      <c r="E1231" t="s">
        <v>1046</v>
      </c>
      <c r="F1231" t="s">
        <v>1046</v>
      </c>
      <c r="H1231" s="11" t="s">
        <v>27</v>
      </c>
      <c r="I1231" s="6" t="s">
        <v>28</v>
      </c>
      <c r="J1231" s="6" t="s">
        <v>28</v>
      </c>
      <c r="K1231" t="s">
        <v>32</v>
      </c>
      <c r="L1231" s="35">
        <v>651.83000000000004</v>
      </c>
      <c r="M1231" s="6" t="s">
        <v>29</v>
      </c>
      <c r="N1231" s="6">
        <v>3105</v>
      </c>
      <c r="P1231" s="18"/>
      <c r="Q1231" s="17"/>
      <c r="R1231" s="19">
        <v>651.83000000000004</v>
      </c>
      <c r="S1231" s="19">
        <v>651.83000000000004</v>
      </c>
      <c r="T1231" s="38">
        <v>0</v>
      </c>
      <c r="U1231" s="38"/>
      <c r="V1231" s="30">
        <v>651.83000000000004</v>
      </c>
      <c r="W1231" s="35">
        <v>651.83000000000004</v>
      </c>
      <c r="X1231" s="32">
        <f t="shared" si="209"/>
        <v>0</v>
      </c>
      <c r="Y1231" s="32">
        <f t="shared" si="210"/>
        <v>0</v>
      </c>
      <c r="Z1231" s="32">
        <f t="shared" si="211"/>
        <v>0</v>
      </c>
      <c r="AA1231" s="38" t="s">
        <v>2573</v>
      </c>
      <c r="AB1231" s="37" t="str">
        <f>IFERROR(VLOOKUP(A1231,'Tash Lookup'!A:E,3,FALSE),"")</f>
        <v/>
      </c>
      <c r="AC1231" s="6" t="str">
        <f t="shared" si="212"/>
        <v/>
      </c>
      <c r="AD1231" s="2" t="s">
        <v>6707</v>
      </c>
      <c r="AF1231" s="56">
        <v>668.92</v>
      </c>
      <c r="AG1231" s="56" t="e">
        <f>VLOOKUP(A1231,Sheet1!$A$2:$C$1140,3,FALSE)</f>
        <v>#N/A</v>
      </c>
      <c r="AH1231" s="58" t="e">
        <v>#N/A</v>
      </c>
      <c r="AI1231" s="56" t="str">
        <f t="shared" si="213"/>
        <v>Delete</v>
      </c>
      <c r="AJ1231" s="81">
        <f t="shared" si="217"/>
        <v>0</v>
      </c>
      <c r="AK1231" s="81">
        <f t="shared" si="218"/>
        <v>0</v>
      </c>
      <c r="AL1231" s="58" t="s">
        <v>7206</v>
      </c>
      <c r="AM1231" s="58" t="s">
        <v>6708</v>
      </c>
      <c r="AN1231" s="75">
        <v>0</v>
      </c>
      <c r="AO1231" s="88">
        <v>668.92</v>
      </c>
      <c r="AP1231" s="6" t="str">
        <f t="shared" si="214"/>
        <v>Same</v>
      </c>
      <c r="AQ1231" s="81">
        <f t="shared" si="215"/>
        <v>0</v>
      </c>
      <c r="AR1231" s="81">
        <f t="shared" si="216"/>
        <v>0</v>
      </c>
      <c r="AS1231" s="81">
        <f t="shared" si="219"/>
        <v>0</v>
      </c>
    </row>
    <row r="1232" spans="1:45" hidden="1" x14ac:dyDescent="0.3">
      <c r="A1232">
        <v>6085108</v>
      </c>
      <c r="B1232" s="15" t="s">
        <v>6568</v>
      </c>
      <c r="C1232" s="16" t="s">
        <v>30</v>
      </c>
      <c r="D1232" s="6" t="s">
        <v>31</v>
      </c>
      <c r="E1232" t="s">
        <v>1051</v>
      </c>
      <c r="F1232" t="s">
        <v>1051</v>
      </c>
      <c r="H1232" s="11" t="s">
        <v>27</v>
      </c>
      <c r="I1232" s="6" t="s">
        <v>28</v>
      </c>
      <c r="J1232" s="6" t="s">
        <v>28</v>
      </c>
      <c r="K1232" t="s">
        <v>32</v>
      </c>
      <c r="L1232" s="35">
        <v>28.07</v>
      </c>
      <c r="M1232" s="6" t="s">
        <v>29</v>
      </c>
      <c r="N1232" s="6">
        <v>3105</v>
      </c>
      <c r="P1232" s="18"/>
      <c r="Q1232" s="17"/>
      <c r="R1232" s="19">
        <v>0</v>
      </c>
      <c r="S1232" s="19">
        <v>0</v>
      </c>
      <c r="T1232" s="38">
        <v>0</v>
      </c>
      <c r="U1232" s="38"/>
      <c r="V1232" s="31">
        <v>28.07</v>
      </c>
      <c r="W1232" s="35">
        <v>28.07</v>
      </c>
      <c r="X1232" s="32">
        <f t="shared" si="209"/>
        <v>0</v>
      </c>
      <c r="Y1232" s="32">
        <f t="shared" si="210"/>
        <v>0</v>
      </c>
      <c r="Z1232" s="32">
        <f t="shared" si="211"/>
        <v>0</v>
      </c>
      <c r="AA1232" s="38" t="s">
        <v>2573</v>
      </c>
      <c r="AB1232" s="37" t="str">
        <f>IFERROR(VLOOKUP(A1232,'Tash Lookup'!A:E,3,FALSE),"")</f>
        <v/>
      </c>
      <c r="AC1232" s="6" t="str">
        <f t="shared" si="212"/>
        <v/>
      </c>
      <c r="AD1232" s="2" t="s">
        <v>6703</v>
      </c>
      <c r="AF1232" s="56">
        <v>30.43</v>
      </c>
      <c r="AG1232" s="56">
        <f>VLOOKUP(A1232,Sheet1!$A$2:$C$1140,3,FALSE)</f>
        <v>31.04</v>
      </c>
      <c r="AH1232" s="58">
        <v>31.04</v>
      </c>
      <c r="AI1232" s="56" t="str">
        <f t="shared" si="213"/>
        <v>Increase</v>
      </c>
      <c r="AJ1232" s="81">
        <f t="shared" si="217"/>
        <v>0</v>
      </c>
      <c r="AK1232" s="81">
        <f t="shared" si="218"/>
        <v>0</v>
      </c>
      <c r="AL1232" s="58" t="s">
        <v>7206</v>
      </c>
      <c r="AM1232" s="58" t="s">
        <v>6703</v>
      </c>
      <c r="AN1232" s="75">
        <v>1</v>
      </c>
      <c r="AO1232" s="88">
        <v>31.04</v>
      </c>
      <c r="AP1232" s="6" t="str">
        <f t="shared" si="214"/>
        <v>Increase</v>
      </c>
      <c r="AQ1232" s="81">
        <f t="shared" si="215"/>
        <v>30.43</v>
      </c>
      <c r="AR1232" s="81">
        <f t="shared" si="216"/>
        <v>31.04</v>
      </c>
      <c r="AS1232" s="81">
        <f t="shared" si="219"/>
        <v>0.60999999999999943</v>
      </c>
    </row>
    <row r="1233" spans="1:45" hidden="1" x14ac:dyDescent="0.3">
      <c r="A1233">
        <v>6315739</v>
      </c>
      <c r="B1233" s="15" t="s">
        <v>6569</v>
      </c>
      <c r="C1233" s="16" t="s">
        <v>30</v>
      </c>
      <c r="D1233" s="6" t="s">
        <v>31</v>
      </c>
      <c r="E1233" t="s">
        <v>1052</v>
      </c>
      <c r="F1233" t="s">
        <v>1052</v>
      </c>
      <c r="H1233" s="11" t="s">
        <v>27</v>
      </c>
      <c r="I1233" s="6" t="s">
        <v>28</v>
      </c>
      <c r="J1233" s="6" t="s">
        <v>28</v>
      </c>
      <c r="K1233" t="s">
        <v>32</v>
      </c>
      <c r="L1233" s="35">
        <v>13.34</v>
      </c>
      <c r="M1233" s="6" t="s">
        <v>29</v>
      </c>
      <c r="N1233" s="6">
        <v>3105</v>
      </c>
      <c r="P1233" s="18"/>
      <c r="Q1233" s="17"/>
      <c r="R1233" s="19">
        <v>13.34</v>
      </c>
      <c r="S1233" s="19">
        <v>13.34</v>
      </c>
      <c r="T1233" s="38">
        <v>0</v>
      </c>
      <c r="U1233" s="38"/>
      <c r="V1233" s="30">
        <v>13.34</v>
      </c>
      <c r="W1233" s="35">
        <v>13.34</v>
      </c>
      <c r="X1233" s="32">
        <f t="shared" si="209"/>
        <v>0</v>
      </c>
      <c r="Y1233" s="32">
        <f t="shared" si="210"/>
        <v>0</v>
      </c>
      <c r="Z1233" s="32">
        <f t="shared" si="211"/>
        <v>0</v>
      </c>
      <c r="AA1233" s="38" t="s">
        <v>2573</v>
      </c>
      <c r="AB1233" s="37" t="str">
        <f>IFERROR(VLOOKUP(A1233,'Tash Lookup'!A:E,3,FALSE),"")</f>
        <v/>
      </c>
      <c r="AC1233" s="6" t="str">
        <f t="shared" si="212"/>
        <v/>
      </c>
      <c r="AD1233" s="2" t="s">
        <v>6708</v>
      </c>
      <c r="AF1233" s="56">
        <v>13.34</v>
      </c>
      <c r="AG1233" s="56" t="e">
        <f>VLOOKUP(A1233,Sheet1!$A$2:$C$1140,3,FALSE)</f>
        <v>#N/A</v>
      </c>
      <c r="AH1233" s="58" t="e">
        <v>#N/A</v>
      </c>
      <c r="AI1233" s="56" t="str">
        <f t="shared" si="213"/>
        <v>Delete</v>
      </c>
      <c r="AJ1233" s="81">
        <f t="shared" si="217"/>
        <v>0</v>
      </c>
      <c r="AK1233" s="81">
        <f t="shared" si="218"/>
        <v>0</v>
      </c>
      <c r="AL1233" s="58" t="s">
        <v>7206</v>
      </c>
      <c r="AM1233" s="58" t="s">
        <v>6708</v>
      </c>
      <c r="AN1233" s="75">
        <v>0</v>
      </c>
      <c r="AO1233" s="88">
        <v>13.34</v>
      </c>
      <c r="AP1233" s="6" t="str">
        <f t="shared" si="214"/>
        <v>Same</v>
      </c>
      <c r="AQ1233" s="81">
        <f t="shared" si="215"/>
        <v>0</v>
      </c>
      <c r="AR1233" s="81">
        <f t="shared" si="216"/>
        <v>0</v>
      </c>
      <c r="AS1233" s="81">
        <f t="shared" si="219"/>
        <v>0</v>
      </c>
    </row>
    <row r="1234" spans="1:45" hidden="1" x14ac:dyDescent="0.3">
      <c r="A1234">
        <v>6315790</v>
      </c>
      <c r="B1234" s="15" t="s">
        <v>6570</v>
      </c>
      <c r="C1234" s="16" t="s">
        <v>30</v>
      </c>
      <c r="D1234" s="6" t="s">
        <v>31</v>
      </c>
      <c r="E1234" t="s">
        <v>1053</v>
      </c>
      <c r="F1234" t="s">
        <v>1053</v>
      </c>
      <c r="H1234" s="11" t="s">
        <v>27</v>
      </c>
      <c r="I1234" s="6" t="s">
        <v>28</v>
      </c>
      <c r="J1234" s="6" t="s">
        <v>28</v>
      </c>
      <c r="K1234" t="s">
        <v>32</v>
      </c>
      <c r="L1234" s="35">
        <v>13.34</v>
      </c>
      <c r="M1234" s="6" t="s">
        <v>29</v>
      </c>
      <c r="N1234" s="6">
        <v>3105</v>
      </c>
      <c r="P1234" s="18"/>
      <c r="Q1234" s="17"/>
      <c r="R1234" s="19">
        <v>13.34</v>
      </c>
      <c r="S1234" s="19">
        <v>13.34</v>
      </c>
      <c r="T1234" s="38">
        <v>0</v>
      </c>
      <c r="U1234" s="38"/>
      <c r="V1234" s="30">
        <v>13.34</v>
      </c>
      <c r="W1234" s="35">
        <v>13.34</v>
      </c>
      <c r="X1234" s="32">
        <f t="shared" si="209"/>
        <v>0</v>
      </c>
      <c r="Y1234" s="32">
        <f t="shared" si="210"/>
        <v>0</v>
      </c>
      <c r="Z1234" s="32">
        <f t="shared" si="211"/>
        <v>0</v>
      </c>
      <c r="AA1234" s="38" t="s">
        <v>2573</v>
      </c>
      <c r="AB1234" s="37" t="str">
        <f>IFERROR(VLOOKUP(A1234,'Tash Lookup'!A:E,3,FALSE),"")</f>
        <v/>
      </c>
      <c r="AC1234" s="6" t="str">
        <f t="shared" si="212"/>
        <v/>
      </c>
      <c r="AD1234" s="2" t="s">
        <v>6708</v>
      </c>
      <c r="AF1234" s="56">
        <v>13.34</v>
      </c>
      <c r="AG1234" s="56" t="e">
        <f>VLOOKUP(A1234,Sheet1!$A$2:$C$1140,3,FALSE)</f>
        <v>#N/A</v>
      </c>
      <c r="AH1234" s="58" t="e">
        <v>#N/A</v>
      </c>
      <c r="AI1234" s="56" t="str">
        <f t="shared" si="213"/>
        <v>Delete</v>
      </c>
      <c r="AJ1234" s="81">
        <f t="shared" si="217"/>
        <v>0</v>
      </c>
      <c r="AK1234" s="81">
        <f t="shared" si="218"/>
        <v>0</v>
      </c>
      <c r="AL1234" s="58" t="s">
        <v>7206</v>
      </c>
      <c r="AM1234" s="58" t="s">
        <v>6708</v>
      </c>
      <c r="AN1234" s="75">
        <v>0</v>
      </c>
      <c r="AO1234" s="88">
        <v>13.34</v>
      </c>
      <c r="AP1234" s="6" t="str">
        <f t="shared" si="214"/>
        <v>Same</v>
      </c>
      <c r="AQ1234" s="81">
        <f t="shared" si="215"/>
        <v>0</v>
      </c>
      <c r="AR1234" s="81">
        <f t="shared" si="216"/>
        <v>0</v>
      </c>
      <c r="AS1234" s="81">
        <f t="shared" si="219"/>
        <v>0</v>
      </c>
    </row>
    <row r="1235" spans="1:45" hidden="1" x14ac:dyDescent="0.3">
      <c r="A1235">
        <v>6414040</v>
      </c>
      <c r="B1235" s="15" t="s">
        <v>6571</v>
      </c>
      <c r="C1235" s="16" t="s">
        <v>30</v>
      </c>
      <c r="D1235" s="6" t="s">
        <v>31</v>
      </c>
      <c r="E1235" t="s">
        <v>1054</v>
      </c>
      <c r="F1235" t="s">
        <v>1054</v>
      </c>
      <c r="H1235" s="11" t="s">
        <v>27</v>
      </c>
      <c r="I1235" s="6" t="s">
        <v>28</v>
      </c>
      <c r="J1235" s="6" t="s">
        <v>28</v>
      </c>
      <c r="K1235" t="s">
        <v>32</v>
      </c>
      <c r="L1235" s="35">
        <v>23.18</v>
      </c>
      <c r="M1235" s="6" t="s">
        <v>29</v>
      </c>
      <c r="N1235" s="6">
        <v>3105</v>
      </c>
      <c r="P1235" s="18"/>
      <c r="Q1235" s="17"/>
      <c r="R1235" s="19">
        <v>0</v>
      </c>
      <c r="S1235" s="19">
        <v>0</v>
      </c>
      <c r="T1235" s="38">
        <v>0</v>
      </c>
      <c r="U1235" s="38"/>
      <c r="V1235" s="31">
        <v>23.18</v>
      </c>
      <c r="W1235" s="35">
        <v>23.18</v>
      </c>
      <c r="X1235" s="32">
        <f t="shared" si="209"/>
        <v>0</v>
      </c>
      <c r="Y1235" s="32">
        <f t="shared" si="210"/>
        <v>0</v>
      </c>
      <c r="Z1235" s="32">
        <f t="shared" si="211"/>
        <v>0</v>
      </c>
      <c r="AA1235" s="38" t="s">
        <v>2573</v>
      </c>
      <c r="AB1235" s="37" t="str">
        <f>IFERROR(VLOOKUP(A1235,'Tash Lookup'!A:E,3,FALSE),"")</f>
        <v/>
      </c>
      <c r="AC1235" s="6" t="str">
        <f t="shared" si="212"/>
        <v/>
      </c>
      <c r="AD1235" s="2" t="s">
        <v>6708</v>
      </c>
      <c r="AF1235" s="56">
        <v>23.88</v>
      </c>
      <c r="AG1235" s="56" t="e">
        <f>VLOOKUP(A1235,Sheet1!$A$2:$C$1140,3,FALSE)</f>
        <v>#N/A</v>
      </c>
      <c r="AH1235" s="58" t="e">
        <v>#N/A</v>
      </c>
      <c r="AI1235" s="56" t="str">
        <f t="shared" si="213"/>
        <v>Delete</v>
      </c>
      <c r="AJ1235" s="81">
        <f t="shared" si="217"/>
        <v>0</v>
      </c>
      <c r="AK1235" s="81">
        <f t="shared" si="218"/>
        <v>0</v>
      </c>
      <c r="AL1235" s="58" t="s">
        <v>7206</v>
      </c>
      <c r="AM1235" s="58" t="s">
        <v>6708</v>
      </c>
      <c r="AN1235" s="75">
        <v>3</v>
      </c>
      <c r="AO1235" s="88">
        <v>23.88</v>
      </c>
      <c r="AP1235" s="6" t="str">
        <f t="shared" si="214"/>
        <v>Same</v>
      </c>
      <c r="AQ1235" s="81">
        <f t="shared" si="215"/>
        <v>71.64</v>
      </c>
      <c r="AR1235" s="81">
        <f t="shared" si="216"/>
        <v>71.64</v>
      </c>
      <c r="AS1235" s="81">
        <f t="shared" si="219"/>
        <v>0</v>
      </c>
    </row>
    <row r="1236" spans="1:45" hidden="1" x14ac:dyDescent="0.3">
      <c r="A1236">
        <v>6362252</v>
      </c>
      <c r="B1236" s="15" t="s">
        <v>6572</v>
      </c>
      <c r="C1236" s="16" t="s">
        <v>30</v>
      </c>
      <c r="D1236" s="6" t="s">
        <v>31</v>
      </c>
      <c r="E1236" t="s">
        <v>1056</v>
      </c>
      <c r="F1236" t="s">
        <v>1056</v>
      </c>
      <c r="H1236" s="11" t="s">
        <v>27</v>
      </c>
      <c r="I1236" s="6" t="s">
        <v>28</v>
      </c>
      <c r="J1236" s="6" t="s">
        <v>28</v>
      </c>
      <c r="K1236" t="s">
        <v>32</v>
      </c>
      <c r="L1236" s="35">
        <v>1151.8499999999999</v>
      </c>
      <c r="M1236" s="6" t="s">
        <v>29</v>
      </c>
      <c r="N1236" s="6">
        <v>3105</v>
      </c>
      <c r="P1236" s="18"/>
      <c r="Q1236" s="17"/>
      <c r="R1236" s="19">
        <v>1151.8499999999999</v>
      </c>
      <c r="S1236" s="19">
        <v>1151.8499999999999</v>
      </c>
      <c r="T1236" s="38">
        <v>0</v>
      </c>
      <c r="U1236" s="38"/>
      <c r="V1236" s="30">
        <v>1151.8499999999999</v>
      </c>
      <c r="W1236" s="35">
        <v>1151.8499999999999</v>
      </c>
      <c r="X1236" s="32">
        <f t="shared" si="209"/>
        <v>0</v>
      </c>
      <c r="Y1236" s="32">
        <f t="shared" si="210"/>
        <v>0</v>
      </c>
      <c r="Z1236" s="32">
        <f t="shared" si="211"/>
        <v>0</v>
      </c>
      <c r="AA1236" s="38" t="s">
        <v>2573</v>
      </c>
      <c r="AB1236" s="37" t="str">
        <f>IFERROR(VLOOKUP(A1236,'Tash Lookup'!A:E,3,FALSE),"")</f>
        <v/>
      </c>
      <c r="AC1236" s="6" t="str">
        <f t="shared" si="212"/>
        <v/>
      </c>
      <c r="AD1236" s="2" t="s">
        <v>6708</v>
      </c>
      <c r="AF1236" s="56">
        <v>1151.8499999999999</v>
      </c>
      <c r="AG1236" s="56" t="e">
        <f>VLOOKUP(A1236,Sheet1!$A$2:$C$1140,3,FALSE)</f>
        <v>#N/A</v>
      </c>
      <c r="AH1236" s="58" t="e">
        <v>#N/A</v>
      </c>
      <c r="AI1236" s="56" t="str">
        <f t="shared" si="213"/>
        <v>Delete</v>
      </c>
      <c r="AJ1236" s="81">
        <f t="shared" si="217"/>
        <v>0</v>
      </c>
      <c r="AK1236" s="81">
        <f t="shared" si="218"/>
        <v>0</v>
      </c>
      <c r="AL1236" s="58" t="s">
        <v>7206</v>
      </c>
      <c r="AM1236" s="58" t="s">
        <v>6708</v>
      </c>
      <c r="AN1236" s="75">
        <v>0</v>
      </c>
      <c r="AO1236" s="88">
        <v>1151.8499999999999</v>
      </c>
      <c r="AP1236" s="6" t="str">
        <f t="shared" si="214"/>
        <v>Same</v>
      </c>
      <c r="AQ1236" s="81">
        <f t="shared" si="215"/>
        <v>0</v>
      </c>
      <c r="AR1236" s="81">
        <f t="shared" si="216"/>
        <v>0</v>
      </c>
      <c r="AS1236" s="81">
        <f t="shared" si="219"/>
        <v>0</v>
      </c>
    </row>
    <row r="1237" spans="1:45" hidden="1" x14ac:dyDescent="0.3">
      <c r="A1237">
        <v>6361274</v>
      </c>
      <c r="B1237" s="15" t="s">
        <v>6573</v>
      </c>
      <c r="C1237" s="16" t="s">
        <v>30</v>
      </c>
      <c r="D1237" s="6" t="s">
        <v>31</v>
      </c>
      <c r="E1237" t="s">
        <v>1057</v>
      </c>
      <c r="F1237" t="s">
        <v>1057</v>
      </c>
      <c r="H1237" s="11" t="s">
        <v>27</v>
      </c>
      <c r="I1237" s="6" t="s">
        <v>28</v>
      </c>
      <c r="J1237" s="6" t="s">
        <v>28</v>
      </c>
      <c r="K1237" t="s">
        <v>32</v>
      </c>
      <c r="L1237" s="35">
        <v>995.81</v>
      </c>
      <c r="M1237" s="6" t="s">
        <v>29</v>
      </c>
      <c r="N1237" s="6">
        <v>3105</v>
      </c>
      <c r="P1237" s="18"/>
      <c r="Q1237" s="17"/>
      <c r="R1237" s="19">
        <v>995.81</v>
      </c>
      <c r="S1237" s="19">
        <v>995.81</v>
      </c>
      <c r="T1237" s="38">
        <v>0</v>
      </c>
      <c r="U1237" s="38"/>
      <c r="V1237" s="30">
        <v>995.81</v>
      </c>
      <c r="W1237" s="35">
        <v>995.81</v>
      </c>
      <c r="X1237" s="32">
        <f t="shared" si="209"/>
        <v>0</v>
      </c>
      <c r="Y1237" s="32">
        <f t="shared" si="210"/>
        <v>0</v>
      </c>
      <c r="Z1237" s="32">
        <f t="shared" si="211"/>
        <v>0</v>
      </c>
      <c r="AA1237" s="38" t="s">
        <v>2573</v>
      </c>
      <c r="AB1237" s="37" t="str">
        <f>IFERROR(VLOOKUP(A1237,'Tash Lookup'!A:E,3,FALSE),"")</f>
        <v/>
      </c>
      <c r="AC1237" s="6" t="str">
        <f t="shared" si="212"/>
        <v/>
      </c>
      <c r="AD1237" s="2" t="s">
        <v>6711</v>
      </c>
      <c r="AE1237" s="2" t="s">
        <v>6701</v>
      </c>
      <c r="AF1237" s="56">
        <v>995.81</v>
      </c>
      <c r="AG1237" s="56" t="e">
        <f>VLOOKUP(A1237,Sheet1!$A$2:$C$1140,3,FALSE)</f>
        <v>#N/A</v>
      </c>
      <c r="AH1237" s="58" t="e">
        <v>#N/A</v>
      </c>
      <c r="AI1237" s="56" t="str">
        <f t="shared" si="213"/>
        <v>Delete</v>
      </c>
      <c r="AJ1237" s="81">
        <f t="shared" si="217"/>
        <v>0</v>
      </c>
      <c r="AK1237" s="81">
        <f t="shared" si="218"/>
        <v>0</v>
      </c>
      <c r="AL1237" s="58" t="s">
        <v>7206</v>
      </c>
      <c r="AM1237" s="58" t="s">
        <v>6711</v>
      </c>
      <c r="AN1237" s="75">
        <v>0</v>
      </c>
      <c r="AO1237" s="88">
        <v>995.81</v>
      </c>
      <c r="AP1237" s="6" t="str">
        <f t="shared" si="214"/>
        <v>Delete</v>
      </c>
      <c r="AQ1237" s="81">
        <f t="shared" si="215"/>
        <v>0</v>
      </c>
      <c r="AR1237" s="81">
        <f t="shared" si="216"/>
        <v>0</v>
      </c>
      <c r="AS1237" s="81">
        <f t="shared" si="219"/>
        <v>0</v>
      </c>
    </row>
    <row r="1238" spans="1:45" hidden="1" x14ac:dyDescent="0.3">
      <c r="A1238">
        <v>6091934</v>
      </c>
      <c r="B1238" s="15" t="s">
        <v>6574</v>
      </c>
      <c r="C1238" s="16" t="s">
        <v>30</v>
      </c>
      <c r="D1238" s="6" t="s">
        <v>31</v>
      </c>
      <c r="E1238" t="s">
        <v>1058</v>
      </c>
      <c r="F1238" t="s">
        <v>1058</v>
      </c>
      <c r="H1238" s="11" t="s">
        <v>27</v>
      </c>
      <c r="I1238" s="6" t="s">
        <v>28</v>
      </c>
      <c r="J1238" s="6" t="s">
        <v>28</v>
      </c>
      <c r="K1238" t="s">
        <v>32</v>
      </c>
      <c r="L1238" s="35">
        <v>27.98</v>
      </c>
      <c r="M1238" s="6" t="s">
        <v>29</v>
      </c>
      <c r="N1238" s="6">
        <v>3105</v>
      </c>
      <c r="P1238" s="18"/>
      <c r="Q1238" s="17"/>
      <c r="R1238" s="19">
        <v>0</v>
      </c>
      <c r="S1238" s="19">
        <v>0</v>
      </c>
      <c r="T1238" s="38">
        <v>0</v>
      </c>
      <c r="U1238" s="38"/>
      <c r="V1238" s="31">
        <v>27.98</v>
      </c>
      <c r="W1238" s="35">
        <v>27.98</v>
      </c>
      <c r="X1238" s="32">
        <f t="shared" si="209"/>
        <v>0</v>
      </c>
      <c r="Y1238" s="32">
        <f t="shared" si="210"/>
        <v>0</v>
      </c>
      <c r="Z1238" s="32">
        <f t="shared" si="211"/>
        <v>0</v>
      </c>
      <c r="AA1238" s="38" t="s">
        <v>2573</v>
      </c>
      <c r="AB1238" s="37" t="str">
        <f>IFERROR(VLOOKUP(A1238,'Tash Lookup'!A:E,3,FALSE),"")</f>
        <v/>
      </c>
      <c r="AC1238" s="6" t="str">
        <f t="shared" si="212"/>
        <v/>
      </c>
      <c r="AD1238" s="2" t="s">
        <v>6703</v>
      </c>
      <c r="AF1238" s="56">
        <v>29.57</v>
      </c>
      <c r="AG1238" s="56">
        <f>VLOOKUP(A1238,Sheet1!$A$2:$C$1140,3,FALSE)</f>
        <v>30.17</v>
      </c>
      <c r="AH1238" s="58">
        <v>30.17</v>
      </c>
      <c r="AI1238" s="56" t="str">
        <f t="shared" si="213"/>
        <v>Increase</v>
      </c>
      <c r="AJ1238" s="81">
        <f t="shared" si="217"/>
        <v>0</v>
      </c>
      <c r="AK1238" s="81">
        <f t="shared" si="218"/>
        <v>0</v>
      </c>
      <c r="AL1238" s="58" t="s">
        <v>7206</v>
      </c>
      <c r="AM1238" s="58" t="s">
        <v>6703</v>
      </c>
      <c r="AN1238" s="75">
        <v>2</v>
      </c>
      <c r="AO1238" s="88">
        <v>30.17</v>
      </c>
      <c r="AP1238" s="6" t="str">
        <f t="shared" si="214"/>
        <v>Increase</v>
      </c>
      <c r="AQ1238" s="81">
        <f t="shared" si="215"/>
        <v>59.14</v>
      </c>
      <c r="AR1238" s="81">
        <f t="shared" si="216"/>
        <v>60.34</v>
      </c>
      <c r="AS1238" s="81">
        <f t="shared" si="219"/>
        <v>1.2000000000000028</v>
      </c>
    </row>
    <row r="1239" spans="1:45" hidden="1" x14ac:dyDescent="0.3">
      <c r="A1239">
        <v>6392574</v>
      </c>
      <c r="B1239" s="15" t="s">
        <v>6575</v>
      </c>
      <c r="C1239" s="16" t="s">
        <v>30</v>
      </c>
      <c r="D1239" s="6" t="s">
        <v>31</v>
      </c>
      <c r="E1239" t="s">
        <v>1059</v>
      </c>
      <c r="F1239" t="s">
        <v>1059</v>
      </c>
      <c r="H1239" s="11" t="s">
        <v>27</v>
      </c>
      <c r="I1239" s="6" t="s">
        <v>28</v>
      </c>
      <c r="J1239" s="6" t="s">
        <v>28</v>
      </c>
      <c r="K1239" t="s">
        <v>32</v>
      </c>
      <c r="L1239" s="35">
        <v>30.42</v>
      </c>
      <c r="M1239" s="6" t="s">
        <v>29</v>
      </c>
      <c r="N1239" s="6">
        <v>3105</v>
      </c>
      <c r="P1239" s="18"/>
      <c r="Q1239" s="17"/>
      <c r="R1239" s="19">
        <v>0</v>
      </c>
      <c r="S1239" s="19">
        <v>0</v>
      </c>
      <c r="T1239" s="38">
        <v>0</v>
      </c>
      <c r="U1239" s="38"/>
      <c r="V1239" s="31">
        <v>30.42</v>
      </c>
      <c r="W1239" s="35">
        <v>30.42</v>
      </c>
      <c r="X1239" s="32">
        <f t="shared" si="209"/>
        <v>0</v>
      </c>
      <c r="Y1239" s="32">
        <f t="shared" si="210"/>
        <v>0</v>
      </c>
      <c r="Z1239" s="32">
        <f t="shared" si="211"/>
        <v>0</v>
      </c>
      <c r="AA1239" s="38" t="s">
        <v>2573</v>
      </c>
      <c r="AB1239" s="37" t="str">
        <f>IFERROR(VLOOKUP(A1239,'Tash Lookup'!A:E,3,FALSE),"")</f>
        <v/>
      </c>
      <c r="AC1239" s="6" t="str">
        <f t="shared" si="212"/>
        <v/>
      </c>
      <c r="AD1239" s="2" t="s">
        <v>6703</v>
      </c>
      <c r="AF1239" s="56">
        <v>32.01</v>
      </c>
      <c r="AG1239" s="56">
        <f>VLOOKUP(A1239,Sheet1!$A$2:$C$1140,3,FALSE)</f>
        <v>32.65</v>
      </c>
      <c r="AH1239" s="58">
        <v>32.65</v>
      </c>
      <c r="AI1239" s="56" t="str">
        <f t="shared" si="213"/>
        <v>Increase</v>
      </c>
      <c r="AJ1239" s="81">
        <f t="shared" si="217"/>
        <v>0</v>
      </c>
      <c r="AK1239" s="81">
        <f t="shared" si="218"/>
        <v>0</v>
      </c>
      <c r="AL1239" s="58" t="s">
        <v>7206</v>
      </c>
      <c r="AM1239" s="58" t="s">
        <v>6703</v>
      </c>
      <c r="AN1239" s="75">
        <v>0</v>
      </c>
      <c r="AO1239" s="88">
        <v>32.65</v>
      </c>
      <c r="AP1239" s="6" t="str">
        <f t="shared" si="214"/>
        <v>Increase</v>
      </c>
      <c r="AQ1239" s="81">
        <f t="shared" si="215"/>
        <v>0</v>
      </c>
      <c r="AR1239" s="81">
        <f t="shared" si="216"/>
        <v>0</v>
      </c>
      <c r="AS1239" s="81">
        <f t="shared" si="219"/>
        <v>0</v>
      </c>
    </row>
    <row r="1240" spans="1:45" hidden="1" x14ac:dyDescent="0.3">
      <c r="A1240">
        <v>6350790</v>
      </c>
      <c r="B1240" s="15" t="s">
        <v>6576</v>
      </c>
      <c r="C1240" s="16" t="s">
        <v>30</v>
      </c>
      <c r="D1240" s="6" t="s">
        <v>31</v>
      </c>
      <c r="E1240" t="s">
        <v>1060</v>
      </c>
      <c r="F1240" t="s">
        <v>1060</v>
      </c>
      <c r="H1240" s="11" t="s">
        <v>27</v>
      </c>
      <c r="I1240" s="6" t="s">
        <v>28</v>
      </c>
      <c r="J1240" s="6" t="s">
        <v>28</v>
      </c>
      <c r="K1240" t="s">
        <v>32</v>
      </c>
      <c r="L1240" s="35">
        <v>57.17</v>
      </c>
      <c r="M1240" s="6" t="s">
        <v>29</v>
      </c>
      <c r="N1240" s="6">
        <v>3105</v>
      </c>
      <c r="P1240" s="18"/>
      <c r="Q1240" s="17"/>
      <c r="R1240" s="19">
        <v>57.17</v>
      </c>
      <c r="S1240" s="19">
        <v>57.17</v>
      </c>
      <c r="T1240" s="38">
        <v>0</v>
      </c>
      <c r="U1240" s="38"/>
      <c r="V1240" s="30">
        <v>57.17</v>
      </c>
      <c r="W1240" s="35">
        <v>57.17</v>
      </c>
      <c r="X1240" s="32">
        <f t="shared" si="209"/>
        <v>0</v>
      </c>
      <c r="Y1240" s="32">
        <f t="shared" si="210"/>
        <v>0</v>
      </c>
      <c r="Z1240" s="32">
        <f t="shared" si="211"/>
        <v>0</v>
      </c>
      <c r="AA1240" s="38" t="s">
        <v>2573</v>
      </c>
      <c r="AB1240" s="37" t="str">
        <f>IFERROR(VLOOKUP(A1240,'Tash Lookup'!A:E,3,FALSE),"")</f>
        <v/>
      </c>
      <c r="AC1240" s="6" t="str">
        <f t="shared" si="212"/>
        <v/>
      </c>
      <c r="AD1240" s="2" t="s">
        <v>6703</v>
      </c>
      <c r="AF1240" s="56">
        <v>58.88</v>
      </c>
      <c r="AG1240" s="56">
        <f>VLOOKUP(A1240,Sheet1!$A$2:$C$1140,3,FALSE)</f>
        <v>60.06</v>
      </c>
      <c r="AH1240" s="58">
        <v>60.06</v>
      </c>
      <c r="AI1240" s="56" t="str">
        <f t="shared" si="213"/>
        <v>Increase</v>
      </c>
      <c r="AJ1240" s="81">
        <f t="shared" si="217"/>
        <v>0</v>
      </c>
      <c r="AK1240" s="81">
        <f t="shared" si="218"/>
        <v>0</v>
      </c>
      <c r="AL1240" s="58" t="s">
        <v>7206</v>
      </c>
      <c r="AM1240" s="58" t="s">
        <v>6703</v>
      </c>
      <c r="AN1240" s="75">
        <v>0</v>
      </c>
      <c r="AO1240" s="88">
        <v>60.06</v>
      </c>
      <c r="AP1240" s="6" t="str">
        <f t="shared" si="214"/>
        <v>Increase</v>
      </c>
      <c r="AQ1240" s="81">
        <f t="shared" si="215"/>
        <v>0</v>
      </c>
      <c r="AR1240" s="81">
        <f t="shared" si="216"/>
        <v>0</v>
      </c>
      <c r="AS1240" s="81">
        <f t="shared" si="219"/>
        <v>0</v>
      </c>
    </row>
    <row r="1241" spans="1:45" hidden="1" x14ac:dyDescent="0.3">
      <c r="A1241">
        <v>6054175</v>
      </c>
      <c r="B1241" s="15" t="s">
        <v>6577</v>
      </c>
      <c r="C1241" s="16" t="s">
        <v>30</v>
      </c>
      <c r="D1241" s="6" t="s">
        <v>31</v>
      </c>
      <c r="E1241" t="s">
        <v>1061</v>
      </c>
      <c r="F1241" t="s">
        <v>1061</v>
      </c>
      <c r="H1241" s="11" t="s">
        <v>27</v>
      </c>
      <c r="I1241" s="6" t="s">
        <v>28</v>
      </c>
      <c r="J1241" s="6" t="s">
        <v>28</v>
      </c>
      <c r="K1241" t="s">
        <v>32</v>
      </c>
      <c r="L1241" s="35">
        <v>34.270000000000003</v>
      </c>
      <c r="M1241" s="6" t="s">
        <v>29</v>
      </c>
      <c r="N1241" s="6">
        <v>3105</v>
      </c>
      <c r="P1241" s="18"/>
      <c r="Q1241" s="17"/>
      <c r="R1241" s="19">
        <v>34.270000000000003</v>
      </c>
      <c r="S1241" s="19">
        <v>34.270000000000003</v>
      </c>
      <c r="T1241" s="38">
        <v>0</v>
      </c>
      <c r="U1241" s="38"/>
      <c r="V1241" s="30">
        <v>34.270000000000003</v>
      </c>
      <c r="W1241" s="35">
        <v>34.270000000000003</v>
      </c>
      <c r="X1241" s="32">
        <f t="shared" si="209"/>
        <v>0</v>
      </c>
      <c r="Y1241" s="32">
        <f t="shared" si="210"/>
        <v>0</v>
      </c>
      <c r="Z1241" s="32">
        <f t="shared" si="211"/>
        <v>0</v>
      </c>
      <c r="AA1241" s="38" t="s">
        <v>2573</v>
      </c>
      <c r="AB1241" s="37" t="str">
        <f>IFERROR(VLOOKUP(A1241,'Tash Lookup'!A:E,3,FALSE),"")</f>
        <v/>
      </c>
      <c r="AC1241" s="6" t="str">
        <f t="shared" si="212"/>
        <v/>
      </c>
      <c r="AD1241" s="2" t="s">
        <v>6704</v>
      </c>
      <c r="AF1241" s="56">
        <v>34.270000000000003</v>
      </c>
      <c r="AG1241" s="56" t="e">
        <f>VLOOKUP(A1241,Sheet1!$A$2:$C$1140,3,FALSE)</f>
        <v>#N/A</v>
      </c>
      <c r="AH1241" s="58" t="e">
        <v>#N/A</v>
      </c>
      <c r="AI1241" s="56" t="str">
        <f t="shared" si="213"/>
        <v>Delete</v>
      </c>
      <c r="AJ1241" s="81">
        <f t="shared" si="217"/>
        <v>0</v>
      </c>
      <c r="AK1241" s="81">
        <f t="shared" si="218"/>
        <v>0</v>
      </c>
      <c r="AL1241" s="58" t="s">
        <v>7206</v>
      </c>
      <c r="AM1241" s="58" t="s">
        <v>6708</v>
      </c>
      <c r="AN1241" s="75">
        <v>0</v>
      </c>
      <c r="AO1241" s="88">
        <v>34.270000000000003</v>
      </c>
      <c r="AP1241" s="6" t="str">
        <f t="shared" si="214"/>
        <v>Same</v>
      </c>
      <c r="AQ1241" s="81">
        <f t="shared" si="215"/>
        <v>0</v>
      </c>
      <c r="AR1241" s="81">
        <f t="shared" si="216"/>
        <v>0</v>
      </c>
      <c r="AS1241" s="81">
        <f t="shared" si="219"/>
        <v>0</v>
      </c>
    </row>
    <row r="1242" spans="1:45" hidden="1" x14ac:dyDescent="0.3">
      <c r="A1242">
        <v>6398215</v>
      </c>
      <c r="B1242" s="15" t="s">
        <v>6578</v>
      </c>
      <c r="C1242" s="16" t="s">
        <v>30</v>
      </c>
      <c r="D1242" s="6" t="s">
        <v>31</v>
      </c>
      <c r="E1242" t="s">
        <v>1064</v>
      </c>
      <c r="F1242" t="s">
        <v>1064</v>
      </c>
      <c r="H1242" s="11" t="s">
        <v>27</v>
      </c>
      <c r="I1242" s="6" t="s">
        <v>28</v>
      </c>
      <c r="J1242" s="6" t="s">
        <v>28</v>
      </c>
      <c r="K1242" t="s">
        <v>32</v>
      </c>
      <c r="L1242" s="35">
        <v>4.74</v>
      </c>
      <c r="M1242" s="6" t="s">
        <v>29</v>
      </c>
      <c r="N1242" s="6">
        <v>3105</v>
      </c>
      <c r="P1242" s="18"/>
      <c r="Q1242" s="17"/>
      <c r="R1242" s="19">
        <v>4.74</v>
      </c>
      <c r="S1242" s="19">
        <v>4.74</v>
      </c>
      <c r="T1242" s="38">
        <v>0</v>
      </c>
      <c r="U1242" s="38"/>
      <c r="V1242" s="31">
        <v>4.74</v>
      </c>
      <c r="W1242" s="35">
        <v>4.74</v>
      </c>
      <c r="X1242" s="32">
        <f t="shared" si="209"/>
        <v>0</v>
      </c>
      <c r="Y1242" s="32">
        <f t="shared" si="210"/>
        <v>0</v>
      </c>
      <c r="Z1242" s="32">
        <f t="shared" si="211"/>
        <v>0</v>
      </c>
      <c r="AA1242" s="38" t="s">
        <v>2573</v>
      </c>
      <c r="AB1242" s="37" t="str">
        <f>IFERROR(VLOOKUP(A1242,'Tash Lookup'!A:E,3,FALSE),"")</f>
        <v/>
      </c>
      <c r="AC1242" s="6" t="str">
        <f t="shared" si="212"/>
        <v/>
      </c>
      <c r="AD1242" s="2" t="s">
        <v>6704</v>
      </c>
      <c r="AF1242" s="56">
        <v>4.74</v>
      </c>
      <c r="AG1242" s="56" t="e">
        <f>VLOOKUP(A1242,Sheet1!$A$2:$C$1140,3,FALSE)</f>
        <v>#N/A</v>
      </c>
      <c r="AH1242" s="58" t="e">
        <v>#N/A</v>
      </c>
      <c r="AI1242" s="56" t="str">
        <f t="shared" si="213"/>
        <v>Delete</v>
      </c>
      <c r="AJ1242" s="81">
        <f t="shared" si="217"/>
        <v>0</v>
      </c>
      <c r="AK1242" s="81">
        <f t="shared" si="218"/>
        <v>0</v>
      </c>
      <c r="AL1242" s="58" t="s">
        <v>7206</v>
      </c>
      <c r="AM1242" s="58" t="s">
        <v>6708</v>
      </c>
      <c r="AN1242" s="75">
        <v>0</v>
      </c>
      <c r="AO1242" s="88">
        <v>4.74</v>
      </c>
      <c r="AP1242" s="6" t="str">
        <f t="shared" si="214"/>
        <v>Same</v>
      </c>
      <c r="AQ1242" s="81">
        <f t="shared" si="215"/>
        <v>0</v>
      </c>
      <c r="AR1242" s="81">
        <f t="shared" si="216"/>
        <v>0</v>
      </c>
      <c r="AS1242" s="81">
        <f t="shared" si="219"/>
        <v>0</v>
      </c>
    </row>
    <row r="1243" spans="1:45" hidden="1" x14ac:dyDescent="0.3">
      <c r="A1243">
        <v>6107902</v>
      </c>
      <c r="B1243" s="15" t="s">
        <v>6579</v>
      </c>
      <c r="C1243" s="16" t="s">
        <v>30</v>
      </c>
      <c r="D1243" s="6" t="s">
        <v>31</v>
      </c>
      <c r="E1243" t="s">
        <v>1069</v>
      </c>
      <c r="F1243" t="s">
        <v>1069</v>
      </c>
      <c r="H1243" s="11" t="s">
        <v>27</v>
      </c>
      <c r="I1243" s="6" t="s">
        <v>28</v>
      </c>
      <c r="J1243" s="6" t="s">
        <v>28</v>
      </c>
      <c r="K1243" t="s">
        <v>32</v>
      </c>
      <c r="L1243" s="35">
        <v>4.45</v>
      </c>
      <c r="M1243" s="6" t="s">
        <v>29</v>
      </c>
      <c r="N1243" s="6">
        <v>3105</v>
      </c>
      <c r="P1243" s="18"/>
      <c r="Q1243" s="17"/>
      <c r="R1243" s="19">
        <v>0</v>
      </c>
      <c r="S1243" s="19">
        <v>0</v>
      </c>
      <c r="T1243" s="38">
        <v>0</v>
      </c>
      <c r="U1243" s="38"/>
      <c r="V1243" s="31">
        <v>4.45</v>
      </c>
      <c r="W1243" s="35">
        <v>4.45</v>
      </c>
      <c r="X1243" s="32">
        <f t="shared" si="209"/>
        <v>0</v>
      </c>
      <c r="Y1243" s="32">
        <f t="shared" si="210"/>
        <v>0</v>
      </c>
      <c r="Z1243" s="32">
        <f t="shared" si="211"/>
        <v>0</v>
      </c>
      <c r="AA1243" s="38" t="s">
        <v>2573</v>
      </c>
      <c r="AB1243" s="37" t="str">
        <f>IFERROR(VLOOKUP(A1243,'Tash Lookup'!A:E,3,FALSE),"")</f>
        <v/>
      </c>
      <c r="AC1243" s="6" t="str">
        <f t="shared" si="212"/>
        <v/>
      </c>
      <c r="AD1243" s="2" t="s">
        <v>6703</v>
      </c>
      <c r="AF1243" s="56">
        <v>4.58</v>
      </c>
      <c r="AG1243" s="56">
        <f>VLOOKUP(A1243,Sheet1!$A$2:$C$1140,3,FALSE)</f>
        <v>4.67</v>
      </c>
      <c r="AH1243" s="58">
        <v>4.67</v>
      </c>
      <c r="AI1243" s="56" t="str">
        <f t="shared" si="213"/>
        <v>Increase</v>
      </c>
      <c r="AJ1243" s="81">
        <f t="shared" si="217"/>
        <v>0</v>
      </c>
      <c r="AK1243" s="81">
        <f t="shared" si="218"/>
        <v>0</v>
      </c>
      <c r="AL1243" s="58" t="s">
        <v>7206</v>
      </c>
      <c r="AM1243" s="58" t="s">
        <v>6703</v>
      </c>
      <c r="AN1243" s="75">
        <v>4</v>
      </c>
      <c r="AO1243" s="88">
        <v>4.67</v>
      </c>
      <c r="AP1243" s="6" t="str">
        <f t="shared" si="214"/>
        <v>Increase</v>
      </c>
      <c r="AQ1243" s="81">
        <f t="shared" si="215"/>
        <v>18.32</v>
      </c>
      <c r="AR1243" s="81">
        <f t="shared" si="216"/>
        <v>18.68</v>
      </c>
      <c r="AS1243" s="81">
        <f t="shared" si="219"/>
        <v>0.35999999999999943</v>
      </c>
    </row>
    <row r="1244" spans="1:45" hidden="1" x14ac:dyDescent="0.3">
      <c r="A1244">
        <v>6430171</v>
      </c>
      <c r="B1244" s="15" t="s">
        <v>6580</v>
      </c>
      <c r="C1244" s="16" t="s">
        <v>30</v>
      </c>
      <c r="D1244" s="6" t="s">
        <v>31</v>
      </c>
      <c r="E1244" t="s">
        <v>1075</v>
      </c>
      <c r="F1244" t="s">
        <v>1075</v>
      </c>
      <c r="H1244" s="11" t="s">
        <v>27</v>
      </c>
      <c r="I1244" s="6" t="s">
        <v>28</v>
      </c>
      <c r="J1244" s="6" t="s">
        <v>28</v>
      </c>
      <c r="K1244" t="s">
        <v>32</v>
      </c>
      <c r="L1244" s="35">
        <v>6.99</v>
      </c>
      <c r="M1244" s="6" t="s">
        <v>29</v>
      </c>
      <c r="N1244" s="6">
        <v>3105</v>
      </c>
      <c r="P1244" s="18"/>
      <c r="Q1244" s="17"/>
      <c r="R1244" s="19">
        <v>6.99</v>
      </c>
      <c r="S1244" s="19">
        <v>0</v>
      </c>
      <c r="T1244" s="38">
        <v>0</v>
      </c>
      <c r="U1244" s="38"/>
      <c r="V1244" s="30">
        <v>6.99</v>
      </c>
      <c r="W1244" s="35">
        <v>6.99</v>
      </c>
      <c r="X1244" s="32">
        <f t="shared" si="209"/>
        <v>0</v>
      </c>
      <c r="Y1244" s="32">
        <f t="shared" si="210"/>
        <v>0</v>
      </c>
      <c r="Z1244" s="32">
        <f t="shared" si="211"/>
        <v>0</v>
      </c>
      <c r="AA1244" s="38" t="s">
        <v>2573</v>
      </c>
      <c r="AB1244" s="37" t="str">
        <f>IFERROR(VLOOKUP(A1244,'Tash Lookup'!A:E,3,FALSE),"")</f>
        <v/>
      </c>
      <c r="AC1244" s="6" t="str">
        <f t="shared" si="212"/>
        <v/>
      </c>
      <c r="AD1244" s="2" t="s">
        <v>6703</v>
      </c>
      <c r="AF1244" s="56">
        <v>6.99</v>
      </c>
      <c r="AG1244" s="56">
        <f>VLOOKUP(A1244,Sheet1!$A$2:$C$1140,3,FALSE)</f>
        <v>7.13</v>
      </c>
      <c r="AH1244" s="58">
        <v>7.13</v>
      </c>
      <c r="AI1244" s="56" t="str">
        <f t="shared" si="213"/>
        <v>Increase</v>
      </c>
      <c r="AJ1244" s="81">
        <f t="shared" si="217"/>
        <v>0</v>
      </c>
      <c r="AK1244" s="81">
        <f t="shared" si="218"/>
        <v>0</v>
      </c>
      <c r="AL1244" s="58" t="s">
        <v>7206</v>
      </c>
      <c r="AM1244" s="58" t="s">
        <v>6703</v>
      </c>
      <c r="AN1244" s="75">
        <v>0</v>
      </c>
      <c r="AO1244" s="88">
        <v>7.13</v>
      </c>
      <c r="AP1244" s="6" t="str">
        <f t="shared" si="214"/>
        <v>Increase</v>
      </c>
      <c r="AQ1244" s="81">
        <f t="shared" si="215"/>
        <v>0</v>
      </c>
      <c r="AR1244" s="81">
        <f t="shared" si="216"/>
        <v>0</v>
      </c>
      <c r="AS1244" s="81">
        <f t="shared" si="219"/>
        <v>0</v>
      </c>
    </row>
    <row r="1245" spans="1:45" hidden="1" x14ac:dyDescent="0.3">
      <c r="A1245">
        <v>6396955</v>
      </c>
      <c r="B1245" s="15" t="s">
        <v>6581</v>
      </c>
      <c r="C1245" s="16" t="s">
        <v>30</v>
      </c>
      <c r="D1245" s="6" t="s">
        <v>31</v>
      </c>
      <c r="E1245" t="s">
        <v>1077</v>
      </c>
      <c r="F1245" t="s">
        <v>1077</v>
      </c>
      <c r="H1245" s="11" t="s">
        <v>27</v>
      </c>
      <c r="I1245" s="6" t="s">
        <v>28</v>
      </c>
      <c r="J1245" s="6" t="s">
        <v>28</v>
      </c>
      <c r="K1245" t="s">
        <v>32</v>
      </c>
      <c r="L1245" s="35">
        <v>48.87</v>
      </c>
      <c r="M1245" s="6" t="s">
        <v>29</v>
      </c>
      <c r="N1245" s="6">
        <v>3105</v>
      </c>
      <c r="P1245" s="18"/>
      <c r="Q1245" s="17"/>
      <c r="R1245" s="19">
        <v>48.87</v>
      </c>
      <c r="S1245" s="19">
        <v>48.87</v>
      </c>
      <c r="T1245" s="38">
        <v>0</v>
      </c>
      <c r="U1245" s="38"/>
      <c r="V1245" s="30">
        <v>48.87</v>
      </c>
      <c r="W1245" s="35">
        <v>48.87</v>
      </c>
      <c r="X1245" s="32">
        <f t="shared" si="209"/>
        <v>0</v>
      </c>
      <c r="Y1245" s="32">
        <f t="shared" si="210"/>
        <v>0</v>
      </c>
      <c r="Z1245" s="32">
        <f t="shared" si="211"/>
        <v>0</v>
      </c>
      <c r="AA1245" s="38" t="s">
        <v>2573</v>
      </c>
      <c r="AB1245" s="37" t="str">
        <f>IFERROR(VLOOKUP(A1245,'Tash Lookup'!A:E,3,FALSE),"")</f>
        <v/>
      </c>
      <c r="AC1245" s="6" t="str">
        <f t="shared" si="212"/>
        <v/>
      </c>
      <c r="AD1245" s="2" t="s">
        <v>6704</v>
      </c>
      <c r="AF1245" s="56">
        <v>48.87</v>
      </c>
      <c r="AG1245" s="56" t="e">
        <f>VLOOKUP(A1245,Sheet1!$A$2:$C$1140,3,FALSE)</f>
        <v>#N/A</v>
      </c>
      <c r="AH1245" s="58" t="e">
        <v>#N/A</v>
      </c>
      <c r="AI1245" s="56" t="str">
        <f t="shared" si="213"/>
        <v>Delete</v>
      </c>
      <c r="AJ1245" s="81">
        <f t="shared" si="217"/>
        <v>0</v>
      </c>
      <c r="AK1245" s="81">
        <f t="shared" si="218"/>
        <v>0</v>
      </c>
      <c r="AL1245" s="58" t="s">
        <v>7206</v>
      </c>
      <c r="AM1245" s="58" t="s">
        <v>6708</v>
      </c>
      <c r="AN1245" s="75">
        <v>0</v>
      </c>
      <c r="AO1245" s="88">
        <v>48.87</v>
      </c>
      <c r="AP1245" s="6" t="str">
        <f t="shared" si="214"/>
        <v>Same</v>
      </c>
      <c r="AQ1245" s="81">
        <f t="shared" si="215"/>
        <v>0</v>
      </c>
      <c r="AR1245" s="81">
        <f t="shared" si="216"/>
        <v>0</v>
      </c>
      <c r="AS1245" s="81">
        <f t="shared" si="219"/>
        <v>0</v>
      </c>
    </row>
    <row r="1246" spans="1:45" hidden="1" x14ac:dyDescent="0.3">
      <c r="A1246">
        <v>6396956</v>
      </c>
      <c r="B1246" s="15" t="s">
        <v>6582</v>
      </c>
      <c r="C1246" s="16" t="s">
        <v>30</v>
      </c>
      <c r="D1246" s="6" t="s">
        <v>31</v>
      </c>
      <c r="E1246" t="s">
        <v>1078</v>
      </c>
      <c r="F1246" t="s">
        <v>1078</v>
      </c>
      <c r="H1246" s="11" t="s">
        <v>27</v>
      </c>
      <c r="I1246" s="6" t="s">
        <v>28</v>
      </c>
      <c r="J1246" s="6" t="s">
        <v>28</v>
      </c>
      <c r="K1246" t="s">
        <v>32</v>
      </c>
      <c r="L1246" s="35">
        <v>48.87</v>
      </c>
      <c r="M1246" s="6" t="s">
        <v>29</v>
      </c>
      <c r="N1246" s="6">
        <v>3105</v>
      </c>
      <c r="P1246" s="18"/>
      <c r="Q1246" s="17"/>
      <c r="R1246" s="19">
        <v>48.87</v>
      </c>
      <c r="S1246" s="19">
        <v>48.87</v>
      </c>
      <c r="T1246" s="38">
        <v>0</v>
      </c>
      <c r="U1246" s="38"/>
      <c r="V1246" s="30">
        <v>48.87</v>
      </c>
      <c r="W1246" s="35">
        <v>48.87</v>
      </c>
      <c r="X1246" s="32">
        <f t="shared" si="209"/>
        <v>0</v>
      </c>
      <c r="Y1246" s="32">
        <f t="shared" si="210"/>
        <v>0</v>
      </c>
      <c r="Z1246" s="32">
        <f t="shared" si="211"/>
        <v>0</v>
      </c>
      <c r="AA1246" s="38" t="s">
        <v>2573</v>
      </c>
      <c r="AB1246" s="37" t="str">
        <f>IFERROR(VLOOKUP(A1246,'Tash Lookup'!A:E,3,FALSE),"")</f>
        <v/>
      </c>
      <c r="AC1246" s="6" t="str">
        <f t="shared" si="212"/>
        <v/>
      </c>
      <c r="AD1246" s="2" t="s">
        <v>6704</v>
      </c>
      <c r="AF1246" s="56">
        <v>48.87</v>
      </c>
      <c r="AG1246" s="56" t="e">
        <f>VLOOKUP(A1246,Sheet1!$A$2:$C$1140,3,FALSE)</f>
        <v>#N/A</v>
      </c>
      <c r="AH1246" s="58" t="e">
        <v>#N/A</v>
      </c>
      <c r="AI1246" s="56" t="str">
        <f t="shared" si="213"/>
        <v>Delete</v>
      </c>
      <c r="AJ1246" s="81">
        <f t="shared" si="217"/>
        <v>0</v>
      </c>
      <c r="AK1246" s="81">
        <f t="shared" si="218"/>
        <v>0</v>
      </c>
      <c r="AL1246" s="58" t="s">
        <v>7206</v>
      </c>
      <c r="AM1246" s="58" t="s">
        <v>6708</v>
      </c>
      <c r="AN1246" s="75">
        <v>0</v>
      </c>
      <c r="AO1246" s="88">
        <v>48.87</v>
      </c>
      <c r="AP1246" s="6" t="str">
        <f t="shared" si="214"/>
        <v>Same</v>
      </c>
      <c r="AQ1246" s="81">
        <f t="shared" si="215"/>
        <v>0</v>
      </c>
      <c r="AR1246" s="81">
        <f t="shared" si="216"/>
        <v>0</v>
      </c>
      <c r="AS1246" s="81">
        <f t="shared" si="219"/>
        <v>0</v>
      </c>
    </row>
    <row r="1247" spans="1:45" hidden="1" x14ac:dyDescent="0.3">
      <c r="A1247">
        <v>6396960</v>
      </c>
      <c r="B1247" s="15" t="s">
        <v>6583</v>
      </c>
      <c r="C1247" s="16" t="s">
        <v>30</v>
      </c>
      <c r="D1247" s="6" t="s">
        <v>31</v>
      </c>
      <c r="E1247" t="s">
        <v>1079</v>
      </c>
      <c r="F1247" t="s">
        <v>1079</v>
      </c>
      <c r="H1247" s="11" t="s">
        <v>27</v>
      </c>
      <c r="I1247" s="6" t="s">
        <v>28</v>
      </c>
      <c r="J1247" s="6" t="s">
        <v>28</v>
      </c>
      <c r="K1247" t="s">
        <v>32</v>
      </c>
      <c r="L1247" s="35">
        <v>48.87</v>
      </c>
      <c r="M1247" s="6" t="s">
        <v>29</v>
      </c>
      <c r="N1247" s="6">
        <v>3105</v>
      </c>
      <c r="P1247" s="18"/>
      <c r="Q1247" s="17"/>
      <c r="R1247" s="19">
        <v>48.87</v>
      </c>
      <c r="S1247" s="19">
        <v>48.87</v>
      </c>
      <c r="T1247" s="38">
        <v>0</v>
      </c>
      <c r="U1247" s="38"/>
      <c r="V1247" s="30">
        <v>48.87</v>
      </c>
      <c r="W1247" s="35">
        <v>48.87</v>
      </c>
      <c r="X1247" s="32">
        <f t="shared" si="209"/>
        <v>0</v>
      </c>
      <c r="Y1247" s="32">
        <f t="shared" si="210"/>
        <v>0</v>
      </c>
      <c r="Z1247" s="32">
        <f t="shared" si="211"/>
        <v>0</v>
      </c>
      <c r="AA1247" s="38" t="s">
        <v>2573</v>
      </c>
      <c r="AB1247" s="37" t="str">
        <f>IFERROR(VLOOKUP(A1247,'Tash Lookup'!A:E,3,FALSE),"")</f>
        <v/>
      </c>
      <c r="AC1247" s="6" t="str">
        <f t="shared" si="212"/>
        <v/>
      </c>
      <c r="AD1247" s="2" t="s">
        <v>6704</v>
      </c>
      <c r="AF1247" s="56">
        <v>48.87</v>
      </c>
      <c r="AG1247" s="56" t="e">
        <f>VLOOKUP(A1247,Sheet1!$A$2:$C$1140,3,FALSE)</f>
        <v>#N/A</v>
      </c>
      <c r="AH1247" s="58" t="e">
        <v>#N/A</v>
      </c>
      <c r="AI1247" s="56" t="str">
        <f t="shared" si="213"/>
        <v>Delete</v>
      </c>
      <c r="AJ1247" s="81">
        <f t="shared" si="217"/>
        <v>0</v>
      </c>
      <c r="AK1247" s="81">
        <f t="shared" si="218"/>
        <v>0</v>
      </c>
      <c r="AL1247" s="58" t="s">
        <v>7206</v>
      </c>
      <c r="AM1247" s="58" t="s">
        <v>6708</v>
      </c>
      <c r="AN1247" s="75">
        <v>0</v>
      </c>
      <c r="AO1247" s="88">
        <v>48.87</v>
      </c>
      <c r="AP1247" s="6" t="str">
        <f t="shared" si="214"/>
        <v>Same</v>
      </c>
      <c r="AQ1247" s="81">
        <f t="shared" si="215"/>
        <v>0</v>
      </c>
      <c r="AR1247" s="81">
        <f t="shared" si="216"/>
        <v>0</v>
      </c>
      <c r="AS1247" s="81">
        <f t="shared" si="219"/>
        <v>0</v>
      </c>
    </row>
    <row r="1248" spans="1:45" hidden="1" x14ac:dyDescent="0.3">
      <c r="A1248">
        <v>6396904</v>
      </c>
      <c r="B1248" s="15" t="s">
        <v>6584</v>
      </c>
      <c r="C1248" s="16" t="s">
        <v>30</v>
      </c>
      <c r="D1248" s="6" t="s">
        <v>31</v>
      </c>
      <c r="E1248" t="s">
        <v>1080</v>
      </c>
      <c r="F1248" t="s">
        <v>1080</v>
      </c>
      <c r="H1248" s="11" t="s">
        <v>27</v>
      </c>
      <c r="I1248" s="6" t="s">
        <v>28</v>
      </c>
      <c r="J1248" s="6" t="s">
        <v>28</v>
      </c>
      <c r="K1248" t="s">
        <v>32</v>
      </c>
      <c r="L1248" s="35">
        <v>48.87</v>
      </c>
      <c r="M1248" s="6" t="s">
        <v>29</v>
      </c>
      <c r="N1248" s="6">
        <v>3105</v>
      </c>
      <c r="P1248" s="18"/>
      <c r="Q1248" s="17"/>
      <c r="R1248" s="19">
        <v>48.87</v>
      </c>
      <c r="S1248" s="19">
        <v>48.87</v>
      </c>
      <c r="T1248" s="38">
        <v>0</v>
      </c>
      <c r="U1248" s="38"/>
      <c r="V1248" s="30">
        <v>48.87</v>
      </c>
      <c r="W1248" s="35">
        <v>48.87</v>
      </c>
      <c r="X1248" s="32">
        <f t="shared" si="209"/>
        <v>0</v>
      </c>
      <c r="Y1248" s="32">
        <f t="shared" si="210"/>
        <v>0</v>
      </c>
      <c r="Z1248" s="32">
        <f t="shared" si="211"/>
        <v>0</v>
      </c>
      <c r="AA1248" s="38" t="s">
        <v>2573</v>
      </c>
      <c r="AB1248" s="37" t="str">
        <f>IFERROR(VLOOKUP(A1248,'Tash Lookup'!A:E,3,FALSE),"")</f>
        <v/>
      </c>
      <c r="AC1248" s="6" t="str">
        <f t="shared" si="212"/>
        <v/>
      </c>
      <c r="AD1248" s="2" t="s">
        <v>6704</v>
      </c>
      <c r="AF1248" s="56">
        <v>48.87</v>
      </c>
      <c r="AG1248" s="56" t="e">
        <f>VLOOKUP(A1248,Sheet1!$A$2:$C$1140,3,FALSE)</f>
        <v>#N/A</v>
      </c>
      <c r="AH1248" s="58" t="e">
        <v>#N/A</v>
      </c>
      <c r="AI1248" s="56" t="str">
        <f t="shared" si="213"/>
        <v>Delete</v>
      </c>
      <c r="AJ1248" s="81">
        <f t="shared" si="217"/>
        <v>0</v>
      </c>
      <c r="AK1248" s="81">
        <f t="shared" si="218"/>
        <v>0</v>
      </c>
      <c r="AL1248" s="58" t="s">
        <v>7206</v>
      </c>
      <c r="AM1248" s="58" t="s">
        <v>6708</v>
      </c>
      <c r="AN1248" s="75">
        <v>0</v>
      </c>
      <c r="AO1248" s="88">
        <v>48.87</v>
      </c>
      <c r="AP1248" s="6" t="str">
        <f t="shared" si="214"/>
        <v>Same</v>
      </c>
      <c r="AQ1248" s="81">
        <f t="shared" si="215"/>
        <v>0</v>
      </c>
      <c r="AR1248" s="81">
        <f t="shared" si="216"/>
        <v>0</v>
      </c>
      <c r="AS1248" s="81">
        <f t="shared" si="219"/>
        <v>0</v>
      </c>
    </row>
    <row r="1249" spans="1:45" hidden="1" x14ac:dyDescent="0.3">
      <c r="A1249">
        <v>6396941</v>
      </c>
      <c r="B1249" s="15" t="s">
        <v>6585</v>
      </c>
      <c r="C1249" s="16" t="s">
        <v>30</v>
      </c>
      <c r="D1249" s="6" t="s">
        <v>31</v>
      </c>
      <c r="E1249" t="s">
        <v>1082</v>
      </c>
      <c r="F1249" t="s">
        <v>1082</v>
      </c>
      <c r="H1249" s="11" t="s">
        <v>27</v>
      </c>
      <c r="I1249" s="6" t="s">
        <v>28</v>
      </c>
      <c r="J1249" s="6" t="s">
        <v>28</v>
      </c>
      <c r="K1249" t="s">
        <v>32</v>
      </c>
      <c r="L1249" s="35">
        <v>58.44</v>
      </c>
      <c r="M1249" s="6" t="s">
        <v>29</v>
      </c>
      <c r="N1249" s="6">
        <v>3105</v>
      </c>
      <c r="P1249" s="18"/>
      <c r="Q1249" s="17"/>
      <c r="R1249" s="19">
        <v>58.44</v>
      </c>
      <c r="S1249" s="19">
        <v>58.44</v>
      </c>
      <c r="T1249" s="38">
        <v>0</v>
      </c>
      <c r="U1249" s="38"/>
      <c r="V1249" s="30">
        <v>58.44</v>
      </c>
      <c r="W1249" s="35">
        <v>58.44</v>
      </c>
      <c r="X1249" s="32">
        <f t="shared" si="209"/>
        <v>0</v>
      </c>
      <c r="Y1249" s="32">
        <f t="shared" si="210"/>
        <v>0</v>
      </c>
      <c r="Z1249" s="32">
        <f t="shared" si="211"/>
        <v>0</v>
      </c>
      <c r="AA1249" s="38" t="s">
        <v>2573</v>
      </c>
      <c r="AB1249" s="37" t="str">
        <f>IFERROR(VLOOKUP(A1249,'Tash Lookup'!A:E,3,FALSE),"")</f>
        <v/>
      </c>
      <c r="AC1249" s="6" t="str">
        <f t="shared" si="212"/>
        <v/>
      </c>
      <c r="AD1249" s="2" t="s">
        <v>6703</v>
      </c>
      <c r="AF1249" s="56">
        <v>60.19</v>
      </c>
      <c r="AG1249" s="56">
        <f>VLOOKUP(A1249,Sheet1!$A$2:$C$1140,3,FALSE)</f>
        <v>61.4</v>
      </c>
      <c r="AH1249" s="58">
        <v>61.4</v>
      </c>
      <c r="AI1249" s="56" t="str">
        <f t="shared" si="213"/>
        <v>Increase</v>
      </c>
      <c r="AJ1249" s="81">
        <f t="shared" si="217"/>
        <v>0</v>
      </c>
      <c r="AK1249" s="81">
        <f t="shared" si="218"/>
        <v>0</v>
      </c>
      <c r="AL1249" s="58" t="s">
        <v>7206</v>
      </c>
      <c r="AM1249" s="58" t="s">
        <v>6703</v>
      </c>
      <c r="AN1249" s="75">
        <v>25</v>
      </c>
      <c r="AO1249" s="88">
        <v>61.4</v>
      </c>
      <c r="AP1249" s="6" t="str">
        <f t="shared" si="214"/>
        <v>Increase</v>
      </c>
      <c r="AQ1249" s="81">
        <f t="shared" si="215"/>
        <v>1504.75</v>
      </c>
      <c r="AR1249" s="81">
        <f t="shared" si="216"/>
        <v>1535</v>
      </c>
      <c r="AS1249" s="81">
        <f t="shared" si="219"/>
        <v>30.25</v>
      </c>
    </row>
    <row r="1250" spans="1:45" hidden="1" x14ac:dyDescent="0.3">
      <c r="A1250">
        <v>6396946</v>
      </c>
      <c r="B1250" s="15" t="s">
        <v>6586</v>
      </c>
      <c r="C1250" s="16" t="s">
        <v>30</v>
      </c>
      <c r="D1250" s="6" t="s">
        <v>31</v>
      </c>
      <c r="E1250" t="s">
        <v>1086</v>
      </c>
      <c r="F1250" t="s">
        <v>1086</v>
      </c>
      <c r="H1250" s="11" t="s">
        <v>27</v>
      </c>
      <c r="I1250" s="6" t="s">
        <v>28</v>
      </c>
      <c r="J1250" s="6" t="s">
        <v>28</v>
      </c>
      <c r="K1250" t="s">
        <v>32</v>
      </c>
      <c r="L1250" s="35">
        <v>65.69</v>
      </c>
      <c r="M1250" s="6" t="s">
        <v>29</v>
      </c>
      <c r="N1250" s="6">
        <v>3105</v>
      </c>
      <c r="P1250" s="18"/>
      <c r="Q1250" s="17"/>
      <c r="R1250" s="19">
        <v>65.69</v>
      </c>
      <c r="S1250" s="19">
        <v>65.69</v>
      </c>
      <c r="T1250" s="38">
        <v>0</v>
      </c>
      <c r="U1250" s="38"/>
      <c r="V1250" s="30">
        <v>65.69</v>
      </c>
      <c r="W1250" s="35">
        <v>65.69</v>
      </c>
      <c r="X1250" s="32">
        <f t="shared" si="209"/>
        <v>0</v>
      </c>
      <c r="Y1250" s="32">
        <f t="shared" si="210"/>
        <v>0</v>
      </c>
      <c r="Z1250" s="32">
        <f t="shared" si="211"/>
        <v>0</v>
      </c>
      <c r="AA1250" s="38" t="s">
        <v>2573</v>
      </c>
      <c r="AB1250" s="37" t="str">
        <f>IFERROR(VLOOKUP(A1250,'Tash Lookup'!A:E,3,FALSE),"")</f>
        <v/>
      </c>
      <c r="AC1250" s="6" t="str">
        <f t="shared" si="212"/>
        <v/>
      </c>
      <c r="AD1250" s="2" t="s">
        <v>6703</v>
      </c>
      <c r="AF1250" s="56">
        <v>67.66</v>
      </c>
      <c r="AG1250" s="56">
        <f>VLOOKUP(A1250,Sheet1!$A$2:$C$1140,3,FALSE)</f>
        <v>69.010000000000005</v>
      </c>
      <c r="AH1250" s="58">
        <v>69.010000000000005</v>
      </c>
      <c r="AI1250" s="56" t="str">
        <f t="shared" si="213"/>
        <v>Increase</v>
      </c>
      <c r="AJ1250" s="81">
        <f t="shared" si="217"/>
        <v>0</v>
      </c>
      <c r="AK1250" s="81">
        <f t="shared" si="218"/>
        <v>0</v>
      </c>
      <c r="AL1250" s="58" t="s">
        <v>7206</v>
      </c>
      <c r="AM1250" s="58" t="s">
        <v>6703</v>
      </c>
      <c r="AN1250" s="75">
        <v>1</v>
      </c>
      <c r="AO1250" s="88">
        <v>69.010000000000005</v>
      </c>
      <c r="AP1250" s="6" t="str">
        <f t="shared" si="214"/>
        <v>Increase</v>
      </c>
      <c r="AQ1250" s="81">
        <f t="shared" si="215"/>
        <v>67.66</v>
      </c>
      <c r="AR1250" s="81">
        <f t="shared" si="216"/>
        <v>69.010000000000005</v>
      </c>
      <c r="AS1250" s="81">
        <f t="shared" si="219"/>
        <v>1.3500000000000085</v>
      </c>
    </row>
    <row r="1251" spans="1:45" hidden="1" x14ac:dyDescent="0.3">
      <c r="A1251">
        <v>6396953</v>
      </c>
      <c r="B1251" s="15" t="s">
        <v>6587</v>
      </c>
      <c r="C1251" s="16" t="s">
        <v>30</v>
      </c>
      <c r="D1251" s="6" t="s">
        <v>31</v>
      </c>
      <c r="E1251" t="s">
        <v>1087</v>
      </c>
      <c r="F1251" t="s">
        <v>1087</v>
      </c>
      <c r="H1251" s="11" t="s">
        <v>27</v>
      </c>
      <c r="I1251" s="6" t="s">
        <v>28</v>
      </c>
      <c r="J1251" s="6" t="s">
        <v>28</v>
      </c>
      <c r="K1251" t="s">
        <v>32</v>
      </c>
      <c r="L1251" s="35">
        <v>25.19</v>
      </c>
      <c r="M1251" s="6" t="s">
        <v>29</v>
      </c>
      <c r="N1251" s="6">
        <v>3105</v>
      </c>
      <c r="P1251" s="18"/>
      <c r="Q1251" s="17"/>
      <c r="R1251" s="19">
        <v>23.93</v>
      </c>
      <c r="S1251" s="19">
        <v>0</v>
      </c>
      <c r="T1251" s="38">
        <v>0</v>
      </c>
      <c r="U1251" s="38"/>
      <c r="V1251" s="30">
        <v>23.93</v>
      </c>
      <c r="W1251" s="35">
        <v>25.19</v>
      </c>
      <c r="X1251" s="32">
        <f t="shared" si="209"/>
        <v>0</v>
      </c>
      <c r="Y1251" s="32">
        <f t="shared" si="210"/>
        <v>0</v>
      </c>
      <c r="Z1251" s="32">
        <f t="shared" si="211"/>
        <v>0</v>
      </c>
      <c r="AA1251" s="38" t="s">
        <v>2573</v>
      </c>
      <c r="AB1251" s="37" t="str">
        <f>IFERROR(VLOOKUP(A1251,'Tash Lookup'!A:E,3,FALSE),"")</f>
        <v/>
      </c>
      <c r="AC1251" s="6" t="str">
        <f t="shared" si="212"/>
        <v/>
      </c>
      <c r="AD1251" s="2" t="s">
        <v>6703</v>
      </c>
      <c r="AF1251" s="56">
        <v>24.65</v>
      </c>
      <c r="AG1251" s="56">
        <f>VLOOKUP(A1251,Sheet1!$A$2:$C$1140,3,FALSE)</f>
        <v>25.14</v>
      </c>
      <c r="AH1251" s="58">
        <v>25.14</v>
      </c>
      <c r="AI1251" s="56" t="str">
        <f t="shared" si="213"/>
        <v>Increase</v>
      </c>
      <c r="AJ1251" s="81">
        <f t="shared" si="217"/>
        <v>0</v>
      </c>
      <c r="AK1251" s="81">
        <f t="shared" si="218"/>
        <v>0</v>
      </c>
      <c r="AL1251" s="58" t="s">
        <v>7206</v>
      </c>
      <c r="AM1251" s="58" t="s">
        <v>6703</v>
      </c>
      <c r="AN1251" s="75">
        <v>0</v>
      </c>
      <c r="AO1251" s="88">
        <v>25.14</v>
      </c>
      <c r="AP1251" s="6" t="str">
        <f t="shared" si="214"/>
        <v>Increase</v>
      </c>
      <c r="AQ1251" s="81">
        <f t="shared" si="215"/>
        <v>0</v>
      </c>
      <c r="AR1251" s="81">
        <f t="shared" si="216"/>
        <v>0</v>
      </c>
      <c r="AS1251" s="81">
        <f t="shared" si="219"/>
        <v>0</v>
      </c>
    </row>
    <row r="1252" spans="1:45" hidden="1" x14ac:dyDescent="0.3">
      <c r="A1252">
        <v>6402601</v>
      </c>
      <c r="B1252" s="15" t="s">
        <v>6588</v>
      </c>
      <c r="C1252" s="16" t="s">
        <v>30</v>
      </c>
      <c r="D1252" s="6" t="s">
        <v>31</v>
      </c>
      <c r="E1252" t="s">
        <v>1088</v>
      </c>
      <c r="F1252" t="s">
        <v>1088</v>
      </c>
      <c r="H1252" s="11" t="s">
        <v>27</v>
      </c>
      <c r="I1252" s="6" t="s">
        <v>28</v>
      </c>
      <c r="J1252" s="6" t="s">
        <v>28</v>
      </c>
      <c r="K1252" t="s">
        <v>32</v>
      </c>
      <c r="L1252" s="35">
        <v>13.6</v>
      </c>
      <c r="M1252" s="6" t="s">
        <v>29</v>
      </c>
      <c r="N1252" s="6">
        <v>3105</v>
      </c>
      <c r="P1252" s="18"/>
      <c r="Q1252" s="17"/>
      <c r="R1252" s="19">
        <v>13.6</v>
      </c>
      <c r="S1252" s="19">
        <v>13.6</v>
      </c>
      <c r="T1252" s="38">
        <v>0</v>
      </c>
      <c r="U1252" s="38"/>
      <c r="V1252" s="30">
        <v>13.6</v>
      </c>
      <c r="W1252" s="35">
        <v>13.6</v>
      </c>
      <c r="X1252" s="32">
        <f t="shared" si="209"/>
        <v>0</v>
      </c>
      <c r="Y1252" s="32">
        <f t="shared" si="210"/>
        <v>0</v>
      </c>
      <c r="Z1252" s="32">
        <f t="shared" si="211"/>
        <v>0</v>
      </c>
      <c r="AA1252" s="38" t="s">
        <v>2573</v>
      </c>
      <c r="AB1252" s="37" t="str">
        <f>IFERROR(VLOOKUP(A1252,'Tash Lookup'!A:E,3,FALSE),"")</f>
        <v/>
      </c>
      <c r="AC1252" s="6" t="str">
        <f t="shared" si="212"/>
        <v/>
      </c>
      <c r="AD1252" s="2" t="s">
        <v>6704</v>
      </c>
      <c r="AF1252" s="56">
        <v>13.6</v>
      </c>
      <c r="AG1252" s="56" t="e">
        <f>VLOOKUP(A1252,Sheet1!$A$2:$C$1140,3,FALSE)</f>
        <v>#N/A</v>
      </c>
      <c r="AH1252" s="58" t="e">
        <v>#N/A</v>
      </c>
      <c r="AI1252" s="56" t="str">
        <f t="shared" si="213"/>
        <v>Delete</v>
      </c>
      <c r="AJ1252" s="81">
        <f t="shared" si="217"/>
        <v>0</v>
      </c>
      <c r="AK1252" s="81">
        <f t="shared" si="218"/>
        <v>0</v>
      </c>
      <c r="AL1252" s="58" t="s">
        <v>7206</v>
      </c>
      <c r="AM1252" s="58" t="s">
        <v>6708</v>
      </c>
      <c r="AN1252" s="75">
        <v>0</v>
      </c>
      <c r="AO1252" s="88">
        <v>13.6</v>
      </c>
      <c r="AP1252" s="6" t="str">
        <f t="shared" si="214"/>
        <v>Same</v>
      </c>
      <c r="AQ1252" s="81">
        <f t="shared" si="215"/>
        <v>0</v>
      </c>
      <c r="AR1252" s="81">
        <f t="shared" si="216"/>
        <v>0</v>
      </c>
      <c r="AS1252" s="81">
        <f t="shared" si="219"/>
        <v>0</v>
      </c>
    </row>
    <row r="1253" spans="1:45" hidden="1" x14ac:dyDescent="0.3">
      <c r="A1253">
        <v>6396942</v>
      </c>
      <c r="B1253" s="15" t="s">
        <v>6589</v>
      </c>
      <c r="C1253" s="16" t="s">
        <v>30</v>
      </c>
      <c r="D1253" s="6" t="s">
        <v>31</v>
      </c>
      <c r="E1253" t="s">
        <v>1089</v>
      </c>
      <c r="F1253" t="s">
        <v>1089</v>
      </c>
      <c r="H1253" s="11" t="s">
        <v>27</v>
      </c>
      <c r="I1253" s="6" t="s">
        <v>28</v>
      </c>
      <c r="J1253" s="6" t="s">
        <v>28</v>
      </c>
      <c r="K1253" t="s">
        <v>32</v>
      </c>
      <c r="L1253" s="35">
        <v>16.37</v>
      </c>
      <c r="M1253" s="6" t="s">
        <v>29</v>
      </c>
      <c r="N1253" s="6">
        <v>3105</v>
      </c>
      <c r="P1253" s="18"/>
      <c r="Q1253" s="17"/>
      <c r="R1253" s="19">
        <v>14.74</v>
      </c>
      <c r="S1253" s="19">
        <v>0</v>
      </c>
      <c r="T1253" s="38">
        <v>0</v>
      </c>
      <c r="U1253" s="38"/>
      <c r="V1253" s="30">
        <v>14.74</v>
      </c>
      <c r="W1253" s="35">
        <v>16.37</v>
      </c>
      <c r="X1253" s="32">
        <f t="shared" si="209"/>
        <v>0</v>
      </c>
      <c r="Y1253" s="32">
        <f t="shared" si="210"/>
        <v>0</v>
      </c>
      <c r="Z1253" s="32">
        <f t="shared" si="211"/>
        <v>0</v>
      </c>
      <c r="AA1253" s="38" t="s">
        <v>2573</v>
      </c>
      <c r="AB1253" s="37" t="str">
        <f>IFERROR(VLOOKUP(A1253,'Tash Lookup'!A:E,3,FALSE),"")</f>
        <v/>
      </c>
      <c r="AC1253" s="6" t="str">
        <f t="shared" si="212"/>
        <v/>
      </c>
      <c r="AD1253" s="2" t="s">
        <v>6703</v>
      </c>
      <c r="AF1253" s="56">
        <v>15.18</v>
      </c>
      <c r="AG1253" s="56">
        <f>VLOOKUP(A1253,Sheet1!$A$2:$C$1140,3,FALSE)</f>
        <v>15.48</v>
      </c>
      <c r="AH1253" s="58">
        <v>15.48</v>
      </c>
      <c r="AI1253" s="56" t="str">
        <f t="shared" si="213"/>
        <v>Increase</v>
      </c>
      <c r="AJ1253" s="81">
        <f t="shared" si="217"/>
        <v>0</v>
      </c>
      <c r="AK1253" s="81">
        <f t="shared" si="218"/>
        <v>0</v>
      </c>
      <c r="AL1253" s="58" t="s">
        <v>7206</v>
      </c>
      <c r="AM1253" s="58" t="s">
        <v>6703</v>
      </c>
      <c r="AN1253" s="75">
        <v>0</v>
      </c>
      <c r="AO1253" s="88">
        <v>15.48</v>
      </c>
      <c r="AP1253" s="6" t="str">
        <f t="shared" si="214"/>
        <v>Increase</v>
      </c>
      <c r="AQ1253" s="81">
        <f t="shared" si="215"/>
        <v>0</v>
      </c>
      <c r="AR1253" s="81">
        <f t="shared" si="216"/>
        <v>0</v>
      </c>
      <c r="AS1253" s="81">
        <f t="shared" si="219"/>
        <v>0</v>
      </c>
    </row>
    <row r="1254" spans="1:45" hidden="1" x14ac:dyDescent="0.3">
      <c r="A1254">
        <v>6396943</v>
      </c>
      <c r="B1254" s="15" t="s">
        <v>6590</v>
      </c>
      <c r="C1254" s="16" t="s">
        <v>30</v>
      </c>
      <c r="D1254" s="6" t="s">
        <v>31</v>
      </c>
      <c r="E1254" t="s">
        <v>1093</v>
      </c>
      <c r="F1254" t="s">
        <v>1093</v>
      </c>
      <c r="H1254" s="11" t="s">
        <v>27</v>
      </c>
      <c r="I1254" s="6" t="s">
        <v>28</v>
      </c>
      <c r="J1254" s="6" t="s">
        <v>28</v>
      </c>
      <c r="K1254" t="s">
        <v>32</v>
      </c>
      <c r="L1254" s="35">
        <v>14.4</v>
      </c>
      <c r="M1254" s="6" t="s">
        <v>29</v>
      </c>
      <c r="N1254" s="6">
        <v>3105</v>
      </c>
      <c r="P1254" s="18"/>
      <c r="Q1254" s="17"/>
      <c r="R1254" s="19">
        <v>14.4</v>
      </c>
      <c r="S1254" s="19">
        <v>14.4</v>
      </c>
      <c r="T1254" s="38">
        <v>0</v>
      </c>
      <c r="U1254" s="38"/>
      <c r="V1254" s="30">
        <v>14.4</v>
      </c>
      <c r="W1254" s="35">
        <v>14.4</v>
      </c>
      <c r="X1254" s="32">
        <f t="shared" si="209"/>
        <v>0</v>
      </c>
      <c r="Y1254" s="32">
        <f t="shared" si="210"/>
        <v>0</v>
      </c>
      <c r="Z1254" s="32">
        <f t="shared" si="211"/>
        <v>0</v>
      </c>
      <c r="AA1254" s="38" t="s">
        <v>2573</v>
      </c>
      <c r="AB1254" s="37" t="str">
        <f>IFERROR(VLOOKUP(A1254,'Tash Lookup'!A:E,3,FALSE),"")</f>
        <v/>
      </c>
      <c r="AC1254" s="6" t="str">
        <f t="shared" si="212"/>
        <v/>
      </c>
      <c r="AD1254" s="2" t="s">
        <v>6703</v>
      </c>
      <c r="AF1254" s="56">
        <v>14.83</v>
      </c>
      <c r="AG1254" s="56">
        <f>VLOOKUP(A1254,Sheet1!$A$2:$C$1140,3,FALSE)</f>
        <v>15.13</v>
      </c>
      <c r="AH1254" s="58">
        <v>15.13</v>
      </c>
      <c r="AI1254" s="56" t="str">
        <f t="shared" si="213"/>
        <v>Increase</v>
      </c>
      <c r="AJ1254" s="81">
        <f t="shared" si="217"/>
        <v>0</v>
      </c>
      <c r="AK1254" s="81">
        <f t="shared" si="218"/>
        <v>0</v>
      </c>
      <c r="AL1254" s="58" t="s">
        <v>7206</v>
      </c>
      <c r="AM1254" s="58" t="s">
        <v>6703</v>
      </c>
      <c r="AN1254" s="75">
        <v>0</v>
      </c>
      <c r="AO1254" s="88">
        <v>15.13</v>
      </c>
      <c r="AP1254" s="6" t="str">
        <f t="shared" si="214"/>
        <v>Increase</v>
      </c>
      <c r="AQ1254" s="81">
        <f t="shared" si="215"/>
        <v>0</v>
      </c>
      <c r="AR1254" s="81">
        <f t="shared" si="216"/>
        <v>0</v>
      </c>
      <c r="AS1254" s="81">
        <f t="shared" si="219"/>
        <v>0</v>
      </c>
    </row>
    <row r="1255" spans="1:45" hidden="1" x14ac:dyDescent="0.3">
      <c r="A1255">
        <v>6402025</v>
      </c>
      <c r="B1255" s="15" t="s">
        <v>6591</v>
      </c>
      <c r="C1255" s="16" t="s">
        <v>30</v>
      </c>
      <c r="D1255" s="6" t="s">
        <v>31</v>
      </c>
      <c r="E1255" t="s">
        <v>1101</v>
      </c>
      <c r="F1255" t="s">
        <v>1101</v>
      </c>
      <c r="H1255" s="11" t="s">
        <v>27</v>
      </c>
      <c r="I1255" s="6" t="s">
        <v>28</v>
      </c>
      <c r="J1255" s="6" t="s">
        <v>28</v>
      </c>
      <c r="K1255" t="s">
        <v>32</v>
      </c>
      <c r="L1255" s="35">
        <v>5.53</v>
      </c>
      <c r="M1255" s="6" t="s">
        <v>29</v>
      </c>
      <c r="N1255" s="6">
        <v>3105</v>
      </c>
      <c r="P1255" s="18"/>
      <c r="Q1255" s="17"/>
      <c r="R1255" s="19">
        <v>5.53</v>
      </c>
      <c r="S1255" s="19">
        <v>5.53</v>
      </c>
      <c r="T1255" s="38">
        <v>0</v>
      </c>
      <c r="U1255" s="38"/>
      <c r="V1255" s="30">
        <v>5.53</v>
      </c>
      <c r="W1255" s="35">
        <v>5.53</v>
      </c>
      <c r="X1255" s="32">
        <f t="shared" si="209"/>
        <v>0</v>
      </c>
      <c r="Y1255" s="32">
        <f t="shared" si="210"/>
        <v>0</v>
      </c>
      <c r="Z1255" s="32">
        <f t="shared" si="211"/>
        <v>0</v>
      </c>
      <c r="AA1255" s="38" t="s">
        <v>2573</v>
      </c>
      <c r="AB1255" s="37" t="str">
        <f>IFERROR(VLOOKUP(A1255,'Tash Lookup'!A:E,3,FALSE),"")</f>
        <v/>
      </c>
      <c r="AC1255" s="6" t="str">
        <f t="shared" si="212"/>
        <v/>
      </c>
      <c r="AD1255" s="2" t="s">
        <v>6704</v>
      </c>
      <c r="AF1255" s="56">
        <v>5.53</v>
      </c>
      <c r="AG1255" s="56" t="e">
        <f>VLOOKUP(A1255,Sheet1!$A$2:$C$1140,3,FALSE)</f>
        <v>#N/A</v>
      </c>
      <c r="AH1255" s="58" t="e">
        <v>#N/A</v>
      </c>
      <c r="AI1255" s="56" t="str">
        <f t="shared" si="213"/>
        <v>Delete</v>
      </c>
      <c r="AJ1255" s="81">
        <f t="shared" si="217"/>
        <v>0</v>
      </c>
      <c r="AK1255" s="81">
        <f t="shared" si="218"/>
        <v>0</v>
      </c>
      <c r="AL1255" s="58" t="s">
        <v>7206</v>
      </c>
      <c r="AM1255" s="58" t="s">
        <v>6708</v>
      </c>
      <c r="AN1255" s="75">
        <v>0</v>
      </c>
      <c r="AO1255" s="88">
        <v>5.53</v>
      </c>
      <c r="AP1255" s="6" t="str">
        <f t="shared" si="214"/>
        <v>Same</v>
      </c>
      <c r="AQ1255" s="81">
        <f t="shared" si="215"/>
        <v>0</v>
      </c>
      <c r="AR1255" s="81">
        <f t="shared" si="216"/>
        <v>0</v>
      </c>
      <c r="AS1255" s="81">
        <f t="shared" si="219"/>
        <v>0</v>
      </c>
    </row>
    <row r="1256" spans="1:45" hidden="1" x14ac:dyDescent="0.3">
      <c r="A1256">
        <v>6380604</v>
      </c>
      <c r="B1256" s="15" t="s">
        <v>6592</v>
      </c>
      <c r="C1256" s="16" t="s">
        <v>30</v>
      </c>
      <c r="D1256" s="6" t="s">
        <v>31</v>
      </c>
      <c r="E1256" t="s">
        <v>1120</v>
      </c>
      <c r="F1256" t="s">
        <v>1120</v>
      </c>
      <c r="H1256" s="11" t="s">
        <v>27</v>
      </c>
      <c r="I1256" s="6" t="s">
        <v>28</v>
      </c>
      <c r="J1256" s="6" t="s">
        <v>28</v>
      </c>
      <c r="K1256" t="s">
        <v>32</v>
      </c>
      <c r="L1256" s="35">
        <v>3.95</v>
      </c>
      <c r="M1256" s="6" t="s">
        <v>29</v>
      </c>
      <c r="N1256" s="6">
        <v>3105</v>
      </c>
      <c r="P1256" s="18"/>
      <c r="Q1256" s="17"/>
      <c r="R1256" s="19">
        <v>3.95</v>
      </c>
      <c r="S1256" s="19">
        <v>3.95</v>
      </c>
      <c r="T1256" s="38">
        <v>0</v>
      </c>
      <c r="U1256" s="38"/>
      <c r="V1256" s="30">
        <v>3.95</v>
      </c>
      <c r="W1256" s="35">
        <v>3.95</v>
      </c>
      <c r="X1256" s="32">
        <f t="shared" si="209"/>
        <v>0</v>
      </c>
      <c r="Y1256" s="32">
        <f t="shared" si="210"/>
        <v>0</v>
      </c>
      <c r="Z1256" s="32">
        <f t="shared" si="211"/>
        <v>0</v>
      </c>
      <c r="AA1256" s="38" t="s">
        <v>2573</v>
      </c>
      <c r="AB1256" s="37" t="str">
        <f>IFERROR(VLOOKUP(A1256,'Tash Lookup'!A:E,3,FALSE),"")</f>
        <v/>
      </c>
      <c r="AC1256" s="6" t="str">
        <f t="shared" si="212"/>
        <v/>
      </c>
      <c r="AD1256" s="2" t="s">
        <v>6708</v>
      </c>
      <c r="AF1256" s="56">
        <v>3.95</v>
      </c>
      <c r="AG1256" s="56">
        <f>VLOOKUP(A1256,Sheet1!$A$2:$C$1140,3,FALSE)</f>
        <v>3.95</v>
      </c>
      <c r="AH1256" s="58">
        <v>3.95</v>
      </c>
      <c r="AI1256" s="56" t="str">
        <f t="shared" si="213"/>
        <v>Same</v>
      </c>
      <c r="AJ1256" s="81">
        <f t="shared" si="217"/>
        <v>0</v>
      </c>
      <c r="AK1256" s="81">
        <f t="shared" si="218"/>
        <v>0</v>
      </c>
      <c r="AL1256" s="58" t="s">
        <v>7206</v>
      </c>
      <c r="AM1256" s="58" t="s">
        <v>6709</v>
      </c>
      <c r="AN1256" s="75">
        <v>4</v>
      </c>
      <c r="AO1256" s="88">
        <v>3.95</v>
      </c>
      <c r="AP1256" s="6" t="str">
        <f t="shared" si="214"/>
        <v>Same</v>
      </c>
      <c r="AQ1256" s="81">
        <f t="shared" si="215"/>
        <v>15.8</v>
      </c>
      <c r="AR1256" s="81">
        <f t="shared" si="216"/>
        <v>15.8</v>
      </c>
      <c r="AS1256" s="81">
        <f t="shared" si="219"/>
        <v>0</v>
      </c>
    </row>
    <row r="1257" spans="1:45" hidden="1" x14ac:dyDescent="0.3">
      <c r="A1257">
        <v>6107954</v>
      </c>
      <c r="B1257" s="15" t="s">
        <v>6593</v>
      </c>
      <c r="C1257" s="16" t="s">
        <v>30</v>
      </c>
      <c r="D1257" s="6" t="s">
        <v>31</v>
      </c>
      <c r="E1257" t="s">
        <v>1132</v>
      </c>
      <c r="F1257" t="s">
        <v>1132</v>
      </c>
      <c r="H1257" s="11" t="s">
        <v>27</v>
      </c>
      <c r="I1257" s="6" t="s">
        <v>28</v>
      </c>
      <c r="J1257" s="6" t="s">
        <v>28</v>
      </c>
      <c r="K1257" t="s">
        <v>32</v>
      </c>
      <c r="L1257" s="35">
        <v>9.82</v>
      </c>
      <c r="M1257" s="6" t="s">
        <v>29</v>
      </c>
      <c r="N1257" s="6">
        <v>3105</v>
      </c>
      <c r="P1257" s="18"/>
      <c r="Q1257" s="17"/>
      <c r="R1257" s="19">
        <v>0</v>
      </c>
      <c r="S1257" s="19">
        <v>0</v>
      </c>
      <c r="T1257" s="38">
        <v>0</v>
      </c>
      <c r="U1257" s="38"/>
      <c r="V1257" s="31">
        <v>9.82</v>
      </c>
      <c r="W1257" s="35">
        <v>9.82</v>
      </c>
      <c r="X1257" s="32">
        <f t="shared" si="209"/>
        <v>0</v>
      </c>
      <c r="Y1257" s="32">
        <f t="shared" si="210"/>
        <v>0</v>
      </c>
      <c r="Z1257" s="32">
        <f t="shared" si="211"/>
        <v>0</v>
      </c>
      <c r="AA1257" s="38" t="s">
        <v>2573</v>
      </c>
      <c r="AB1257" s="37" t="str">
        <f>IFERROR(VLOOKUP(A1257,'Tash Lookup'!A:E,3,FALSE),"")</f>
        <v/>
      </c>
      <c r="AC1257" s="6" t="str">
        <f t="shared" si="212"/>
        <v/>
      </c>
      <c r="AD1257" s="2" t="s">
        <v>6703</v>
      </c>
      <c r="AF1257" s="56">
        <v>10.11</v>
      </c>
      <c r="AG1257" s="56">
        <f>VLOOKUP(A1257,Sheet1!$A$2:$C$1140,3,FALSE)</f>
        <v>10.31</v>
      </c>
      <c r="AH1257" s="58">
        <v>10.31</v>
      </c>
      <c r="AI1257" s="56" t="str">
        <f t="shared" si="213"/>
        <v>Increase</v>
      </c>
      <c r="AJ1257" s="81">
        <f t="shared" si="217"/>
        <v>0</v>
      </c>
      <c r="AK1257" s="81">
        <f t="shared" si="218"/>
        <v>0</v>
      </c>
      <c r="AL1257" s="58" t="s">
        <v>7206</v>
      </c>
      <c r="AM1257" s="58" t="s">
        <v>6703</v>
      </c>
      <c r="AN1257" s="75">
        <v>0</v>
      </c>
      <c r="AO1257" s="88">
        <v>10.31</v>
      </c>
      <c r="AP1257" s="6" t="str">
        <f t="shared" si="214"/>
        <v>Increase</v>
      </c>
      <c r="AQ1257" s="81">
        <f t="shared" si="215"/>
        <v>0</v>
      </c>
      <c r="AR1257" s="81">
        <f t="shared" si="216"/>
        <v>0</v>
      </c>
      <c r="AS1257" s="81">
        <f t="shared" si="219"/>
        <v>0</v>
      </c>
    </row>
    <row r="1258" spans="1:45" hidden="1" x14ac:dyDescent="0.3">
      <c r="A1258">
        <v>6107968</v>
      </c>
      <c r="B1258" s="15" t="s">
        <v>6594</v>
      </c>
      <c r="C1258" s="16" t="s">
        <v>30</v>
      </c>
      <c r="D1258" s="6" t="s">
        <v>31</v>
      </c>
      <c r="E1258" t="s">
        <v>1140</v>
      </c>
      <c r="F1258" t="s">
        <v>1140</v>
      </c>
      <c r="H1258" s="11" t="s">
        <v>27</v>
      </c>
      <c r="I1258" s="6" t="s">
        <v>28</v>
      </c>
      <c r="J1258" s="6" t="s">
        <v>28</v>
      </c>
      <c r="K1258" t="s">
        <v>32</v>
      </c>
      <c r="L1258" s="35">
        <v>11.48</v>
      </c>
      <c r="M1258" s="6" t="s">
        <v>29</v>
      </c>
      <c r="N1258" s="6">
        <v>3105</v>
      </c>
      <c r="P1258" s="18"/>
      <c r="Q1258" s="17"/>
      <c r="R1258" s="19">
        <v>0</v>
      </c>
      <c r="S1258" s="19">
        <v>0</v>
      </c>
      <c r="T1258" s="38">
        <v>0</v>
      </c>
      <c r="U1258" s="38"/>
      <c r="V1258" s="31">
        <v>11.48</v>
      </c>
      <c r="W1258" s="35">
        <v>11.48</v>
      </c>
      <c r="X1258" s="32">
        <f t="shared" si="209"/>
        <v>0</v>
      </c>
      <c r="Y1258" s="32">
        <f t="shared" si="210"/>
        <v>0</v>
      </c>
      <c r="Z1258" s="32">
        <f t="shared" si="211"/>
        <v>0</v>
      </c>
      <c r="AA1258" s="38" t="s">
        <v>2573</v>
      </c>
      <c r="AB1258" s="37" t="str">
        <f>IFERROR(VLOOKUP(A1258,'Tash Lookup'!A:E,3,FALSE),"")</f>
        <v/>
      </c>
      <c r="AC1258" s="6" t="str">
        <f t="shared" si="212"/>
        <v/>
      </c>
      <c r="AD1258" s="2" t="s">
        <v>6703</v>
      </c>
      <c r="AF1258" s="56">
        <v>11.83</v>
      </c>
      <c r="AG1258" s="56">
        <f>VLOOKUP(A1258,Sheet1!$A$2:$C$1140,3,FALSE)</f>
        <v>12.06</v>
      </c>
      <c r="AH1258" s="58">
        <v>12.06</v>
      </c>
      <c r="AI1258" s="56" t="str">
        <f t="shared" si="213"/>
        <v>Increase</v>
      </c>
      <c r="AJ1258" s="81">
        <f t="shared" si="217"/>
        <v>0</v>
      </c>
      <c r="AK1258" s="81">
        <f t="shared" si="218"/>
        <v>0</v>
      </c>
      <c r="AL1258" s="58" t="s">
        <v>7206</v>
      </c>
      <c r="AM1258" s="58" t="s">
        <v>6703</v>
      </c>
      <c r="AN1258" s="75">
        <v>6</v>
      </c>
      <c r="AO1258" s="88">
        <v>12.06</v>
      </c>
      <c r="AP1258" s="6" t="str">
        <f t="shared" si="214"/>
        <v>Increase</v>
      </c>
      <c r="AQ1258" s="81">
        <f t="shared" si="215"/>
        <v>70.98</v>
      </c>
      <c r="AR1258" s="81">
        <f t="shared" si="216"/>
        <v>72.36</v>
      </c>
      <c r="AS1258" s="81">
        <f t="shared" si="219"/>
        <v>1.3799999999999955</v>
      </c>
    </row>
    <row r="1259" spans="1:45" hidden="1" x14ac:dyDescent="0.3">
      <c r="A1259">
        <v>6395683</v>
      </c>
      <c r="B1259" s="15" t="s">
        <v>6595</v>
      </c>
      <c r="C1259" s="16" t="s">
        <v>30</v>
      </c>
      <c r="D1259" s="6" t="s">
        <v>31</v>
      </c>
      <c r="E1259" t="s">
        <v>2988</v>
      </c>
      <c r="F1259" t="s">
        <v>2988</v>
      </c>
      <c r="H1259" s="11" t="s">
        <v>27</v>
      </c>
      <c r="I1259" s="6" t="s">
        <v>28</v>
      </c>
      <c r="J1259" s="6" t="s">
        <v>28</v>
      </c>
      <c r="K1259" t="s">
        <v>32</v>
      </c>
      <c r="L1259" s="35">
        <v>13.27</v>
      </c>
      <c r="M1259" s="6" t="s">
        <v>29</v>
      </c>
      <c r="N1259" s="6">
        <v>3105</v>
      </c>
      <c r="P1259" s="18"/>
      <c r="Q1259" s="17"/>
      <c r="R1259" s="19">
        <v>0</v>
      </c>
      <c r="S1259" s="19">
        <v>0</v>
      </c>
      <c r="T1259" s="38">
        <v>0</v>
      </c>
      <c r="U1259" s="38"/>
      <c r="V1259" s="31">
        <v>13.27</v>
      </c>
      <c r="W1259" s="35">
        <v>13.27</v>
      </c>
      <c r="X1259" s="32">
        <f t="shared" si="209"/>
        <v>0</v>
      </c>
      <c r="Y1259" s="32">
        <f t="shared" si="210"/>
        <v>0</v>
      </c>
      <c r="Z1259" s="32">
        <f t="shared" si="211"/>
        <v>0</v>
      </c>
      <c r="AA1259" s="38" t="s">
        <v>2573</v>
      </c>
      <c r="AB1259" s="37" t="str">
        <f>IFERROR(VLOOKUP(A1259,'Tash Lookup'!A:E,3,FALSE),"")</f>
        <v/>
      </c>
      <c r="AC1259" s="6" t="str">
        <f t="shared" si="212"/>
        <v/>
      </c>
      <c r="AD1259" s="2" t="s">
        <v>6709</v>
      </c>
      <c r="AF1259" s="56">
        <v>13.67</v>
      </c>
      <c r="AG1259" s="56">
        <f>VLOOKUP(A1259,Sheet1!$A$2:$C$1140,3,FALSE)</f>
        <v>13.67</v>
      </c>
      <c r="AH1259" s="58">
        <v>13.67</v>
      </c>
      <c r="AI1259" s="56" t="str">
        <f t="shared" si="213"/>
        <v>Same</v>
      </c>
      <c r="AJ1259" s="81">
        <f t="shared" si="217"/>
        <v>0</v>
      </c>
      <c r="AK1259" s="81">
        <f t="shared" si="218"/>
        <v>0</v>
      </c>
      <c r="AL1259" s="58" t="s">
        <v>7206</v>
      </c>
      <c r="AM1259" s="58" t="s">
        <v>6708</v>
      </c>
      <c r="AN1259" s="75">
        <v>0</v>
      </c>
      <c r="AO1259" s="88">
        <v>13.67</v>
      </c>
      <c r="AP1259" s="6" t="str">
        <f t="shared" si="214"/>
        <v>Same</v>
      </c>
      <c r="AQ1259" s="81">
        <f t="shared" si="215"/>
        <v>0</v>
      </c>
      <c r="AR1259" s="81">
        <f t="shared" si="216"/>
        <v>0</v>
      </c>
      <c r="AS1259" s="81">
        <f t="shared" si="219"/>
        <v>0</v>
      </c>
    </row>
    <row r="1260" spans="1:45" hidden="1" x14ac:dyDescent="0.3">
      <c r="A1260">
        <v>6107961</v>
      </c>
      <c r="B1260" s="15" t="s">
        <v>6596</v>
      </c>
      <c r="C1260" s="16" t="s">
        <v>30</v>
      </c>
      <c r="D1260" s="6" t="s">
        <v>31</v>
      </c>
      <c r="E1260" t="s">
        <v>1147</v>
      </c>
      <c r="F1260" t="s">
        <v>1147</v>
      </c>
      <c r="H1260" s="11" t="s">
        <v>27</v>
      </c>
      <c r="I1260" s="6" t="s">
        <v>28</v>
      </c>
      <c r="J1260" s="6" t="s">
        <v>28</v>
      </c>
      <c r="K1260" t="s">
        <v>32</v>
      </c>
      <c r="L1260" s="35">
        <v>11.11</v>
      </c>
      <c r="M1260" s="6" t="s">
        <v>29</v>
      </c>
      <c r="N1260" s="6">
        <v>3105</v>
      </c>
      <c r="P1260" s="18"/>
      <c r="Q1260" s="17"/>
      <c r="R1260" s="19">
        <v>0</v>
      </c>
      <c r="S1260" s="19">
        <v>0</v>
      </c>
      <c r="T1260" s="38">
        <v>0</v>
      </c>
      <c r="U1260" s="38"/>
      <c r="V1260" s="31">
        <v>11.11</v>
      </c>
      <c r="W1260" s="35">
        <v>11.11</v>
      </c>
      <c r="X1260" s="32">
        <f t="shared" si="209"/>
        <v>0</v>
      </c>
      <c r="Y1260" s="32">
        <f t="shared" si="210"/>
        <v>0</v>
      </c>
      <c r="Z1260" s="32">
        <f t="shared" si="211"/>
        <v>0</v>
      </c>
      <c r="AA1260" s="38" t="s">
        <v>2573</v>
      </c>
      <c r="AB1260" s="37" t="str">
        <f>IFERROR(VLOOKUP(A1260,'Tash Lookup'!A:E,3,FALSE),"")</f>
        <v/>
      </c>
      <c r="AC1260" s="6" t="str">
        <f t="shared" si="212"/>
        <v/>
      </c>
      <c r="AD1260" s="2" t="s">
        <v>6709</v>
      </c>
      <c r="AF1260" s="56">
        <v>11.44</v>
      </c>
      <c r="AG1260" s="56">
        <f>VLOOKUP(A1260,Sheet1!$A$2:$C$1140,3,FALSE)</f>
        <v>11.44</v>
      </c>
      <c r="AH1260" s="58">
        <v>11.44</v>
      </c>
      <c r="AI1260" s="56" t="str">
        <f t="shared" si="213"/>
        <v>Same</v>
      </c>
      <c r="AJ1260" s="81">
        <f t="shared" si="217"/>
        <v>0</v>
      </c>
      <c r="AK1260" s="81">
        <f t="shared" si="218"/>
        <v>0</v>
      </c>
      <c r="AL1260" s="58" t="s">
        <v>7206</v>
      </c>
      <c r="AM1260" s="58" t="s">
        <v>6708</v>
      </c>
      <c r="AN1260" s="75">
        <v>0</v>
      </c>
      <c r="AO1260" s="88">
        <v>11.44</v>
      </c>
      <c r="AP1260" s="6" t="str">
        <f t="shared" si="214"/>
        <v>Same</v>
      </c>
      <c r="AQ1260" s="81">
        <f t="shared" si="215"/>
        <v>0</v>
      </c>
      <c r="AR1260" s="81">
        <f t="shared" si="216"/>
        <v>0</v>
      </c>
      <c r="AS1260" s="81">
        <f t="shared" si="219"/>
        <v>0</v>
      </c>
    </row>
    <row r="1261" spans="1:45" hidden="1" x14ac:dyDescent="0.3">
      <c r="A1261">
        <v>6107966</v>
      </c>
      <c r="B1261" s="15" t="s">
        <v>6597</v>
      </c>
      <c r="C1261" s="16" t="s">
        <v>30</v>
      </c>
      <c r="D1261" s="6" t="s">
        <v>31</v>
      </c>
      <c r="E1261" t="s">
        <v>1148</v>
      </c>
      <c r="F1261" t="s">
        <v>1148</v>
      </c>
      <c r="H1261" s="11" t="s">
        <v>27</v>
      </c>
      <c r="I1261" s="6" t="s">
        <v>28</v>
      </c>
      <c r="J1261" s="6" t="s">
        <v>28</v>
      </c>
      <c r="K1261" t="s">
        <v>32</v>
      </c>
      <c r="L1261" s="35">
        <v>9.42</v>
      </c>
      <c r="M1261" s="6" t="s">
        <v>29</v>
      </c>
      <c r="N1261" s="6">
        <v>3105</v>
      </c>
      <c r="P1261" s="18"/>
      <c r="Q1261" s="17"/>
      <c r="R1261" s="19">
        <v>0</v>
      </c>
      <c r="S1261" s="19">
        <v>0</v>
      </c>
      <c r="T1261" s="38">
        <v>0</v>
      </c>
      <c r="U1261" s="38"/>
      <c r="V1261" s="31">
        <v>9.42</v>
      </c>
      <c r="W1261" s="35">
        <v>9.42</v>
      </c>
      <c r="X1261" s="32">
        <f t="shared" si="209"/>
        <v>0</v>
      </c>
      <c r="Y1261" s="32">
        <f t="shared" si="210"/>
        <v>0</v>
      </c>
      <c r="Z1261" s="32">
        <f t="shared" si="211"/>
        <v>0</v>
      </c>
      <c r="AA1261" s="38" t="s">
        <v>2573</v>
      </c>
      <c r="AB1261" s="37" t="str">
        <f>IFERROR(VLOOKUP(A1261,'Tash Lookup'!A:E,3,FALSE),"")</f>
        <v/>
      </c>
      <c r="AC1261" s="6" t="str">
        <f t="shared" si="212"/>
        <v/>
      </c>
      <c r="AD1261" s="2" t="s">
        <v>6709</v>
      </c>
      <c r="AF1261" s="56">
        <v>9.6999999999999993</v>
      </c>
      <c r="AG1261" s="56">
        <f>VLOOKUP(A1261,Sheet1!$A$2:$C$1140,3,FALSE)</f>
        <v>9.6999999999999993</v>
      </c>
      <c r="AH1261" s="58">
        <v>9.6999999999999993</v>
      </c>
      <c r="AI1261" s="56" t="str">
        <f t="shared" si="213"/>
        <v>Same</v>
      </c>
      <c r="AJ1261" s="81">
        <f t="shared" si="217"/>
        <v>0</v>
      </c>
      <c r="AK1261" s="81">
        <f t="shared" si="218"/>
        <v>0</v>
      </c>
      <c r="AL1261" s="58" t="s">
        <v>7206</v>
      </c>
      <c r="AM1261" s="58" t="s">
        <v>6708</v>
      </c>
      <c r="AN1261" s="75">
        <v>0</v>
      </c>
      <c r="AO1261" s="88">
        <v>9.6999999999999993</v>
      </c>
      <c r="AP1261" s="6" t="str">
        <f t="shared" si="214"/>
        <v>Same</v>
      </c>
      <c r="AQ1261" s="81">
        <f t="shared" si="215"/>
        <v>0</v>
      </c>
      <c r="AR1261" s="81">
        <f t="shared" si="216"/>
        <v>0</v>
      </c>
      <c r="AS1261" s="81">
        <f t="shared" si="219"/>
        <v>0</v>
      </c>
    </row>
    <row r="1262" spans="1:45" hidden="1" x14ac:dyDescent="0.3">
      <c r="A1262">
        <v>6107962</v>
      </c>
      <c r="B1262" s="15" t="s">
        <v>6598</v>
      </c>
      <c r="C1262" s="16" t="s">
        <v>30</v>
      </c>
      <c r="D1262" s="6" t="s">
        <v>31</v>
      </c>
      <c r="E1262" t="s">
        <v>1149</v>
      </c>
      <c r="F1262" t="s">
        <v>1149</v>
      </c>
      <c r="H1262" s="11" t="s">
        <v>27</v>
      </c>
      <c r="I1262" s="6" t="s">
        <v>28</v>
      </c>
      <c r="J1262" s="6" t="s">
        <v>28</v>
      </c>
      <c r="K1262" t="s">
        <v>32</v>
      </c>
      <c r="L1262" s="35">
        <v>12.94</v>
      </c>
      <c r="M1262" s="6" t="s">
        <v>29</v>
      </c>
      <c r="N1262" s="6">
        <v>3105</v>
      </c>
      <c r="P1262" s="18"/>
      <c r="Q1262" s="17"/>
      <c r="R1262" s="19">
        <v>0</v>
      </c>
      <c r="S1262" s="19">
        <v>0</v>
      </c>
      <c r="T1262" s="38">
        <v>0</v>
      </c>
      <c r="U1262" s="38"/>
      <c r="V1262" s="31">
        <v>12.94</v>
      </c>
      <c r="W1262" s="35">
        <v>12.94</v>
      </c>
      <c r="X1262" s="32">
        <f t="shared" si="209"/>
        <v>0</v>
      </c>
      <c r="Y1262" s="32">
        <f t="shared" si="210"/>
        <v>0</v>
      </c>
      <c r="Z1262" s="32">
        <f t="shared" si="211"/>
        <v>0</v>
      </c>
      <c r="AA1262" s="38" t="s">
        <v>2573</v>
      </c>
      <c r="AB1262" s="37" t="str">
        <f>IFERROR(VLOOKUP(A1262,'Tash Lookup'!A:E,3,FALSE),"")</f>
        <v/>
      </c>
      <c r="AC1262" s="6" t="str">
        <f t="shared" si="212"/>
        <v/>
      </c>
      <c r="AD1262" s="2" t="s">
        <v>6709</v>
      </c>
      <c r="AF1262" s="56">
        <v>13.33</v>
      </c>
      <c r="AG1262" s="56">
        <f>VLOOKUP(A1262,Sheet1!$A$2:$C$1140,3,FALSE)</f>
        <v>13.33</v>
      </c>
      <c r="AH1262" s="58">
        <v>13.33</v>
      </c>
      <c r="AI1262" s="56" t="str">
        <f t="shared" si="213"/>
        <v>Same</v>
      </c>
      <c r="AJ1262" s="81">
        <f t="shared" si="217"/>
        <v>0</v>
      </c>
      <c r="AK1262" s="81">
        <f t="shared" si="218"/>
        <v>0</v>
      </c>
      <c r="AL1262" s="58" t="s">
        <v>7206</v>
      </c>
      <c r="AM1262" s="58" t="s">
        <v>6708</v>
      </c>
      <c r="AN1262" s="75">
        <v>0</v>
      </c>
      <c r="AO1262" s="88">
        <v>13.33</v>
      </c>
      <c r="AP1262" s="6" t="str">
        <f t="shared" si="214"/>
        <v>Same</v>
      </c>
      <c r="AQ1262" s="81">
        <f t="shared" si="215"/>
        <v>0</v>
      </c>
      <c r="AR1262" s="81">
        <f t="shared" si="216"/>
        <v>0</v>
      </c>
      <c r="AS1262" s="81">
        <f t="shared" si="219"/>
        <v>0</v>
      </c>
    </row>
    <row r="1263" spans="1:45" hidden="1" x14ac:dyDescent="0.3">
      <c r="A1263">
        <v>6107950</v>
      </c>
      <c r="B1263" s="15" t="s">
        <v>6599</v>
      </c>
      <c r="C1263" s="16" t="s">
        <v>30</v>
      </c>
      <c r="D1263" s="6" t="s">
        <v>31</v>
      </c>
      <c r="E1263" t="s">
        <v>1150</v>
      </c>
      <c r="F1263" t="s">
        <v>1150</v>
      </c>
      <c r="H1263" s="11" t="s">
        <v>27</v>
      </c>
      <c r="I1263" s="6" t="s">
        <v>28</v>
      </c>
      <c r="J1263" s="6" t="s">
        <v>28</v>
      </c>
      <c r="K1263" t="s">
        <v>32</v>
      </c>
      <c r="L1263" s="35">
        <v>10.33</v>
      </c>
      <c r="M1263" s="6" t="s">
        <v>29</v>
      </c>
      <c r="N1263" s="6">
        <v>3105</v>
      </c>
      <c r="P1263" s="18"/>
      <c r="Q1263" s="17"/>
      <c r="R1263" s="19">
        <v>0</v>
      </c>
      <c r="S1263" s="19">
        <v>0</v>
      </c>
      <c r="T1263" s="38">
        <v>0</v>
      </c>
      <c r="U1263" s="38"/>
      <c r="V1263" s="31">
        <v>10.33</v>
      </c>
      <c r="W1263" s="35">
        <v>10.33</v>
      </c>
      <c r="X1263" s="32">
        <f t="shared" si="209"/>
        <v>0</v>
      </c>
      <c r="Y1263" s="32">
        <f t="shared" si="210"/>
        <v>0</v>
      </c>
      <c r="Z1263" s="32">
        <f t="shared" si="211"/>
        <v>0</v>
      </c>
      <c r="AA1263" s="38" t="s">
        <v>2573</v>
      </c>
      <c r="AB1263" s="37" t="str">
        <f>IFERROR(VLOOKUP(A1263,'Tash Lookup'!A:E,3,FALSE),"")</f>
        <v/>
      </c>
      <c r="AC1263" s="6" t="str">
        <f t="shared" si="212"/>
        <v/>
      </c>
      <c r="AD1263" s="2" t="s">
        <v>6703</v>
      </c>
      <c r="AF1263" s="56">
        <v>10.64</v>
      </c>
      <c r="AG1263" s="56">
        <f>VLOOKUP(A1263,Sheet1!$A$2:$C$1140,3,FALSE)</f>
        <v>10.85</v>
      </c>
      <c r="AH1263" s="58">
        <v>10.85</v>
      </c>
      <c r="AI1263" s="56" t="str">
        <f t="shared" si="213"/>
        <v>Increase</v>
      </c>
      <c r="AJ1263" s="81">
        <f t="shared" si="217"/>
        <v>0</v>
      </c>
      <c r="AK1263" s="81">
        <f t="shared" si="218"/>
        <v>0</v>
      </c>
      <c r="AL1263" s="58" t="s">
        <v>7206</v>
      </c>
      <c r="AM1263" s="58" t="s">
        <v>6703</v>
      </c>
      <c r="AN1263" s="75">
        <v>2</v>
      </c>
      <c r="AO1263" s="88">
        <v>10.85</v>
      </c>
      <c r="AP1263" s="6" t="str">
        <f t="shared" si="214"/>
        <v>Increase</v>
      </c>
      <c r="AQ1263" s="81">
        <f t="shared" si="215"/>
        <v>21.28</v>
      </c>
      <c r="AR1263" s="81">
        <f t="shared" si="216"/>
        <v>21.7</v>
      </c>
      <c r="AS1263" s="81">
        <f t="shared" si="219"/>
        <v>0.41999999999999815</v>
      </c>
    </row>
    <row r="1264" spans="1:45" hidden="1" x14ac:dyDescent="0.3">
      <c r="A1264">
        <v>6391561</v>
      </c>
      <c r="B1264" s="15" t="s">
        <v>6600</v>
      </c>
      <c r="C1264" s="16" t="s">
        <v>30</v>
      </c>
      <c r="D1264" s="6" t="s">
        <v>31</v>
      </c>
      <c r="E1264" t="s">
        <v>1151</v>
      </c>
      <c r="F1264" t="s">
        <v>1151</v>
      </c>
      <c r="H1264" s="11" t="s">
        <v>27</v>
      </c>
      <c r="I1264" s="6" t="s">
        <v>28</v>
      </c>
      <c r="J1264" s="6" t="s">
        <v>28</v>
      </c>
      <c r="K1264" t="s">
        <v>32</v>
      </c>
      <c r="L1264" s="35">
        <v>20.89</v>
      </c>
      <c r="M1264" s="6" t="s">
        <v>29</v>
      </c>
      <c r="N1264" s="6">
        <v>3105</v>
      </c>
      <c r="P1264" s="18"/>
      <c r="Q1264" s="17"/>
      <c r="R1264" s="19">
        <v>20.89</v>
      </c>
      <c r="S1264" s="19">
        <v>20.89</v>
      </c>
      <c r="T1264" s="38">
        <v>0</v>
      </c>
      <c r="U1264" s="38"/>
      <c r="V1264" s="30">
        <v>20.89</v>
      </c>
      <c r="W1264" s="35">
        <v>20.89</v>
      </c>
      <c r="X1264" s="32">
        <f t="shared" si="209"/>
        <v>0</v>
      </c>
      <c r="Y1264" s="32">
        <f t="shared" si="210"/>
        <v>0</v>
      </c>
      <c r="Z1264" s="32">
        <f t="shared" si="211"/>
        <v>0</v>
      </c>
      <c r="AA1264" s="38" t="s">
        <v>2573</v>
      </c>
      <c r="AB1264" s="37" t="str">
        <f>IFERROR(VLOOKUP(A1264,'Tash Lookup'!A:E,3,FALSE),"")</f>
        <v/>
      </c>
      <c r="AC1264" s="6" t="str">
        <f t="shared" si="212"/>
        <v/>
      </c>
      <c r="AD1264" s="2" t="s">
        <v>6703</v>
      </c>
      <c r="AF1264" s="56">
        <v>21.52</v>
      </c>
      <c r="AG1264" s="56">
        <f>VLOOKUP(A1264,Sheet1!$A$2:$C$1140,3,FALSE)</f>
        <v>21.95</v>
      </c>
      <c r="AH1264" s="58">
        <v>21.95</v>
      </c>
      <c r="AI1264" s="56" t="str">
        <f t="shared" si="213"/>
        <v>Increase</v>
      </c>
      <c r="AJ1264" s="81">
        <f t="shared" si="217"/>
        <v>0</v>
      </c>
      <c r="AK1264" s="81">
        <f t="shared" si="218"/>
        <v>0</v>
      </c>
      <c r="AL1264" s="58" t="s">
        <v>7206</v>
      </c>
      <c r="AM1264" s="58" t="s">
        <v>6703</v>
      </c>
      <c r="AN1264" s="75">
        <v>0</v>
      </c>
      <c r="AO1264" s="88">
        <v>21.95</v>
      </c>
      <c r="AP1264" s="6" t="str">
        <f t="shared" si="214"/>
        <v>Increase</v>
      </c>
      <c r="AQ1264" s="81">
        <f t="shared" si="215"/>
        <v>0</v>
      </c>
      <c r="AR1264" s="81">
        <f t="shared" si="216"/>
        <v>0</v>
      </c>
      <c r="AS1264" s="81">
        <f t="shared" si="219"/>
        <v>0</v>
      </c>
    </row>
    <row r="1265" spans="1:45" hidden="1" x14ac:dyDescent="0.3">
      <c r="A1265">
        <v>6389325</v>
      </c>
      <c r="B1265" s="15" t="s">
        <v>6601</v>
      </c>
      <c r="C1265" s="16" t="s">
        <v>30</v>
      </c>
      <c r="D1265" s="6" t="s">
        <v>31</v>
      </c>
      <c r="E1265" t="s">
        <v>1152</v>
      </c>
      <c r="F1265" t="s">
        <v>1152</v>
      </c>
      <c r="H1265" s="11" t="s">
        <v>27</v>
      </c>
      <c r="I1265" s="6" t="s">
        <v>28</v>
      </c>
      <c r="J1265" s="6" t="s">
        <v>28</v>
      </c>
      <c r="K1265" t="s">
        <v>32</v>
      </c>
      <c r="L1265" s="35">
        <v>725.88</v>
      </c>
      <c r="M1265" s="6" t="s">
        <v>29</v>
      </c>
      <c r="N1265" s="6">
        <v>3105</v>
      </c>
      <c r="P1265" s="18"/>
      <c r="Q1265" s="17"/>
      <c r="R1265" s="19">
        <v>725.88</v>
      </c>
      <c r="S1265" s="19">
        <v>725.88</v>
      </c>
      <c r="T1265" s="38">
        <v>0</v>
      </c>
      <c r="U1265" s="38"/>
      <c r="V1265" s="30">
        <v>725.88</v>
      </c>
      <c r="W1265" s="35">
        <v>725.88</v>
      </c>
      <c r="X1265" s="32">
        <f t="shared" si="209"/>
        <v>0</v>
      </c>
      <c r="Y1265" s="32">
        <f t="shared" si="210"/>
        <v>0</v>
      </c>
      <c r="Z1265" s="32">
        <f t="shared" si="211"/>
        <v>0</v>
      </c>
      <c r="AA1265" s="38" t="s">
        <v>2573</v>
      </c>
      <c r="AB1265" s="37" t="str">
        <f>IFERROR(VLOOKUP(A1265,'Tash Lookup'!A:E,3,FALSE),"")</f>
        <v/>
      </c>
      <c r="AC1265" s="6" t="str">
        <f t="shared" si="212"/>
        <v/>
      </c>
      <c r="AD1265" s="2" t="s">
        <v>6703</v>
      </c>
      <c r="AF1265" s="56">
        <v>618</v>
      </c>
      <c r="AG1265" s="56">
        <f>VLOOKUP(A1265,Sheet1!$A$2:$C$1140,3,FALSE)</f>
        <v>618</v>
      </c>
      <c r="AH1265" s="58">
        <v>618</v>
      </c>
      <c r="AI1265" s="56" t="str">
        <f t="shared" si="213"/>
        <v>Same</v>
      </c>
      <c r="AJ1265" s="81">
        <f t="shared" si="217"/>
        <v>0</v>
      </c>
      <c r="AK1265" s="81">
        <f t="shared" si="218"/>
        <v>0</v>
      </c>
      <c r="AL1265" s="58" t="s">
        <v>7206</v>
      </c>
      <c r="AM1265" s="58" t="s">
        <v>6703</v>
      </c>
      <c r="AN1265" s="75">
        <v>0</v>
      </c>
      <c r="AO1265" s="88">
        <v>618</v>
      </c>
      <c r="AP1265" s="6" t="str">
        <f t="shared" si="214"/>
        <v>Same</v>
      </c>
      <c r="AQ1265" s="81">
        <f t="shared" si="215"/>
        <v>0</v>
      </c>
      <c r="AR1265" s="81">
        <f t="shared" si="216"/>
        <v>0</v>
      </c>
      <c r="AS1265" s="81">
        <f t="shared" si="219"/>
        <v>0</v>
      </c>
    </row>
    <row r="1266" spans="1:45" hidden="1" x14ac:dyDescent="0.3">
      <c r="A1266">
        <v>6389310</v>
      </c>
      <c r="B1266" s="15" t="s">
        <v>6602</v>
      </c>
      <c r="C1266" s="16" t="s">
        <v>30</v>
      </c>
      <c r="D1266" s="6" t="s">
        <v>31</v>
      </c>
      <c r="E1266" t="s">
        <v>1153</v>
      </c>
      <c r="F1266" t="s">
        <v>1153</v>
      </c>
      <c r="H1266" s="11" t="s">
        <v>27</v>
      </c>
      <c r="I1266" s="6" t="s">
        <v>28</v>
      </c>
      <c r="J1266" s="6" t="s">
        <v>28</v>
      </c>
      <c r="K1266" t="s">
        <v>32</v>
      </c>
      <c r="L1266" s="35">
        <v>725.88</v>
      </c>
      <c r="M1266" s="6" t="s">
        <v>29</v>
      </c>
      <c r="N1266" s="6">
        <v>3105</v>
      </c>
      <c r="P1266" s="18"/>
      <c r="Q1266" s="17"/>
      <c r="R1266" s="19">
        <v>725.88</v>
      </c>
      <c r="S1266" s="19">
        <v>725.88</v>
      </c>
      <c r="T1266" s="38">
        <v>0</v>
      </c>
      <c r="U1266" s="38"/>
      <c r="V1266" s="30">
        <v>725.88</v>
      </c>
      <c r="W1266" s="35">
        <v>725.88</v>
      </c>
      <c r="X1266" s="32">
        <f t="shared" si="209"/>
        <v>0</v>
      </c>
      <c r="Y1266" s="32">
        <f t="shared" si="210"/>
        <v>0</v>
      </c>
      <c r="Z1266" s="32">
        <f t="shared" si="211"/>
        <v>0</v>
      </c>
      <c r="AA1266" s="38" t="s">
        <v>2573</v>
      </c>
      <c r="AB1266" s="37" t="str">
        <f>IFERROR(VLOOKUP(A1266,'Tash Lookup'!A:E,3,FALSE),"")</f>
        <v/>
      </c>
      <c r="AC1266" s="6" t="str">
        <f t="shared" si="212"/>
        <v/>
      </c>
      <c r="AD1266" s="2" t="s">
        <v>6703</v>
      </c>
      <c r="AF1266" s="56">
        <v>737.1</v>
      </c>
      <c r="AG1266" s="56">
        <f>VLOOKUP(A1266,Sheet1!$A$2:$C$1140,3,FALSE)</f>
        <v>737.1</v>
      </c>
      <c r="AH1266" s="58">
        <v>737.1</v>
      </c>
      <c r="AI1266" s="56" t="str">
        <f t="shared" si="213"/>
        <v>Same</v>
      </c>
      <c r="AJ1266" s="81">
        <f t="shared" si="217"/>
        <v>0</v>
      </c>
      <c r="AK1266" s="81">
        <f t="shared" si="218"/>
        <v>0</v>
      </c>
      <c r="AL1266" s="58" t="s">
        <v>7206</v>
      </c>
      <c r="AM1266" s="58" t="s">
        <v>6703</v>
      </c>
      <c r="AN1266" s="75">
        <v>0</v>
      </c>
      <c r="AO1266" s="88">
        <v>737.1</v>
      </c>
      <c r="AP1266" s="6" t="str">
        <f t="shared" si="214"/>
        <v>Same</v>
      </c>
      <c r="AQ1266" s="81">
        <f t="shared" si="215"/>
        <v>0</v>
      </c>
      <c r="AR1266" s="81">
        <f t="shared" si="216"/>
        <v>0</v>
      </c>
      <c r="AS1266" s="81">
        <f t="shared" si="219"/>
        <v>0</v>
      </c>
    </row>
    <row r="1267" spans="1:45" hidden="1" x14ac:dyDescent="0.3">
      <c r="A1267">
        <v>6389298</v>
      </c>
      <c r="B1267" s="15" t="s">
        <v>6603</v>
      </c>
      <c r="C1267" s="16" t="s">
        <v>30</v>
      </c>
      <c r="D1267" s="6" t="s">
        <v>31</v>
      </c>
      <c r="E1267" t="s">
        <v>1154</v>
      </c>
      <c r="F1267" t="s">
        <v>1154</v>
      </c>
      <c r="H1267" s="11" t="s">
        <v>27</v>
      </c>
      <c r="I1267" s="6" t="s">
        <v>28</v>
      </c>
      <c r="J1267" s="6" t="s">
        <v>28</v>
      </c>
      <c r="K1267" t="s">
        <v>32</v>
      </c>
      <c r="L1267" s="35">
        <v>1421.4</v>
      </c>
      <c r="M1267" s="6" t="s">
        <v>29</v>
      </c>
      <c r="N1267" s="6">
        <v>3105</v>
      </c>
      <c r="P1267" s="18"/>
      <c r="Q1267" s="17"/>
      <c r="R1267" s="19">
        <v>1421.4</v>
      </c>
      <c r="S1267" s="19">
        <v>1421.4</v>
      </c>
      <c r="T1267" s="38">
        <v>0</v>
      </c>
      <c r="U1267" s="38"/>
      <c r="V1267" s="30">
        <v>1421.4</v>
      </c>
      <c r="W1267" s="35">
        <v>1421.4</v>
      </c>
      <c r="X1267" s="32">
        <f t="shared" si="209"/>
        <v>0</v>
      </c>
      <c r="Y1267" s="32">
        <f t="shared" si="210"/>
        <v>0</v>
      </c>
      <c r="Z1267" s="32">
        <f t="shared" si="211"/>
        <v>0</v>
      </c>
      <c r="AA1267" s="38" t="s">
        <v>2573</v>
      </c>
      <c r="AB1267" s="37" t="str">
        <f>IFERROR(VLOOKUP(A1267,'Tash Lookup'!A:E,3,FALSE),"")</f>
        <v/>
      </c>
      <c r="AC1267" s="6" t="str">
        <f t="shared" si="212"/>
        <v/>
      </c>
      <c r="AD1267" s="2" t="s">
        <v>6707</v>
      </c>
      <c r="AF1267" s="56">
        <v>1421.4</v>
      </c>
      <c r="AG1267" s="56" t="e">
        <f>VLOOKUP(A1267,Sheet1!$A$2:$C$1140,3,FALSE)</f>
        <v>#N/A</v>
      </c>
      <c r="AH1267" s="58" t="e">
        <v>#N/A</v>
      </c>
      <c r="AI1267" s="56" t="str">
        <f t="shared" si="213"/>
        <v>Delete</v>
      </c>
      <c r="AJ1267" s="81">
        <f t="shared" si="217"/>
        <v>0</v>
      </c>
      <c r="AK1267" s="81">
        <f t="shared" si="218"/>
        <v>0</v>
      </c>
      <c r="AL1267" s="58" t="s">
        <v>7206</v>
      </c>
      <c r="AM1267" s="58" t="s">
        <v>6708</v>
      </c>
      <c r="AN1267" s="75">
        <v>0</v>
      </c>
      <c r="AO1267" s="88">
        <v>1421.4</v>
      </c>
      <c r="AP1267" s="6" t="str">
        <f t="shared" si="214"/>
        <v>Same</v>
      </c>
      <c r="AQ1267" s="81">
        <f t="shared" si="215"/>
        <v>0</v>
      </c>
      <c r="AR1267" s="81">
        <f t="shared" si="216"/>
        <v>0</v>
      </c>
      <c r="AS1267" s="81">
        <f t="shared" si="219"/>
        <v>0</v>
      </c>
    </row>
    <row r="1268" spans="1:45" hidden="1" x14ac:dyDescent="0.3">
      <c r="A1268">
        <v>6389324</v>
      </c>
      <c r="B1268" s="15" t="s">
        <v>6604</v>
      </c>
      <c r="C1268" s="16" t="s">
        <v>30</v>
      </c>
      <c r="D1268" s="6" t="s">
        <v>31</v>
      </c>
      <c r="E1268" t="s">
        <v>1155</v>
      </c>
      <c r="F1268" t="s">
        <v>1155</v>
      </c>
      <c r="H1268" s="11" t="s">
        <v>27</v>
      </c>
      <c r="I1268" s="6" t="s">
        <v>28</v>
      </c>
      <c r="J1268" s="6" t="s">
        <v>28</v>
      </c>
      <c r="K1268" t="s">
        <v>32</v>
      </c>
      <c r="L1268" s="35">
        <v>1421.4</v>
      </c>
      <c r="M1268" s="6" t="s">
        <v>29</v>
      </c>
      <c r="N1268" s="6">
        <v>3105</v>
      </c>
      <c r="P1268" s="18"/>
      <c r="Q1268" s="17"/>
      <c r="R1268" s="19">
        <v>1421.4</v>
      </c>
      <c r="S1268" s="19">
        <v>1421.4</v>
      </c>
      <c r="T1268" s="38">
        <v>0</v>
      </c>
      <c r="U1268" s="38"/>
      <c r="V1268" s="30">
        <v>1421.4</v>
      </c>
      <c r="W1268" s="35">
        <v>1421.4</v>
      </c>
      <c r="X1268" s="32">
        <f t="shared" si="209"/>
        <v>0</v>
      </c>
      <c r="Y1268" s="32">
        <f t="shared" si="210"/>
        <v>0</v>
      </c>
      <c r="Z1268" s="32">
        <f t="shared" si="211"/>
        <v>0</v>
      </c>
      <c r="AA1268" s="38" t="s">
        <v>2573</v>
      </c>
      <c r="AB1268" s="37" t="str">
        <f>IFERROR(VLOOKUP(A1268,'Tash Lookup'!A:E,3,FALSE),"")</f>
        <v/>
      </c>
      <c r="AC1268" s="6" t="str">
        <f t="shared" si="212"/>
        <v/>
      </c>
      <c r="AD1268" s="2" t="s">
        <v>6707</v>
      </c>
      <c r="AF1268" s="56">
        <v>1421.4</v>
      </c>
      <c r="AG1268" s="56" t="e">
        <f>VLOOKUP(A1268,Sheet1!$A$2:$C$1140,3,FALSE)</f>
        <v>#N/A</v>
      </c>
      <c r="AH1268" s="58" t="e">
        <v>#N/A</v>
      </c>
      <c r="AI1268" s="56" t="str">
        <f t="shared" si="213"/>
        <v>Delete</v>
      </c>
      <c r="AJ1268" s="81">
        <f t="shared" si="217"/>
        <v>0</v>
      </c>
      <c r="AK1268" s="81">
        <f t="shared" si="218"/>
        <v>0</v>
      </c>
      <c r="AL1268" s="58" t="s">
        <v>7206</v>
      </c>
      <c r="AM1268" s="58" t="s">
        <v>6708</v>
      </c>
      <c r="AN1268" s="75">
        <v>0</v>
      </c>
      <c r="AO1268" s="88">
        <v>1421.4</v>
      </c>
      <c r="AP1268" s="6" t="str">
        <f t="shared" si="214"/>
        <v>Same</v>
      </c>
      <c r="AQ1268" s="81">
        <f t="shared" si="215"/>
        <v>0</v>
      </c>
      <c r="AR1268" s="81">
        <f t="shared" si="216"/>
        <v>0</v>
      </c>
      <c r="AS1268" s="81">
        <f t="shared" si="219"/>
        <v>0</v>
      </c>
    </row>
    <row r="1269" spans="1:45" hidden="1" x14ac:dyDescent="0.3">
      <c r="A1269">
        <v>6291959</v>
      </c>
      <c r="B1269" s="15" t="s">
        <v>6605</v>
      </c>
      <c r="C1269" s="16" t="s">
        <v>30</v>
      </c>
      <c r="D1269" s="6" t="s">
        <v>31</v>
      </c>
      <c r="E1269" t="s">
        <v>2566</v>
      </c>
      <c r="F1269" t="s">
        <v>2566</v>
      </c>
      <c r="H1269" s="11" t="s">
        <v>27</v>
      </c>
      <c r="I1269" s="6" t="s">
        <v>28</v>
      </c>
      <c r="J1269" s="6" t="s">
        <v>28</v>
      </c>
      <c r="K1269" t="s">
        <v>32</v>
      </c>
      <c r="L1269" s="35">
        <v>1921.92</v>
      </c>
      <c r="M1269" s="6" t="s">
        <v>29</v>
      </c>
      <c r="N1269" s="6">
        <v>3105</v>
      </c>
      <c r="P1269" s="18"/>
      <c r="Q1269" s="17"/>
      <c r="R1269" s="19">
        <v>1921.92</v>
      </c>
      <c r="S1269" s="19">
        <v>1921.92</v>
      </c>
      <c r="T1269" s="38">
        <v>0</v>
      </c>
      <c r="U1269" s="38"/>
      <c r="V1269" s="30">
        <v>1921.92</v>
      </c>
      <c r="W1269" s="35">
        <v>1921.92</v>
      </c>
      <c r="X1269" s="32">
        <f t="shared" si="209"/>
        <v>0</v>
      </c>
      <c r="Y1269" s="32">
        <f t="shared" si="210"/>
        <v>0</v>
      </c>
      <c r="Z1269" s="32">
        <f t="shared" si="211"/>
        <v>0</v>
      </c>
      <c r="AA1269" s="38" t="s">
        <v>2573</v>
      </c>
      <c r="AB1269" s="37" t="str">
        <f>IFERROR(VLOOKUP(A1269,'Tash Lookup'!A:E,3,FALSE),"")</f>
        <v/>
      </c>
      <c r="AC1269" s="6" t="str">
        <f t="shared" si="212"/>
        <v/>
      </c>
      <c r="AD1269" s="2" t="s">
        <v>6707</v>
      </c>
      <c r="AF1269" s="56">
        <v>1921.92</v>
      </c>
      <c r="AG1269" s="56" t="e">
        <f>VLOOKUP(A1269,Sheet1!$A$2:$C$1140,3,FALSE)</f>
        <v>#N/A</v>
      </c>
      <c r="AH1269" s="58" t="e">
        <v>#N/A</v>
      </c>
      <c r="AI1269" s="56" t="str">
        <f t="shared" si="213"/>
        <v>Delete</v>
      </c>
      <c r="AJ1269" s="81">
        <f t="shared" si="217"/>
        <v>0</v>
      </c>
      <c r="AK1269" s="81">
        <f t="shared" si="218"/>
        <v>0</v>
      </c>
      <c r="AL1269" s="58" t="s">
        <v>7206</v>
      </c>
      <c r="AM1269" s="58" t="s">
        <v>6708</v>
      </c>
      <c r="AN1269" s="75">
        <v>0</v>
      </c>
      <c r="AO1269" s="88">
        <v>1921.92</v>
      </c>
      <c r="AP1269" s="6" t="str">
        <f t="shared" si="214"/>
        <v>Same</v>
      </c>
      <c r="AQ1269" s="81">
        <f t="shared" si="215"/>
        <v>0</v>
      </c>
      <c r="AR1269" s="81">
        <f t="shared" si="216"/>
        <v>0</v>
      </c>
      <c r="AS1269" s="81">
        <f t="shared" si="219"/>
        <v>0</v>
      </c>
    </row>
    <row r="1270" spans="1:45" hidden="1" x14ac:dyDescent="0.3">
      <c r="A1270">
        <v>6389331</v>
      </c>
      <c r="B1270" s="15" t="s">
        <v>6606</v>
      </c>
      <c r="C1270" s="16" t="s">
        <v>30</v>
      </c>
      <c r="D1270" s="6" t="s">
        <v>31</v>
      </c>
      <c r="E1270" t="s">
        <v>1156</v>
      </c>
      <c r="F1270" t="s">
        <v>1156</v>
      </c>
      <c r="H1270" s="11" t="s">
        <v>27</v>
      </c>
      <c r="I1270" s="6" t="s">
        <v>28</v>
      </c>
      <c r="J1270" s="6" t="s">
        <v>28</v>
      </c>
      <c r="K1270" t="s">
        <v>32</v>
      </c>
      <c r="L1270" s="35">
        <v>910.8</v>
      </c>
      <c r="M1270" s="6" t="s">
        <v>29</v>
      </c>
      <c r="N1270" s="6">
        <v>3105</v>
      </c>
      <c r="P1270" s="18"/>
      <c r="Q1270" s="17"/>
      <c r="R1270" s="19">
        <v>910.8</v>
      </c>
      <c r="S1270" s="19">
        <v>910.8</v>
      </c>
      <c r="T1270" s="38">
        <v>0</v>
      </c>
      <c r="U1270" s="38"/>
      <c r="V1270" s="30">
        <v>910.8</v>
      </c>
      <c r="W1270" s="35">
        <v>910.8</v>
      </c>
      <c r="X1270" s="32">
        <f t="shared" si="209"/>
        <v>0</v>
      </c>
      <c r="Y1270" s="32">
        <f t="shared" si="210"/>
        <v>0</v>
      </c>
      <c r="Z1270" s="32">
        <f t="shared" si="211"/>
        <v>0</v>
      </c>
      <c r="AA1270" s="38" t="s">
        <v>2573</v>
      </c>
      <c r="AB1270" s="37" t="str">
        <f>IFERROR(VLOOKUP(A1270,'Tash Lookup'!A:E,3,FALSE),"")</f>
        <v/>
      </c>
      <c r="AC1270" s="6" t="str">
        <f t="shared" si="212"/>
        <v/>
      </c>
      <c r="AD1270" s="2" t="s">
        <v>6703</v>
      </c>
      <c r="AF1270" s="56">
        <v>960</v>
      </c>
      <c r="AG1270" s="56">
        <f>VLOOKUP(A1270,Sheet1!$A$2:$C$1140,3,FALSE)</f>
        <v>960</v>
      </c>
      <c r="AH1270" s="58">
        <v>960</v>
      </c>
      <c r="AI1270" s="56" t="str">
        <f t="shared" si="213"/>
        <v>Same</v>
      </c>
      <c r="AJ1270" s="81">
        <f t="shared" si="217"/>
        <v>0</v>
      </c>
      <c r="AK1270" s="81">
        <f t="shared" si="218"/>
        <v>0</v>
      </c>
      <c r="AL1270" s="58" t="s">
        <v>7206</v>
      </c>
      <c r="AM1270" s="58" t="s">
        <v>6703</v>
      </c>
      <c r="AN1270" s="75">
        <v>0</v>
      </c>
      <c r="AO1270" s="88">
        <v>960</v>
      </c>
      <c r="AP1270" s="6" t="str">
        <f t="shared" si="214"/>
        <v>Same</v>
      </c>
      <c r="AQ1270" s="81">
        <f t="shared" si="215"/>
        <v>0</v>
      </c>
      <c r="AR1270" s="81">
        <f t="shared" si="216"/>
        <v>0</v>
      </c>
      <c r="AS1270" s="81">
        <f t="shared" si="219"/>
        <v>0</v>
      </c>
    </row>
    <row r="1271" spans="1:45" hidden="1" x14ac:dyDescent="0.3">
      <c r="A1271">
        <v>6389536</v>
      </c>
      <c r="B1271" s="15" t="s">
        <v>6607</v>
      </c>
      <c r="C1271" s="16" t="s">
        <v>30</v>
      </c>
      <c r="D1271" s="6" t="s">
        <v>31</v>
      </c>
      <c r="E1271" t="s">
        <v>1157</v>
      </c>
      <c r="F1271" t="s">
        <v>1157</v>
      </c>
      <c r="H1271" s="11" t="s">
        <v>27</v>
      </c>
      <c r="I1271" s="6" t="s">
        <v>28</v>
      </c>
      <c r="J1271" s="6" t="s">
        <v>28</v>
      </c>
      <c r="K1271" t="s">
        <v>32</v>
      </c>
      <c r="L1271" s="35">
        <v>910.8</v>
      </c>
      <c r="M1271" s="6" t="s">
        <v>29</v>
      </c>
      <c r="N1271" s="6">
        <v>3105</v>
      </c>
      <c r="P1271" s="18"/>
      <c r="Q1271" s="17"/>
      <c r="R1271" s="19">
        <v>910.8</v>
      </c>
      <c r="S1271" s="19">
        <v>910.8</v>
      </c>
      <c r="T1271" s="38">
        <v>0</v>
      </c>
      <c r="U1271" s="38"/>
      <c r="V1271" s="30">
        <v>910.8</v>
      </c>
      <c r="W1271" s="35">
        <v>910.8</v>
      </c>
      <c r="X1271" s="32">
        <f t="shared" si="209"/>
        <v>0</v>
      </c>
      <c r="Y1271" s="32">
        <f t="shared" si="210"/>
        <v>0</v>
      </c>
      <c r="Z1271" s="32">
        <f t="shared" si="211"/>
        <v>0</v>
      </c>
      <c r="AA1271" s="38" t="s">
        <v>2573</v>
      </c>
      <c r="AB1271" s="37" t="str">
        <f>IFERROR(VLOOKUP(A1271,'Tash Lookup'!A:E,3,FALSE),"")</f>
        <v/>
      </c>
      <c r="AC1271" s="6" t="str">
        <f t="shared" si="212"/>
        <v/>
      </c>
      <c r="AD1271" s="2" t="s">
        <v>6703</v>
      </c>
      <c r="AF1271" s="56">
        <v>910.8</v>
      </c>
      <c r="AG1271" s="56">
        <f>VLOOKUP(A1271,Sheet1!$A$2:$C$1140,3,FALSE)</f>
        <v>910.8</v>
      </c>
      <c r="AH1271" s="58">
        <v>910.8</v>
      </c>
      <c r="AI1271" s="56" t="str">
        <f t="shared" si="213"/>
        <v>Same</v>
      </c>
      <c r="AJ1271" s="81">
        <f t="shared" si="217"/>
        <v>0</v>
      </c>
      <c r="AK1271" s="81">
        <f t="shared" si="218"/>
        <v>0</v>
      </c>
      <c r="AL1271" s="58" t="s">
        <v>7206</v>
      </c>
      <c r="AM1271" s="58" t="s">
        <v>6703</v>
      </c>
      <c r="AN1271" s="75">
        <v>0</v>
      </c>
      <c r="AO1271" s="88">
        <v>910.8</v>
      </c>
      <c r="AP1271" s="6" t="str">
        <f t="shared" si="214"/>
        <v>Same</v>
      </c>
      <c r="AQ1271" s="81">
        <f t="shared" si="215"/>
        <v>0</v>
      </c>
      <c r="AR1271" s="81">
        <f t="shared" si="216"/>
        <v>0</v>
      </c>
      <c r="AS1271" s="81">
        <f t="shared" si="219"/>
        <v>0</v>
      </c>
    </row>
    <row r="1272" spans="1:45" hidden="1" x14ac:dyDescent="0.3">
      <c r="A1272">
        <v>6090339</v>
      </c>
      <c r="B1272" s="15" t="s">
        <v>6608</v>
      </c>
      <c r="C1272" s="16" t="s">
        <v>30</v>
      </c>
      <c r="D1272" s="6" t="s">
        <v>31</v>
      </c>
      <c r="E1272" t="s">
        <v>1158</v>
      </c>
      <c r="F1272" t="s">
        <v>1158</v>
      </c>
      <c r="H1272" s="11" t="s">
        <v>27</v>
      </c>
      <c r="I1272" s="6" t="s">
        <v>28</v>
      </c>
      <c r="J1272" s="6" t="s">
        <v>28</v>
      </c>
      <c r="K1272" t="s">
        <v>32</v>
      </c>
      <c r="L1272" s="35">
        <v>8.5299999999999994</v>
      </c>
      <c r="M1272" s="6" t="s">
        <v>29</v>
      </c>
      <c r="N1272" s="6">
        <v>3105</v>
      </c>
      <c r="P1272" s="18"/>
      <c r="Q1272" s="17"/>
      <c r="R1272" s="19">
        <v>0</v>
      </c>
      <c r="S1272" s="19">
        <v>0</v>
      </c>
      <c r="T1272" s="38">
        <v>0</v>
      </c>
      <c r="U1272" s="38"/>
      <c r="V1272" s="31">
        <v>8.5299999999999994</v>
      </c>
      <c r="W1272" s="35">
        <v>8.5299999999999994</v>
      </c>
      <c r="X1272" s="32">
        <f t="shared" si="209"/>
        <v>0</v>
      </c>
      <c r="Y1272" s="32">
        <f t="shared" si="210"/>
        <v>0</v>
      </c>
      <c r="Z1272" s="32">
        <f t="shared" si="211"/>
        <v>0</v>
      </c>
      <c r="AA1272" s="38" t="s">
        <v>2573</v>
      </c>
      <c r="AB1272" s="37" t="str">
        <f>IFERROR(VLOOKUP(A1272,'Tash Lookup'!A:E,3,FALSE),"")</f>
        <v/>
      </c>
      <c r="AC1272" s="6" t="str">
        <f t="shared" si="212"/>
        <v/>
      </c>
      <c r="AD1272" s="2" t="s">
        <v>6703</v>
      </c>
      <c r="AF1272" s="56">
        <v>8.9700000000000006</v>
      </c>
      <c r="AG1272" s="56">
        <f>VLOOKUP(A1272,Sheet1!$A$2:$C$1140,3,FALSE)</f>
        <v>8.9700000000000006</v>
      </c>
      <c r="AH1272" s="58">
        <v>8.9700000000000006</v>
      </c>
      <c r="AI1272" s="56" t="str">
        <f t="shared" si="213"/>
        <v>Same</v>
      </c>
      <c r="AJ1272" s="81">
        <f t="shared" si="217"/>
        <v>0</v>
      </c>
      <c r="AK1272" s="81">
        <f t="shared" si="218"/>
        <v>0</v>
      </c>
      <c r="AL1272" s="58" t="s">
        <v>7206</v>
      </c>
      <c r="AM1272" s="58" t="s">
        <v>6703</v>
      </c>
      <c r="AN1272" s="75">
        <v>0</v>
      </c>
      <c r="AO1272" s="88">
        <v>8.9700000000000006</v>
      </c>
      <c r="AP1272" s="6" t="str">
        <f t="shared" si="214"/>
        <v>Same</v>
      </c>
      <c r="AQ1272" s="81">
        <f t="shared" si="215"/>
        <v>0</v>
      </c>
      <c r="AR1272" s="81">
        <f t="shared" si="216"/>
        <v>0</v>
      </c>
      <c r="AS1272" s="81">
        <f t="shared" si="219"/>
        <v>0</v>
      </c>
    </row>
    <row r="1273" spans="1:45" hidden="1" x14ac:dyDescent="0.3">
      <c r="A1273">
        <v>6386660</v>
      </c>
      <c r="B1273" s="15" t="s">
        <v>6609</v>
      </c>
      <c r="C1273" s="16" t="s">
        <v>30</v>
      </c>
      <c r="D1273" s="6" t="s">
        <v>31</v>
      </c>
      <c r="E1273" t="s">
        <v>634</v>
      </c>
      <c r="F1273" t="s">
        <v>634</v>
      </c>
      <c r="H1273" s="11" t="s">
        <v>27</v>
      </c>
      <c r="I1273" s="6" t="s">
        <v>28</v>
      </c>
      <c r="J1273" s="6" t="s">
        <v>28</v>
      </c>
      <c r="K1273" t="s">
        <v>32</v>
      </c>
      <c r="L1273" s="35">
        <v>29.3</v>
      </c>
      <c r="M1273" s="6" t="s">
        <v>29</v>
      </c>
      <c r="N1273" s="6">
        <v>3105</v>
      </c>
      <c r="P1273" s="18"/>
      <c r="Q1273" s="17"/>
      <c r="R1273" s="19">
        <v>29.3</v>
      </c>
      <c r="S1273" s="19">
        <v>29.3</v>
      </c>
      <c r="T1273" s="38">
        <v>0</v>
      </c>
      <c r="U1273" s="38"/>
      <c r="V1273" s="30">
        <v>29.3</v>
      </c>
      <c r="W1273" s="35">
        <v>29.3</v>
      </c>
      <c r="X1273" s="32">
        <f t="shared" si="209"/>
        <v>0</v>
      </c>
      <c r="Y1273" s="32">
        <f t="shared" si="210"/>
        <v>0</v>
      </c>
      <c r="Z1273" s="32">
        <f t="shared" si="211"/>
        <v>0</v>
      </c>
      <c r="AA1273" s="38" t="s">
        <v>2573</v>
      </c>
      <c r="AB1273" s="37" t="str">
        <f>IFERROR(VLOOKUP(A1273,'Tash Lookup'!A:E,3,FALSE),"")</f>
        <v/>
      </c>
      <c r="AC1273" s="6" t="str">
        <f t="shared" si="212"/>
        <v/>
      </c>
      <c r="AD1273" s="2" t="s">
        <v>6707</v>
      </c>
      <c r="AF1273" s="56">
        <v>29.3</v>
      </c>
      <c r="AG1273" s="56" t="e">
        <f>VLOOKUP(A1273,Sheet1!$A$2:$C$1140,3,FALSE)</f>
        <v>#N/A</v>
      </c>
      <c r="AH1273" s="58" t="e">
        <v>#N/A</v>
      </c>
      <c r="AI1273" s="56" t="str">
        <f t="shared" si="213"/>
        <v>Delete</v>
      </c>
      <c r="AJ1273" s="81">
        <f t="shared" si="217"/>
        <v>0</v>
      </c>
      <c r="AK1273" s="81">
        <f t="shared" si="218"/>
        <v>0</v>
      </c>
      <c r="AL1273" s="58" t="s">
        <v>7206</v>
      </c>
      <c r="AM1273" s="58" t="s">
        <v>6709</v>
      </c>
      <c r="AN1273" s="75">
        <v>0</v>
      </c>
      <c r="AO1273" s="88">
        <v>29.3</v>
      </c>
      <c r="AP1273" s="6" t="str">
        <f t="shared" si="214"/>
        <v>Same</v>
      </c>
      <c r="AQ1273" s="81">
        <f t="shared" si="215"/>
        <v>0</v>
      </c>
      <c r="AR1273" s="81">
        <f t="shared" si="216"/>
        <v>0</v>
      </c>
      <c r="AS1273" s="81">
        <f t="shared" si="219"/>
        <v>0</v>
      </c>
    </row>
    <row r="1274" spans="1:45" hidden="1" x14ac:dyDescent="0.3">
      <c r="A1274">
        <v>6389623</v>
      </c>
      <c r="B1274" s="15" t="s">
        <v>6610</v>
      </c>
      <c r="C1274" s="16" t="s">
        <v>30</v>
      </c>
      <c r="D1274" s="6" t="s">
        <v>31</v>
      </c>
      <c r="E1274" t="s">
        <v>637</v>
      </c>
      <c r="F1274" t="s">
        <v>637</v>
      </c>
      <c r="H1274" s="11" t="s">
        <v>27</v>
      </c>
      <c r="I1274" s="6" t="s">
        <v>28</v>
      </c>
      <c r="J1274" s="6" t="s">
        <v>28</v>
      </c>
      <c r="K1274" t="s">
        <v>32</v>
      </c>
      <c r="L1274" s="35">
        <v>44.72</v>
      </c>
      <c r="M1274" s="6" t="s">
        <v>29</v>
      </c>
      <c r="N1274" s="6">
        <v>3105</v>
      </c>
      <c r="P1274" s="18"/>
      <c r="Q1274" s="17"/>
      <c r="R1274" s="19">
        <v>44.72</v>
      </c>
      <c r="S1274" s="19">
        <v>44.72</v>
      </c>
      <c r="T1274" s="38">
        <v>0</v>
      </c>
      <c r="U1274" s="38"/>
      <c r="V1274" s="30">
        <v>44.72</v>
      </c>
      <c r="W1274" s="35">
        <v>44.72</v>
      </c>
      <c r="X1274" s="32">
        <f t="shared" si="209"/>
        <v>0</v>
      </c>
      <c r="Y1274" s="32">
        <f t="shared" si="210"/>
        <v>0</v>
      </c>
      <c r="Z1274" s="32">
        <f t="shared" si="211"/>
        <v>0</v>
      </c>
      <c r="AA1274" s="38" t="s">
        <v>2573</v>
      </c>
      <c r="AB1274" s="37" t="str">
        <f>IFERROR(VLOOKUP(A1274,'Tash Lookup'!A:E,3,FALSE),"")</f>
        <v/>
      </c>
      <c r="AC1274" s="6" t="str">
        <f t="shared" si="212"/>
        <v/>
      </c>
      <c r="AD1274" s="2" t="s">
        <v>6703</v>
      </c>
      <c r="AF1274" s="56">
        <v>47.03</v>
      </c>
      <c r="AG1274" s="56">
        <f>VLOOKUP(A1274,Sheet1!$A$2:$C$1140,3,FALSE)</f>
        <v>47.03</v>
      </c>
      <c r="AH1274" s="58">
        <v>47.03</v>
      </c>
      <c r="AI1274" s="56" t="str">
        <f t="shared" si="213"/>
        <v>Same</v>
      </c>
      <c r="AJ1274" s="81">
        <f t="shared" si="217"/>
        <v>0</v>
      </c>
      <c r="AK1274" s="81">
        <f t="shared" si="218"/>
        <v>0</v>
      </c>
      <c r="AL1274" s="58" t="s">
        <v>7206</v>
      </c>
      <c r="AM1274" s="58" t="s">
        <v>6703</v>
      </c>
      <c r="AN1274" s="75">
        <v>0</v>
      </c>
      <c r="AO1274" s="88">
        <v>47.03</v>
      </c>
      <c r="AP1274" s="6" t="str">
        <f t="shared" si="214"/>
        <v>Same</v>
      </c>
      <c r="AQ1274" s="81">
        <f t="shared" si="215"/>
        <v>0</v>
      </c>
      <c r="AR1274" s="81">
        <f t="shared" si="216"/>
        <v>0</v>
      </c>
      <c r="AS1274" s="81">
        <f t="shared" si="219"/>
        <v>0</v>
      </c>
    </row>
    <row r="1275" spans="1:45" hidden="1" x14ac:dyDescent="0.3">
      <c r="A1275">
        <v>6386664</v>
      </c>
      <c r="B1275" s="15" t="s">
        <v>6611</v>
      </c>
      <c r="C1275" s="16" t="s">
        <v>30</v>
      </c>
      <c r="D1275" s="6" t="s">
        <v>31</v>
      </c>
      <c r="E1275" t="s">
        <v>638</v>
      </c>
      <c r="F1275" t="s">
        <v>638</v>
      </c>
      <c r="H1275" s="11" t="s">
        <v>27</v>
      </c>
      <c r="I1275" s="6" t="s">
        <v>28</v>
      </c>
      <c r="J1275" s="6" t="s">
        <v>28</v>
      </c>
      <c r="K1275" t="s">
        <v>32</v>
      </c>
      <c r="L1275" s="35">
        <v>24.29</v>
      </c>
      <c r="M1275" s="6" t="s">
        <v>29</v>
      </c>
      <c r="N1275" s="6">
        <v>3105</v>
      </c>
      <c r="P1275" s="18"/>
      <c r="Q1275" s="17"/>
      <c r="R1275" s="19">
        <v>24.29</v>
      </c>
      <c r="S1275" s="19">
        <v>24.29</v>
      </c>
      <c r="T1275" s="38">
        <v>0</v>
      </c>
      <c r="U1275" s="38"/>
      <c r="V1275" s="30">
        <v>24.29</v>
      </c>
      <c r="W1275" s="35">
        <v>24.29</v>
      </c>
      <c r="X1275" s="32">
        <f t="shared" si="209"/>
        <v>0</v>
      </c>
      <c r="Y1275" s="32">
        <f t="shared" si="210"/>
        <v>0</v>
      </c>
      <c r="Z1275" s="32">
        <f t="shared" si="211"/>
        <v>0</v>
      </c>
      <c r="AA1275" s="38" t="s">
        <v>2573</v>
      </c>
      <c r="AB1275" s="37" t="str">
        <f>IFERROR(VLOOKUP(A1275,'Tash Lookup'!A:E,3,FALSE),"")</f>
        <v/>
      </c>
      <c r="AC1275" s="6" t="str">
        <f t="shared" si="212"/>
        <v/>
      </c>
      <c r="AD1275" s="2" t="s">
        <v>6707</v>
      </c>
      <c r="AF1275" s="56">
        <v>24.29</v>
      </c>
      <c r="AG1275" s="56" t="e">
        <f>VLOOKUP(A1275,Sheet1!$A$2:$C$1140,3,FALSE)</f>
        <v>#N/A</v>
      </c>
      <c r="AH1275" s="58" t="e">
        <v>#N/A</v>
      </c>
      <c r="AI1275" s="56" t="str">
        <f t="shared" si="213"/>
        <v>Delete</v>
      </c>
      <c r="AJ1275" s="81">
        <f t="shared" si="217"/>
        <v>0</v>
      </c>
      <c r="AK1275" s="81">
        <f t="shared" si="218"/>
        <v>0</v>
      </c>
      <c r="AL1275" s="58" t="s">
        <v>7206</v>
      </c>
      <c r="AM1275" s="58" t="s">
        <v>6709</v>
      </c>
      <c r="AN1275" s="75">
        <v>0</v>
      </c>
      <c r="AO1275" s="88">
        <v>24.29</v>
      </c>
      <c r="AP1275" s="6" t="str">
        <f t="shared" si="214"/>
        <v>Same</v>
      </c>
      <c r="AQ1275" s="81">
        <f t="shared" si="215"/>
        <v>0</v>
      </c>
      <c r="AR1275" s="81">
        <f t="shared" si="216"/>
        <v>0</v>
      </c>
      <c r="AS1275" s="81">
        <f t="shared" si="219"/>
        <v>0</v>
      </c>
    </row>
    <row r="1276" spans="1:45" hidden="1" x14ac:dyDescent="0.3">
      <c r="A1276">
        <v>6389621</v>
      </c>
      <c r="B1276" s="15" t="s">
        <v>6612</v>
      </c>
      <c r="C1276" s="16" t="s">
        <v>30</v>
      </c>
      <c r="D1276" s="6" t="s">
        <v>31</v>
      </c>
      <c r="E1276" t="s">
        <v>642</v>
      </c>
      <c r="F1276" t="s">
        <v>642</v>
      </c>
      <c r="H1276" s="11" t="s">
        <v>27</v>
      </c>
      <c r="I1276" s="6" t="s">
        <v>28</v>
      </c>
      <c r="J1276" s="6" t="s">
        <v>28</v>
      </c>
      <c r="K1276" t="s">
        <v>32</v>
      </c>
      <c r="L1276" s="35">
        <v>8.36</v>
      </c>
      <c r="M1276" s="6" t="s">
        <v>29</v>
      </c>
      <c r="N1276" s="6">
        <v>3105</v>
      </c>
      <c r="P1276" s="18"/>
      <c r="Q1276" s="17"/>
      <c r="R1276" s="19">
        <v>8.36</v>
      </c>
      <c r="S1276" s="19">
        <v>8.36</v>
      </c>
      <c r="T1276" s="38">
        <v>0</v>
      </c>
      <c r="U1276" s="38"/>
      <c r="V1276" s="30">
        <v>8.36</v>
      </c>
      <c r="W1276" s="35">
        <v>8.36</v>
      </c>
      <c r="X1276" s="32">
        <f t="shared" si="209"/>
        <v>0</v>
      </c>
      <c r="Y1276" s="32">
        <f t="shared" si="210"/>
        <v>0</v>
      </c>
      <c r="Z1276" s="32">
        <f t="shared" si="211"/>
        <v>0</v>
      </c>
      <c r="AA1276" s="38" t="s">
        <v>2573</v>
      </c>
      <c r="AB1276" s="37" t="str">
        <f>IFERROR(VLOOKUP(A1276,'Tash Lookup'!A:E,3,FALSE),"")</f>
        <v/>
      </c>
      <c r="AC1276" s="6" t="str">
        <f t="shared" si="212"/>
        <v/>
      </c>
      <c r="AD1276" s="2" t="s">
        <v>6704</v>
      </c>
      <c r="AF1276" s="56">
        <v>8.36</v>
      </c>
      <c r="AG1276" s="56" t="e">
        <f>VLOOKUP(A1276,Sheet1!$A$2:$C$1140,3,FALSE)</f>
        <v>#N/A</v>
      </c>
      <c r="AH1276" s="58" t="e">
        <v>#N/A</v>
      </c>
      <c r="AI1276" s="56" t="str">
        <f t="shared" si="213"/>
        <v>Delete</v>
      </c>
      <c r="AJ1276" s="81">
        <f t="shared" si="217"/>
        <v>0</v>
      </c>
      <c r="AK1276" s="81">
        <f t="shared" si="218"/>
        <v>0</v>
      </c>
      <c r="AL1276" s="58" t="s">
        <v>7206</v>
      </c>
      <c r="AM1276" s="58" t="s">
        <v>6708</v>
      </c>
      <c r="AN1276" s="75">
        <v>0</v>
      </c>
      <c r="AO1276" s="88">
        <v>8.36</v>
      </c>
      <c r="AP1276" s="6" t="str">
        <f t="shared" si="214"/>
        <v>Same</v>
      </c>
      <c r="AQ1276" s="81">
        <f t="shared" si="215"/>
        <v>0</v>
      </c>
      <c r="AR1276" s="81">
        <f t="shared" si="216"/>
        <v>0</v>
      </c>
      <c r="AS1276" s="81">
        <f t="shared" si="219"/>
        <v>0</v>
      </c>
    </row>
    <row r="1277" spans="1:45" hidden="1" x14ac:dyDescent="0.3">
      <c r="A1277">
        <v>6403630</v>
      </c>
      <c r="B1277" s="15" t="s">
        <v>6613</v>
      </c>
      <c r="C1277" s="16" t="s">
        <v>30</v>
      </c>
      <c r="D1277" s="6" t="s">
        <v>31</v>
      </c>
      <c r="E1277" t="s">
        <v>1163</v>
      </c>
      <c r="F1277" t="s">
        <v>1163</v>
      </c>
      <c r="H1277" s="11" t="s">
        <v>27</v>
      </c>
      <c r="I1277" s="6" t="s">
        <v>28</v>
      </c>
      <c r="J1277" s="6" t="s">
        <v>28</v>
      </c>
      <c r="K1277" t="s">
        <v>32</v>
      </c>
      <c r="L1277" s="35">
        <v>22.02</v>
      </c>
      <c r="M1277" s="6" t="s">
        <v>29</v>
      </c>
      <c r="N1277" s="6">
        <v>3105</v>
      </c>
      <c r="P1277" s="18"/>
      <c r="Q1277" s="17"/>
      <c r="R1277" s="19">
        <v>22.02</v>
      </c>
      <c r="S1277" s="19">
        <v>22.02</v>
      </c>
      <c r="T1277" s="38">
        <v>0</v>
      </c>
      <c r="U1277" s="38"/>
      <c r="V1277" s="30">
        <v>22.02</v>
      </c>
      <c r="W1277" s="35">
        <v>22.02</v>
      </c>
      <c r="X1277" s="32">
        <f t="shared" si="209"/>
        <v>0</v>
      </c>
      <c r="Y1277" s="32">
        <f t="shared" si="210"/>
        <v>0</v>
      </c>
      <c r="Z1277" s="32">
        <f t="shared" si="211"/>
        <v>0</v>
      </c>
      <c r="AA1277" s="38" t="s">
        <v>2573</v>
      </c>
      <c r="AB1277" s="37" t="str">
        <f>IFERROR(VLOOKUP(A1277,'Tash Lookup'!A:E,3,FALSE),"")</f>
        <v/>
      </c>
      <c r="AC1277" s="6" t="str">
        <f t="shared" si="212"/>
        <v/>
      </c>
      <c r="AD1277" s="2" t="s">
        <v>6703</v>
      </c>
      <c r="AF1277" s="56">
        <v>22.13</v>
      </c>
      <c r="AG1277" s="56">
        <f>VLOOKUP(A1277,Sheet1!$A$2:$C$1140,3,FALSE)</f>
        <v>22.13</v>
      </c>
      <c r="AH1277" s="58">
        <v>22.13</v>
      </c>
      <c r="AI1277" s="56" t="str">
        <f t="shared" si="213"/>
        <v>Same</v>
      </c>
      <c r="AJ1277" s="81">
        <f t="shared" si="217"/>
        <v>0</v>
      </c>
      <c r="AK1277" s="81">
        <f t="shared" si="218"/>
        <v>0</v>
      </c>
      <c r="AL1277" s="58" t="s">
        <v>7206</v>
      </c>
      <c r="AM1277" s="58" t="s">
        <v>6703</v>
      </c>
      <c r="AN1277" s="75">
        <v>0</v>
      </c>
      <c r="AO1277" s="88">
        <v>22.13</v>
      </c>
      <c r="AP1277" s="6" t="str">
        <f t="shared" si="214"/>
        <v>Same</v>
      </c>
      <c r="AQ1277" s="81">
        <f t="shared" si="215"/>
        <v>0</v>
      </c>
      <c r="AR1277" s="81">
        <f t="shared" si="216"/>
        <v>0</v>
      </c>
      <c r="AS1277" s="81">
        <f t="shared" si="219"/>
        <v>0</v>
      </c>
    </row>
    <row r="1278" spans="1:45" hidden="1" x14ac:dyDescent="0.3">
      <c r="A1278">
        <v>5580780</v>
      </c>
      <c r="B1278" s="15" t="s">
        <v>6614</v>
      </c>
      <c r="C1278" s="16" t="s">
        <v>30</v>
      </c>
      <c r="D1278" s="6" t="s">
        <v>31</v>
      </c>
      <c r="E1278" t="s">
        <v>237</v>
      </c>
      <c r="F1278" t="s">
        <v>237</v>
      </c>
      <c r="H1278" s="11" t="s">
        <v>27</v>
      </c>
      <c r="I1278" s="6" t="s">
        <v>28</v>
      </c>
      <c r="J1278" s="6" t="s">
        <v>28</v>
      </c>
      <c r="K1278" t="s">
        <v>32</v>
      </c>
      <c r="L1278" s="35">
        <v>33.840000000000003</v>
      </c>
      <c r="M1278" s="6" t="s">
        <v>29</v>
      </c>
      <c r="N1278" s="6">
        <v>3105</v>
      </c>
      <c r="P1278" s="18"/>
      <c r="Q1278" s="17"/>
      <c r="R1278" s="19">
        <v>33.840000000000003</v>
      </c>
      <c r="S1278" s="19">
        <v>33.840000000000003</v>
      </c>
      <c r="T1278" s="38">
        <v>0</v>
      </c>
      <c r="U1278" s="38"/>
      <c r="V1278" s="30">
        <v>33.840000000000003</v>
      </c>
      <c r="W1278" s="35">
        <v>33.840000000000003</v>
      </c>
      <c r="X1278" s="32">
        <f t="shared" si="209"/>
        <v>0</v>
      </c>
      <c r="Y1278" s="32">
        <f t="shared" si="210"/>
        <v>0</v>
      </c>
      <c r="Z1278" s="32">
        <f t="shared" si="211"/>
        <v>0</v>
      </c>
      <c r="AA1278" s="38" t="s">
        <v>2573</v>
      </c>
      <c r="AB1278" s="37" t="str">
        <f>IFERROR(VLOOKUP(A1278,'Tash Lookup'!A:E,3,FALSE),"")</f>
        <v/>
      </c>
      <c r="AC1278" s="6" t="str">
        <f t="shared" si="212"/>
        <v/>
      </c>
      <c r="AD1278" s="2" t="s">
        <v>6711</v>
      </c>
      <c r="AE1278" s="2" t="s">
        <v>6701</v>
      </c>
      <c r="AF1278" s="56">
        <v>39.340000000000003</v>
      </c>
      <c r="AG1278" s="56" t="e">
        <f>VLOOKUP(A1278,Sheet1!$A$2:$C$1140,3,FALSE)</f>
        <v>#N/A</v>
      </c>
      <c r="AH1278" s="58" t="e">
        <v>#N/A</v>
      </c>
      <c r="AI1278" s="56" t="str">
        <f t="shared" si="213"/>
        <v>Delete</v>
      </c>
      <c r="AJ1278" s="81">
        <f t="shared" si="217"/>
        <v>0</v>
      </c>
      <c r="AK1278" s="81">
        <f t="shared" si="218"/>
        <v>0</v>
      </c>
      <c r="AL1278" s="58" t="s">
        <v>32</v>
      </c>
      <c r="AM1278" s="58" t="s">
        <v>6711</v>
      </c>
      <c r="AN1278" s="75">
        <v>0</v>
      </c>
      <c r="AO1278" s="88">
        <v>39.340000000000003</v>
      </c>
      <c r="AP1278" s="6" t="str">
        <f t="shared" si="214"/>
        <v>Delete</v>
      </c>
      <c r="AQ1278" s="81">
        <f t="shared" si="215"/>
        <v>0</v>
      </c>
      <c r="AR1278" s="81">
        <f t="shared" si="216"/>
        <v>0</v>
      </c>
      <c r="AS1278" s="81">
        <f t="shared" si="219"/>
        <v>0</v>
      </c>
    </row>
    <row r="1279" spans="1:45" x14ac:dyDescent="0.3">
      <c r="A1279">
        <v>5025582</v>
      </c>
      <c r="B1279" s="15" t="s">
        <v>6615</v>
      </c>
      <c r="C1279" s="16" t="s">
        <v>30</v>
      </c>
      <c r="D1279" s="6" t="s">
        <v>31</v>
      </c>
      <c r="E1279" t="s">
        <v>1164</v>
      </c>
      <c r="F1279" t="s">
        <v>1164</v>
      </c>
      <c r="H1279" s="11" t="s">
        <v>27</v>
      </c>
      <c r="I1279" s="6" t="s">
        <v>28</v>
      </c>
      <c r="J1279" s="6" t="s">
        <v>28</v>
      </c>
      <c r="K1279" t="s">
        <v>32</v>
      </c>
      <c r="L1279" s="35">
        <v>34.21</v>
      </c>
      <c r="M1279" s="6" t="s">
        <v>29</v>
      </c>
      <c r="N1279" s="6">
        <v>3105</v>
      </c>
      <c r="P1279" s="18"/>
      <c r="Q1279" s="17"/>
      <c r="R1279" s="19">
        <v>34.21</v>
      </c>
      <c r="S1279" s="19">
        <v>34.21</v>
      </c>
      <c r="T1279" s="38">
        <v>0</v>
      </c>
      <c r="U1279" s="38"/>
      <c r="V1279" s="30">
        <v>34.21</v>
      </c>
      <c r="W1279" s="35">
        <v>34.21</v>
      </c>
      <c r="X1279" s="32">
        <f t="shared" si="209"/>
        <v>0</v>
      </c>
      <c r="Y1279" s="32">
        <f t="shared" si="210"/>
        <v>0</v>
      </c>
      <c r="Z1279" s="32">
        <f t="shared" si="211"/>
        <v>0</v>
      </c>
      <c r="AA1279" s="38" t="s">
        <v>2573</v>
      </c>
      <c r="AB1279" s="37" t="str">
        <f>IFERROR(VLOOKUP(A1279,'Tash Lookup'!A:E,3,FALSE),"")</f>
        <v/>
      </c>
      <c r="AC1279" s="6" t="str">
        <f t="shared" si="212"/>
        <v/>
      </c>
      <c r="AD1279" s="2" t="s">
        <v>6703</v>
      </c>
      <c r="AF1279" s="56">
        <v>39.549999999999997</v>
      </c>
      <c r="AG1279" s="56">
        <f>VLOOKUP(A1279,Sheet1!$A$2:$C$1140,3,FALSE)</f>
        <v>39.549999999999997</v>
      </c>
      <c r="AH1279" s="58">
        <v>39.549999999999997</v>
      </c>
      <c r="AI1279" s="56" t="str">
        <f t="shared" si="213"/>
        <v>Same</v>
      </c>
      <c r="AJ1279" s="81">
        <f t="shared" si="217"/>
        <v>0</v>
      </c>
      <c r="AK1279" s="81">
        <f t="shared" si="218"/>
        <v>0</v>
      </c>
      <c r="AL1279" s="58" t="s">
        <v>7206</v>
      </c>
      <c r="AM1279" s="58" t="s">
        <v>6703</v>
      </c>
      <c r="AN1279" s="75">
        <v>2</v>
      </c>
      <c r="AO1279" s="88">
        <v>39.549999999999997</v>
      </c>
      <c r="AP1279" s="6" t="str">
        <f t="shared" si="214"/>
        <v>Same</v>
      </c>
      <c r="AQ1279" s="81">
        <f t="shared" si="215"/>
        <v>79.099999999999994</v>
      </c>
      <c r="AR1279" s="81">
        <f t="shared" si="216"/>
        <v>79.099999999999994</v>
      </c>
      <c r="AS1279" s="81">
        <f t="shared" si="219"/>
        <v>0</v>
      </c>
    </row>
    <row r="1280" spans="1:45" x14ac:dyDescent="0.3">
      <c r="A1280">
        <v>5085907</v>
      </c>
      <c r="B1280" s="15" t="s">
        <v>6616</v>
      </c>
      <c r="C1280" s="16" t="s">
        <v>30</v>
      </c>
      <c r="D1280" s="6" t="s">
        <v>31</v>
      </c>
      <c r="E1280" t="s">
        <v>1169</v>
      </c>
      <c r="F1280" t="s">
        <v>1169</v>
      </c>
      <c r="H1280" s="11" t="s">
        <v>27</v>
      </c>
      <c r="I1280" s="6" t="s">
        <v>28</v>
      </c>
      <c r="J1280" s="6" t="s">
        <v>28</v>
      </c>
      <c r="K1280" t="s">
        <v>32</v>
      </c>
      <c r="L1280" s="35">
        <v>49.11</v>
      </c>
      <c r="M1280" s="6" t="s">
        <v>29</v>
      </c>
      <c r="N1280" s="6">
        <v>3105</v>
      </c>
      <c r="P1280" s="18"/>
      <c r="Q1280" s="17"/>
      <c r="R1280" s="19">
        <v>49.11</v>
      </c>
      <c r="S1280" s="19">
        <v>49.11</v>
      </c>
      <c r="T1280" s="38">
        <v>0</v>
      </c>
      <c r="U1280" s="38"/>
      <c r="V1280" s="30">
        <v>49.11</v>
      </c>
      <c r="W1280" s="35">
        <v>49.11</v>
      </c>
      <c r="X1280" s="32">
        <f t="shared" si="209"/>
        <v>0</v>
      </c>
      <c r="Y1280" s="32">
        <f t="shared" si="210"/>
        <v>0</v>
      </c>
      <c r="Z1280" s="32">
        <f t="shared" si="211"/>
        <v>0</v>
      </c>
      <c r="AA1280" s="38" t="s">
        <v>2573</v>
      </c>
      <c r="AB1280" s="37" t="str">
        <f>IFERROR(VLOOKUP(A1280,'Tash Lookup'!A:E,3,FALSE),"")</f>
        <v/>
      </c>
      <c r="AC1280" s="6" t="str">
        <f t="shared" si="212"/>
        <v/>
      </c>
      <c r="AD1280" s="2" t="s">
        <v>6703</v>
      </c>
      <c r="AF1280" s="56">
        <v>56.53</v>
      </c>
      <c r="AG1280" s="56">
        <f>VLOOKUP(A1280,Sheet1!$A$2:$C$1140,3,FALSE)</f>
        <v>56.53</v>
      </c>
      <c r="AH1280" s="58">
        <v>56.53</v>
      </c>
      <c r="AI1280" s="56" t="str">
        <f t="shared" si="213"/>
        <v>Same</v>
      </c>
      <c r="AJ1280" s="81">
        <f t="shared" si="217"/>
        <v>0</v>
      </c>
      <c r="AK1280" s="81">
        <f t="shared" si="218"/>
        <v>0</v>
      </c>
      <c r="AL1280" s="58" t="s">
        <v>7206</v>
      </c>
      <c r="AM1280" s="58" t="s">
        <v>6703</v>
      </c>
      <c r="AN1280" s="75">
        <v>0</v>
      </c>
      <c r="AO1280" s="88">
        <v>56.53</v>
      </c>
      <c r="AP1280" s="6" t="str">
        <f t="shared" si="214"/>
        <v>Same</v>
      </c>
      <c r="AQ1280" s="81">
        <f t="shared" si="215"/>
        <v>0</v>
      </c>
      <c r="AR1280" s="81">
        <f t="shared" si="216"/>
        <v>0</v>
      </c>
      <c r="AS1280" s="81">
        <f t="shared" si="219"/>
        <v>0</v>
      </c>
    </row>
    <row r="1281" spans="1:45" x14ac:dyDescent="0.3">
      <c r="A1281">
        <v>5085918</v>
      </c>
      <c r="B1281" s="15" t="s">
        <v>6617</v>
      </c>
      <c r="C1281" s="16" t="s">
        <v>30</v>
      </c>
      <c r="D1281" s="6" t="s">
        <v>31</v>
      </c>
      <c r="E1281" t="s">
        <v>1171</v>
      </c>
      <c r="F1281" t="s">
        <v>1171</v>
      </c>
      <c r="H1281" s="11" t="s">
        <v>27</v>
      </c>
      <c r="I1281" s="6" t="s">
        <v>28</v>
      </c>
      <c r="J1281" s="6" t="s">
        <v>28</v>
      </c>
      <c r="K1281" t="s">
        <v>32</v>
      </c>
      <c r="L1281" s="35">
        <v>49.11</v>
      </c>
      <c r="M1281" s="6" t="s">
        <v>29</v>
      </c>
      <c r="N1281" s="6">
        <v>3105</v>
      </c>
      <c r="P1281" s="18"/>
      <c r="Q1281" s="17"/>
      <c r="R1281" s="19">
        <v>49.11</v>
      </c>
      <c r="S1281" s="19">
        <v>49.11</v>
      </c>
      <c r="T1281" s="38">
        <v>0</v>
      </c>
      <c r="U1281" s="38"/>
      <c r="V1281" s="30">
        <v>49.11</v>
      </c>
      <c r="W1281" s="35">
        <v>49.11</v>
      </c>
      <c r="X1281" s="32">
        <f t="shared" si="209"/>
        <v>0</v>
      </c>
      <c r="Y1281" s="32">
        <f t="shared" si="210"/>
        <v>0</v>
      </c>
      <c r="Z1281" s="32">
        <f t="shared" si="211"/>
        <v>0</v>
      </c>
      <c r="AA1281" s="38" t="s">
        <v>2573</v>
      </c>
      <c r="AB1281" s="37" t="str">
        <f>IFERROR(VLOOKUP(A1281,'Tash Lookup'!A:E,3,FALSE),"")</f>
        <v/>
      </c>
      <c r="AC1281" s="6" t="str">
        <f t="shared" si="212"/>
        <v/>
      </c>
      <c r="AD1281" s="2" t="s">
        <v>6703</v>
      </c>
      <c r="AF1281" s="56">
        <v>56.53</v>
      </c>
      <c r="AG1281" s="56">
        <f>VLOOKUP(A1281,Sheet1!$A$2:$C$1140,3,FALSE)</f>
        <v>56.53</v>
      </c>
      <c r="AH1281" s="58">
        <v>56.53</v>
      </c>
      <c r="AI1281" s="56" t="str">
        <f t="shared" si="213"/>
        <v>Same</v>
      </c>
      <c r="AJ1281" s="81">
        <f t="shared" si="217"/>
        <v>0</v>
      </c>
      <c r="AK1281" s="81">
        <f t="shared" si="218"/>
        <v>0</v>
      </c>
      <c r="AL1281" s="58" t="s">
        <v>7206</v>
      </c>
      <c r="AM1281" s="58" t="s">
        <v>6703</v>
      </c>
      <c r="AN1281" s="75">
        <v>0</v>
      </c>
      <c r="AO1281" s="88">
        <v>56.53</v>
      </c>
      <c r="AP1281" s="6" t="str">
        <f t="shared" si="214"/>
        <v>Same</v>
      </c>
      <c r="AQ1281" s="81">
        <f t="shared" si="215"/>
        <v>0</v>
      </c>
      <c r="AR1281" s="81">
        <f t="shared" si="216"/>
        <v>0</v>
      </c>
      <c r="AS1281" s="81">
        <f t="shared" si="219"/>
        <v>0</v>
      </c>
    </row>
    <row r="1282" spans="1:45" x14ac:dyDescent="0.3">
      <c r="A1282">
        <v>5085935</v>
      </c>
      <c r="B1282" s="15" t="s">
        <v>6618</v>
      </c>
      <c r="C1282" s="16" t="s">
        <v>30</v>
      </c>
      <c r="D1282" s="6" t="s">
        <v>31</v>
      </c>
      <c r="E1282" t="s">
        <v>1172</v>
      </c>
      <c r="F1282" t="s">
        <v>1172</v>
      </c>
      <c r="H1282" s="11" t="s">
        <v>27</v>
      </c>
      <c r="I1282" s="6" t="s">
        <v>28</v>
      </c>
      <c r="J1282" s="6" t="s">
        <v>28</v>
      </c>
      <c r="K1282" t="s">
        <v>32</v>
      </c>
      <c r="L1282" s="35">
        <v>26.24</v>
      </c>
      <c r="M1282" s="6" t="s">
        <v>29</v>
      </c>
      <c r="N1282" s="6">
        <v>3105</v>
      </c>
      <c r="P1282" s="18"/>
      <c r="Q1282" s="17"/>
      <c r="R1282" s="19">
        <v>26.24</v>
      </c>
      <c r="S1282" s="19">
        <v>26.24</v>
      </c>
      <c r="T1282" s="38">
        <v>0</v>
      </c>
      <c r="U1282" s="38"/>
      <c r="V1282" s="30">
        <v>26.24</v>
      </c>
      <c r="W1282" s="35">
        <v>26.24</v>
      </c>
      <c r="X1282" s="32">
        <f t="shared" si="209"/>
        <v>0</v>
      </c>
      <c r="Y1282" s="32">
        <f t="shared" si="210"/>
        <v>0</v>
      </c>
      <c r="Z1282" s="32">
        <f t="shared" si="211"/>
        <v>0</v>
      </c>
      <c r="AA1282" s="38" t="s">
        <v>2573</v>
      </c>
      <c r="AB1282" s="37" t="str">
        <f>IFERROR(VLOOKUP(A1282,'Tash Lookup'!A:E,3,FALSE),"")</f>
        <v/>
      </c>
      <c r="AC1282" s="6" t="str">
        <f t="shared" si="212"/>
        <v/>
      </c>
      <c r="AD1282" s="2" t="s">
        <v>6703</v>
      </c>
      <c r="AF1282" s="56">
        <v>27.65</v>
      </c>
      <c r="AG1282" s="56">
        <f>VLOOKUP(A1282,Sheet1!$A$2:$C$1140,3,FALSE)</f>
        <v>27.65</v>
      </c>
      <c r="AH1282" s="58">
        <v>27.65</v>
      </c>
      <c r="AI1282" s="56" t="str">
        <f t="shared" si="213"/>
        <v>Same</v>
      </c>
      <c r="AJ1282" s="81">
        <f t="shared" si="217"/>
        <v>0</v>
      </c>
      <c r="AK1282" s="81">
        <f t="shared" si="218"/>
        <v>0</v>
      </c>
      <c r="AL1282" s="58" t="s">
        <v>7206</v>
      </c>
      <c r="AM1282" s="58" t="s">
        <v>6703</v>
      </c>
      <c r="AN1282" s="75">
        <v>0</v>
      </c>
      <c r="AO1282" s="88">
        <v>27.65</v>
      </c>
      <c r="AP1282" s="6" t="str">
        <f t="shared" si="214"/>
        <v>Same</v>
      </c>
      <c r="AQ1282" s="81">
        <f t="shared" si="215"/>
        <v>0</v>
      </c>
      <c r="AR1282" s="81">
        <f t="shared" si="216"/>
        <v>0</v>
      </c>
      <c r="AS1282" s="81">
        <f t="shared" si="219"/>
        <v>0</v>
      </c>
    </row>
    <row r="1283" spans="1:45" x14ac:dyDescent="0.3">
      <c r="A1283">
        <v>5085977</v>
      </c>
      <c r="B1283" s="15" t="s">
        <v>6619</v>
      </c>
      <c r="C1283" s="16" t="s">
        <v>30</v>
      </c>
      <c r="D1283" s="6" t="s">
        <v>31</v>
      </c>
      <c r="E1283" t="s">
        <v>1174</v>
      </c>
      <c r="F1283" t="s">
        <v>1174</v>
      </c>
      <c r="H1283" s="11" t="s">
        <v>27</v>
      </c>
      <c r="I1283" s="6" t="s">
        <v>28</v>
      </c>
      <c r="J1283" s="6" t="s">
        <v>28</v>
      </c>
      <c r="K1283" t="s">
        <v>32</v>
      </c>
      <c r="L1283" s="35">
        <v>49.11</v>
      </c>
      <c r="M1283" s="6" t="s">
        <v>29</v>
      </c>
      <c r="N1283" s="6">
        <v>3105</v>
      </c>
      <c r="P1283" s="18"/>
      <c r="Q1283" s="17"/>
      <c r="R1283" s="19">
        <v>49.11</v>
      </c>
      <c r="S1283" s="19">
        <v>49.11</v>
      </c>
      <c r="T1283" s="38">
        <v>0</v>
      </c>
      <c r="U1283" s="38"/>
      <c r="V1283" s="30">
        <v>49.11</v>
      </c>
      <c r="W1283" s="35">
        <v>49.11</v>
      </c>
      <c r="X1283" s="32">
        <f t="shared" si="209"/>
        <v>0</v>
      </c>
      <c r="Y1283" s="32">
        <f t="shared" si="210"/>
        <v>0</v>
      </c>
      <c r="Z1283" s="32">
        <f t="shared" si="211"/>
        <v>0</v>
      </c>
      <c r="AA1283" s="38" t="s">
        <v>2573</v>
      </c>
      <c r="AB1283" s="37" t="str">
        <f>IFERROR(VLOOKUP(A1283,'Tash Lookup'!A:E,3,FALSE),"")</f>
        <v/>
      </c>
      <c r="AC1283" s="6" t="str">
        <f t="shared" si="212"/>
        <v/>
      </c>
      <c r="AD1283" s="2" t="s">
        <v>6703</v>
      </c>
      <c r="AF1283" s="56">
        <v>56.53</v>
      </c>
      <c r="AG1283" s="56">
        <f>VLOOKUP(A1283,Sheet1!$A$2:$C$1140,3,FALSE)</f>
        <v>56.53</v>
      </c>
      <c r="AH1283" s="58">
        <v>56.53</v>
      </c>
      <c r="AI1283" s="56" t="str">
        <f t="shared" si="213"/>
        <v>Same</v>
      </c>
      <c r="AJ1283" s="81">
        <f t="shared" si="217"/>
        <v>0</v>
      </c>
      <c r="AK1283" s="81">
        <f t="shared" si="218"/>
        <v>0</v>
      </c>
      <c r="AL1283" s="58" t="s">
        <v>7206</v>
      </c>
      <c r="AM1283" s="58" t="s">
        <v>6703</v>
      </c>
      <c r="AN1283" s="75">
        <v>0</v>
      </c>
      <c r="AO1283" s="88">
        <v>56.53</v>
      </c>
      <c r="AP1283" s="6" t="str">
        <f t="shared" si="214"/>
        <v>Same</v>
      </c>
      <c r="AQ1283" s="81">
        <f t="shared" si="215"/>
        <v>0</v>
      </c>
      <c r="AR1283" s="81">
        <f t="shared" si="216"/>
        <v>0</v>
      </c>
      <c r="AS1283" s="81">
        <f t="shared" si="219"/>
        <v>0</v>
      </c>
    </row>
    <row r="1284" spans="1:45" x14ac:dyDescent="0.3">
      <c r="A1284">
        <v>5085748</v>
      </c>
      <c r="B1284" s="15" t="s">
        <v>6620</v>
      </c>
      <c r="C1284" s="16" t="s">
        <v>30</v>
      </c>
      <c r="D1284" s="6" t="s">
        <v>31</v>
      </c>
      <c r="E1284" t="s">
        <v>1183</v>
      </c>
      <c r="F1284" t="s">
        <v>1183</v>
      </c>
      <c r="H1284" s="11" t="s">
        <v>27</v>
      </c>
      <c r="I1284" s="6" t="s">
        <v>28</v>
      </c>
      <c r="J1284" s="6" t="s">
        <v>28</v>
      </c>
      <c r="K1284" t="s">
        <v>32</v>
      </c>
      <c r="L1284" s="35">
        <v>33.51</v>
      </c>
      <c r="M1284" s="6" t="s">
        <v>29</v>
      </c>
      <c r="N1284" s="6">
        <v>3105</v>
      </c>
      <c r="P1284" s="18"/>
      <c r="Q1284" s="17"/>
      <c r="R1284" s="19">
        <v>33.51</v>
      </c>
      <c r="S1284" s="19">
        <v>33.51</v>
      </c>
      <c r="T1284" s="38">
        <v>0</v>
      </c>
      <c r="U1284" s="38"/>
      <c r="V1284" s="30">
        <v>33.51</v>
      </c>
      <c r="W1284" s="35">
        <v>33.51</v>
      </c>
      <c r="X1284" s="32">
        <f t="shared" si="209"/>
        <v>0</v>
      </c>
      <c r="Y1284" s="32">
        <f t="shared" si="210"/>
        <v>0</v>
      </c>
      <c r="Z1284" s="32">
        <f t="shared" si="211"/>
        <v>0</v>
      </c>
      <c r="AA1284" s="38" t="s">
        <v>2573</v>
      </c>
      <c r="AB1284" s="37" t="str">
        <f>IFERROR(VLOOKUP(A1284,'Tash Lookup'!A:E,3,FALSE),"")</f>
        <v/>
      </c>
      <c r="AC1284" s="6" t="str">
        <f t="shared" si="212"/>
        <v/>
      </c>
      <c r="AD1284" s="2" t="s">
        <v>6703</v>
      </c>
      <c r="AF1284" s="56">
        <v>36.4</v>
      </c>
      <c r="AG1284" s="56">
        <f>VLOOKUP(A1284,Sheet1!$A$2:$C$1140,3,FALSE)</f>
        <v>36.4</v>
      </c>
      <c r="AH1284" s="58">
        <v>36.4</v>
      </c>
      <c r="AI1284" s="56" t="str">
        <f t="shared" si="213"/>
        <v>Same</v>
      </c>
      <c r="AJ1284" s="81">
        <f t="shared" si="217"/>
        <v>0</v>
      </c>
      <c r="AK1284" s="81">
        <f t="shared" si="218"/>
        <v>0</v>
      </c>
      <c r="AL1284" s="58" t="s">
        <v>7206</v>
      </c>
      <c r="AM1284" s="58" t="s">
        <v>6703</v>
      </c>
      <c r="AN1284" s="75">
        <v>0</v>
      </c>
      <c r="AO1284" s="88">
        <v>36.4</v>
      </c>
      <c r="AP1284" s="6" t="str">
        <f t="shared" si="214"/>
        <v>Same</v>
      </c>
      <c r="AQ1284" s="81">
        <f t="shared" si="215"/>
        <v>0</v>
      </c>
      <c r="AR1284" s="81">
        <f t="shared" si="216"/>
        <v>0</v>
      </c>
      <c r="AS1284" s="81">
        <f t="shared" si="219"/>
        <v>0</v>
      </c>
    </row>
    <row r="1285" spans="1:45" x14ac:dyDescent="0.3">
      <c r="A1285">
        <v>5085696</v>
      </c>
      <c r="B1285" s="15" t="s">
        <v>6621</v>
      </c>
      <c r="C1285" s="16" t="s">
        <v>30</v>
      </c>
      <c r="D1285" s="6" t="s">
        <v>31</v>
      </c>
      <c r="E1285" t="s">
        <v>629</v>
      </c>
      <c r="F1285" t="s">
        <v>629</v>
      </c>
      <c r="H1285" s="11" t="s">
        <v>27</v>
      </c>
      <c r="I1285" s="6" t="s">
        <v>28</v>
      </c>
      <c r="J1285" s="6" t="s">
        <v>28</v>
      </c>
      <c r="K1285" t="s">
        <v>32</v>
      </c>
      <c r="L1285" s="35">
        <v>38.770000000000003</v>
      </c>
      <c r="M1285" s="6" t="s">
        <v>29</v>
      </c>
      <c r="N1285" s="6">
        <v>3105</v>
      </c>
      <c r="P1285" s="18"/>
      <c r="Q1285" s="17"/>
      <c r="R1285" s="19">
        <v>38.770000000000003</v>
      </c>
      <c r="S1285" s="19">
        <v>38.770000000000003</v>
      </c>
      <c r="T1285" s="38">
        <v>0</v>
      </c>
      <c r="U1285" s="38"/>
      <c r="V1285" s="30">
        <v>38.770000000000003</v>
      </c>
      <c r="W1285" s="35">
        <v>38.770000000000003</v>
      </c>
      <c r="X1285" s="32">
        <f t="shared" si="209"/>
        <v>0</v>
      </c>
      <c r="Y1285" s="32">
        <f t="shared" si="210"/>
        <v>0</v>
      </c>
      <c r="Z1285" s="32">
        <f t="shared" si="211"/>
        <v>0</v>
      </c>
      <c r="AA1285" s="38" t="s">
        <v>2573</v>
      </c>
      <c r="AB1285" s="37" t="str">
        <f>IFERROR(VLOOKUP(A1285,'Tash Lookup'!A:E,3,FALSE),"")</f>
        <v/>
      </c>
      <c r="AC1285" s="6" t="str">
        <f t="shared" si="212"/>
        <v/>
      </c>
      <c r="AD1285" s="2" t="s">
        <v>6703</v>
      </c>
      <c r="AF1285" s="56">
        <v>46.93</v>
      </c>
      <c r="AG1285" s="56">
        <f>VLOOKUP(A1285,Sheet1!$A$2:$C$1140,3,FALSE)</f>
        <v>48.34</v>
      </c>
      <c r="AH1285" s="58">
        <v>48.34</v>
      </c>
      <c r="AI1285" s="56" t="str">
        <f t="shared" si="213"/>
        <v>Increase</v>
      </c>
      <c r="AJ1285" s="81">
        <f t="shared" si="217"/>
        <v>0</v>
      </c>
      <c r="AK1285" s="81">
        <f t="shared" si="218"/>
        <v>0</v>
      </c>
      <c r="AL1285" s="58" t="s">
        <v>32</v>
      </c>
      <c r="AM1285" s="58" t="s">
        <v>6703</v>
      </c>
      <c r="AN1285" s="75">
        <v>0</v>
      </c>
      <c r="AO1285" s="88">
        <v>48.34</v>
      </c>
      <c r="AP1285" s="6" t="str">
        <f t="shared" si="214"/>
        <v>Increase</v>
      </c>
      <c r="AQ1285" s="81">
        <f t="shared" si="215"/>
        <v>0</v>
      </c>
      <c r="AR1285" s="81">
        <f t="shared" si="216"/>
        <v>0</v>
      </c>
      <c r="AS1285" s="81">
        <f t="shared" si="219"/>
        <v>0</v>
      </c>
    </row>
    <row r="1286" spans="1:45" x14ac:dyDescent="0.3">
      <c r="A1286">
        <v>5114993</v>
      </c>
      <c r="B1286" s="15" t="s">
        <v>6622</v>
      </c>
      <c r="C1286" s="16" t="s">
        <v>30</v>
      </c>
      <c r="D1286" s="6" t="s">
        <v>31</v>
      </c>
      <c r="E1286" t="s">
        <v>1184</v>
      </c>
      <c r="F1286" t="s">
        <v>1184</v>
      </c>
      <c r="H1286" s="11" t="s">
        <v>27</v>
      </c>
      <c r="I1286" s="6" t="s">
        <v>28</v>
      </c>
      <c r="J1286" s="6" t="s">
        <v>28</v>
      </c>
      <c r="K1286" t="s">
        <v>32</v>
      </c>
      <c r="L1286" s="35">
        <v>36.92</v>
      </c>
      <c r="M1286" s="6" t="s">
        <v>29</v>
      </c>
      <c r="N1286" s="6">
        <v>3105</v>
      </c>
      <c r="P1286" s="18"/>
      <c r="Q1286" s="17"/>
      <c r="R1286" s="19">
        <v>36.92</v>
      </c>
      <c r="S1286" s="19">
        <v>36.92</v>
      </c>
      <c r="T1286" s="38">
        <v>0</v>
      </c>
      <c r="U1286" s="38"/>
      <c r="V1286" s="30">
        <v>36.92</v>
      </c>
      <c r="W1286" s="35">
        <v>36.92</v>
      </c>
      <c r="X1286" s="32">
        <f t="shared" ref="X1286:X1349" si="220">SUM(V1286*T1286)</f>
        <v>0</v>
      </c>
      <c r="Y1286" s="32">
        <f t="shared" ref="Y1286:Y1349" si="221">SUM(L1286*T1286)</f>
        <v>0</v>
      </c>
      <c r="Z1286" s="32">
        <f t="shared" ref="Z1286:Z1349" si="222">SUM(X1286-Y1286)</f>
        <v>0</v>
      </c>
      <c r="AA1286" s="38" t="s">
        <v>2573</v>
      </c>
      <c r="AB1286" s="37" t="str">
        <f>IFERROR(VLOOKUP(A1286,'Tash Lookup'!A:E,3,FALSE),"")</f>
        <v/>
      </c>
      <c r="AC1286" s="6" t="str">
        <f t="shared" ref="AC1286:AC1349" si="223">IFERROR(AA1286-T1286,"")</f>
        <v/>
      </c>
      <c r="AD1286" s="2" t="s">
        <v>6708</v>
      </c>
      <c r="AF1286" s="56">
        <v>36.92</v>
      </c>
      <c r="AG1286" s="56" t="e">
        <f>VLOOKUP(A1286,Sheet1!$A$2:$C$1140,3,FALSE)</f>
        <v>#N/A</v>
      </c>
      <c r="AH1286" s="58" t="e">
        <v>#N/A</v>
      </c>
      <c r="AI1286" s="56" t="str">
        <f t="shared" ref="AI1286:AI1349" si="224">IF(ISNA(AH1286),"Delete",IF(AH1286=AF1286,"Same",IF(AH1286&gt;AF1286,"Increase","Decrease")))</f>
        <v>Delete</v>
      </c>
      <c r="AJ1286" s="81">
        <f t="shared" si="217"/>
        <v>0</v>
      </c>
      <c r="AK1286" s="81">
        <f t="shared" si="218"/>
        <v>0</v>
      </c>
      <c r="AL1286" s="58" t="s">
        <v>7206</v>
      </c>
      <c r="AM1286" s="58" t="s">
        <v>6708</v>
      </c>
      <c r="AN1286" s="75">
        <v>0</v>
      </c>
      <c r="AO1286" s="88">
        <v>36.92</v>
      </c>
      <c r="AP1286" s="6" t="str">
        <f t="shared" ref="AP1286:AP1349" si="225">IF(AM1286="Delete","Delete",IF(AO1286=AF1286,"Same",IF(AO1286&gt;AF1286,"Increase","Decrease")))</f>
        <v>Same</v>
      </c>
      <c r="AQ1286" s="81">
        <f t="shared" ref="AQ1286:AQ1349" si="226">AN1286*AF1286</f>
        <v>0</v>
      </c>
      <c r="AR1286" s="81">
        <f t="shared" ref="AR1286:AR1349" si="227">AN1286*AO1286</f>
        <v>0</v>
      </c>
      <c r="AS1286" s="81">
        <f t="shared" si="219"/>
        <v>0</v>
      </c>
    </row>
    <row r="1287" spans="1:45" x14ac:dyDescent="0.3">
      <c r="A1287">
        <v>5060367</v>
      </c>
      <c r="B1287" s="15" t="s">
        <v>6623</v>
      </c>
      <c r="C1287" s="16" t="s">
        <v>30</v>
      </c>
      <c r="D1287" s="6" t="s">
        <v>31</v>
      </c>
      <c r="E1287" t="s">
        <v>1187</v>
      </c>
      <c r="F1287" t="s">
        <v>1187</v>
      </c>
      <c r="H1287" s="11" t="s">
        <v>27</v>
      </c>
      <c r="I1287" s="6" t="s">
        <v>28</v>
      </c>
      <c r="J1287" s="6" t="s">
        <v>28</v>
      </c>
      <c r="K1287" t="s">
        <v>32</v>
      </c>
      <c r="L1287" s="35">
        <v>41.08</v>
      </c>
      <c r="M1287" s="6" t="s">
        <v>29</v>
      </c>
      <c r="N1287" s="6">
        <v>3105</v>
      </c>
      <c r="P1287" s="18"/>
      <c r="Q1287" s="17"/>
      <c r="R1287" s="19">
        <v>41.08</v>
      </c>
      <c r="S1287" s="19">
        <v>41.08</v>
      </c>
      <c r="T1287" s="38">
        <v>0</v>
      </c>
      <c r="U1287" s="38"/>
      <c r="V1287" s="30">
        <v>41.08</v>
      </c>
      <c r="W1287" s="35">
        <v>41.08</v>
      </c>
      <c r="X1287" s="32">
        <f t="shared" si="220"/>
        <v>0</v>
      </c>
      <c r="Y1287" s="32">
        <f t="shared" si="221"/>
        <v>0</v>
      </c>
      <c r="Z1287" s="32">
        <f t="shared" si="222"/>
        <v>0</v>
      </c>
      <c r="AA1287" s="38" t="s">
        <v>2573</v>
      </c>
      <c r="AB1287" s="37" t="str">
        <f>IFERROR(VLOOKUP(A1287,'Tash Lookup'!A:E,3,FALSE),"")</f>
        <v/>
      </c>
      <c r="AC1287" s="6" t="str">
        <f t="shared" si="223"/>
        <v/>
      </c>
      <c r="AD1287" s="2" t="s">
        <v>6703</v>
      </c>
      <c r="AF1287" s="56">
        <v>45.15</v>
      </c>
      <c r="AG1287" s="56">
        <f>VLOOKUP(A1287,Sheet1!$A$2:$C$1140,3,FALSE)</f>
        <v>45.15</v>
      </c>
      <c r="AH1287" s="58">
        <v>45.15</v>
      </c>
      <c r="AI1287" s="56" t="str">
        <f t="shared" si="224"/>
        <v>Same</v>
      </c>
      <c r="AJ1287" s="81">
        <f t="shared" ref="AJ1287:AJ1350" si="228">IFERROR(AA1287*AF1287,0)</f>
        <v>0</v>
      </c>
      <c r="AK1287" s="81">
        <f t="shared" ref="AK1287:AK1350" si="229">IFERROR(AA1287*AH1287,0)</f>
        <v>0</v>
      </c>
      <c r="AL1287" s="58" t="s">
        <v>7206</v>
      </c>
      <c r="AM1287" s="58" t="s">
        <v>6703</v>
      </c>
      <c r="AN1287" s="75">
        <v>0</v>
      </c>
      <c r="AO1287" s="88">
        <v>45.15</v>
      </c>
      <c r="AP1287" s="6" t="str">
        <f t="shared" si="225"/>
        <v>Same</v>
      </c>
      <c r="AQ1287" s="81">
        <f t="shared" si="226"/>
        <v>0</v>
      </c>
      <c r="AR1287" s="81">
        <f t="shared" si="227"/>
        <v>0</v>
      </c>
      <c r="AS1287" s="81">
        <f t="shared" ref="AS1287:AS1350" si="230">AR1287-AQ1287</f>
        <v>0</v>
      </c>
    </row>
    <row r="1288" spans="1:45" hidden="1" x14ac:dyDescent="0.3">
      <c r="A1288">
        <v>6107814</v>
      </c>
      <c r="B1288" s="15" t="s">
        <v>6624</v>
      </c>
      <c r="C1288" s="16" t="s">
        <v>30</v>
      </c>
      <c r="D1288" s="6" t="s">
        <v>31</v>
      </c>
      <c r="E1288" t="s">
        <v>2989</v>
      </c>
      <c r="F1288" t="s">
        <v>2989</v>
      </c>
      <c r="H1288" s="11" t="s">
        <v>27</v>
      </c>
      <c r="I1288" s="6" t="s">
        <v>28</v>
      </c>
      <c r="J1288" s="6" t="s">
        <v>28</v>
      </c>
      <c r="K1288" t="s">
        <v>32</v>
      </c>
      <c r="L1288" s="35">
        <v>36.799999999999997</v>
      </c>
      <c r="M1288" s="6" t="s">
        <v>29</v>
      </c>
      <c r="N1288" s="6">
        <v>3105</v>
      </c>
      <c r="P1288" s="18"/>
      <c r="Q1288" s="17"/>
      <c r="R1288" s="19">
        <v>0</v>
      </c>
      <c r="S1288" s="19">
        <v>0</v>
      </c>
      <c r="T1288" s="38">
        <v>0</v>
      </c>
      <c r="U1288" s="38"/>
      <c r="V1288" s="31">
        <v>36.799999999999997</v>
      </c>
      <c r="W1288" s="35">
        <v>36.799999999999997</v>
      </c>
      <c r="X1288" s="32">
        <f t="shared" si="220"/>
        <v>0</v>
      </c>
      <c r="Y1288" s="32">
        <f t="shared" si="221"/>
        <v>0</v>
      </c>
      <c r="Z1288" s="32">
        <f t="shared" si="222"/>
        <v>0</v>
      </c>
      <c r="AA1288" s="38" t="s">
        <v>2573</v>
      </c>
      <c r="AB1288" s="37" t="str">
        <f>IFERROR(VLOOKUP(A1288,'Tash Lookup'!A:E,3,FALSE),"")</f>
        <v/>
      </c>
      <c r="AC1288" s="6" t="str">
        <f t="shared" si="223"/>
        <v/>
      </c>
      <c r="AD1288" s="2" t="s">
        <v>6703</v>
      </c>
      <c r="AF1288" s="56">
        <v>37.909999999999997</v>
      </c>
      <c r="AG1288" s="56" t="e">
        <f>VLOOKUP(A1288,Sheet1!$A$2:$C$1140,3,FALSE)</f>
        <v>#N/A</v>
      </c>
      <c r="AH1288" s="58" t="e">
        <v>#N/A</v>
      </c>
      <c r="AI1288" s="56" t="str">
        <f t="shared" si="224"/>
        <v>Delete</v>
      </c>
      <c r="AJ1288" s="81">
        <f t="shared" si="228"/>
        <v>0</v>
      </c>
      <c r="AK1288" s="81">
        <f t="shared" si="229"/>
        <v>0</v>
      </c>
      <c r="AL1288" s="58" t="s">
        <v>7206</v>
      </c>
      <c r="AM1288" s="58" t="s">
        <v>6703</v>
      </c>
      <c r="AN1288" s="75">
        <v>13</v>
      </c>
      <c r="AO1288" s="88">
        <v>38.659999999999997</v>
      </c>
      <c r="AP1288" s="6" t="str">
        <f t="shared" si="225"/>
        <v>Increase</v>
      </c>
      <c r="AQ1288" s="81">
        <f t="shared" si="226"/>
        <v>492.82999999999993</v>
      </c>
      <c r="AR1288" s="81">
        <f t="shared" si="227"/>
        <v>502.57999999999993</v>
      </c>
      <c r="AS1288" s="81">
        <f t="shared" si="230"/>
        <v>9.75</v>
      </c>
    </row>
    <row r="1289" spans="1:45" hidden="1" x14ac:dyDescent="0.3">
      <c r="A1289">
        <v>6403712</v>
      </c>
      <c r="B1289" s="15" t="s">
        <v>6625</v>
      </c>
      <c r="C1289" s="16" t="s">
        <v>30</v>
      </c>
      <c r="D1289" s="6" t="s">
        <v>31</v>
      </c>
      <c r="E1289" t="s">
        <v>1188</v>
      </c>
      <c r="F1289" t="s">
        <v>1188</v>
      </c>
      <c r="H1289" s="11" t="s">
        <v>27</v>
      </c>
      <c r="I1289" s="6" t="s">
        <v>28</v>
      </c>
      <c r="J1289" s="6" t="s">
        <v>28</v>
      </c>
      <c r="K1289" t="s">
        <v>32</v>
      </c>
      <c r="L1289" s="35">
        <v>22.02</v>
      </c>
      <c r="M1289" s="6" t="s">
        <v>29</v>
      </c>
      <c r="N1289" s="6">
        <v>3105</v>
      </c>
      <c r="P1289" s="18"/>
      <c r="Q1289" s="17"/>
      <c r="R1289" s="19">
        <v>22.02</v>
      </c>
      <c r="S1289" s="19">
        <v>22.02</v>
      </c>
      <c r="T1289" s="38">
        <v>0</v>
      </c>
      <c r="U1289" s="38"/>
      <c r="V1289" s="30">
        <v>22.02</v>
      </c>
      <c r="W1289" s="35">
        <v>22.02</v>
      </c>
      <c r="X1289" s="32">
        <f t="shared" si="220"/>
        <v>0</v>
      </c>
      <c r="Y1289" s="32">
        <f t="shared" si="221"/>
        <v>0</v>
      </c>
      <c r="Z1289" s="32">
        <f t="shared" si="222"/>
        <v>0</v>
      </c>
      <c r="AA1289" s="38" t="s">
        <v>2573</v>
      </c>
      <c r="AB1289" s="37" t="str">
        <f>IFERROR(VLOOKUP(A1289,'Tash Lookup'!A:E,3,FALSE),"")</f>
        <v/>
      </c>
      <c r="AC1289" s="6" t="str">
        <f t="shared" si="223"/>
        <v/>
      </c>
      <c r="AD1289" s="2" t="s">
        <v>6703</v>
      </c>
      <c r="AF1289" s="56">
        <v>22.13</v>
      </c>
      <c r="AG1289" s="56">
        <f>VLOOKUP(A1289,Sheet1!$A$2:$C$1140,3,FALSE)</f>
        <v>22.13</v>
      </c>
      <c r="AH1289" s="58">
        <v>22.13</v>
      </c>
      <c r="AI1289" s="56" t="str">
        <f t="shared" si="224"/>
        <v>Same</v>
      </c>
      <c r="AJ1289" s="81">
        <f t="shared" si="228"/>
        <v>0</v>
      </c>
      <c r="AK1289" s="81">
        <f t="shared" si="229"/>
        <v>0</v>
      </c>
      <c r="AL1289" s="58" t="s">
        <v>7206</v>
      </c>
      <c r="AM1289" s="58" t="s">
        <v>6703</v>
      </c>
      <c r="AN1289" s="75">
        <v>0</v>
      </c>
      <c r="AO1289" s="88">
        <v>22.13</v>
      </c>
      <c r="AP1289" s="6" t="str">
        <f t="shared" si="225"/>
        <v>Same</v>
      </c>
      <c r="AQ1289" s="81">
        <f t="shared" si="226"/>
        <v>0</v>
      </c>
      <c r="AR1289" s="81">
        <f t="shared" si="227"/>
        <v>0</v>
      </c>
      <c r="AS1289" s="81">
        <f t="shared" si="230"/>
        <v>0</v>
      </c>
    </row>
    <row r="1290" spans="1:45" hidden="1" x14ac:dyDescent="0.3">
      <c r="A1290">
        <v>6403715</v>
      </c>
      <c r="B1290" s="15" t="s">
        <v>6626</v>
      </c>
      <c r="C1290" s="16" t="s">
        <v>30</v>
      </c>
      <c r="D1290" s="6" t="s">
        <v>31</v>
      </c>
      <c r="E1290" t="s">
        <v>1189</v>
      </c>
      <c r="F1290" t="s">
        <v>1189</v>
      </c>
      <c r="H1290" s="11" t="s">
        <v>27</v>
      </c>
      <c r="I1290" s="6" t="s">
        <v>28</v>
      </c>
      <c r="J1290" s="6" t="s">
        <v>28</v>
      </c>
      <c r="K1290" t="s">
        <v>32</v>
      </c>
      <c r="L1290" s="35">
        <v>22.02</v>
      </c>
      <c r="M1290" s="6" t="s">
        <v>29</v>
      </c>
      <c r="N1290" s="6">
        <v>3105</v>
      </c>
      <c r="P1290" s="18"/>
      <c r="Q1290" s="17"/>
      <c r="R1290" s="19">
        <v>22.02</v>
      </c>
      <c r="S1290" s="19">
        <v>22.02</v>
      </c>
      <c r="T1290" s="38">
        <v>0</v>
      </c>
      <c r="U1290" s="38"/>
      <c r="V1290" s="30">
        <v>22.02</v>
      </c>
      <c r="W1290" s="35">
        <v>22.02</v>
      </c>
      <c r="X1290" s="32">
        <f t="shared" si="220"/>
        <v>0</v>
      </c>
      <c r="Y1290" s="32">
        <f t="shared" si="221"/>
        <v>0</v>
      </c>
      <c r="Z1290" s="32">
        <f t="shared" si="222"/>
        <v>0</v>
      </c>
      <c r="AA1290" s="38" t="s">
        <v>2573</v>
      </c>
      <c r="AB1290" s="37" t="str">
        <f>IFERROR(VLOOKUP(A1290,'Tash Lookup'!A:E,3,FALSE),"")</f>
        <v/>
      </c>
      <c r="AC1290" s="6" t="str">
        <f t="shared" si="223"/>
        <v/>
      </c>
      <c r="AD1290" s="2" t="s">
        <v>6703</v>
      </c>
      <c r="AF1290" s="56">
        <v>22.13</v>
      </c>
      <c r="AG1290" s="56">
        <f>VLOOKUP(A1290,Sheet1!$A$2:$C$1140,3,FALSE)</f>
        <v>22.13</v>
      </c>
      <c r="AH1290" s="58">
        <v>22.13</v>
      </c>
      <c r="AI1290" s="56" t="str">
        <f t="shared" si="224"/>
        <v>Same</v>
      </c>
      <c r="AJ1290" s="81">
        <f t="shared" si="228"/>
        <v>0</v>
      </c>
      <c r="AK1290" s="81">
        <f t="shared" si="229"/>
        <v>0</v>
      </c>
      <c r="AL1290" s="58" t="s">
        <v>7206</v>
      </c>
      <c r="AM1290" s="58" t="s">
        <v>6703</v>
      </c>
      <c r="AN1290" s="75">
        <v>0</v>
      </c>
      <c r="AO1290" s="88">
        <v>22.13</v>
      </c>
      <c r="AP1290" s="6" t="str">
        <f t="shared" si="225"/>
        <v>Same</v>
      </c>
      <c r="AQ1290" s="81">
        <f t="shared" si="226"/>
        <v>0</v>
      </c>
      <c r="AR1290" s="81">
        <f t="shared" si="227"/>
        <v>0</v>
      </c>
      <c r="AS1290" s="81">
        <f t="shared" si="230"/>
        <v>0</v>
      </c>
    </row>
    <row r="1291" spans="1:45" hidden="1" x14ac:dyDescent="0.3">
      <c r="A1291">
        <v>6033960</v>
      </c>
      <c r="B1291" s="15" t="s">
        <v>6627</v>
      </c>
      <c r="C1291" s="16" t="s">
        <v>30</v>
      </c>
      <c r="D1291" s="6" t="s">
        <v>31</v>
      </c>
      <c r="E1291" t="s">
        <v>1193</v>
      </c>
      <c r="F1291" t="s">
        <v>1193</v>
      </c>
      <c r="H1291" s="11" t="s">
        <v>27</v>
      </c>
      <c r="I1291" s="6" t="s">
        <v>28</v>
      </c>
      <c r="J1291" s="6" t="s">
        <v>28</v>
      </c>
      <c r="K1291" t="s">
        <v>32</v>
      </c>
      <c r="L1291" s="35">
        <v>1.44</v>
      </c>
      <c r="M1291" s="6" t="s">
        <v>29</v>
      </c>
      <c r="N1291" s="6">
        <v>3105</v>
      </c>
      <c r="P1291" s="18"/>
      <c r="Q1291" s="17"/>
      <c r="R1291" s="19">
        <v>1.44</v>
      </c>
      <c r="S1291" s="19">
        <v>1.44</v>
      </c>
      <c r="T1291" s="38">
        <v>0</v>
      </c>
      <c r="U1291" s="38"/>
      <c r="V1291" s="31">
        <v>1.44</v>
      </c>
      <c r="W1291" s="35">
        <v>1.44</v>
      </c>
      <c r="X1291" s="32">
        <f t="shared" si="220"/>
        <v>0</v>
      </c>
      <c r="Y1291" s="32">
        <f t="shared" si="221"/>
        <v>0</v>
      </c>
      <c r="Z1291" s="32">
        <f t="shared" si="222"/>
        <v>0</v>
      </c>
      <c r="AA1291" s="38" t="s">
        <v>2573</v>
      </c>
      <c r="AB1291" s="37" t="str">
        <f>IFERROR(VLOOKUP(A1291,'Tash Lookup'!A:E,3,FALSE),"")</f>
        <v/>
      </c>
      <c r="AC1291" s="6" t="str">
        <f t="shared" si="223"/>
        <v/>
      </c>
      <c r="AD1291" s="2" t="s">
        <v>6707</v>
      </c>
      <c r="AF1291" s="56">
        <v>1.44</v>
      </c>
      <c r="AG1291" s="56" t="e">
        <f>VLOOKUP(A1291,Sheet1!$A$2:$C$1140,3,FALSE)</f>
        <v>#N/A</v>
      </c>
      <c r="AH1291" s="58" t="e">
        <v>#N/A</v>
      </c>
      <c r="AI1291" s="56" t="str">
        <f t="shared" si="224"/>
        <v>Delete</v>
      </c>
      <c r="AJ1291" s="81">
        <f t="shared" si="228"/>
        <v>0</v>
      </c>
      <c r="AK1291" s="81">
        <f t="shared" si="229"/>
        <v>0</v>
      </c>
      <c r="AL1291" s="58" t="s">
        <v>7206</v>
      </c>
      <c r="AM1291" s="58" t="s">
        <v>6709</v>
      </c>
      <c r="AN1291" s="75">
        <v>0</v>
      </c>
      <c r="AO1291" s="88">
        <v>1.44</v>
      </c>
      <c r="AP1291" s="6" t="str">
        <f t="shared" si="225"/>
        <v>Same</v>
      </c>
      <c r="AQ1291" s="81">
        <f t="shared" si="226"/>
        <v>0</v>
      </c>
      <c r="AR1291" s="81">
        <f t="shared" si="227"/>
        <v>0</v>
      </c>
      <c r="AS1291" s="81">
        <f t="shared" si="230"/>
        <v>0</v>
      </c>
    </row>
    <row r="1292" spans="1:45" hidden="1" x14ac:dyDescent="0.3">
      <c r="A1292">
        <v>5222534</v>
      </c>
      <c r="B1292" s="15" t="s">
        <v>6628</v>
      </c>
      <c r="C1292" s="16" t="s">
        <v>30</v>
      </c>
      <c r="D1292" s="6" t="s">
        <v>31</v>
      </c>
      <c r="E1292" t="s">
        <v>1200</v>
      </c>
      <c r="F1292" t="s">
        <v>1200</v>
      </c>
      <c r="H1292" s="11" t="s">
        <v>27</v>
      </c>
      <c r="I1292" s="6" t="s">
        <v>28</v>
      </c>
      <c r="J1292" s="6" t="s">
        <v>28</v>
      </c>
      <c r="K1292" t="s">
        <v>32</v>
      </c>
      <c r="L1292" s="35">
        <v>94.04</v>
      </c>
      <c r="M1292" s="6" t="s">
        <v>29</v>
      </c>
      <c r="N1292" s="6">
        <v>3105</v>
      </c>
      <c r="P1292" s="18"/>
      <c r="Q1292" s="17"/>
      <c r="R1292" s="19">
        <v>94.04</v>
      </c>
      <c r="S1292" s="19">
        <v>94.04</v>
      </c>
      <c r="T1292" s="38">
        <v>0</v>
      </c>
      <c r="U1292" s="38"/>
      <c r="V1292" s="30">
        <v>94.04</v>
      </c>
      <c r="W1292" s="35">
        <v>94.04</v>
      </c>
      <c r="X1292" s="32">
        <f t="shared" si="220"/>
        <v>0</v>
      </c>
      <c r="Y1292" s="32">
        <f t="shared" si="221"/>
        <v>0</v>
      </c>
      <c r="Z1292" s="32">
        <f t="shared" si="222"/>
        <v>0</v>
      </c>
      <c r="AA1292" s="38" t="s">
        <v>2573</v>
      </c>
      <c r="AB1292" s="37" t="str">
        <f>IFERROR(VLOOKUP(A1292,'Tash Lookup'!A:E,3,FALSE),"")</f>
        <v/>
      </c>
      <c r="AC1292" s="6" t="str">
        <f t="shared" si="223"/>
        <v/>
      </c>
      <c r="AD1292" s="2" t="s">
        <v>6707</v>
      </c>
      <c r="AF1292" s="56">
        <v>94.04</v>
      </c>
      <c r="AG1292" s="56" t="e">
        <f>VLOOKUP(A1292,Sheet1!$A$2:$C$1140,3,FALSE)</f>
        <v>#N/A</v>
      </c>
      <c r="AH1292" s="58" t="e">
        <v>#N/A</v>
      </c>
      <c r="AI1292" s="56" t="str">
        <f t="shared" si="224"/>
        <v>Delete</v>
      </c>
      <c r="AJ1292" s="81">
        <f t="shared" si="228"/>
        <v>0</v>
      </c>
      <c r="AK1292" s="81">
        <f t="shared" si="229"/>
        <v>0</v>
      </c>
      <c r="AL1292" s="58" t="s">
        <v>7206</v>
      </c>
      <c r="AM1292" s="58" t="s">
        <v>6708</v>
      </c>
      <c r="AN1292" s="75">
        <v>0</v>
      </c>
      <c r="AO1292" s="88">
        <v>94.04</v>
      </c>
      <c r="AP1292" s="6" t="str">
        <f t="shared" si="225"/>
        <v>Same</v>
      </c>
      <c r="AQ1292" s="81">
        <f t="shared" si="226"/>
        <v>0</v>
      </c>
      <c r="AR1292" s="81">
        <f t="shared" si="227"/>
        <v>0</v>
      </c>
      <c r="AS1292" s="81">
        <f t="shared" si="230"/>
        <v>0</v>
      </c>
    </row>
    <row r="1293" spans="1:45" hidden="1" x14ac:dyDescent="0.3">
      <c r="A1293">
        <v>5222519</v>
      </c>
      <c r="B1293" s="15" t="s">
        <v>6629</v>
      </c>
      <c r="C1293" s="16" t="s">
        <v>30</v>
      </c>
      <c r="D1293" s="6" t="s">
        <v>31</v>
      </c>
      <c r="E1293" t="s">
        <v>1201</v>
      </c>
      <c r="F1293" t="s">
        <v>1201</v>
      </c>
      <c r="H1293" s="11" t="s">
        <v>27</v>
      </c>
      <c r="I1293" s="6" t="s">
        <v>28</v>
      </c>
      <c r="J1293" s="6" t="s">
        <v>28</v>
      </c>
      <c r="K1293" t="s">
        <v>32</v>
      </c>
      <c r="L1293" s="35">
        <v>196.79</v>
      </c>
      <c r="M1293" s="6" t="s">
        <v>29</v>
      </c>
      <c r="N1293" s="6">
        <v>3105</v>
      </c>
      <c r="P1293" s="18"/>
      <c r="Q1293" s="17"/>
      <c r="R1293" s="19">
        <v>196.79</v>
      </c>
      <c r="S1293" s="19">
        <v>196.79</v>
      </c>
      <c r="T1293" s="38">
        <v>0</v>
      </c>
      <c r="U1293" s="38"/>
      <c r="V1293" s="30">
        <v>196.79</v>
      </c>
      <c r="W1293" s="35">
        <v>196.79</v>
      </c>
      <c r="X1293" s="32">
        <f t="shared" si="220"/>
        <v>0</v>
      </c>
      <c r="Y1293" s="32">
        <f t="shared" si="221"/>
        <v>0</v>
      </c>
      <c r="Z1293" s="32">
        <f t="shared" si="222"/>
        <v>0</v>
      </c>
      <c r="AA1293" s="38" t="s">
        <v>2573</v>
      </c>
      <c r="AB1293" s="37" t="str">
        <f>IFERROR(VLOOKUP(A1293,'Tash Lookup'!A:E,3,FALSE),"")</f>
        <v/>
      </c>
      <c r="AC1293" s="6" t="str">
        <f t="shared" si="223"/>
        <v/>
      </c>
      <c r="AD1293" s="2" t="s">
        <v>6704</v>
      </c>
      <c r="AF1293" s="56">
        <v>196.79</v>
      </c>
      <c r="AG1293" s="56" t="e">
        <f>VLOOKUP(A1293,Sheet1!$A$2:$C$1140,3,FALSE)</f>
        <v>#N/A</v>
      </c>
      <c r="AH1293" s="58" t="e">
        <v>#N/A</v>
      </c>
      <c r="AI1293" s="56" t="str">
        <f t="shared" si="224"/>
        <v>Delete</v>
      </c>
      <c r="AJ1293" s="81">
        <f t="shared" si="228"/>
        <v>0</v>
      </c>
      <c r="AK1293" s="81">
        <f t="shared" si="229"/>
        <v>0</v>
      </c>
      <c r="AL1293" s="58" t="s">
        <v>7206</v>
      </c>
      <c r="AM1293" s="58" t="s">
        <v>6708</v>
      </c>
      <c r="AN1293" s="75">
        <v>0</v>
      </c>
      <c r="AO1293" s="88">
        <v>196.79</v>
      </c>
      <c r="AP1293" s="6" t="str">
        <f t="shared" si="225"/>
        <v>Same</v>
      </c>
      <c r="AQ1293" s="81">
        <f t="shared" si="226"/>
        <v>0</v>
      </c>
      <c r="AR1293" s="81">
        <f t="shared" si="227"/>
        <v>0</v>
      </c>
      <c r="AS1293" s="81">
        <f t="shared" si="230"/>
        <v>0</v>
      </c>
    </row>
    <row r="1294" spans="1:45" hidden="1" x14ac:dyDescent="0.3">
      <c r="A1294">
        <v>6345822</v>
      </c>
      <c r="B1294" s="15" t="s">
        <v>6630</v>
      </c>
      <c r="C1294" s="16" t="s">
        <v>30</v>
      </c>
      <c r="D1294" s="6" t="s">
        <v>31</v>
      </c>
      <c r="E1294" t="s">
        <v>1203</v>
      </c>
      <c r="F1294" t="s">
        <v>1203</v>
      </c>
      <c r="H1294" s="11" t="s">
        <v>27</v>
      </c>
      <c r="I1294" s="6" t="s">
        <v>28</v>
      </c>
      <c r="J1294" s="6" t="s">
        <v>28</v>
      </c>
      <c r="K1294" t="s">
        <v>32</v>
      </c>
      <c r="L1294" s="35">
        <v>326.19</v>
      </c>
      <c r="M1294" s="6" t="s">
        <v>29</v>
      </c>
      <c r="N1294" s="6">
        <v>3105</v>
      </c>
      <c r="P1294" s="18"/>
      <c r="Q1294" s="17"/>
      <c r="R1294" s="19">
        <v>326.19</v>
      </c>
      <c r="S1294" s="19">
        <v>326.19</v>
      </c>
      <c r="T1294" s="38">
        <v>0</v>
      </c>
      <c r="U1294" s="38"/>
      <c r="V1294" s="30">
        <v>326.19</v>
      </c>
      <c r="W1294" s="35">
        <v>326.19</v>
      </c>
      <c r="X1294" s="32">
        <f t="shared" si="220"/>
        <v>0</v>
      </c>
      <c r="Y1294" s="32">
        <f t="shared" si="221"/>
        <v>0</v>
      </c>
      <c r="Z1294" s="32">
        <f t="shared" si="222"/>
        <v>0</v>
      </c>
      <c r="AA1294" s="38" t="s">
        <v>2573</v>
      </c>
      <c r="AB1294" s="37" t="str">
        <f>IFERROR(VLOOKUP(A1294,'Tash Lookup'!A:E,3,FALSE),"")</f>
        <v/>
      </c>
      <c r="AC1294" s="6" t="str">
        <f t="shared" si="223"/>
        <v/>
      </c>
      <c r="AD1294" s="2" t="s">
        <v>6707</v>
      </c>
      <c r="AF1294" s="56">
        <v>326.19</v>
      </c>
      <c r="AG1294" s="56" t="e">
        <f>VLOOKUP(A1294,Sheet1!$A$2:$C$1140,3,FALSE)</f>
        <v>#N/A</v>
      </c>
      <c r="AH1294" s="58" t="e">
        <v>#N/A</v>
      </c>
      <c r="AI1294" s="56" t="str">
        <f t="shared" si="224"/>
        <v>Delete</v>
      </c>
      <c r="AJ1294" s="81">
        <f t="shared" si="228"/>
        <v>0</v>
      </c>
      <c r="AK1294" s="81">
        <f t="shared" si="229"/>
        <v>0</v>
      </c>
      <c r="AL1294" s="58" t="s">
        <v>7206</v>
      </c>
      <c r="AM1294" s="58" t="s">
        <v>6708</v>
      </c>
      <c r="AN1294" s="75">
        <v>0</v>
      </c>
      <c r="AO1294" s="88">
        <v>326.19</v>
      </c>
      <c r="AP1294" s="6" t="str">
        <f t="shared" si="225"/>
        <v>Same</v>
      </c>
      <c r="AQ1294" s="81">
        <f t="shared" si="226"/>
        <v>0</v>
      </c>
      <c r="AR1294" s="81">
        <f t="shared" si="227"/>
        <v>0</v>
      </c>
      <c r="AS1294" s="81">
        <f t="shared" si="230"/>
        <v>0</v>
      </c>
    </row>
    <row r="1295" spans="1:45" hidden="1" x14ac:dyDescent="0.3">
      <c r="A1295">
        <v>5315681</v>
      </c>
      <c r="B1295" s="15" t="s">
        <v>6631</v>
      </c>
      <c r="C1295" s="16" t="s">
        <v>30</v>
      </c>
      <c r="D1295" s="6" t="s">
        <v>31</v>
      </c>
      <c r="E1295" t="s">
        <v>1204</v>
      </c>
      <c r="F1295" t="s">
        <v>1204</v>
      </c>
      <c r="H1295" s="11" t="s">
        <v>27</v>
      </c>
      <c r="I1295" s="6" t="s">
        <v>28</v>
      </c>
      <c r="J1295" s="6" t="s">
        <v>28</v>
      </c>
      <c r="K1295" t="s">
        <v>32</v>
      </c>
      <c r="L1295" s="35">
        <v>148.69</v>
      </c>
      <c r="M1295" s="6" t="s">
        <v>29</v>
      </c>
      <c r="N1295" s="6">
        <v>3105</v>
      </c>
      <c r="P1295" s="18"/>
      <c r="Q1295" s="17"/>
      <c r="R1295" s="19">
        <v>148.69</v>
      </c>
      <c r="S1295" s="19">
        <v>148.69</v>
      </c>
      <c r="T1295" s="38">
        <v>0</v>
      </c>
      <c r="U1295" s="38"/>
      <c r="V1295" s="30">
        <v>148.69</v>
      </c>
      <c r="W1295" s="35">
        <v>148.69</v>
      </c>
      <c r="X1295" s="32">
        <f t="shared" si="220"/>
        <v>0</v>
      </c>
      <c r="Y1295" s="32">
        <f t="shared" si="221"/>
        <v>0</v>
      </c>
      <c r="Z1295" s="32">
        <f t="shared" si="222"/>
        <v>0</v>
      </c>
      <c r="AA1295" s="38" t="s">
        <v>2573</v>
      </c>
      <c r="AB1295" s="37" t="str">
        <f>IFERROR(VLOOKUP(A1295,'Tash Lookup'!A:E,3,FALSE),"")</f>
        <v/>
      </c>
      <c r="AC1295" s="6" t="str">
        <f t="shared" si="223"/>
        <v/>
      </c>
      <c r="AD1295" s="2" t="s">
        <v>6704</v>
      </c>
      <c r="AF1295" s="56">
        <v>148.69</v>
      </c>
      <c r="AG1295" s="56" t="e">
        <f>VLOOKUP(A1295,Sheet1!$A$2:$C$1140,3,FALSE)</f>
        <v>#N/A</v>
      </c>
      <c r="AH1295" s="58" t="e">
        <v>#N/A</v>
      </c>
      <c r="AI1295" s="56" t="str">
        <f t="shared" si="224"/>
        <v>Delete</v>
      </c>
      <c r="AJ1295" s="81">
        <f t="shared" si="228"/>
        <v>0</v>
      </c>
      <c r="AK1295" s="81">
        <f t="shared" si="229"/>
        <v>0</v>
      </c>
      <c r="AL1295" s="58" t="s">
        <v>7206</v>
      </c>
      <c r="AM1295" s="58" t="s">
        <v>6708</v>
      </c>
      <c r="AN1295" s="75">
        <v>0</v>
      </c>
      <c r="AO1295" s="88">
        <v>148.69</v>
      </c>
      <c r="AP1295" s="6" t="str">
        <f t="shared" si="225"/>
        <v>Same</v>
      </c>
      <c r="AQ1295" s="81">
        <f t="shared" si="226"/>
        <v>0</v>
      </c>
      <c r="AR1295" s="81">
        <f t="shared" si="227"/>
        <v>0</v>
      </c>
      <c r="AS1295" s="81">
        <f t="shared" si="230"/>
        <v>0</v>
      </c>
    </row>
    <row r="1296" spans="1:45" hidden="1" x14ac:dyDescent="0.3">
      <c r="A1296">
        <v>6391545</v>
      </c>
      <c r="B1296" s="15" t="s">
        <v>6632</v>
      </c>
      <c r="C1296" s="16" t="s">
        <v>30</v>
      </c>
      <c r="D1296" s="6" t="s">
        <v>31</v>
      </c>
      <c r="E1296" t="s">
        <v>1205</v>
      </c>
      <c r="F1296" t="s">
        <v>1205</v>
      </c>
      <c r="H1296" s="11" t="s">
        <v>27</v>
      </c>
      <c r="I1296" s="6" t="s">
        <v>28</v>
      </c>
      <c r="J1296" s="6" t="s">
        <v>28</v>
      </c>
      <c r="K1296" t="s">
        <v>32</v>
      </c>
      <c r="L1296" s="35">
        <v>85.25</v>
      </c>
      <c r="M1296" s="6" t="s">
        <v>29</v>
      </c>
      <c r="N1296" s="6">
        <v>3105</v>
      </c>
      <c r="P1296" s="18"/>
      <c r="Q1296" s="17"/>
      <c r="R1296" s="19">
        <v>85.25</v>
      </c>
      <c r="S1296" s="19">
        <v>85.25</v>
      </c>
      <c r="T1296" s="38">
        <v>0</v>
      </c>
      <c r="U1296" s="38"/>
      <c r="V1296" s="30">
        <v>85.25</v>
      </c>
      <c r="W1296" s="35">
        <v>85.25</v>
      </c>
      <c r="X1296" s="32">
        <f t="shared" si="220"/>
        <v>0</v>
      </c>
      <c r="Y1296" s="32">
        <f t="shared" si="221"/>
        <v>0</v>
      </c>
      <c r="Z1296" s="32">
        <f t="shared" si="222"/>
        <v>0</v>
      </c>
      <c r="AA1296" s="38" t="s">
        <v>2573</v>
      </c>
      <c r="AB1296" s="37" t="str">
        <f>IFERROR(VLOOKUP(A1296,'Tash Lookup'!A:E,3,FALSE),"")</f>
        <v/>
      </c>
      <c r="AC1296" s="6" t="str">
        <f t="shared" si="223"/>
        <v/>
      </c>
      <c r="AD1296" s="2" t="s">
        <v>6703</v>
      </c>
      <c r="AF1296" s="56">
        <v>134.38</v>
      </c>
      <c r="AG1296" s="56">
        <f>VLOOKUP(A1296,Sheet1!$A$2:$C$1140,3,FALSE)</f>
        <v>134.38</v>
      </c>
      <c r="AH1296" s="58">
        <v>134.38</v>
      </c>
      <c r="AI1296" s="56" t="str">
        <f t="shared" si="224"/>
        <v>Same</v>
      </c>
      <c r="AJ1296" s="81">
        <f t="shared" si="228"/>
        <v>0</v>
      </c>
      <c r="AK1296" s="81">
        <f t="shared" si="229"/>
        <v>0</v>
      </c>
      <c r="AL1296" s="58" t="s">
        <v>7206</v>
      </c>
      <c r="AM1296" s="58" t="s">
        <v>6703</v>
      </c>
      <c r="AN1296" s="75">
        <v>0</v>
      </c>
      <c r="AO1296" s="88">
        <v>134.38</v>
      </c>
      <c r="AP1296" s="6" t="str">
        <f t="shared" si="225"/>
        <v>Same</v>
      </c>
      <c r="AQ1296" s="81">
        <f t="shared" si="226"/>
        <v>0</v>
      </c>
      <c r="AR1296" s="81">
        <f t="shared" si="227"/>
        <v>0</v>
      </c>
      <c r="AS1296" s="81">
        <f t="shared" si="230"/>
        <v>0</v>
      </c>
    </row>
    <row r="1297" spans="1:45" hidden="1" x14ac:dyDescent="0.3">
      <c r="A1297">
        <v>6390507</v>
      </c>
      <c r="B1297" s="15" t="s">
        <v>6633</v>
      </c>
      <c r="C1297" s="16" t="s">
        <v>30</v>
      </c>
      <c r="D1297" s="6" t="s">
        <v>31</v>
      </c>
      <c r="E1297" t="s">
        <v>1208</v>
      </c>
      <c r="F1297" t="s">
        <v>1208</v>
      </c>
      <c r="H1297" s="11" t="s">
        <v>27</v>
      </c>
      <c r="I1297" s="6" t="s">
        <v>28</v>
      </c>
      <c r="J1297" s="6" t="s">
        <v>28</v>
      </c>
      <c r="K1297" t="s">
        <v>32</v>
      </c>
      <c r="L1297" s="35">
        <v>4.9800000000000004</v>
      </c>
      <c r="M1297" s="6" t="s">
        <v>29</v>
      </c>
      <c r="N1297" s="6">
        <v>3105</v>
      </c>
      <c r="P1297" s="18"/>
      <c r="Q1297" s="17"/>
      <c r="R1297" s="19">
        <v>4.9800000000000004</v>
      </c>
      <c r="S1297" s="19">
        <v>4.9800000000000004</v>
      </c>
      <c r="T1297" s="38">
        <v>0</v>
      </c>
      <c r="U1297" s="38"/>
      <c r="V1297" s="30">
        <v>4.9800000000000004</v>
      </c>
      <c r="W1297" s="35">
        <v>4.9800000000000004</v>
      </c>
      <c r="X1297" s="32">
        <f t="shared" si="220"/>
        <v>0</v>
      </c>
      <c r="Y1297" s="32">
        <f t="shared" si="221"/>
        <v>0</v>
      </c>
      <c r="Z1297" s="32">
        <f t="shared" si="222"/>
        <v>0</v>
      </c>
      <c r="AA1297" s="38" t="s">
        <v>2573</v>
      </c>
      <c r="AB1297" s="37" t="str">
        <f>IFERROR(VLOOKUP(A1297,'Tash Lookup'!A:E,3,FALSE),"")</f>
        <v/>
      </c>
      <c r="AC1297" s="6" t="str">
        <f t="shared" si="223"/>
        <v/>
      </c>
      <c r="AD1297" s="2" t="s">
        <v>6707</v>
      </c>
      <c r="AF1297" s="56">
        <v>4.9800000000000004</v>
      </c>
      <c r="AG1297" s="56" t="e">
        <f>VLOOKUP(A1297,Sheet1!$A$2:$C$1140,3,FALSE)</f>
        <v>#N/A</v>
      </c>
      <c r="AH1297" s="58" t="e">
        <v>#N/A</v>
      </c>
      <c r="AI1297" s="56" t="str">
        <f t="shared" si="224"/>
        <v>Delete</v>
      </c>
      <c r="AJ1297" s="81">
        <f t="shared" si="228"/>
        <v>0</v>
      </c>
      <c r="AK1297" s="81">
        <f t="shared" si="229"/>
        <v>0</v>
      </c>
      <c r="AL1297" s="58" t="s">
        <v>7206</v>
      </c>
      <c r="AM1297" s="58" t="s">
        <v>6709</v>
      </c>
      <c r="AN1297" s="75">
        <v>0</v>
      </c>
      <c r="AO1297" s="88">
        <v>4.9800000000000004</v>
      </c>
      <c r="AP1297" s="6" t="str">
        <f t="shared" si="225"/>
        <v>Same</v>
      </c>
      <c r="AQ1297" s="81">
        <f t="shared" si="226"/>
        <v>0</v>
      </c>
      <c r="AR1297" s="81">
        <f t="shared" si="227"/>
        <v>0</v>
      </c>
      <c r="AS1297" s="81">
        <f t="shared" si="230"/>
        <v>0</v>
      </c>
    </row>
    <row r="1298" spans="1:45" hidden="1" x14ac:dyDescent="0.3">
      <c r="A1298">
        <v>6390510</v>
      </c>
      <c r="B1298" s="15" t="s">
        <v>6634</v>
      </c>
      <c r="C1298" s="16" t="s">
        <v>30</v>
      </c>
      <c r="D1298" s="6" t="s">
        <v>31</v>
      </c>
      <c r="E1298" t="s">
        <v>1209</v>
      </c>
      <c r="F1298" t="s">
        <v>1209</v>
      </c>
      <c r="H1298" s="11" t="s">
        <v>27</v>
      </c>
      <c r="I1298" s="6" t="s">
        <v>28</v>
      </c>
      <c r="J1298" s="6" t="s">
        <v>28</v>
      </c>
      <c r="K1298" t="s">
        <v>32</v>
      </c>
      <c r="L1298" s="35">
        <v>2.4900000000000002</v>
      </c>
      <c r="M1298" s="6" t="s">
        <v>29</v>
      </c>
      <c r="N1298" s="6">
        <v>3105</v>
      </c>
      <c r="P1298" s="18"/>
      <c r="Q1298" s="17"/>
      <c r="R1298" s="19">
        <v>2.4900000000000002</v>
      </c>
      <c r="S1298" s="19">
        <v>2.4900000000000002</v>
      </c>
      <c r="T1298" s="38">
        <v>0</v>
      </c>
      <c r="U1298" s="38"/>
      <c r="V1298" s="30">
        <v>2.4900000000000002</v>
      </c>
      <c r="W1298" s="35">
        <v>2.4900000000000002</v>
      </c>
      <c r="X1298" s="32">
        <f t="shared" si="220"/>
        <v>0</v>
      </c>
      <c r="Y1298" s="32">
        <f t="shared" si="221"/>
        <v>0</v>
      </c>
      <c r="Z1298" s="32">
        <f t="shared" si="222"/>
        <v>0</v>
      </c>
      <c r="AA1298" s="38" t="s">
        <v>2573</v>
      </c>
      <c r="AB1298" s="37" t="str">
        <f>IFERROR(VLOOKUP(A1298,'Tash Lookup'!A:E,3,FALSE),"")</f>
        <v/>
      </c>
      <c r="AC1298" s="6" t="str">
        <f t="shared" si="223"/>
        <v/>
      </c>
      <c r="AD1298" s="2" t="s">
        <v>6707</v>
      </c>
      <c r="AF1298" s="56">
        <v>2.4900000000000002</v>
      </c>
      <c r="AG1298" s="56" t="e">
        <f>VLOOKUP(A1298,Sheet1!$A$2:$C$1140,3,FALSE)</f>
        <v>#N/A</v>
      </c>
      <c r="AH1298" s="58" t="e">
        <v>#N/A</v>
      </c>
      <c r="AI1298" s="56" t="str">
        <f t="shared" si="224"/>
        <v>Delete</v>
      </c>
      <c r="AJ1298" s="81">
        <f t="shared" si="228"/>
        <v>0</v>
      </c>
      <c r="AK1298" s="81">
        <f t="shared" si="229"/>
        <v>0</v>
      </c>
      <c r="AL1298" s="58" t="s">
        <v>7206</v>
      </c>
      <c r="AM1298" s="58" t="s">
        <v>6709</v>
      </c>
      <c r="AN1298" s="75">
        <v>0</v>
      </c>
      <c r="AO1298" s="88">
        <v>2.4900000000000002</v>
      </c>
      <c r="AP1298" s="6" t="str">
        <f t="shared" si="225"/>
        <v>Same</v>
      </c>
      <c r="AQ1298" s="81">
        <f t="shared" si="226"/>
        <v>0</v>
      </c>
      <c r="AR1298" s="81">
        <f t="shared" si="227"/>
        <v>0</v>
      </c>
      <c r="AS1298" s="81">
        <f t="shared" si="230"/>
        <v>0</v>
      </c>
    </row>
    <row r="1299" spans="1:45" hidden="1" x14ac:dyDescent="0.3">
      <c r="A1299">
        <v>6317864</v>
      </c>
      <c r="B1299" s="15" t="s">
        <v>6635</v>
      </c>
      <c r="C1299" s="16" t="s">
        <v>30</v>
      </c>
      <c r="D1299" s="6" t="s">
        <v>31</v>
      </c>
      <c r="E1299" t="s">
        <v>1210</v>
      </c>
      <c r="F1299" t="s">
        <v>1210</v>
      </c>
      <c r="H1299" s="11" t="s">
        <v>27</v>
      </c>
      <c r="I1299" s="6" t="s">
        <v>28</v>
      </c>
      <c r="J1299" s="6" t="s">
        <v>28</v>
      </c>
      <c r="K1299" t="s">
        <v>32</v>
      </c>
      <c r="L1299" s="35">
        <v>5.57</v>
      </c>
      <c r="M1299" s="6" t="s">
        <v>29</v>
      </c>
      <c r="N1299" s="6">
        <v>3105</v>
      </c>
      <c r="P1299" s="18"/>
      <c r="Q1299" s="17"/>
      <c r="R1299" s="19">
        <v>5.57</v>
      </c>
      <c r="S1299" s="19">
        <v>5.57</v>
      </c>
      <c r="T1299" s="38">
        <v>0</v>
      </c>
      <c r="U1299" s="38"/>
      <c r="V1299" s="30">
        <v>5.57</v>
      </c>
      <c r="W1299" s="35">
        <v>5.57</v>
      </c>
      <c r="X1299" s="32">
        <f t="shared" si="220"/>
        <v>0</v>
      </c>
      <c r="Y1299" s="32">
        <f t="shared" si="221"/>
        <v>0</v>
      </c>
      <c r="Z1299" s="32">
        <f t="shared" si="222"/>
        <v>0</v>
      </c>
      <c r="AA1299" s="38" t="s">
        <v>2573</v>
      </c>
      <c r="AB1299" s="37" t="str">
        <f>IFERROR(VLOOKUP(A1299,'Tash Lookup'!A:E,3,FALSE),"")</f>
        <v/>
      </c>
      <c r="AC1299" s="6" t="str">
        <f t="shared" si="223"/>
        <v/>
      </c>
      <c r="AD1299" s="2" t="s">
        <v>6707</v>
      </c>
      <c r="AF1299" s="56">
        <v>5.57</v>
      </c>
      <c r="AG1299" s="56" t="e">
        <f>VLOOKUP(A1299,Sheet1!$A$2:$C$1140,3,FALSE)</f>
        <v>#N/A</v>
      </c>
      <c r="AH1299" s="58" t="e">
        <v>#N/A</v>
      </c>
      <c r="AI1299" s="56" t="str">
        <f t="shared" si="224"/>
        <v>Delete</v>
      </c>
      <c r="AJ1299" s="81">
        <f t="shared" si="228"/>
        <v>0</v>
      </c>
      <c r="AK1299" s="81">
        <f t="shared" si="229"/>
        <v>0</v>
      </c>
      <c r="AL1299" s="58" t="s">
        <v>7206</v>
      </c>
      <c r="AM1299" s="58" t="s">
        <v>6709</v>
      </c>
      <c r="AN1299" s="75">
        <v>0</v>
      </c>
      <c r="AO1299" s="88">
        <v>5.57</v>
      </c>
      <c r="AP1299" s="6" t="str">
        <f t="shared" si="225"/>
        <v>Same</v>
      </c>
      <c r="AQ1299" s="81">
        <f t="shared" si="226"/>
        <v>0</v>
      </c>
      <c r="AR1299" s="81">
        <f t="shared" si="227"/>
        <v>0</v>
      </c>
      <c r="AS1299" s="81">
        <f t="shared" si="230"/>
        <v>0</v>
      </c>
    </row>
    <row r="1300" spans="1:45" hidden="1" x14ac:dyDescent="0.3">
      <c r="A1300">
        <v>6390518</v>
      </c>
      <c r="B1300" s="15" t="s">
        <v>6636</v>
      </c>
      <c r="C1300" s="16" t="s">
        <v>30</v>
      </c>
      <c r="D1300" s="6" t="s">
        <v>31</v>
      </c>
      <c r="E1300" t="s">
        <v>1215</v>
      </c>
      <c r="F1300" t="s">
        <v>1215</v>
      </c>
      <c r="H1300" s="11" t="s">
        <v>27</v>
      </c>
      <c r="I1300" s="6" t="s">
        <v>28</v>
      </c>
      <c r="J1300" s="6" t="s">
        <v>28</v>
      </c>
      <c r="K1300" t="s">
        <v>32</v>
      </c>
      <c r="L1300" s="35">
        <v>19.329999999999998</v>
      </c>
      <c r="M1300" s="6" t="s">
        <v>29</v>
      </c>
      <c r="N1300" s="6">
        <v>3105</v>
      </c>
      <c r="P1300" s="18"/>
      <c r="Q1300" s="17"/>
      <c r="R1300" s="19">
        <v>17.399999999999999</v>
      </c>
      <c r="S1300" s="19">
        <v>0</v>
      </c>
      <c r="T1300" s="38">
        <v>0</v>
      </c>
      <c r="U1300" s="38"/>
      <c r="V1300" s="30">
        <v>17.399999999999999</v>
      </c>
      <c r="W1300" s="35">
        <v>19.329999999999998</v>
      </c>
      <c r="X1300" s="32">
        <f t="shared" si="220"/>
        <v>0</v>
      </c>
      <c r="Y1300" s="32">
        <f t="shared" si="221"/>
        <v>0</v>
      </c>
      <c r="Z1300" s="32">
        <f t="shared" si="222"/>
        <v>0</v>
      </c>
      <c r="AA1300" s="38" t="s">
        <v>2573</v>
      </c>
      <c r="AB1300" s="37" t="str">
        <f>IFERROR(VLOOKUP(A1300,'Tash Lookup'!A:E,3,FALSE),"")</f>
        <v/>
      </c>
      <c r="AC1300" s="6" t="str">
        <f t="shared" si="223"/>
        <v/>
      </c>
      <c r="AD1300" s="2" t="s">
        <v>6703</v>
      </c>
      <c r="AF1300" s="56">
        <v>17.920000000000002</v>
      </c>
      <c r="AG1300" s="56">
        <f>VLOOKUP(A1300,Sheet1!$A$2:$C$1140,3,FALSE)</f>
        <v>18.28</v>
      </c>
      <c r="AH1300" s="58">
        <v>18.28</v>
      </c>
      <c r="AI1300" s="56" t="str">
        <f t="shared" si="224"/>
        <v>Increase</v>
      </c>
      <c r="AJ1300" s="81">
        <f t="shared" si="228"/>
        <v>0</v>
      </c>
      <c r="AK1300" s="81">
        <f t="shared" si="229"/>
        <v>0</v>
      </c>
      <c r="AL1300" s="58" t="s">
        <v>7206</v>
      </c>
      <c r="AM1300" s="58" t="s">
        <v>6703</v>
      </c>
      <c r="AN1300" s="75">
        <v>0</v>
      </c>
      <c r="AO1300" s="88">
        <v>18.28</v>
      </c>
      <c r="AP1300" s="6" t="str">
        <f t="shared" si="225"/>
        <v>Increase</v>
      </c>
      <c r="AQ1300" s="81">
        <f t="shared" si="226"/>
        <v>0</v>
      </c>
      <c r="AR1300" s="81">
        <f t="shared" si="227"/>
        <v>0</v>
      </c>
      <c r="AS1300" s="81">
        <f t="shared" si="230"/>
        <v>0</v>
      </c>
    </row>
    <row r="1301" spans="1:45" hidden="1" x14ac:dyDescent="0.3">
      <c r="A1301">
        <v>6059474</v>
      </c>
      <c r="B1301" s="15" t="s">
        <v>6637</v>
      </c>
      <c r="C1301" s="16" t="s">
        <v>30</v>
      </c>
      <c r="D1301" s="6" t="s">
        <v>31</v>
      </c>
      <c r="E1301" t="s">
        <v>1216</v>
      </c>
      <c r="F1301" t="s">
        <v>1216</v>
      </c>
      <c r="H1301" s="11" t="s">
        <v>27</v>
      </c>
      <c r="I1301" s="6" t="s">
        <v>28</v>
      </c>
      <c r="J1301" s="6" t="s">
        <v>28</v>
      </c>
      <c r="K1301" t="s">
        <v>32</v>
      </c>
      <c r="L1301" s="35">
        <v>7.24</v>
      </c>
      <c r="M1301" s="6" t="s">
        <v>29</v>
      </c>
      <c r="N1301" s="6">
        <v>3105</v>
      </c>
      <c r="P1301" s="18"/>
      <c r="Q1301" s="17"/>
      <c r="R1301" s="19">
        <v>7.24</v>
      </c>
      <c r="S1301" s="19">
        <v>7.24</v>
      </c>
      <c r="T1301" s="38">
        <v>0</v>
      </c>
      <c r="U1301" s="38"/>
      <c r="V1301" s="30">
        <v>7.24</v>
      </c>
      <c r="W1301" s="35">
        <v>7.24</v>
      </c>
      <c r="X1301" s="32">
        <f t="shared" si="220"/>
        <v>0</v>
      </c>
      <c r="Y1301" s="32">
        <f t="shared" si="221"/>
        <v>0</v>
      </c>
      <c r="Z1301" s="32">
        <f t="shared" si="222"/>
        <v>0</v>
      </c>
      <c r="AA1301" s="38" t="s">
        <v>2573</v>
      </c>
      <c r="AB1301" s="37" t="str">
        <f>IFERROR(VLOOKUP(A1301,'Tash Lookup'!A:E,3,FALSE),"")</f>
        <v/>
      </c>
      <c r="AC1301" s="6" t="str">
        <f t="shared" si="223"/>
        <v/>
      </c>
      <c r="AD1301" s="2" t="s">
        <v>6707</v>
      </c>
      <c r="AF1301" s="56">
        <v>7.24</v>
      </c>
      <c r="AG1301" s="56" t="e">
        <f>VLOOKUP(A1301,Sheet1!$A$2:$C$1140,3,FALSE)</f>
        <v>#N/A</v>
      </c>
      <c r="AH1301" s="58" t="e">
        <v>#N/A</v>
      </c>
      <c r="AI1301" s="56" t="str">
        <f t="shared" si="224"/>
        <v>Delete</v>
      </c>
      <c r="AJ1301" s="81">
        <f t="shared" si="228"/>
        <v>0</v>
      </c>
      <c r="AK1301" s="81">
        <f t="shared" si="229"/>
        <v>0</v>
      </c>
      <c r="AL1301" s="58" t="s">
        <v>7206</v>
      </c>
      <c r="AM1301" s="58" t="s">
        <v>6709</v>
      </c>
      <c r="AN1301" s="75">
        <v>0</v>
      </c>
      <c r="AO1301" s="88">
        <v>7.24</v>
      </c>
      <c r="AP1301" s="6" t="str">
        <f t="shared" si="225"/>
        <v>Same</v>
      </c>
      <c r="AQ1301" s="81">
        <f t="shared" si="226"/>
        <v>0</v>
      </c>
      <c r="AR1301" s="81">
        <f t="shared" si="227"/>
        <v>0</v>
      </c>
      <c r="AS1301" s="81">
        <f t="shared" si="230"/>
        <v>0</v>
      </c>
    </row>
    <row r="1302" spans="1:45" hidden="1" x14ac:dyDescent="0.3">
      <c r="A1302">
        <v>6059475</v>
      </c>
      <c r="B1302" s="15" t="s">
        <v>6638</v>
      </c>
      <c r="C1302" s="16" t="s">
        <v>30</v>
      </c>
      <c r="D1302" s="6" t="s">
        <v>31</v>
      </c>
      <c r="E1302" t="s">
        <v>1217</v>
      </c>
      <c r="F1302" t="s">
        <v>1217</v>
      </c>
      <c r="H1302" s="11" t="s">
        <v>27</v>
      </c>
      <c r="I1302" s="6" t="s">
        <v>28</v>
      </c>
      <c r="J1302" s="6" t="s">
        <v>28</v>
      </c>
      <c r="K1302" t="s">
        <v>32</v>
      </c>
      <c r="L1302" s="35">
        <v>12.79</v>
      </c>
      <c r="M1302" s="6" t="s">
        <v>29</v>
      </c>
      <c r="N1302" s="6">
        <v>3105</v>
      </c>
      <c r="P1302" s="18"/>
      <c r="Q1302" s="17"/>
      <c r="R1302" s="19">
        <v>12.79</v>
      </c>
      <c r="S1302" s="19">
        <v>12.79</v>
      </c>
      <c r="T1302" s="38">
        <v>0</v>
      </c>
      <c r="U1302" s="38"/>
      <c r="V1302" s="30">
        <v>12.79</v>
      </c>
      <c r="W1302" s="35">
        <v>12.79</v>
      </c>
      <c r="X1302" s="32">
        <f t="shared" si="220"/>
        <v>0</v>
      </c>
      <c r="Y1302" s="32">
        <f t="shared" si="221"/>
        <v>0</v>
      </c>
      <c r="Z1302" s="32">
        <f t="shared" si="222"/>
        <v>0</v>
      </c>
      <c r="AA1302" s="38" t="s">
        <v>2573</v>
      </c>
      <c r="AB1302" s="37" t="str">
        <f>IFERROR(VLOOKUP(A1302,'Tash Lookup'!A:E,3,FALSE),"")</f>
        <v/>
      </c>
      <c r="AC1302" s="6" t="str">
        <f t="shared" si="223"/>
        <v/>
      </c>
      <c r="AD1302" s="2" t="s">
        <v>6707</v>
      </c>
      <c r="AF1302" s="56">
        <v>12.79</v>
      </c>
      <c r="AG1302" s="56" t="e">
        <f>VLOOKUP(A1302,Sheet1!$A$2:$C$1140,3,FALSE)</f>
        <v>#N/A</v>
      </c>
      <c r="AH1302" s="58" t="e">
        <v>#N/A</v>
      </c>
      <c r="AI1302" s="56" t="str">
        <f t="shared" si="224"/>
        <v>Delete</v>
      </c>
      <c r="AJ1302" s="81">
        <f t="shared" si="228"/>
        <v>0</v>
      </c>
      <c r="AK1302" s="81">
        <f t="shared" si="229"/>
        <v>0</v>
      </c>
      <c r="AL1302" s="58" t="s">
        <v>7206</v>
      </c>
      <c r="AM1302" s="58" t="s">
        <v>6709</v>
      </c>
      <c r="AN1302" s="75">
        <v>0</v>
      </c>
      <c r="AO1302" s="88">
        <v>12.79</v>
      </c>
      <c r="AP1302" s="6" t="str">
        <f t="shared" si="225"/>
        <v>Same</v>
      </c>
      <c r="AQ1302" s="81">
        <f t="shared" si="226"/>
        <v>0</v>
      </c>
      <c r="AR1302" s="81">
        <f t="shared" si="227"/>
        <v>0</v>
      </c>
      <c r="AS1302" s="81">
        <f t="shared" si="230"/>
        <v>0</v>
      </c>
    </row>
    <row r="1303" spans="1:45" hidden="1" x14ac:dyDescent="0.3">
      <c r="A1303">
        <v>6390505</v>
      </c>
      <c r="B1303" s="15" t="s">
        <v>6639</v>
      </c>
      <c r="C1303" s="16" t="s">
        <v>30</v>
      </c>
      <c r="D1303" s="6" t="s">
        <v>31</v>
      </c>
      <c r="E1303" t="s">
        <v>1218</v>
      </c>
      <c r="F1303" t="s">
        <v>1218</v>
      </c>
      <c r="H1303" s="11" t="s">
        <v>27</v>
      </c>
      <c r="I1303" s="6" t="s">
        <v>28</v>
      </c>
      <c r="J1303" s="6" t="s">
        <v>28</v>
      </c>
      <c r="K1303" t="s">
        <v>32</v>
      </c>
      <c r="L1303" s="35">
        <v>3.72</v>
      </c>
      <c r="M1303" s="6" t="s">
        <v>29</v>
      </c>
      <c r="N1303" s="6">
        <v>3105</v>
      </c>
      <c r="P1303" s="18"/>
      <c r="Q1303" s="17"/>
      <c r="R1303" s="19">
        <v>3.72</v>
      </c>
      <c r="S1303" s="19">
        <v>3.72</v>
      </c>
      <c r="T1303" s="38">
        <v>0</v>
      </c>
      <c r="U1303" s="38"/>
      <c r="V1303" s="30">
        <v>3.72</v>
      </c>
      <c r="W1303" s="35">
        <v>3.72</v>
      </c>
      <c r="X1303" s="32">
        <f t="shared" si="220"/>
        <v>0</v>
      </c>
      <c r="Y1303" s="32">
        <f t="shared" si="221"/>
        <v>0</v>
      </c>
      <c r="Z1303" s="32">
        <f t="shared" si="222"/>
        <v>0</v>
      </c>
      <c r="AA1303" s="38" t="s">
        <v>2573</v>
      </c>
      <c r="AB1303" s="37" t="str">
        <f>IFERROR(VLOOKUP(A1303,'Tash Lookup'!A:E,3,FALSE),"")</f>
        <v/>
      </c>
      <c r="AC1303" s="6" t="str">
        <f t="shared" si="223"/>
        <v/>
      </c>
      <c r="AD1303" s="2" t="s">
        <v>6707</v>
      </c>
      <c r="AF1303" s="56">
        <v>3.72</v>
      </c>
      <c r="AG1303" s="56" t="e">
        <f>VLOOKUP(A1303,Sheet1!$A$2:$C$1140,3,FALSE)</f>
        <v>#N/A</v>
      </c>
      <c r="AH1303" s="58" t="e">
        <v>#N/A</v>
      </c>
      <c r="AI1303" s="56" t="str">
        <f t="shared" si="224"/>
        <v>Delete</v>
      </c>
      <c r="AJ1303" s="81">
        <f t="shared" si="228"/>
        <v>0</v>
      </c>
      <c r="AK1303" s="81">
        <f t="shared" si="229"/>
        <v>0</v>
      </c>
      <c r="AL1303" s="58" t="s">
        <v>7206</v>
      </c>
      <c r="AM1303" s="58" t="s">
        <v>6709</v>
      </c>
      <c r="AN1303" s="75">
        <v>0</v>
      </c>
      <c r="AO1303" s="88">
        <v>3.72</v>
      </c>
      <c r="AP1303" s="6" t="str">
        <f t="shared" si="225"/>
        <v>Same</v>
      </c>
      <c r="AQ1303" s="81">
        <f t="shared" si="226"/>
        <v>0</v>
      </c>
      <c r="AR1303" s="81">
        <f t="shared" si="227"/>
        <v>0</v>
      </c>
      <c r="AS1303" s="81">
        <f t="shared" si="230"/>
        <v>0</v>
      </c>
    </row>
    <row r="1304" spans="1:45" hidden="1" x14ac:dyDescent="0.3">
      <c r="A1304">
        <v>6059471</v>
      </c>
      <c r="B1304" s="15" t="s">
        <v>6640</v>
      </c>
      <c r="C1304" s="16" t="s">
        <v>30</v>
      </c>
      <c r="D1304" s="6" t="s">
        <v>31</v>
      </c>
      <c r="E1304" t="s">
        <v>1219</v>
      </c>
      <c r="F1304" t="s">
        <v>1219</v>
      </c>
      <c r="H1304" s="11" t="s">
        <v>27</v>
      </c>
      <c r="I1304" s="6" t="s">
        <v>28</v>
      </c>
      <c r="J1304" s="6" t="s">
        <v>28</v>
      </c>
      <c r="K1304" t="s">
        <v>32</v>
      </c>
      <c r="L1304" s="35">
        <v>11.97</v>
      </c>
      <c r="M1304" s="6" t="s">
        <v>29</v>
      </c>
      <c r="N1304" s="6">
        <v>3105</v>
      </c>
      <c r="P1304" s="18"/>
      <c r="Q1304" s="17"/>
      <c r="R1304" s="19">
        <v>11.97</v>
      </c>
      <c r="S1304" s="19">
        <v>11.97</v>
      </c>
      <c r="T1304" s="38">
        <v>0</v>
      </c>
      <c r="U1304" s="38"/>
      <c r="V1304" s="30">
        <v>11.97</v>
      </c>
      <c r="W1304" s="35">
        <v>11.97</v>
      </c>
      <c r="X1304" s="32">
        <f t="shared" si="220"/>
        <v>0</v>
      </c>
      <c r="Y1304" s="32">
        <f t="shared" si="221"/>
        <v>0</v>
      </c>
      <c r="Z1304" s="32">
        <f t="shared" si="222"/>
        <v>0</v>
      </c>
      <c r="AA1304" s="38" t="s">
        <v>2573</v>
      </c>
      <c r="AB1304" s="37" t="str">
        <f>IFERROR(VLOOKUP(A1304,'Tash Lookup'!A:E,3,FALSE),"")</f>
        <v/>
      </c>
      <c r="AC1304" s="6" t="str">
        <f t="shared" si="223"/>
        <v/>
      </c>
      <c r="AD1304" s="2" t="s">
        <v>6707</v>
      </c>
      <c r="AF1304" s="56">
        <v>11.97</v>
      </c>
      <c r="AG1304" s="56" t="e">
        <f>VLOOKUP(A1304,Sheet1!$A$2:$C$1140,3,FALSE)</f>
        <v>#N/A</v>
      </c>
      <c r="AH1304" s="58" t="e">
        <v>#N/A</v>
      </c>
      <c r="AI1304" s="56" t="str">
        <f t="shared" si="224"/>
        <v>Delete</v>
      </c>
      <c r="AJ1304" s="81">
        <f t="shared" si="228"/>
        <v>0</v>
      </c>
      <c r="AK1304" s="81">
        <f t="shared" si="229"/>
        <v>0</v>
      </c>
      <c r="AL1304" s="58" t="s">
        <v>7206</v>
      </c>
      <c r="AM1304" s="58" t="s">
        <v>6709</v>
      </c>
      <c r="AN1304" s="75">
        <v>0</v>
      </c>
      <c r="AO1304" s="88">
        <v>11.97</v>
      </c>
      <c r="AP1304" s="6" t="str">
        <f t="shared" si="225"/>
        <v>Same</v>
      </c>
      <c r="AQ1304" s="81">
        <f t="shared" si="226"/>
        <v>0</v>
      </c>
      <c r="AR1304" s="81">
        <f t="shared" si="227"/>
        <v>0</v>
      </c>
      <c r="AS1304" s="81">
        <f t="shared" si="230"/>
        <v>0</v>
      </c>
    </row>
    <row r="1305" spans="1:45" hidden="1" x14ac:dyDescent="0.3">
      <c r="A1305">
        <v>6391511</v>
      </c>
      <c r="B1305" s="15" t="s">
        <v>6641</v>
      </c>
      <c r="C1305" s="16" t="s">
        <v>30</v>
      </c>
      <c r="D1305" s="6" t="s">
        <v>31</v>
      </c>
      <c r="E1305" t="s">
        <v>1220</v>
      </c>
      <c r="F1305" t="s">
        <v>1220</v>
      </c>
      <c r="H1305" s="11" t="s">
        <v>27</v>
      </c>
      <c r="I1305" s="6" t="s">
        <v>28</v>
      </c>
      <c r="J1305" s="6" t="s">
        <v>28</v>
      </c>
      <c r="K1305" t="s">
        <v>32</v>
      </c>
      <c r="L1305" s="35">
        <v>29.12</v>
      </c>
      <c r="M1305" s="6" t="s">
        <v>29</v>
      </c>
      <c r="N1305" s="6">
        <v>3105</v>
      </c>
      <c r="P1305" s="18"/>
      <c r="Q1305" s="17"/>
      <c r="R1305" s="19">
        <v>29.12</v>
      </c>
      <c r="S1305" s="19">
        <v>29.12</v>
      </c>
      <c r="T1305" s="38">
        <v>0</v>
      </c>
      <c r="U1305" s="38"/>
      <c r="V1305" s="30">
        <v>29.12</v>
      </c>
      <c r="W1305" s="35">
        <v>29.12</v>
      </c>
      <c r="X1305" s="32">
        <f t="shared" si="220"/>
        <v>0</v>
      </c>
      <c r="Y1305" s="32">
        <f t="shared" si="221"/>
        <v>0</v>
      </c>
      <c r="Z1305" s="32">
        <f t="shared" si="222"/>
        <v>0</v>
      </c>
      <c r="AA1305" s="38" t="s">
        <v>2573</v>
      </c>
      <c r="AB1305" s="37" t="str">
        <f>IFERROR(VLOOKUP(A1305,'Tash Lookup'!A:E,3,FALSE),"")</f>
        <v/>
      </c>
      <c r="AC1305" s="6" t="str">
        <f t="shared" si="223"/>
        <v/>
      </c>
      <c r="AD1305" s="2" t="s">
        <v>6704</v>
      </c>
      <c r="AF1305" s="56">
        <v>29.12</v>
      </c>
      <c r="AG1305" s="56" t="e">
        <f>VLOOKUP(A1305,Sheet1!$A$2:$C$1140,3,FALSE)</f>
        <v>#N/A</v>
      </c>
      <c r="AH1305" s="58" t="e">
        <v>#N/A</v>
      </c>
      <c r="AI1305" s="56" t="str">
        <f t="shared" si="224"/>
        <v>Delete</v>
      </c>
      <c r="AJ1305" s="81">
        <f t="shared" si="228"/>
        <v>0</v>
      </c>
      <c r="AK1305" s="81">
        <f t="shared" si="229"/>
        <v>0</v>
      </c>
      <c r="AL1305" s="58" t="s">
        <v>7206</v>
      </c>
      <c r="AM1305" s="58" t="s">
        <v>6708</v>
      </c>
      <c r="AN1305" s="75">
        <v>0</v>
      </c>
      <c r="AO1305" s="88">
        <v>29.12</v>
      </c>
      <c r="AP1305" s="6" t="str">
        <f t="shared" si="225"/>
        <v>Same</v>
      </c>
      <c r="AQ1305" s="81">
        <f t="shared" si="226"/>
        <v>0</v>
      </c>
      <c r="AR1305" s="81">
        <f t="shared" si="227"/>
        <v>0</v>
      </c>
      <c r="AS1305" s="81">
        <f t="shared" si="230"/>
        <v>0</v>
      </c>
    </row>
    <row r="1306" spans="1:45" hidden="1" x14ac:dyDescent="0.3">
      <c r="A1306">
        <v>6059473</v>
      </c>
      <c r="B1306" s="15" t="s">
        <v>6642</v>
      </c>
      <c r="C1306" s="16" t="s">
        <v>30</v>
      </c>
      <c r="D1306" s="6" t="s">
        <v>31</v>
      </c>
      <c r="E1306" t="s">
        <v>1224</v>
      </c>
      <c r="F1306" t="s">
        <v>1224</v>
      </c>
      <c r="H1306" s="11" t="s">
        <v>27</v>
      </c>
      <c r="I1306" s="6" t="s">
        <v>28</v>
      </c>
      <c r="J1306" s="6" t="s">
        <v>28</v>
      </c>
      <c r="K1306" t="s">
        <v>32</v>
      </c>
      <c r="L1306" s="35">
        <v>10.26</v>
      </c>
      <c r="M1306" s="6" t="s">
        <v>29</v>
      </c>
      <c r="N1306" s="6">
        <v>3105</v>
      </c>
      <c r="P1306" s="18"/>
      <c r="Q1306" s="17"/>
      <c r="R1306" s="19">
        <v>10.26</v>
      </c>
      <c r="S1306" s="19">
        <v>10.26</v>
      </c>
      <c r="T1306" s="38">
        <v>0</v>
      </c>
      <c r="U1306" s="38"/>
      <c r="V1306" s="30">
        <v>10.26</v>
      </c>
      <c r="W1306" s="35">
        <v>10.26</v>
      </c>
      <c r="X1306" s="32">
        <f t="shared" si="220"/>
        <v>0</v>
      </c>
      <c r="Y1306" s="32">
        <f t="shared" si="221"/>
        <v>0</v>
      </c>
      <c r="Z1306" s="32">
        <f t="shared" si="222"/>
        <v>0</v>
      </c>
      <c r="AA1306" s="38" t="s">
        <v>2573</v>
      </c>
      <c r="AB1306" s="37" t="str">
        <f>IFERROR(VLOOKUP(A1306,'Tash Lookup'!A:E,3,FALSE),"")</f>
        <v/>
      </c>
      <c r="AC1306" s="6" t="str">
        <f t="shared" si="223"/>
        <v/>
      </c>
      <c r="AD1306" s="2" t="s">
        <v>6711</v>
      </c>
      <c r="AE1306" s="2" t="s">
        <v>6701</v>
      </c>
      <c r="AF1306" s="56">
        <v>10.26</v>
      </c>
      <c r="AG1306" s="56" t="e">
        <f>VLOOKUP(A1306,Sheet1!$A$2:$C$1140,3,FALSE)</f>
        <v>#N/A</v>
      </c>
      <c r="AH1306" s="58" t="e">
        <v>#N/A</v>
      </c>
      <c r="AI1306" s="56" t="str">
        <f t="shared" si="224"/>
        <v>Delete</v>
      </c>
      <c r="AJ1306" s="81">
        <f t="shared" si="228"/>
        <v>0</v>
      </c>
      <c r="AK1306" s="81">
        <f t="shared" si="229"/>
        <v>0</v>
      </c>
      <c r="AL1306" s="58" t="s">
        <v>7206</v>
      </c>
      <c r="AM1306" s="58" t="s">
        <v>6711</v>
      </c>
      <c r="AN1306" s="75">
        <v>0</v>
      </c>
      <c r="AO1306" s="88">
        <v>10.26</v>
      </c>
      <c r="AP1306" s="6" t="str">
        <f t="shared" si="225"/>
        <v>Delete</v>
      </c>
      <c r="AQ1306" s="81">
        <f t="shared" si="226"/>
        <v>0</v>
      </c>
      <c r="AR1306" s="81">
        <f t="shared" si="227"/>
        <v>0</v>
      </c>
      <c r="AS1306" s="81">
        <f t="shared" si="230"/>
        <v>0</v>
      </c>
    </row>
    <row r="1307" spans="1:45" hidden="1" x14ac:dyDescent="0.3">
      <c r="A1307">
        <v>6390508</v>
      </c>
      <c r="B1307" s="15" t="s">
        <v>6643</v>
      </c>
      <c r="C1307" s="16" t="s">
        <v>30</v>
      </c>
      <c r="D1307" s="6" t="s">
        <v>31</v>
      </c>
      <c r="E1307" t="s">
        <v>1225</v>
      </c>
      <c r="F1307" t="s">
        <v>1225</v>
      </c>
      <c r="H1307" s="11" t="s">
        <v>27</v>
      </c>
      <c r="I1307" s="6" t="s">
        <v>28</v>
      </c>
      <c r="J1307" s="6" t="s">
        <v>28</v>
      </c>
      <c r="K1307" t="s">
        <v>32</v>
      </c>
      <c r="L1307" s="35">
        <v>2.39</v>
      </c>
      <c r="M1307" s="6" t="s">
        <v>29</v>
      </c>
      <c r="N1307" s="6">
        <v>3105</v>
      </c>
      <c r="P1307" s="18"/>
      <c r="Q1307" s="17"/>
      <c r="R1307" s="19">
        <v>2.39</v>
      </c>
      <c r="S1307" s="19">
        <v>2.39</v>
      </c>
      <c r="T1307" s="38">
        <v>0</v>
      </c>
      <c r="U1307" s="38"/>
      <c r="V1307" s="30">
        <v>2.39</v>
      </c>
      <c r="W1307" s="35">
        <v>2.39</v>
      </c>
      <c r="X1307" s="32">
        <f t="shared" si="220"/>
        <v>0</v>
      </c>
      <c r="Y1307" s="32">
        <f t="shared" si="221"/>
        <v>0</v>
      </c>
      <c r="Z1307" s="32">
        <f t="shared" si="222"/>
        <v>0</v>
      </c>
      <c r="AA1307" s="38" t="s">
        <v>2573</v>
      </c>
      <c r="AB1307" s="37" t="str">
        <f>IFERROR(VLOOKUP(A1307,'Tash Lookup'!A:E,3,FALSE),"")</f>
        <v/>
      </c>
      <c r="AC1307" s="6" t="str">
        <f t="shared" si="223"/>
        <v/>
      </c>
      <c r="AD1307" s="2" t="s">
        <v>6707</v>
      </c>
      <c r="AF1307" s="56">
        <v>2.39</v>
      </c>
      <c r="AG1307" s="56" t="e">
        <f>VLOOKUP(A1307,Sheet1!$A$2:$C$1140,3,FALSE)</f>
        <v>#N/A</v>
      </c>
      <c r="AH1307" s="58" t="e">
        <v>#N/A</v>
      </c>
      <c r="AI1307" s="56" t="str">
        <f t="shared" si="224"/>
        <v>Delete</v>
      </c>
      <c r="AJ1307" s="81">
        <f t="shared" si="228"/>
        <v>0</v>
      </c>
      <c r="AK1307" s="81">
        <f t="shared" si="229"/>
        <v>0</v>
      </c>
      <c r="AL1307" s="58" t="s">
        <v>7206</v>
      </c>
      <c r="AM1307" s="58" t="s">
        <v>6709</v>
      </c>
      <c r="AN1307" s="75">
        <v>0</v>
      </c>
      <c r="AO1307" s="88">
        <v>2.39</v>
      </c>
      <c r="AP1307" s="6" t="str">
        <f t="shared" si="225"/>
        <v>Same</v>
      </c>
      <c r="AQ1307" s="81">
        <f t="shared" si="226"/>
        <v>0</v>
      </c>
      <c r="AR1307" s="81">
        <f t="shared" si="227"/>
        <v>0</v>
      </c>
      <c r="AS1307" s="81">
        <f t="shared" si="230"/>
        <v>0</v>
      </c>
    </row>
    <row r="1308" spans="1:45" hidden="1" x14ac:dyDescent="0.3">
      <c r="A1308">
        <v>6390503</v>
      </c>
      <c r="B1308" s="15" t="s">
        <v>6644</v>
      </c>
      <c r="C1308" s="16" t="s">
        <v>30</v>
      </c>
      <c r="D1308" s="6" t="s">
        <v>31</v>
      </c>
      <c r="E1308" t="s">
        <v>1226</v>
      </c>
      <c r="F1308" t="s">
        <v>1226</v>
      </c>
      <c r="H1308" s="11" t="s">
        <v>27</v>
      </c>
      <c r="I1308" s="6" t="s">
        <v>28</v>
      </c>
      <c r="J1308" s="6" t="s">
        <v>28</v>
      </c>
      <c r="K1308" t="s">
        <v>32</v>
      </c>
      <c r="L1308" s="35">
        <v>7.13</v>
      </c>
      <c r="M1308" s="6" t="s">
        <v>29</v>
      </c>
      <c r="N1308" s="6">
        <v>3105</v>
      </c>
      <c r="P1308" s="18"/>
      <c r="Q1308" s="17"/>
      <c r="R1308" s="19">
        <v>7.13</v>
      </c>
      <c r="S1308" s="19">
        <v>7.13</v>
      </c>
      <c r="T1308" s="38">
        <v>0</v>
      </c>
      <c r="U1308" s="38"/>
      <c r="V1308" s="30">
        <v>7.13</v>
      </c>
      <c r="W1308" s="35">
        <v>7.13</v>
      </c>
      <c r="X1308" s="32">
        <f t="shared" si="220"/>
        <v>0</v>
      </c>
      <c r="Y1308" s="32">
        <f t="shared" si="221"/>
        <v>0</v>
      </c>
      <c r="Z1308" s="32">
        <f t="shared" si="222"/>
        <v>0</v>
      </c>
      <c r="AA1308" s="38" t="s">
        <v>2573</v>
      </c>
      <c r="AB1308" s="37" t="str">
        <f>IFERROR(VLOOKUP(A1308,'Tash Lookup'!A:E,3,FALSE),"")</f>
        <v/>
      </c>
      <c r="AC1308" s="6" t="str">
        <f t="shared" si="223"/>
        <v/>
      </c>
      <c r="AD1308" s="2" t="s">
        <v>6707</v>
      </c>
      <c r="AF1308" s="56">
        <v>7.13</v>
      </c>
      <c r="AG1308" s="56" t="e">
        <f>VLOOKUP(A1308,Sheet1!$A$2:$C$1140,3,FALSE)</f>
        <v>#N/A</v>
      </c>
      <c r="AH1308" s="58" t="e">
        <v>#N/A</v>
      </c>
      <c r="AI1308" s="56" t="str">
        <f t="shared" si="224"/>
        <v>Delete</v>
      </c>
      <c r="AJ1308" s="81">
        <f t="shared" si="228"/>
        <v>0</v>
      </c>
      <c r="AK1308" s="81">
        <f t="shared" si="229"/>
        <v>0</v>
      </c>
      <c r="AL1308" s="58" t="s">
        <v>7206</v>
      </c>
      <c r="AM1308" s="58" t="s">
        <v>6709</v>
      </c>
      <c r="AN1308" s="75">
        <v>0</v>
      </c>
      <c r="AO1308" s="88">
        <v>7.13</v>
      </c>
      <c r="AP1308" s="6" t="str">
        <f t="shared" si="225"/>
        <v>Same</v>
      </c>
      <c r="AQ1308" s="81">
        <f t="shared" si="226"/>
        <v>0</v>
      </c>
      <c r="AR1308" s="81">
        <f t="shared" si="227"/>
        <v>0</v>
      </c>
      <c r="AS1308" s="81">
        <f t="shared" si="230"/>
        <v>0</v>
      </c>
    </row>
    <row r="1309" spans="1:45" hidden="1" x14ac:dyDescent="0.3">
      <c r="A1309">
        <v>6059476</v>
      </c>
      <c r="B1309" s="15" t="s">
        <v>6645</v>
      </c>
      <c r="C1309" s="16" t="s">
        <v>30</v>
      </c>
      <c r="D1309" s="6" t="s">
        <v>31</v>
      </c>
      <c r="E1309" t="s">
        <v>1227</v>
      </c>
      <c r="F1309" t="s">
        <v>1227</v>
      </c>
      <c r="H1309" s="11" t="s">
        <v>27</v>
      </c>
      <c r="I1309" s="6" t="s">
        <v>28</v>
      </c>
      <c r="J1309" s="6" t="s">
        <v>28</v>
      </c>
      <c r="K1309" t="s">
        <v>32</v>
      </c>
      <c r="L1309" s="35">
        <v>8.4700000000000006</v>
      </c>
      <c r="M1309" s="6" t="s">
        <v>29</v>
      </c>
      <c r="N1309" s="6">
        <v>3105</v>
      </c>
      <c r="P1309" s="18"/>
      <c r="Q1309" s="17"/>
      <c r="R1309" s="19">
        <v>8.4700000000000006</v>
      </c>
      <c r="S1309" s="19">
        <v>8.4700000000000006</v>
      </c>
      <c r="T1309" s="38">
        <v>0</v>
      </c>
      <c r="U1309" s="38"/>
      <c r="V1309" s="30">
        <v>8.4700000000000006</v>
      </c>
      <c r="W1309" s="35">
        <v>8.4700000000000006</v>
      </c>
      <c r="X1309" s="32">
        <f t="shared" si="220"/>
        <v>0</v>
      </c>
      <c r="Y1309" s="32">
        <f t="shared" si="221"/>
        <v>0</v>
      </c>
      <c r="Z1309" s="32">
        <f t="shared" si="222"/>
        <v>0</v>
      </c>
      <c r="AA1309" s="38" t="s">
        <v>2573</v>
      </c>
      <c r="AB1309" s="37" t="str">
        <f>IFERROR(VLOOKUP(A1309,'Tash Lookup'!A:E,3,FALSE),"")</f>
        <v/>
      </c>
      <c r="AC1309" s="6" t="str">
        <f t="shared" si="223"/>
        <v/>
      </c>
      <c r="AD1309" s="2" t="s">
        <v>6707</v>
      </c>
      <c r="AF1309" s="56">
        <v>8.4700000000000006</v>
      </c>
      <c r="AG1309" s="56" t="e">
        <f>VLOOKUP(A1309,Sheet1!$A$2:$C$1140,3,FALSE)</f>
        <v>#N/A</v>
      </c>
      <c r="AH1309" s="58" t="e">
        <v>#N/A</v>
      </c>
      <c r="AI1309" s="56" t="str">
        <f t="shared" si="224"/>
        <v>Delete</v>
      </c>
      <c r="AJ1309" s="81">
        <f t="shared" si="228"/>
        <v>0</v>
      </c>
      <c r="AK1309" s="81">
        <f t="shared" si="229"/>
        <v>0</v>
      </c>
      <c r="AL1309" s="58" t="s">
        <v>7206</v>
      </c>
      <c r="AM1309" s="58" t="s">
        <v>6709</v>
      </c>
      <c r="AN1309" s="75">
        <v>0</v>
      </c>
      <c r="AO1309" s="88">
        <v>8.4700000000000006</v>
      </c>
      <c r="AP1309" s="6" t="str">
        <f t="shared" si="225"/>
        <v>Same</v>
      </c>
      <c r="AQ1309" s="81">
        <f t="shared" si="226"/>
        <v>0</v>
      </c>
      <c r="AR1309" s="81">
        <f t="shared" si="227"/>
        <v>0</v>
      </c>
      <c r="AS1309" s="81">
        <f t="shared" si="230"/>
        <v>0</v>
      </c>
    </row>
    <row r="1310" spans="1:45" hidden="1" x14ac:dyDescent="0.3">
      <c r="A1310">
        <v>6012983</v>
      </c>
      <c r="B1310" s="15" t="s">
        <v>6646</v>
      </c>
      <c r="C1310" s="16" t="s">
        <v>30</v>
      </c>
      <c r="D1310" s="6" t="s">
        <v>31</v>
      </c>
      <c r="E1310" t="s">
        <v>1228</v>
      </c>
      <c r="F1310" t="s">
        <v>1228</v>
      </c>
      <c r="H1310" s="11" t="s">
        <v>27</v>
      </c>
      <c r="I1310" s="6" t="s">
        <v>28</v>
      </c>
      <c r="J1310" s="6" t="s">
        <v>28</v>
      </c>
      <c r="K1310" t="s">
        <v>32</v>
      </c>
      <c r="L1310" s="35">
        <v>45.77</v>
      </c>
      <c r="M1310" s="6" t="s">
        <v>29</v>
      </c>
      <c r="N1310" s="6">
        <v>3105</v>
      </c>
      <c r="P1310" s="18"/>
      <c r="Q1310" s="17"/>
      <c r="R1310" s="19">
        <v>45.77</v>
      </c>
      <c r="S1310" s="19">
        <v>45.77</v>
      </c>
      <c r="T1310" s="38">
        <v>0</v>
      </c>
      <c r="U1310" s="38"/>
      <c r="V1310" s="30">
        <v>45.77</v>
      </c>
      <c r="W1310" s="35">
        <v>45.77</v>
      </c>
      <c r="X1310" s="32">
        <f t="shared" si="220"/>
        <v>0</v>
      </c>
      <c r="Y1310" s="32">
        <f t="shared" si="221"/>
        <v>0</v>
      </c>
      <c r="Z1310" s="32">
        <f t="shared" si="222"/>
        <v>0</v>
      </c>
      <c r="AA1310" s="38" t="s">
        <v>2573</v>
      </c>
      <c r="AB1310" s="37" t="str">
        <f>IFERROR(VLOOKUP(A1310,'Tash Lookup'!A:E,3,FALSE),"")</f>
        <v/>
      </c>
      <c r="AC1310" s="6" t="str">
        <f t="shared" si="223"/>
        <v/>
      </c>
      <c r="AD1310" s="2" t="s">
        <v>6707</v>
      </c>
      <c r="AF1310" s="56">
        <v>45.77</v>
      </c>
      <c r="AG1310" s="56" t="e">
        <f>VLOOKUP(A1310,Sheet1!$A$2:$C$1140,3,FALSE)</f>
        <v>#N/A</v>
      </c>
      <c r="AH1310" s="58" t="e">
        <v>#N/A</v>
      </c>
      <c r="AI1310" s="56" t="str">
        <f t="shared" si="224"/>
        <v>Delete</v>
      </c>
      <c r="AJ1310" s="81">
        <f t="shared" si="228"/>
        <v>0</v>
      </c>
      <c r="AK1310" s="81">
        <f t="shared" si="229"/>
        <v>0</v>
      </c>
      <c r="AL1310" s="58" t="s">
        <v>7206</v>
      </c>
      <c r="AM1310" s="58" t="s">
        <v>6709</v>
      </c>
      <c r="AN1310" s="75">
        <v>0</v>
      </c>
      <c r="AO1310" s="88">
        <v>45.77</v>
      </c>
      <c r="AP1310" s="6" t="str">
        <f t="shared" si="225"/>
        <v>Same</v>
      </c>
      <c r="AQ1310" s="81">
        <f t="shared" si="226"/>
        <v>0</v>
      </c>
      <c r="AR1310" s="81">
        <f t="shared" si="227"/>
        <v>0</v>
      </c>
      <c r="AS1310" s="81">
        <f t="shared" si="230"/>
        <v>0</v>
      </c>
    </row>
    <row r="1311" spans="1:45" hidden="1" x14ac:dyDescent="0.3">
      <c r="A1311">
        <v>6391490</v>
      </c>
      <c r="B1311" s="15" t="s">
        <v>6647</v>
      </c>
      <c r="C1311" s="16" t="s">
        <v>30</v>
      </c>
      <c r="D1311" s="6" t="s">
        <v>31</v>
      </c>
      <c r="E1311" t="s">
        <v>1229</v>
      </c>
      <c r="F1311" t="s">
        <v>1229</v>
      </c>
      <c r="H1311" s="11" t="s">
        <v>27</v>
      </c>
      <c r="I1311" s="6" t="s">
        <v>28</v>
      </c>
      <c r="J1311" s="6" t="s">
        <v>28</v>
      </c>
      <c r="K1311" t="s">
        <v>32</v>
      </c>
      <c r="L1311" s="35">
        <v>20.149999999999999</v>
      </c>
      <c r="M1311" s="6" t="s">
        <v>29</v>
      </c>
      <c r="N1311" s="6">
        <v>3105</v>
      </c>
      <c r="P1311" s="18"/>
      <c r="Q1311" s="17"/>
      <c r="R1311" s="19">
        <v>20.149999999999999</v>
      </c>
      <c r="S1311" s="19">
        <v>20.149999999999999</v>
      </c>
      <c r="T1311" s="38">
        <v>0</v>
      </c>
      <c r="U1311" s="38"/>
      <c r="V1311" s="30">
        <v>20.149999999999999</v>
      </c>
      <c r="W1311" s="35">
        <v>20.149999999999999</v>
      </c>
      <c r="X1311" s="32">
        <f t="shared" si="220"/>
        <v>0</v>
      </c>
      <c r="Y1311" s="32">
        <f t="shared" si="221"/>
        <v>0</v>
      </c>
      <c r="Z1311" s="32">
        <f t="shared" si="222"/>
        <v>0</v>
      </c>
      <c r="AA1311" s="38" t="s">
        <v>2573</v>
      </c>
      <c r="AB1311" s="37" t="str">
        <f>IFERROR(VLOOKUP(A1311,'Tash Lookup'!A:E,3,FALSE),"")</f>
        <v/>
      </c>
      <c r="AC1311" s="6" t="str">
        <f t="shared" si="223"/>
        <v/>
      </c>
      <c r="AD1311" s="2" t="s">
        <v>6703</v>
      </c>
      <c r="AF1311" s="56">
        <v>20.149999999999999</v>
      </c>
      <c r="AG1311" s="56" t="e">
        <f>VLOOKUP(A1311,Sheet1!$A$2:$C$1140,3,FALSE)</f>
        <v>#N/A</v>
      </c>
      <c r="AH1311" s="58" t="e">
        <v>#N/A</v>
      </c>
      <c r="AI1311" s="56" t="str">
        <f t="shared" si="224"/>
        <v>Delete</v>
      </c>
      <c r="AJ1311" s="81">
        <f t="shared" si="228"/>
        <v>0</v>
      </c>
      <c r="AK1311" s="81">
        <f t="shared" si="229"/>
        <v>0</v>
      </c>
      <c r="AL1311" s="58" t="s">
        <v>7206</v>
      </c>
      <c r="AM1311" s="58" t="s">
        <v>6707</v>
      </c>
      <c r="AN1311" s="75">
        <v>0</v>
      </c>
      <c r="AO1311" s="88">
        <v>20.56</v>
      </c>
      <c r="AP1311" s="6" t="str">
        <f t="shared" si="225"/>
        <v>Increase</v>
      </c>
      <c r="AQ1311" s="81">
        <f t="shared" si="226"/>
        <v>0</v>
      </c>
      <c r="AR1311" s="81">
        <f t="shared" si="227"/>
        <v>0</v>
      </c>
      <c r="AS1311" s="81">
        <f t="shared" si="230"/>
        <v>0</v>
      </c>
    </row>
    <row r="1312" spans="1:45" hidden="1" x14ac:dyDescent="0.3">
      <c r="A1312">
        <v>6059480</v>
      </c>
      <c r="B1312" s="15" t="s">
        <v>6648</v>
      </c>
      <c r="C1312" s="16" t="s">
        <v>30</v>
      </c>
      <c r="D1312" s="6" t="s">
        <v>31</v>
      </c>
      <c r="E1312" t="s">
        <v>1230</v>
      </c>
      <c r="F1312" t="s">
        <v>1230</v>
      </c>
      <c r="H1312" s="11" t="s">
        <v>27</v>
      </c>
      <c r="I1312" s="6" t="s">
        <v>28</v>
      </c>
      <c r="J1312" s="6" t="s">
        <v>28</v>
      </c>
      <c r="K1312" t="s">
        <v>32</v>
      </c>
      <c r="L1312" s="35">
        <v>10.199999999999999</v>
      </c>
      <c r="M1312" s="6" t="s">
        <v>29</v>
      </c>
      <c r="N1312" s="6">
        <v>3105</v>
      </c>
      <c r="P1312" s="18"/>
      <c r="Q1312" s="17"/>
      <c r="R1312" s="19">
        <v>10.199999999999999</v>
      </c>
      <c r="S1312" s="19">
        <v>10.199999999999999</v>
      </c>
      <c r="T1312" s="38">
        <v>0</v>
      </c>
      <c r="U1312" s="38"/>
      <c r="V1312" s="30">
        <v>10.199999999999999</v>
      </c>
      <c r="W1312" s="35">
        <v>10.199999999999999</v>
      </c>
      <c r="X1312" s="32">
        <f t="shared" si="220"/>
        <v>0</v>
      </c>
      <c r="Y1312" s="32">
        <f t="shared" si="221"/>
        <v>0</v>
      </c>
      <c r="Z1312" s="32">
        <f t="shared" si="222"/>
        <v>0</v>
      </c>
      <c r="AA1312" s="38" t="s">
        <v>2573</v>
      </c>
      <c r="AB1312" s="37" t="str">
        <f>IFERROR(VLOOKUP(A1312,'Tash Lookup'!A:E,3,FALSE),"")</f>
        <v/>
      </c>
      <c r="AC1312" s="6" t="str">
        <f t="shared" si="223"/>
        <v/>
      </c>
      <c r="AD1312" s="2" t="s">
        <v>6707</v>
      </c>
      <c r="AF1312" s="56">
        <v>10.199999999999999</v>
      </c>
      <c r="AG1312" s="56" t="e">
        <f>VLOOKUP(A1312,Sheet1!$A$2:$C$1140,3,FALSE)</f>
        <v>#N/A</v>
      </c>
      <c r="AH1312" s="58" t="e">
        <v>#N/A</v>
      </c>
      <c r="AI1312" s="56" t="str">
        <f t="shared" si="224"/>
        <v>Delete</v>
      </c>
      <c r="AJ1312" s="81">
        <f t="shared" si="228"/>
        <v>0</v>
      </c>
      <c r="AK1312" s="81">
        <f t="shared" si="229"/>
        <v>0</v>
      </c>
      <c r="AL1312" s="58" t="s">
        <v>7206</v>
      </c>
      <c r="AM1312" s="58" t="s">
        <v>6709</v>
      </c>
      <c r="AN1312" s="75">
        <v>0</v>
      </c>
      <c r="AO1312" s="88">
        <v>10.199999999999999</v>
      </c>
      <c r="AP1312" s="6" t="str">
        <f t="shared" si="225"/>
        <v>Same</v>
      </c>
      <c r="AQ1312" s="81">
        <f t="shared" si="226"/>
        <v>0</v>
      </c>
      <c r="AR1312" s="81">
        <f t="shared" si="227"/>
        <v>0</v>
      </c>
      <c r="AS1312" s="81">
        <f t="shared" si="230"/>
        <v>0</v>
      </c>
    </row>
    <row r="1313" spans="1:45" hidden="1" x14ac:dyDescent="0.3">
      <c r="A1313">
        <v>6059481</v>
      </c>
      <c r="B1313" s="15" t="s">
        <v>6649</v>
      </c>
      <c r="C1313" s="16" t="s">
        <v>30</v>
      </c>
      <c r="D1313" s="6" t="s">
        <v>31</v>
      </c>
      <c r="E1313" t="s">
        <v>1231</v>
      </c>
      <c r="F1313" t="s">
        <v>1231</v>
      </c>
      <c r="H1313" s="11" t="s">
        <v>27</v>
      </c>
      <c r="I1313" s="6" t="s">
        <v>28</v>
      </c>
      <c r="J1313" s="6" t="s">
        <v>28</v>
      </c>
      <c r="K1313" t="s">
        <v>32</v>
      </c>
      <c r="L1313" s="35">
        <v>18.239999999999998</v>
      </c>
      <c r="M1313" s="6" t="s">
        <v>29</v>
      </c>
      <c r="N1313" s="6">
        <v>3105</v>
      </c>
      <c r="P1313" s="18"/>
      <c r="Q1313" s="17"/>
      <c r="R1313" s="19">
        <v>18.239999999999998</v>
      </c>
      <c r="S1313" s="19">
        <v>18.239999999999998</v>
      </c>
      <c r="T1313" s="38">
        <v>0</v>
      </c>
      <c r="U1313" s="38"/>
      <c r="V1313" s="30">
        <v>18.239999999999998</v>
      </c>
      <c r="W1313" s="35">
        <v>18.239999999999998</v>
      </c>
      <c r="X1313" s="32">
        <f t="shared" si="220"/>
        <v>0</v>
      </c>
      <c r="Y1313" s="32">
        <f t="shared" si="221"/>
        <v>0</v>
      </c>
      <c r="Z1313" s="32">
        <f t="shared" si="222"/>
        <v>0</v>
      </c>
      <c r="AA1313" s="38" t="s">
        <v>2573</v>
      </c>
      <c r="AB1313" s="37" t="str">
        <f>IFERROR(VLOOKUP(A1313,'Tash Lookup'!A:E,3,FALSE),"")</f>
        <v/>
      </c>
      <c r="AC1313" s="6" t="str">
        <f t="shared" si="223"/>
        <v/>
      </c>
      <c r="AD1313" s="2" t="s">
        <v>6707</v>
      </c>
      <c r="AF1313" s="56">
        <v>18.239999999999998</v>
      </c>
      <c r="AG1313" s="56" t="e">
        <f>VLOOKUP(A1313,Sheet1!$A$2:$C$1140,3,FALSE)</f>
        <v>#N/A</v>
      </c>
      <c r="AH1313" s="58" t="e">
        <v>#N/A</v>
      </c>
      <c r="AI1313" s="56" t="str">
        <f t="shared" si="224"/>
        <v>Delete</v>
      </c>
      <c r="AJ1313" s="81">
        <f t="shared" si="228"/>
        <v>0</v>
      </c>
      <c r="AK1313" s="81">
        <f t="shared" si="229"/>
        <v>0</v>
      </c>
      <c r="AL1313" s="58" t="s">
        <v>7206</v>
      </c>
      <c r="AM1313" s="58" t="s">
        <v>6709</v>
      </c>
      <c r="AN1313" s="75">
        <v>0</v>
      </c>
      <c r="AO1313" s="88">
        <v>18.239999999999998</v>
      </c>
      <c r="AP1313" s="6" t="str">
        <f t="shared" si="225"/>
        <v>Same</v>
      </c>
      <c r="AQ1313" s="81">
        <f t="shared" si="226"/>
        <v>0</v>
      </c>
      <c r="AR1313" s="81">
        <f t="shared" si="227"/>
        <v>0</v>
      </c>
      <c r="AS1313" s="81">
        <f t="shared" si="230"/>
        <v>0</v>
      </c>
    </row>
    <row r="1314" spans="1:45" hidden="1" x14ac:dyDescent="0.3">
      <c r="A1314">
        <v>6390524</v>
      </c>
      <c r="B1314" s="15" t="s">
        <v>6650</v>
      </c>
      <c r="C1314" s="16" t="s">
        <v>30</v>
      </c>
      <c r="D1314" s="6" t="s">
        <v>31</v>
      </c>
      <c r="E1314" t="s">
        <v>1232</v>
      </c>
      <c r="F1314" t="s">
        <v>1232</v>
      </c>
      <c r="H1314" s="11" t="s">
        <v>27</v>
      </c>
      <c r="I1314" s="6" t="s">
        <v>28</v>
      </c>
      <c r="J1314" s="6" t="s">
        <v>28</v>
      </c>
      <c r="K1314" t="s">
        <v>32</v>
      </c>
      <c r="L1314" s="35">
        <v>20.39</v>
      </c>
      <c r="M1314" s="6" t="s">
        <v>29</v>
      </c>
      <c r="N1314" s="6">
        <v>3105</v>
      </c>
      <c r="P1314" s="18"/>
      <c r="Q1314" s="17"/>
      <c r="R1314" s="19">
        <v>20.39</v>
      </c>
      <c r="S1314" s="19">
        <v>20.39</v>
      </c>
      <c r="T1314" s="38">
        <v>0</v>
      </c>
      <c r="U1314" s="38"/>
      <c r="V1314" s="30">
        <v>20.39</v>
      </c>
      <c r="W1314" s="35">
        <v>20.39</v>
      </c>
      <c r="X1314" s="32">
        <f t="shared" si="220"/>
        <v>0</v>
      </c>
      <c r="Y1314" s="32">
        <f t="shared" si="221"/>
        <v>0</v>
      </c>
      <c r="Z1314" s="32">
        <f t="shared" si="222"/>
        <v>0</v>
      </c>
      <c r="AA1314" s="38" t="s">
        <v>2573</v>
      </c>
      <c r="AB1314" s="37" t="str">
        <f>IFERROR(VLOOKUP(A1314,'Tash Lookup'!A:E,3,FALSE),"")</f>
        <v/>
      </c>
      <c r="AC1314" s="6" t="str">
        <f t="shared" si="223"/>
        <v/>
      </c>
      <c r="AD1314" s="2" t="s">
        <v>6708</v>
      </c>
      <c r="AF1314" s="56">
        <v>20.39</v>
      </c>
      <c r="AG1314" s="56" t="e">
        <f>VLOOKUP(A1314,Sheet1!$A$2:$C$1140,3,FALSE)</f>
        <v>#N/A</v>
      </c>
      <c r="AH1314" s="58" t="e">
        <v>#N/A</v>
      </c>
      <c r="AI1314" s="56" t="str">
        <f t="shared" si="224"/>
        <v>Delete</v>
      </c>
      <c r="AJ1314" s="81">
        <f t="shared" si="228"/>
        <v>0</v>
      </c>
      <c r="AK1314" s="81">
        <f t="shared" si="229"/>
        <v>0</v>
      </c>
      <c r="AL1314" s="58" t="s">
        <v>7206</v>
      </c>
      <c r="AM1314" s="58" t="s">
        <v>6708</v>
      </c>
      <c r="AN1314" s="75">
        <v>0</v>
      </c>
      <c r="AO1314" s="88">
        <v>20.39</v>
      </c>
      <c r="AP1314" s="6" t="str">
        <f t="shared" si="225"/>
        <v>Same</v>
      </c>
      <c r="AQ1314" s="81">
        <f t="shared" si="226"/>
        <v>0</v>
      </c>
      <c r="AR1314" s="81">
        <f t="shared" si="227"/>
        <v>0</v>
      </c>
      <c r="AS1314" s="81">
        <f t="shared" si="230"/>
        <v>0</v>
      </c>
    </row>
    <row r="1315" spans="1:45" hidden="1" x14ac:dyDescent="0.3">
      <c r="A1315">
        <v>6390512</v>
      </c>
      <c r="B1315" s="15" t="s">
        <v>6651</v>
      </c>
      <c r="C1315" s="16" t="s">
        <v>30</v>
      </c>
      <c r="D1315" s="6" t="s">
        <v>31</v>
      </c>
      <c r="E1315" t="s">
        <v>1233</v>
      </c>
      <c r="F1315" t="s">
        <v>1233</v>
      </c>
      <c r="H1315" s="11" t="s">
        <v>27</v>
      </c>
      <c r="I1315" s="6" t="s">
        <v>28</v>
      </c>
      <c r="J1315" s="6" t="s">
        <v>28</v>
      </c>
      <c r="K1315" t="s">
        <v>32</v>
      </c>
      <c r="L1315" s="35">
        <v>8.5299999999999994</v>
      </c>
      <c r="M1315" s="6" t="s">
        <v>29</v>
      </c>
      <c r="N1315" s="6">
        <v>3105</v>
      </c>
      <c r="P1315" s="18"/>
      <c r="Q1315" s="17"/>
      <c r="R1315" s="19">
        <v>8.5299999999999994</v>
      </c>
      <c r="S1315" s="19">
        <v>8.5299999999999994</v>
      </c>
      <c r="T1315" s="38">
        <v>0</v>
      </c>
      <c r="U1315" s="38"/>
      <c r="V1315" s="30">
        <v>8.5299999999999994</v>
      </c>
      <c r="W1315" s="35">
        <v>8.5299999999999994</v>
      </c>
      <c r="X1315" s="32">
        <f t="shared" si="220"/>
        <v>0</v>
      </c>
      <c r="Y1315" s="32">
        <f t="shared" si="221"/>
        <v>0</v>
      </c>
      <c r="Z1315" s="32">
        <f t="shared" si="222"/>
        <v>0</v>
      </c>
      <c r="AA1315" s="38" t="s">
        <v>2573</v>
      </c>
      <c r="AB1315" s="37" t="str">
        <f>IFERROR(VLOOKUP(A1315,'Tash Lookup'!A:E,3,FALSE),"")</f>
        <v/>
      </c>
      <c r="AC1315" s="6" t="str">
        <f t="shared" si="223"/>
        <v/>
      </c>
      <c r="AD1315" s="2" t="s">
        <v>6707</v>
      </c>
      <c r="AF1315" s="56">
        <v>8.5299999999999994</v>
      </c>
      <c r="AG1315" s="56" t="e">
        <f>VLOOKUP(A1315,Sheet1!$A$2:$C$1140,3,FALSE)</f>
        <v>#N/A</v>
      </c>
      <c r="AH1315" s="58" t="e">
        <v>#N/A</v>
      </c>
      <c r="AI1315" s="56" t="str">
        <f t="shared" si="224"/>
        <v>Delete</v>
      </c>
      <c r="AJ1315" s="81">
        <f t="shared" si="228"/>
        <v>0</v>
      </c>
      <c r="AK1315" s="81">
        <f t="shared" si="229"/>
        <v>0</v>
      </c>
      <c r="AL1315" s="58" t="s">
        <v>7206</v>
      </c>
      <c r="AM1315" s="58" t="s">
        <v>6709</v>
      </c>
      <c r="AN1315" s="75">
        <v>0</v>
      </c>
      <c r="AO1315" s="88">
        <v>8.5299999999999994</v>
      </c>
      <c r="AP1315" s="6" t="str">
        <f t="shared" si="225"/>
        <v>Same</v>
      </c>
      <c r="AQ1315" s="81">
        <f t="shared" si="226"/>
        <v>0</v>
      </c>
      <c r="AR1315" s="81">
        <f t="shared" si="227"/>
        <v>0</v>
      </c>
      <c r="AS1315" s="81">
        <f t="shared" si="230"/>
        <v>0</v>
      </c>
    </row>
    <row r="1316" spans="1:45" hidden="1" x14ac:dyDescent="0.3">
      <c r="A1316">
        <v>6390525</v>
      </c>
      <c r="B1316" s="15" t="s">
        <v>6652</v>
      </c>
      <c r="C1316" s="16" t="s">
        <v>30</v>
      </c>
      <c r="D1316" s="6" t="s">
        <v>31</v>
      </c>
      <c r="E1316" t="s">
        <v>1234</v>
      </c>
      <c r="F1316" t="s">
        <v>1234</v>
      </c>
      <c r="H1316" s="11" t="s">
        <v>27</v>
      </c>
      <c r="I1316" s="6" t="s">
        <v>28</v>
      </c>
      <c r="J1316" s="6" t="s">
        <v>28</v>
      </c>
      <c r="K1316" t="s">
        <v>32</v>
      </c>
      <c r="L1316" s="35">
        <v>3.04</v>
      </c>
      <c r="M1316" s="6" t="s">
        <v>29</v>
      </c>
      <c r="N1316" s="6">
        <v>3105</v>
      </c>
      <c r="P1316" s="18"/>
      <c r="Q1316" s="17"/>
      <c r="R1316" s="19">
        <v>3.04</v>
      </c>
      <c r="S1316" s="19">
        <v>3.04</v>
      </c>
      <c r="T1316" s="38">
        <v>0</v>
      </c>
      <c r="U1316" s="38"/>
      <c r="V1316" s="30">
        <v>3.04</v>
      </c>
      <c r="W1316" s="35">
        <v>3.04</v>
      </c>
      <c r="X1316" s="32">
        <f t="shared" si="220"/>
        <v>0</v>
      </c>
      <c r="Y1316" s="32">
        <f t="shared" si="221"/>
        <v>0</v>
      </c>
      <c r="Z1316" s="32">
        <f t="shared" si="222"/>
        <v>0</v>
      </c>
      <c r="AA1316" s="38" t="s">
        <v>2573</v>
      </c>
      <c r="AB1316" s="37" t="str">
        <f>IFERROR(VLOOKUP(A1316,'Tash Lookup'!A:E,3,FALSE),"")</f>
        <v/>
      </c>
      <c r="AC1316" s="6" t="str">
        <f t="shared" si="223"/>
        <v/>
      </c>
      <c r="AD1316" s="2" t="s">
        <v>6707</v>
      </c>
      <c r="AF1316" s="56">
        <v>3.04</v>
      </c>
      <c r="AG1316" s="56" t="e">
        <f>VLOOKUP(A1316,Sheet1!$A$2:$C$1140,3,FALSE)</f>
        <v>#N/A</v>
      </c>
      <c r="AH1316" s="58" t="e">
        <v>#N/A</v>
      </c>
      <c r="AI1316" s="56" t="str">
        <f t="shared" si="224"/>
        <v>Delete</v>
      </c>
      <c r="AJ1316" s="81">
        <f t="shared" si="228"/>
        <v>0</v>
      </c>
      <c r="AK1316" s="81">
        <f t="shared" si="229"/>
        <v>0</v>
      </c>
      <c r="AL1316" s="58" t="s">
        <v>7206</v>
      </c>
      <c r="AM1316" s="58" t="s">
        <v>6708</v>
      </c>
      <c r="AN1316" s="75">
        <v>0</v>
      </c>
      <c r="AO1316" s="88">
        <v>3.04</v>
      </c>
      <c r="AP1316" s="6" t="str">
        <f t="shared" si="225"/>
        <v>Same</v>
      </c>
      <c r="AQ1316" s="81">
        <f t="shared" si="226"/>
        <v>0</v>
      </c>
      <c r="AR1316" s="81">
        <f t="shared" si="227"/>
        <v>0</v>
      </c>
      <c r="AS1316" s="81">
        <f t="shared" si="230"/>
        <v>0</v>
      </c>
    </row>
    <row r="1317" spans="1:45" hidden="1" x14ac:dyDescent="0.3">
      <c r="A1317">
        <v>6390509</v>
      </c>
      <c r="B1317" s="15" t="s">
        <v>6653</v>
      </c>
      <c r="C1317" s="16" t="s">
        <v>30</v>
      </c>
      <c r="D1317" s="6" t="s">
        <v>31</v>
      </c>
      <c r="E1317" t="s">
        <v>1235</v>
      </c>
      <c r="F1317" t="s">
        <v>1235</v>
      </c>
      <c r="H1317" s="11" t="s">
        <v>27</v>
      </c>
      <c r="I1317" s="6" t="s">
        <v>28</v>
      </c>
      <c r="J1317" s="6" t="s">
        <v>28</v>
      </c>
      <c r="K1317" t="s">
        <v>32</v>
      </c>
      <c r="L1317" s="35">
        <v>14.46</v>
      </c>
      <c r="M1317" s="6" t="s">
        <v>29</v>
      </c>
      <c r="N1317" s="6">
        <v>3105</v>
      </c>
      <c r="P1317" s="18"/>
      <c r="Q1317" s="17"/>
      <c r="R1317" s="19">
        <v>14.46</v>
      </c>
      <c r="S1317" s="19">
        <v>14.46</v>
      </c>
      <c r="T1317" s="38">
        <v>0</v>
      </c>
      <c r="U1317" s="38"/>
      <c r="V1317" s="30">
        <v>14.46</v>
      </c>
      <c r="W1317" s="35">
        <v>14.46</v>
      </c>
      <c r="X1317" s="32">
        <f t="shared" si="220"/>
        <v>0</v>
      </c>
      <c r="Y1317" s="32">
        <f t="shared" si="221"/>
        <v>0</v>
      </c>
      <c r="Z1317" s="32">
        <f t="shared" si="222"/>
        <v>0</v>
      </c>
      <c r="AA1317" s="38" t="s">
        <v>2573</v>
      </c>
      <c r="AB1317" s="37" t="str">
        <f>IFERROR(VLOOKUP(A1317,'Tash Lookup'!A:E,3,FALSE),"")</f>
        <v/>
      </c>
      <c r="AC1317" s="6" t="str">
        <f t="shared" si="223"/>
        <v/>
      </c>
      <c r="AD1317" s="2" t="s">
        <v>6707</v>
      </c>
      <c r="AF1317" s="56">
        <v>14.46</v>
      </c>
      <c r="AG1317" s="56" t="e">
        <f>VLOOKUP(A1317,Sheet1!$A$2:$C$1140,3,FALSE)</f>
        <v>#N/A</v>
      </c>
      <c r="AH1317" s="58" t="e">
        <v>#N/A</v>
      </c>
      <c r="AI1317" s="56" t="str">
        <f t="shared" si="224"/>
        <v>Delete</v>
      </c>
      <c r="AJ1317" s="81">
        <f t="shared" si="228"/>
        <v>0</v>
      </c>
      <c r="AK1317" s="81">
        <f t="shared" si="229"/>
        <v>0</v>
      </c>
      <c r="AL1317" s="58" t="s">
        <v>7206</v>
      </c>
      <c r="AM1317" s="58" t="s">
        <v>6709</v>
      </c>
      <c r="AN1317" s="75">
        <v>0</v>
      </c>
      <c r="AO1317" s="88">
        <v>14.46</v>
      </c>
      <c r="AP1317" s="6" t="str">
        <f t="shared" si="225"/>
        <v>Same</v>
      </c>
      <c r="AQ1317" s="81">
        <f t="shared" si="226"/>
        <v>0</v>
      </c>
      <c r="AR1317" s="81">
        <f t="shared" si="227"/>
        <v>0</v>
      </c>
      <c r="AS1317" s="81">
        <f t="shared" si="230"/>
        <v>0</v>
      </c>
    </row>
    <row r="1318" spans="1:45" hidden="1" x14ac:dyDescent="0.3">
      <c r="A1318">
        <v>6390513</v>
      </c>
      <c r="B1318" s="15" t="s">
        <v>6654</v>
      </c>
      <c r="C1318" s="16" t="s">
        <v>30</v>
      </c>
      <c r="D1318" s="6" t="s">
        <v>31</v>
      </c>
      <c r="E1318" t="s">
        <v>1236</v>
      </c>
      <c r="F1318" t="s">
        <v>1236</v>
      </c>
      <c r="H1318" s="11" t="s">
        <v>27</v>
      </c>
      <c r="I1318" s="6" t="s">
        <v>28</v>
      </c>
      <c r="J1318" s="6" t="s">
        <v>28</v>
      </c>
      <c r="K1318" t="s">
        <v>32</v>
      </c>
      <c r="L1318" s="35">
        <v>6.69</v>
      </c>
      <c r="M1318" s="6" t="s">
        <v>29</v>
      </c>
      <c r="N1318" s="6">
        <v>3105</v>
      </c>
      <c r="P1318" s="18"/>
      <c r="Q1318" s="17"/>
      <c r="R1318" s="19">
        <v>6.69</v>
      </c>
      <c r="S1318" s="19">
        <v>6.69</v>
      </c>
      <c r="T1318" s="38">
        <v>0</v>
      </c>
      <c r="U1318" s="38"/>
      <c r="V1318" s="30">
        <v>6.69</v>
      </c>
      <c r="W1318" s="35">
        <v>6.69</v>
      </c>
      <c r="X1318" s="32">
        <f t="shared" si="220"/>
        <v>0</v>
      </c>
      <c r="Y1318" s="32">
        <f t="shared" si="221"/>
        <v>0</v>
      </c>
      <c r="Z1318" s="32">
        <f t="shared" si="222"/>
        <v>0</v>
      </c>
      <c r="AA1318" s="38" t="s">
        <v>2573</v>
      </c>
      <c r="AB1318" s="37" t="str">
        <f>IFERROR(VLOOKUP(A1318,'Tash Lookup'!A:E,3,FALSE),"")</f>
        <v/>
      </c>
      <c r="AC1318" s="6" t="str">
        <f t="shared" si="223"/>
        <v/>
      </c>
      <c r="AD1318" s="2" t="s">
        <v>6707</v>
      </c>
      <c r="AF1318" s="56">
        <v>6.69</v>
      </c>
      <c r="AG1318" s="56" t="e">
        <f>VLOOKUP(A1318,Sheet1!$A$2:$C$1140,3,FALSE)</f>
        <v>#N/A</v>
      </c>
      <c r="AH1318" s="58" t="e">
        <v>#N/A</v>
      </c>
      <c r="AI1318" s="56" t="str">
        <f t="shared" si="224"/>
        <v>Delete</v>
      </c>
      <c r="AJ1318" s="81">
        <f t="shared" si="228"/>
        <v>0</v>
      </c>
      <c r="AK1318" s="81">
        <f t="shared" si="229"/>
        <v>0</v>
      </c>
      <c r="AL1318" s="58" t="s">
        <v>7206</v>
      </c>
      <c r="AM1318" s="58" t="s">
        <v>6709</v>
      </c>
      <c r="AN1318" s="75">
        <v>0</v>
      </c>
      <c r="AO1318" s="88">
        <v>6.69</v>
      </c>
      <c r="AP1318" s="6" t="str">
        <f t="shared" si="225"/>
        <v>Same</v>
      </c>
      <c r="AQ1318" s="81">
        <f t="shared" si="226"/>
        <v>0</v>
      </c>
      <c r="AR1318" s="81">
        <f t="shared" si="227"/>
        <v>0</v>
      </c>
      <c r="AS1318" s="81">
        <f t="shared" si="230"/>
        <v>0</v>
      </c>
    </row>
    <row r="1319" spans="1:45" hidden="1" x14ac:dyDescent="0.3">
      <c r="A1319">
        <v>6352828</v>
      </c>
      <c r="B1319" s="15" t="s">
        <v>6655</v>
      </c>
      <c r="C1319" s="16" t="s">
        <v>30</v>
      </c>
      <c r="D1319" s="6" t="s">
        <v>31</v>
      </c>
      <c r="E1319" t="s">
        <v>1237</v>
      </c>
      <c r="F1319" t="s">
        <v>1237</v>
      </c>
      <c r="H1319" s="11" t="s">
        <v>27</v>
      </c>
      <c r="I1319" s="6" t="s">
        <v>28</v>
      </c>
      <c r="J1319" s="6" t="s">
        <v>28</v>
      </c>
      <c r="K1319" t="s">
        <v>32</v>
      </c>
      <c r="L1319" s="35">
        <v>22.29</v>
      </c>
      <c r="M1319" s="6" t="s">
        <v>29</v>
      </c>
      <c r="N1319" s="6">
        <v>3105</v>
      </c>
      <c r="P1319" s="18"/>
      <c r="Q1319" s="17"/>
      <c r="R1319" s="19">
        <v>22.29</v>
      </c>
      <c r="S1319" s="19">
        <v>22.29</v>
      </c>
      <c r="T1319" s="38">
        <v>0</v>
      </c>
      <c r="U1319" s="38"/>
      <c r="V1319" s="30">
        <v>22.29</v>
      </c>
      <c r="W1319" s="35">
        <v>22.29</v>
      </c>
      <c r="X1319" s="32">
        <f t="shared" si="220"/>
        <v>0</v>
      </c>
      <c r="Y1319" s="32">
        <f t="shared" si="221"/>
        <v>0</v>
      </c>
      <c r="Z1319" s="32">
        <f t="shared" si="222"/>
        <v>0</v>
      </c>
      <c r="AA1319" s="38" t="s">
        <v>2573</v>
      </c>
      <c r="AB1319" s="37" t="str">
        <f>IFERROR(VLOOKUP(A1319,'Tash Lookup'!A:E,3,FALSE),"")</f>
        <v/>
      </c>
      <c r="AC1319" s="6" t="str">
        <f t="shared" si="223"/>
        <v/>
      </c>
      <c r="AD1319" s="2" t="s">
        <v>6711</v>
      </c>
      <c r="AE1319" s="2" t="s">
        <v>6701</v>
      </c>
      <c r="AF1319" s="56">
        <v>22.29</v>
      </c>
      <c r="AG1319" s="56" t="e">
        <f>VLOOKUP(A1319,Sheet1!$A$2:$C$1140,3,FALSE)</f>
        <v>#N/A</v>
      </c>
      <c r="AH1319" s="58" t="e">
        <v>#N/A</v>
      </c>
      <c r="AI1319" s="56" t="str">
        <f t="shared" si="224"/>
        <v>Delete</v>
      </c>
      <c r="AJ1319" s="81">
        <f t="shared" si="228"/>
        <v>0</v>
      </c>
      <c r="AK1319" s="81">
        <f t="shared" si="229"/>
        <v>0</v>
      </c>
      <c r="AL1319" s="58" t="s">
        <v>7206</v>
      </c>
      <c r="AM1319" s="58" t="s">
        <v>6711</v>
      </c>
      <c r="AN1319" s="75">
        <v>0</v>
      </c>
      <c r="AO1319" s="88">
        <v>22.29</v>
      </c>
      <c r="AP1319" s="6" t="str">
        <f t="shared" si="225"/>
        <v>Delete</v>
      </c>
      <c r="AQ1319" s="81">
        <f t="shared" si="226"/>
        <v>0</v>
      </c>
      <c r="AR1319" s="81">
        <f t="shared" si="227"/>
        <v>0</v>
      </c>
      <c r="AS1319" s="81">
        <f t="shared" si="230"/>
        <v>0</v>
      </c>
    </row>
    <row r="1320" spans="1:45" hidden="1" x14ac:dyDescent="0.3">
      <c r="A1320">
        <v>6352799</v>
      </c>
      <c r="B1320" s="15" t="s">
        <v>6656</v>
      </c>
      <c r="C1320" s="16" t="s">
        <v>30</v>
      </c>
      <c r="D1320" s="6" t="s">
        <v>31</v>
      </c>
      <c r="E1320" t="s">
        <v>1239</v>
      </c>
      <c r="F1320" t="s">
        <v>1239</v>
      </c>
      <c r="H1320" s="11" t="s">
        <v>27</v>
      </c>
      <c r="I1320" s="6" t="s">
        <v>28</v>
      </c>
      <c r="J1320" s="6" t="s">
        <v>28</v>
      </c>
      <c r="K1320" t="s">
        <v>32</v>
      </c>
      <c r="L1320" s="35">
        <v>22.29</v>
      </c>
      <c r="M1320" s="6" t="s">
        <v>29</v>
      </c>
      <c r="N1320" s="6">
        <v>3105</v>
      </c>
      <c r="P1320" s="18"/>
      <c r="Q1320" s="17"/>
      <c r="R1320" s="19">
        <v>22.29</v>
      </c>
      <c r="S1320" s="19">
        <v>22.29</v>
      </c>
      <c r="T1320" s="38">
        <v>0</v>
      </c>
      <c r="U1320" s="38"/>
      <c r="V1320" s="30">
        <v>22.29</v>
      </c>
      <c r="W1320" s="35">
        <v>22.29</v>
      </c>
      <c r="X1320" s="32">
        <f t="shared" si="220"/>
        <v>0</v>
      </c>
      <c r="Y1320" s="32">
        <f t="shared" si="221"/>
        <v>0</v>
      </c>
      <c r="Z1320" s="32">
        <f t="shared" si="222"/>
        <v>0</v>
      </c>
      <c r="AA1320" s="38" t="s">
        <v>2573</v>
      </c>
      <c r="AB1320" s="37" t="str">
        <f>IFERROR(VLOOKUP(A1320,'Tash Lookup'!A:E,3,FALSE),"")</f>
        <v/>
      </c>
      <c r="AC1320" s="6" t="str">
        <f t="shared" si="223"/>
        <v/>
      </c>
      <c r="AD1320" s="2" t="s">
        <v>6711</v>
      </c>
      <c r="AE1320" s="2" t="s">
        <v>6701</v>
      </c>
      <c r="AF1320" s="56">
        <v>22.96</v>
      </c>
      <c r="AG1320" s="56" t="e">
        <f>VLOOKUP(A1320,Sheet1!$A$2:$C$1140,3,FALSE)</f>
        <v>#N/A</v>
      </c>
      <c r="AH1320" s="58" t="e">
        <v>#N/A</v>
      </c>
      <c r="AI1320" s="56" t="str">
        <f t="shared" si="224"/>
        <v>Delete</v>
      </c>
      <c r="AJ1320" s="81">
        <f t="shared" si="228"/>
        <v>0</v>
      </c>
      <c r="AK1320" s="81">
        <f t="shared" si="229"/>
        <v>0</v>
      </c>
      <c r="AL1320" s="58" t="s">
        <v>7206</v>
      </c>
      <c r="AM1320" s="58" t="s">
        <v>6711</v>
      </c>
      <c r="AN1320" s="75">
        <v>0</v>
      </c>
      <c r="AO1320" s="88">
        <v>22.96</v>
      </c>
      <c r="AP1320" s="6" t="str">
        <f t="shared" si="225"/>
        <v>Delete</v>
      </c>
      <c r="AQ1320" s="81">
        <f t="shared" si="226"/>
        <v>0</v>
      </c>
      <c r="AR1320" s="81">
        <f t="shared" si="227"/>
        <v>0</v>
      </c>
      <c r="AS1320" s="81">
        <f t="shared" si="230"/>
        <v>0</v>
      </c>
    </row>
    <row r="1321" spans="1:45" hidden="1" x14ac:dyDescent="0.3">
      <c r="A1321">
        <v>6352826</v>
      </c>
      <c r="B1321" s="15" t="s">
        <v>6657</v>
      </c>
      <c r="C1321" s="16" t="s">
        <v>30</v>
      </c>
      <c r="D1321" s="6" t="s">
        <v>31</v>
      </c>
      <c r="E1321" t="s">
        <v>1240</v>
      </c>
      <c r="F1321" t="s">
        <v>1240</v>
      </c>
      <c r="H1321" s="11" t="s">
        <v>27</v>
      </c>
      <c r="I1321" s="6" t="s">
        <v>28</v>
      </c>
      <c r="J1321" s="6" t="s">
        <v>28</v>
      </c>
      <c r="K1321" t="s">
        <v>32</v>
      </c>
      <c r="L1321" s="35">
        <v>22.29</v>
      </c>
      <c r="M1321" s="6" t="s">
        <v>29</v>
      </c>
      <c r="N1321" s="6">
        <v>3105</v>
      </c>
      <c r="P1321" s="18"/>
      <c r="Q1321" s="17"/>
      <c r="R1321" s="19">
        <v>22.29</v>
      </c>
      <c r="S1321" s="19">
        <v>22.29</v>
      </c>
      <c r="T1321" s="38">
        <v>0</v>
      </c>
      <c r="U1321" s="38"/>
      <c r="V1321" s="30">
        <v>22.29</v>
      </c>
      <c r="W1321" s="35">
        <v>22.29</v>
      </c>
      <c r="X1321" s="32">
        <f t="shared" si="220"/>
        <v>0</v>
      </c>
      <c r="Y1321" s="32">
        <f t="shared" si="221"/>
        <v>0</v>
      </c>
      <c r="Z1321" s="32">
        <f t="shared" si="222"/>
        <v>0</v>
      </c>
      <c r="AA1321" s="38" t="s">
        <v>2573</v>
      </c>
      <c r="AB1321" s="37" t="str">
        <f>IFERROR(VLOOKUP(A1321,'Tash Lookup'!A:E,3,FALSE),"")</f>
        <v/>
      </c>
      <c r="AC1321" s="6" t="str">
        <f t="shared" si="223"/>
        <v/>
      </c>
      <c r="AD1321" s="2" t="s">
        <v>6711</v>
      </c>
      <c r="AE1321" s="2" t="s">
        <v>6701</v>
      </c>
      <c r="AF1321" s="56">
        <v>22.29</v>
      </c>
      <c r="AG1321" s="56" t="e">
        <f>VLOOKUP(A1321,Sheet1!$A$2:$C$1140,3,FALSE)</f>
        <v>#N/A</v>
      </c>
      <c r="AH1321" s="58" t="e">
        <v>#N/A</v>
      </c>
      <c r="AI1321" s="56" t="str">
        <f t="shared" si="224"/>
        <v>Delete</v>
      </c>
      <c r="AJ1321" s="81">
        <f t="shared" si="228"/>
        <v>0</v>
      </c>
      <c r="AK1321" s="81">
        <f t="shared" si="229"/>
        <v>0</v>
      </c>
      <c r="AL1321" s="58" t="s">
        <v>7206</v>
      </c>
      <c r="AM1321" s="58" t="s">
        <v>6711</v>
      </c>
      <c r="AN1321" s="75">
        <v>0</v>
      </c>
      <c r="AO1321" s="88">
        <v>22.29</v>
      </c>
      <c r="AP1321" s="6" t="str">
        <f t="shared" si="225"/>
        <v>Delete</v>
      </c>
      <c r="AQ1321" s="81">
        <f t="shared" si="226"/>
        <v>0</v>
      </c>
      <c r="AR1321" s="81">
        <f t="shared" si="227"/>
        <v>0</v>
      </c>
      <c r="AS1321" s="81">
        <f t="shared" si="230"/>
        <v>0</v>
      </c>
    </row>
    <row r="1322" spans="1:45" hidden="1" x14ac:dyDescent="0.3">
      <c r="A1322">
        <v>6352798</v>
      </c>
      <c r="B1322" s="15" t="s">
        <v>6658</v>
      </c>
      <c r="C1322" s="16" t="s">
        <v>30</v>
      </c>
      <c r="D1322" s="6" t="s">
        <v>31</v>
      </c>
      <c r="E1322" t="s">
        <v>1241</v>
      </c>
      <c r="F1322" t="s">
        <v>1241</v>
      </c>
      <c r="H1322" s="11" t="s">
        <v>27</v>
      </c>
      <c r="I1322" s="6" t="s">
        <v>28</v>
      </c>
      <c r="J1322" s="6" t="s">
        <v>28</v>
      </c>
      <c r="K1322" t="s">
        <v>32</v>
      </c>
      <c r="L1322" s="35">
        <v>22.29</v>
      </c>
      <c r="M1322" s="6" t="s">
        <v>29</v>
      </c>
      <c r="N1322" s="6">
        <v>3105</v>
      </c>
      <c r="P1322" s="18"/>
      <c r="Q1322" s="17"/>
      <c r="R1322" s="19">
        <v>22.29</v>
      </c>
      <c r="S1322" s="19">
        <v>22.29</v>
      </c>
      <c r="T1322" s="38">
        <v>0</v>
      </c>
      <c r="U1322" s="38"/>
      <c r="V1322" s="30">
        <v>22.29</v>
      </c>
      <c r="W1322" s="35">
        <v>22.29</v>
      </c>
      <c r="X1322" s="32">
        <f t="shared" si="220"/>
        <v>0</v>
      </c>
      <c r="Y1322" s="32">
        <f t="shared" si="221"/>
        <v>0</v>
      </c>
      <c r="Z1322" s="32">
        <f t="shared" si="222"/>
        <v>0</v>
      </c>
      <c r="AA1322" s="38" t="s">
        <v>2573</v>
      </c>
      <c r="AB1322" s="37" t="str">
        <f>IFERROR(VLOOKUP(A1322,'Tash Lookup'!A:E,3,FALSE),"")</f>
        <v/>
      </c>
      <c r="AC1322" s="6" t="str">
        <f t="shared" si="223"/>
        <v/>
      </c>
      <c r="AD1322" s="2" t="s">
        <v>6711</v>
      </c>
      <c r="AE1322" s="2" t="s">
        <v>6701</v>
      </c>
      <c r="AF1322" s="56">
        <v>22.29</v>
      </c>
      <c r="AG1322" s="56" t="e">
        <f>VLOOKUP(A1322,Sheet1!$A$2:$C$1140,3,FALSE)</f>
        <v>#N/A</v>
      </c>
      <c r="AH1322" s="58" t="e">
        <v>#N/A</v>
      </c>
      <c r="AI1322" s="56" t="str">
        <f t="shared" si="224"/>
        <v>Delete</v>
      </c>
      <c r="AJ1322" s="81">
        <f t="shared" si="228"/>
        <v>0</v>
      </c>
      <c r="AK1322" s="81">
        <f t="shared" si="229"/>
        <v>0</v>
      </c>
      <c r="AL1322" s="58" t="s">
        <v>7206</v>
      </c>
      <c r="AM1322" s="58" t="s">
        <v>6711</v>
      </c>
      <c r="AN1322" s="75">
        <v>1</v>
      </c>
      <c r="AO1322" s="88">
        <v>22.29</v>
      </c>
      <c r="AP1322" s="6" t="str">
        <f t="shared" si="225"/>
        <v>Delete</v>
      </c>
      <c r="AQ1322" s="81">
        <f t="shared" si="226"/>
        <v>22.29</v>
      </c>
      <c r="AR1322" s="81">
        <f t="shared" si="227"/>
        <v>22.29</v>
      </c>
      <c r="AS1322" s="81">
        <f t="shared" si="230"/>
        <v>0</v>
      </c>
    </row>
    <row r="1323" spans="1:45" hidden="1" x14ac:dyDescent="0.3">
      <c r="A1323">
        <v>6352830</v>
      </c>
      <c r="B1323" s="15" t="s">
        <v>6659</v>
      </c>
      <c r="C1323" s="16" t="s">
        <v>30</v>
      </c>
      <c r="D1323" s="6" t="s">
        <v>31</v>
      </c>
      <c r="E1323" t="s">
        <v>1242</v>
      </c>
      <c r="F1323" t="s">
        <v>1242</v>
      </c>
      <c r="H1323" s="11" t="s">
        <v>27</v>
      </c>
      <c r="I1323" s="6" t="s">
        <v>28</v>
      </c>
      <c r="J1323" s="6" t="s">
        <v>28</v>
      </c>
      <c r="K1323" t="s">
        <v>32</v>
      </c>
      <c r="L1323" s="35">
        <v>22.29</v>
      </c>
      <c r="M1323" s="6" t="s">
        <v>29</v>
      </c>
      <c r="N1323" s="6">
        <v>3105</v>
      </c>
      <c r="P1323" s="18"/>
      <c r="Q1323" s="17"/>
      <c r="R1323" s="19">
        <v>22.29</v>
      </c>
      <c r="S1323" s="19">
        <v>22.29</v>
      </c>
      <c r="T1323" s="38">
        <v>0</v>
      </c>
      <c r="U1323" s="38"/>
      <c r="V1323" s="30">
        <v>22.29</v>
      </c>
      <c r="W1323" s="35">
        <v>22.29</v>
      </c>
      <c r="X1323" s="32">
        <f t="shared" si="220"/>
        <v>0</v>
      </c>
      <c r="Y1323" s="32">
        <f t="shared" si="221"/>
        <v>0</v>
      </c>
      <c r="Z1323" s="32">
        <f t="shared" si="222"/>
        <v>0</v>
      </c>
      <c r="AA1323" s="38" t="s">
        <v>2573</v>
      </c>
      <c r="AB1323" s="37" t="str">
        <f>IFERROR(VLOOKUP(A1323,'Tash Lookup'!A:E,3,FALSE),"")</f>
        <v/>
      </c>
      <c r="AC1323" s="6" t="str">
        <f t="shared" si="223"/>
        <v/>
      </c>
      <c r="AD1323" s="2" t="s">
        <v>6711</v>
      </c>
      <c r="AE1323" s="2" t="s">
        <v>6701</v>
      </c>
      <c r="AF1323" s="56">
        <v>22.29</v>
      </c>
      <c r="AG1323" s="56" t="e">
        <f>VLOOKUP(A1323,Sheet1!$A$2:$C$1140,3,FALSE)</f>
        <v>#N/A</v>
      </c>
      <c r="AH1323" s="58" t="e">
        <v>#N/A</v>
      </c>
      <c r="AI1323" s="56" t="str">
        <f t="shared" si="224"/>
        <v>Delete</v>
      </c>
      <c r="AJ1323" s="81">
        <f t="shared" si="228"/>
        <v>0</v>
      </c>
      <c r="AK1323" s="81">
        <f t="shared" si="229"/>
        <v>0</v>
      </c>
      <c r="AL1323" s="58" t="s">
        <v>7206</v>
      </c>
      <c r="AM1323" s="58" t="s">
        <v>6711</v>
      </c>
      <c r="AN1323" s="75">
        <v>0</v>
      </c>
      <c r="AO1323" s="88">
        <v>22.29</v>
      </c>
      <c r="AP1323" s="6" t="str">
        <f t="shared" si="225"/>
        <v>Delete</v>
      </c>
      <c r="AQ1323" s="81">
        <f t="shared" si="226"/>
        <v>0</v>
      </c>
      <c r="AR1323" s="81">
        <f t="shared" si="227"/>
        <v>0</v>
      </c>
      <c r="AS1323" s="81">
        <f t="shared" si="230"/>
        <v>0</v>
      </c>
    </row>
    <row r="1324" spans="1:45" hidden="1" x14ac:dyDescent="0.3">
      <c r="A1324">
        <v>6352841</v>
      </c>
      <c r="B1324" s="15" t="s">
        <v>6660</v>
      </c>
      <c r="C1324" s="16" t="s">
        <v>30</v>
      </c>
      <c r="D1324" s="6" t="s">
        <v>31</v>
      </c>
      <c r="E1324" t="s">
        <v>1243</v>
      </c>
      <c r="F1324" t="s">
        <v>1243</v>
      </c>
      <c r="H1324" s="11" t="s">
        <v>27</v>
      </c>
      <c r="I1324" s="6" t="s">
        <v>28</v>
      </c>
      <c r="J1324" s="6" t="s">
        <v>28</v>
      </c>
      <c r="K1324" t="s">
        <v>32</v>
      </c>
      <c r="L1324" s="35">
        <v>22.29</v>
      </c>
      <c r="M1324" s="6" t="s">
        <v>29</v>
      </c>
      <c r="N1324" s="6">
        <v>3105</v>
      </c>
      <c r="P1324" s="18"/>
      <c r="Q1324" s="17"/>
      <c r="R1324" s="19">
        <v>22.29</v>
      </c>
      <c r="S1324" s="19">
        <v>22.29</v>
      </c>
      <c r="T1324" s="38">
        <v>0</v>
      </c>
      <c r="U1324" s="38"/>
      <c r="V1324" s="30">
        <v>22.29</v>
      </c>
      <c r="W1324" s="35">
        <v>22.29</v>
      </c>
      <c r="X1324" s="32">
        <f t="shared" si="220"/>
        <v>0</v>
      </c>
      <c r="Y1324" s="32">
        <f t="shared" si="221"/>
        <v>0</v>
      </c>
      <c r="Z1324" s="32">
        <f t="shared" si="222"/>
        <v>0</v>
      </c>
      <c r="AA1324" s="38" t="s">
        <v>2573</v>
      </c>
      <c r="AB1324" s="37" t="str">
        <f>IFERROR(VLOOKUP(A1324,'Tash Lookup'!A:E,3,FALSE),"")</f>
        <v/>
      </c>
      <c r="AC1324" s="6" t="str">
        <f t="shared" si="223"/>
        <v/>
      </c>
      <c r="AD1324" s="2" t="s">
        <v>6711</v>
      </c>
      <c r="AE1324" s="2" t="s">
        <v>6701</v>
      </c>
      <c r="AF1324" s="56">
        <v>22.29</v>
      </c>
      <c r="AG1324" s="56" t="e">
        <f>VLOOKUP(A1324,Sheet1!$A$2:$C$1140,3,FALSE)</f>
        <v>#N/A</v>
      </c>
      <c r="AH1324" s="58" t="e">
        <v>#N/A</v>
      </c>
      <c r="AI1324" s="56" t="str">
        <f t="shared" si="224"/>
        <v>Delete</v>
      </c>
      <c r="AJ1324" s="81">
        <f t="shared" si="228"/>
        <v>0</v>
      </c>
      <c r="AK1324" s="81">
        <f t="shared" si="229"/>
        <v>0</v>
      </c>
      <c r="AL1324" s="58" t="s">
        <v>7206</v>
      </c>
      <c r="AM1324" s="58" t="s">
        <v>6711</v>
      </c>
      <c r="AN1324" s="75">
        <v>0</v>
      </c>
      <c r="AO1324" s="88">
        <v>22.29</v>
      </c>
      <c r="AP1324" s="6" t="str">
        <f t="shared" si="225"/>
        <v>Delete</v>
      </c>
      <c r="AQ1324" s="81">
        <f t="shared" si="226"/>
        <v>0</v>
      </c>
      <c r="AR1324" s="81">
        <f t="shared" si="227"/>
        <v>0</v>
      </c>
      <c r="AS1324" s="81">
        <f t="shared" si="230"/>
        <v>0</v>
      </c>
    </row>
    <row r="1325" spans="1:45" hidden="1" x14ac:dyDescent="0.3">
      <c r="A1325">
        <v>6352829</v>
      </c>
      <c r="B1325" s="15" t="s">
        <v>6661</v>
      </c>
      <c r="C1325" s="16" t="s">
        <v>30</v>
      </c>
      <c r="D1325" s="6" t="s">
        <v>31</v>
      </c>
      <c r="E1325" t="s">
        <v>1244</v>
      </c>
      <c r="F1325" t="s">
        <v>1244</v>
      </c>
      <c r="H1325" s="11" t="s">
        <v>27</v>
      </c>
      <c r="I1325" s="6" t="s">
        <v>28</v>
      </c>
      <c r="J1325" s="6" t="s">
        <v>28</v>
      </c>
      <c r="K1325" t="s">
        <v>32</v>
      </c>
      <c r="L1325" s="35">
        <v>22.29</v>
      </c>
      <c r="M1325" s="6" t="s">
        <v>29</v>
      </c>
      <c r="N1325" s="6">
        <v>3105</v>
      </c>
      <c r="P1325" s="18"/>
      <c r="Q1325" s="17"/>
      <c r="R1325" s="19">
        <v>22.29</v>
      </c>
      <c r="S1325" s="19">
        <v>22.29</v>
      </c>
      <c r="T1325" s="38">
        <v>0</v>
      </c>
      <c r="U1325" s="38"/>
      <c r="V1325" s="30">
        <v>22.29</v>
      </c>
      <c r="W1325" s="35">
        <v>22.29</v>
      </c>
      <c r="X1325" s="32">
        <f t="shared" si="220"/>
        <v>0</v>
      </c>
      <c r="Y1325" s="32">
        <f t="shared" si="221"/>
        <v>0</v>
      </c>
      <c r="Z1325" s="32">
        <f t="shared" si="222"/>
        <v>0</v>
      </c>
      <c r="AA1325" s="38" t="s">
        <v>2573</v>
      </c>
      <c r="AB1325" s="37" t="str">
        <f>IFERROR(VLOOKUP(A1325,'Tash Lookup'!A:E,3,FALSE),"")</f>
        <v/>
      </c>
      <c r="AC1325" s="6" t="str">
        <f t="shared" si="223"/>
        <v/>
      </c>
      <c r="AD1325" s="2" t="s">
        <v>6711</v>
      </c>
      <c r="AE1325" s="2" t="s">
        <v>6701</v>
      </c>
      <c r="AF1325" s="56">
        <v>22.29</v>
      </c>
      <c r="AG1325" s="56" t="e">
        <f>VLOOKUP(A1325,Sheet1!$A$2:$C$1140,3,FALSE)</f>
        <v>#N/A</v>
      </c>
      <c r="AH1325" s="58" t="e">
        <v>#N/A</v>
      </c>
      <c r="AI1325" s="56" t="str">
        <f t="shared" si="224"/>
        <v>Delete</v>
      </c>
      <c r="AJ1325" s="81">
        <f t="shared" si="228"/>
        <v>0</v>
      </c>
      <c r="AK1325" s="81">
        <f t="shared" si="229"/>
        <v>0</v>
      </c>
      <c r="AL1325" s="58" t="s">
        <v>7206</v>
      </c>
      <c r="AM1325" s="58" t="s">
        <v>6711</v>
      </c>
      <c r="AN1325" s="75">
        <v>0</v>
      </c>
      <c r="AO1325" s="88">
        <v>22.29</v>
      </c>
      <c r="AP1325" s="6" t="str">
        <f t="shared" si="225"/>
        <v>Delete</v>
      </c>
      <c r="AQ1325" s="81">
        <f t="shared" si="226"/>
        <v>0</v>
      </c>
      <c r="AR1325" s="81">
        <f t="shared" si="227"/>
        <v>0</v>
      </c>
      <c r="AS1325" s="81">
        <f t="shared" si="230"/>
        <v>0</v>
      </c>
    </row>
    <row r="1326" spans="1:45" hidden="1" x14ac:dyDescent="0.3">
      <c r="A1326">
        <v>6085111</v>
      </c>
      <c r="B1326" s="15" t="s">
        <v>6662</v>
      </c>
      <c r="C1326" s="16" t="s">
        <v>30</v>
      </c>
      <c r="D1326" s="6" t="s">
        <v>31</v>
      </c>
      <c r="E1326" t="s">
        <v>1254</v>
      </c>
      <c r="F1326" t="s">
        <v>1254</v>
      </c>
      <c r="H1326" s="11" t="s">
        <v>27</v>
      </c>
      <c r="I1326" s="6" t="s">
        <v>28</v>
      </c>
      <c r="J1326" s="6" t="s">
        <v>28</v>
      </c>
      <c r="K1326" t="s">
        <v>32</v>
      </c>
      <c r="L1326" s="48">
        <v>13.71</v>
      </c>
      <c r="M1326" s="6" t="s">
        <v>29</v>
      </c>
      <c r="N1326" s="6">
        <v>3105</v>
      </c>
      <c r="P1326" s="18"/>
      <c r="Q1326" s="17"/>
      <c r="R1326" s="19">
        <v>14.38</v>
      </c>
      <c r="S1326" s="19">
        <v>0</v>
      </c>
      <c r="T1326" s="38">
        <v>0</v>
      </c>
      <c r="U1326" s="38"/>
      <c r="V1326" s="30">
        <v>14.38</v>
      </c>
      <c r="W1326" s="35">
        <v>13.71</v>
      </c>
      <c r="X1326" s="32">
        <f t="shared" si="220"/>
        <v>0</v>
      </c>
      <c r="Y1326" s="32">
        <f t="shared" si="221"/>
        <v>0</v>
      </c>
      <c r="Z1326" s="32">
        <f t="shared" si="222"/>
        <v>0</v>
      </c>
      <c r="AA1326" s="38" t="s">
        <v>2573</v>
      </c>
      <c r="AB1326" s="37" t="str">
        <f>IFERROR(VLOOKUP(A1326,'Tash Lookup'!A:E,3,FALSE),"")</f>
        <v/>
      </c>
      <c r="AC1326" s="6" t="str">
        <f t="shared" si="223"/>
        <v/>
      </c>
      <c r="AD1326" s="2" t="s">
        <v>6708</v>
      </c>
      <c r="AF1326" s="56">
        <v>14.81</v>
      </c>
      <c r="AG1326" s="56">
        <f>VLOOKUP(A1326,Sheet1!$A$2:$C$1140,3,FALSE)</f>
        <v>14.81</v>
      </c>
      <c r="AH1326" s="58">
        <v>14.81</v>
      </c>
      <c r="AI1326" s="56" t="str">
        <f t="shared" si="224"/>
        <v>Same</v>
      </c>
      <c r="AJ1326" s="81">
        <f t="shared" si="228"/>
        <v>0</v>
      </c>
      <c r="AK1326" s="81">
        <f t="shared" si="229"/>
        <v>0</v>
      </c>
      <c r="AL1326" s="58" t="s">
        <v>7206</v>
      </c>
      <c r="AM1326" s="58" t="s">
        <v>6708</v>
      </c>
      <c r="AN1326" s="75">
        <v>3</v>
      </c>
      <c r="AO1326" s="88">
        <v>14.81</v>
      </c>
      <c r="AP1326" s="6" t="str">
        <f t="shared" si="225"/>
        <v>Same</v>
      </c>
      <c r="AQ1326" s="81">
        <f t="shared" si="226"/>
        <v>44.43</v>
      </c>
      <c r="AR1326" s="81">
        <f t="shared" si="227"/>
        <v>44.43</v>
      </c>
      <c r="AS1326" s="81">
        <f t="shared" si="230"/>
        <v>0</v>
      </c>
    </row>
    <row r="1327" spans="1:45" hidden="1" x14ac:dyDescent="0.3">
      <c r="A1327">
        <v>6107876</v>
      </c>
      <c r="B1327" s="15" t="s">
        <v>6663</v>
      </c>
      <c r="C1327" s="16" t="s">
        <v>30</v>
      </c>
      <c r="D1327" s="6" t="s">
        <v>31</v>
      </c>
      <c r="E1327" t="s">
        <v>1260</v>
      </c>
      <c r="F1327" t="s">
        <v>1260</v>
      </c>
      <c r="H1327" s="11" t="s">
        <v>27</v>
      </c>
      <c r="I1327" s="6" t="s">
        <v>28</v>
      </c>
      <c r="J1327" s="6" t="s">
        <v>28</v>
      </c>
      <c r="K1327" t="s">
        <v>32</v>
      </c>
      <c r="L1327" s="35">
        <v>1457.93</v>
      </c>
      <c r="M1327" s="6" t="s">
        <v>29</v>
      </c>
      <c r="N1327" s="6">
        <v>3105</v>
      </c>
      <c r="P1327" s="18"/>
      <c r="Q1327" s="17"/>
      <c r="R1327" s="19">
        <v>1457.93</v>
      </c>
      <c r="S1327" s="19">
        <v>1457.93</v>
      </c>
      <c r="T1327" s="38">
        <v>0</v>
      </c>
      <c r="U1327" s="38"/>
      <c r="V1327" s="30">
        <v>1457.93</v>
      </c>
      <c r="W1327" s="35">
        <v>1457.93</v>
      </c>
      <c r="X1327" s="32">
        <f t="shared" si="220"/>
        <v>0</v>
      </c>
      <c r="Y1327" s="32">
        <f t="shared" si="221"/>
        <v>0</v>
      </c>
      <c r="Z1327" s="32">
        <f t="shared" si="222"/>
        <v>0</v>
      </c>
      <c r="AA1327" s="38" t="s">
        <v>2573</v>
      </c>
      <c r="AB1327" s="37" t="str">
        <f>IFERROR(VLOOKUP(A1327,'Tash Lookup'!A:E,3,FALSE),"")</f>
        <v/>
      </c>
      <c r="AC1327" s="6" t="str">
        <f t="shared" si="223"/>
        <v/>
      </c>
      <c r="AD1327" s="2" t="s">
        <v>6703</v>
      </c>
      <c r="AF1327" s="56">
        <v>1501.67</v>
      </c>
      <c r="AG1327" s="56">
        <f>VLOOKUP(A1327,Sheet1!$A$2:$C$1140,3,FALSE)</f>
        <v>1501.67</v>
      </c>
      <c r="AH1327" s="58">
        <v>1501.67</v>
      </c>
      <c r="AI1327" s="56" t="str">
        <f t="shared" si="224"/>
        <v>Same</v>
      </c>
      <c r="AJ1327" s="81">
        <f t="shared" si="228"/>
        <v>0</v>
      </c>
      <c r="AK1327" s="81">
        <f t="shared" si="229"/>
        <v>0</v>
      </c>
      <c r="AL1327" s="58" t="s">
        <v>7206</v>
      </c>
      <c r="AM1327" s="58" t="s">
        <v>6703</v>
      </c>
      <c r="AN1327" s="75">
        <v>0</v>
      </c>
      <c r="AO1327" s="88">
        <v>1501.67</v>
      </c>
      <c r="AP1327" s="6" t="str">
        <f t="shared" si="225"/>
        <v>Same</v>
      </c>
      <c r="AQ1327" s="81">
        <f t="shared" si="226"/>
        <v>0</v>
      </c>
      <c r="AR1327" s="81">
        <f t="shared" si="227"/>
        <v>0</v>
      </c>
      <c r="AS1327" s="81">
        <f t="shared" si="230"/>
        <v>0</v>
      </c>
    </row>
    <row r="1328" spans="1:45" hidden="1" x14ac:dyDescent="0.3">
      <c r="A1328">
        <v>6403637</v>
      </c>
      <c r="B1328" s="15" t="s">
        <v>6664</v>
      </c>
      <c r="C1328" s="16" t="s">
        <v>30</v>
      </c>
      <c r="D1328" s="6" t="s">
        <v>31</v>
      </c>
      <c r="E1328" t="s">
        <v>1264</v>
      </c>
      <c r="F1328" t="s">
        <v>1264</v>
      </c>
      <c r="H1328" s="11" t="s">
        <v>27</v>
      </c>
      <c r="I1328" s="6" t="s">
        <v>28</v>
      </c>
      <c r="J1328" s="6" t="s">
        <v>28</v>
      </c>
      <c r="K1328" t="s">
        <v>32</v>
      </c>
      <c r="L1328" s="35">
        <v>30.59</v>
      </c>
      <c r="M1328" s="6" t="s">
        <v>29</v>
      </c>
      <c r="N1328" s="6">
        <v>3105</v>
      </c>
      <c r="P1328" s="18"/>
      <c r="Q1328" s="17"/>
      <c r="R1328" s="19">
        <v>30.59</v>
      </c>
      <c r="S1328" s="19">
        <v>30.59</v>
      </c>
      <c r="T1328" s="38">
        <v>0</v>
      </c>
      <c r="U1328" s="38"/>
      <c r="V1328" s="30">
        <v>30.59</v>
      </c>
      <c r="W1328" s="35">
        <v>30.59</v>
      </c>
      <c r="X1328" s="32">
        <f t="shared" si="220"/>
        <v>0</v>
      </c>
      <c r="Y1328" s="32">
        <f t="shared" si="221"/>
        <v>0</v>
      </c>
      <c r="Z1328" s="32">
        <f t="shared" si="222"/>
        <v>0</v>
      </c>
      <c r="AA1328" s="38" t="s">
        <v>2573</v>
      </c>
      <c r="AB1328" s="37" t="str">
        <f>IFERROR(VLOOKUP(A1328,'Tash Lookup'!A:E,3,FALSE),"")</f>
        <v/>
      </c>
      <c r="AC1328" s="6" t="str">
        <f t="shared" si="223"/>
        <v/>
      </c>
      <c r="AD1328" s="2" t="s">
        <v>6703</v>
      </c>
      <c r="AF1328" s="56">
        <v>29.13</v>
      </c>
      <c r="AG1328" s="56">
        <f>VLOOKUP(A1328,Sheet1!$A$2:$C$1140,3,FALSE)</f>
        <v>29.13</v>
      </c>
      <c r="AH1328" s="58">
        <v>29.13</v>
      </c>
      <c r="AI1328" s="56" t="str">
        <f t="shared" si="224"/>
        <v>Same</v>
      </c>
      <c r="AJ1328" s="81">
        <f t="shared" si="228"/>
        <v>0</v>
      </c>
      <c r="AK1328" s="81">
        <f t="shared" si="229"/>
        <v>0</v>
      </c>
      <c r="AL1328" s="58" t="s">
        <v>7206</v>
      </c>
      <c r="AM1328" s="58" t="s">
        <v>6703</v>
      </c>
      <c r="AN1328" s="75">
        <v>0</v>
      </c>
      <c r="AO1328" s="88">
        <v>29.13</v>
      </c>
      <c r="AP1328" s="6" t="str">
        <f t="shared" si="225"/>
        <v>Same</v>
      </c>
      <c r="AQ1328" s="81">
        <f t="shared" si="226"/>
        <v>0</v>
      </c>
      <c r="AR1328" s="81">
        <f t="shared" si="227"/>
        <v>0</v>
      </c>
      <c r="AS1328" s="81">
        <f t="shared" si="230"/>
        <v>0</v>
      </c>
    </row>
    <row r="1329" spans="1:45" hidden="1" x14ac:dyDescent="0.3">
      <c r="A1329">
        <v>6403654</v>
      </c>
      <c r="B1329" s="15" t="s">
        <v>6665</v>
      </c>
      <c r="C1329" s="16" t="s">
        <v>30</v>
      </c>
      <c r="D1329" s="6" t="s">
        <v>31</v>
      </c>
      <c r="E1329" t="s">
        <v>1265</v>
      </c>
      <c r="F1329" t="s">
        <v>1265</v>
      </c>
      <c r="H1329" s="11" t="s">
        <v>27</v>
      </c>
      <c r="I1329" s="6" t="s">
        <v>28</v>
      </c>
      <c r="J1329" s="6" t="s">
        <v>28</v>
      </c>
      <c r="K1329" t="s">
        <v>32</v>
      </c>
      <c r="L1329" s="35">
        <v>30.59</v>
      </c>
      <c r="M1329" s="6" t="s">
        <v>29</v>
      </c>
      <c r="N1329" s="6">
        <v>3105</v>
      </c>
      <c r="P1329" s="18"/>
      <c r="Q1329" s="17"/>
      <c r="R1329" s="19">
        <v>30.59</v>
      </c>
      <c r="S1329" s="19">
        <v>30.59</v>
      </c>
      <c r="T1329" s="38">
        <v>0</v>
      </c>
      <c r="U1329" s="38"/>
      <c r="V1329" s="30">
        <v>30.59</v>
      </c>
      <c r="W1329" s="35">
        <v>30.59</v>
      </c>
      <c r="X1329" s="32">
        <f t="shared" si="220"/>
        <v>0</v>
      </c>
      <c r="Y1329" s="32">
        <f t="shared" si="221"/>
        <v>0</v>
      </c>
      <c r="Z1329" s="32">
        <f t="shared" si="222"/>
        <v>0</v>
      </c>
      <c r="AA1329" s="38" t="s">
        <v>2573</v>
      </c>
      <c r="AB1329" s="37" t="str">
        <f>IFERROR(VLOOKUP(A1329,'Tash Lookup'!A:E,3,FALSE),"")</f>
        <v/>
      </c>
      <c r="AC1329" s="6" t="str">
        <f t="shared" si="223"/>
        <v/>
      </c>
      <c r="AD1329" s="2" t="s">
        <v>6703</v>
      </c>
      <c r="AF1329" s="56">
        <v>29.13</v>
      </c>
      <c r="AG1329" s="56">
        <f>VLOOKUP(A1329,Sheet1!$A$2:$C$1140,3,FALSE)</f>
        <v>29.13</v>
      </c>
      <c r="AH1329" s="58">
        <v>29.13</v>
      </c>
      <c r="AI1329" s="56" t="str">
        <f t="shared" si="224"/>
        <v>Same</v>
      </c>
      <c r="AJ1329" s="81">
        <f t="shared" si="228"/>
        <v>0</v>
      </c>
      <c r="AK1329" s="81">
        <f t="shared" si="229"/>
        <v>0</v>
      </c>
      <c r="AL1329" s="58" t="s">
        <v>7206</v>
      </c>
      <c r="AM1329" s="58" t="s">
        <v>6703</v>
      </c>
      <c r="AN1329" s="75">
        <v>0</v>
      </c>
      <c r="AO1329" s="88">
        <v>29.13</v>
      </c>
      <c r="AP1329" s="6" t="str">
        <f t="shared" si="225"/>
        <v>Same</v>
      </c>
      <c r="AQ1329" s="81">
        <f t="shared" si="226"/>
        <v>0</v>
      </c>
      <c r="AR1329" s="81">
        <f t="shared" si="227"/>
        <v>0</v>
      </c>
      <c r="AS1329" s="81">
        <f t="shared" si="230"/>
        <v>0</v>
      </c>
    </row>
    <row r="1330" spans="1:45" hidden="1" x14ac:dyDescent="0.3">
      <c r="A1330">
        <v>6403648</v>
      </c>
      <c r="B1330" s="15" t="s">
        <v>6666</v>
      </c>
      <c r="C1330" s="16" t="s">
        <v>30</v>
      </c>
      <c r="D1330" s="6" t="s">
        <v>31</v>
      </c>
      <c r="E1330" t="s">
        <v>1266</v>
      </c>
      <c r="F1330" t="s">
        <v>1266</v>
      </c>
      <c r="H1330" s="11" t="s">
        <v>27</v>
      </c>
      <c r="I1330" s="6" t="s">
        <v>28</v>
      </c>
      <c r="J1330" s="6" t="s">
        <v>28</v>
      </c>
      <c r="K1330" t="s">
        <v>32</v>
      </c>
      <c r="L1330" s="35">
        <v>30.59</v>
      </c>
      <c r="M1330" s="6" t="s">
        <v>29</v>
      </c>
      <c r="N1330" s="6">
        <v>3105</v>
      </c>
      <c r="P1330" s="18"/>
      <c r="Q1330" s="17"/>
      <c r="R1330" s="19">
        <v>30.59</v>
      </c>
      <c r="S1330" s="19">
        <v>30.59</v>
      </c>
      <c r="T1330" s="38">
        <v>0</v>
      </c>
      <c r="U1330" s="38"/>
      <c r="V1330" s="31">
        <v>30.59</v>
      </c>
      <c r="W1330" s="35">
        <v>30.59</v>
      </c>
      <c r="X1330" s="32">
        <f t="shared" si="220"/>
        <v>0</v>
      </c>
      <c r="Y1330" s="32">
        <f t="shared" si="221"/>
        <v>0</v>
      </c>
      <c r="Z1330" s="32">
        <f t="shared" si="222"/>
        <v>0</v>
      </c>
      <c r="AA1330" s="38" t="s">
        <v>2573</v>
      </c>
      <c r="AB1330" s="37" t="str">
        <f>IFERROR(VLOOKUP(A1330,'Tash Lookup'!A:E,3,FALSE),"")</f>
        <v/>
      </c>
      <c r="AC1330" s="6" t="str">
        <f t="shared" si="223"/>
        <v/>
      </c>
      <c r="AD1330" s="2" t="s">
        <v>6703</v>
      </c>
      <c r="AF1330" s="56">
        <v>29.13</v>
      </c>
      <c r="AG1330" s="56">
        <f>VLOOKUP(A1330,Sheet1!$A$2:$C$1140,3,FALSE)</f>
        <v>29.13</v>
      </c>
      <c r="AH1330" s="58">
        <v>29.13</v>
      </c>
      <c r="AI1330" s="56" t="str">
        <f t="shared" si="224"/>
        <v>Same</v>
      </c>
      <c r="AJ1330" s="81">
        <f t="shared" si="228"/>
        <v>0</v>
      </c>
      <c r="AK1330" s="81">
        <f t="shared" si="229"/>
        <v>0</v>
      </c>
      <c r="AL1330" s="58" t="s">
        <v>7206</v>
      </c>
      <c r="AM1330" s="58" t="s">
        <v>6703</v>
      </c>
      <c r="AN1330" s="75">
        <v>0</v>
      </c>
      <c r="AO1330" s="88">
        <v>29.13</v>
      </c>
      <c r="AP1330" s="6" t="str">
        <f t="shared" si="225"/>
        <v>Same</v>
      </c>
      <c r="AQ1330" s="81">
        <f t="shared" si="226"/>
        <v>0</v>
      </c>
      <c r="AR1330" s="81">
        <f t="shared" si="227"/>
        <v>0</v>
      </c>
      <c r="AS1330" s="81">
        <f t="shared" si="230"/>
        <v>0</v>
      </c>
    </row>
    <row r="1331" spans="1:45" hidden="1" x14ac:dyDescent="0.3">
      <c r="A1331">
        <v>6140633</v>
      </c>
      <c r="B1331" s="15" t="s">
        <v>6667</v>
      </c>
      <c r="C1331" s="16" t="s">
        <v>30</v>
      </c>
      <c r="D1331" s="6" t="s">
        <v>31</v>
      </c>
      <c r="E1331" t="s">
        <v>1267</v>
      </c>
      <c r="F1331" t="s">
        <v>1267</v>
      </c>
      <c r="H1331" s="11" t="s">
        <v>27</v>
      </c>
      <c r="I1331" s="6" t="s">
        <v>28</v>
      </c>
      <c r="J1331" s="6" t="s">
        <v>28</v>
      </c>
      <c r="K1331" t="s">
        <v>32</v>
      </c>
      <c r="L1331" s="35">
        <v>17.07</v>
      </c>
      <c r="M1331" s="6" t="s">
        <v>29</v>
      </c>
      <c r="N1331" s="6">
        <v>3105</v>
      </c>
      <c r="P1331" s="18"/>
      <c r="Q1331" s="17"/>
      <c r="R1331" s="19">
        <v>0</v>
      </c>
      <c r="S1331" s="19">
        <v>0</v>
      </c>
      <c r="T1331" s="38">
        <v>0</v>
      </c>
      <c r="U1331" s="38"/>
      <c r="V1331" s="31">
        <v>17.07</v>
      </c>
      <c r="W1331" s="35">
        <v>17.07</v>
      </c>
      <c r="X1331" s="32">
        <f t="shared" si="220"/>
        <v>0</v>
      </c>
      <c r="Y1331" s="32">
        <f t="shared" si="221"/>
        <v>0</v>
      </c>
      <c r="Z1331" s="32">
        <f t="shared" si="222"/>
        <v>0</v>
      </c>
      <c r="AA1331" s="38" t="s">
        <v>2573</v>
      </c>
      <c r="AB1331" s="37" t="str">
        <f>IFERROR(VLOOKUP(A1331,'Tash Lookup'!A:E,3,FALSE),"")</f>
        <v/>
      </c>
      <c r="AC1331" s="6" t="str">
        <f t="shared" si="223"/>
        <v/>
      </c>
      <c r="AD1331" s="2" t="s">
        <v>6703</v>
      </c>
      <c r="AF1331" s="56">
        <v>17.07</v>
      </c>
      <c r="AG1331" s="56">
        <f>VLOOKUP(A1331,Sheet1!$A$2:$C$1140,3,FALSE)</f>
        <v>17.07</v>
      </c>
      <c r="AH1331" s="58">
        <v>17.07</v>
      </c>
      <c r="AI1331" s="56" t="str">
        <f t="shared" si="224"/>
        <v>Same</v>
      </c>
      <c r="AJ1331" s="81">
        <f t="shared" si="228"/>
        <v>0</v>
      </c>
      <c r="AK1331" s="81">
        <f t="shared" si="229"/>
        <v>0</v>
      </c>
      <c r="AL1331" s="58" t="s">
        <v>7206</v>
      </c>
      <c r="AM1331" s="58" t="s">
        <v>6703</v>
      </c>
      <c r="AN1331" s="75">
        <v>0</v>
      </c>
      <c r="AO1331" s="88">
        <v>17.07</v>
      </c>
      <c r="AP1331" s="6" t="str">
        <f t="shared" si="225"/>
        <v>Same</v>
      </c>
      <c r="AQ1331" s="81">
        <f t="shared" si="226"/>
        <v>0</v>
      </c>
      <c r="AR1331" s="81">
        <f t="shared" si="227"/>
        <v>0</v>
      </c>
      <c r="AS1331" s="81">
        <f t="shared" si="230"/>
        <v>0</v>
      </c>
    </row>
    <row r="1332" spans="1:45" hidden="1" x14ac:dyDescent="0.3">
      <c r="A1332">
        <v>6140632</v>
      </c>
      <c r="B1332" s="15" t="s">
        <v>6668</v>
      </c>
      <c r="C1332" s="16" t="s">
        <v>30</v>
      </c>
      <c r="D1332" s="6" t="s">
        <v>31</v>
      </c>
      <c r="E1332" t="s">
        <v>1268</v>
      </c>
      <c r="F1332" t="s">
        <v>1268</v>
      </c>
      <c r="H1332" s="11" t="s">
        <v>27</v>
      </c>
      <c r="I1332" s="6" t="s">
        <v>28</v>
      </c>
      <c r="J1332" s="6" t="s">
        <v>28</v>
      </c>
      <c r="K1332" t="s">
        <v>32</v>
      </c>
      <c r="L1332" s="35">
        <v>10.61</v>
      </c>
      <c r="M1332" s="6" t="s">
        <v>29</v>
      </c>
      <c r="N1332" s="6">
        <v>3105</v>
      </c>
      <c r="P1332" s="18"/>
      <c r="Q1332" s="17"/>
      <c r="R1332" s="19">
        <v>0</v>
      </c>
      <c r="S1332" s="19">
        <v>0</v>
      </c>
      <c r="T1332" s="38">
        <v>0</v>
      </c>
      <c r="U1332" s="38"/>
      <c r="V1332" s="31">
        <v>10.61</v>
      </c>
      <c r="W1332" s="35">
        <v>10.61</v>
      </c>
      <c r="X1332" s="32">
        <f t="shared" si="220"/>
        <v>0</v>
      </c>
      <c r="Y1332" s="32">
        <f t="shared" si="221"/>
        <v>0</v>
      </c>
      <c r="Z1332" s="32">
        <f t="shared" si="222"/>
        <v>0</v>
      </c>
      <c r="AA1332" s="38" t="s">
        <v>2573</v>
      </c>
      <c r="AB1332" s="37" t="str">
        <f>IFERROR(VLOOKUP(A1332,'Tash Lookup'!A:E,3,FALSE),"")</f>
        <v/>
      </c>
      <c r="AC1332" s="6" t="str">
        <f t="shared" si="223"/>
        <v/>
      </c>
      <c r="AD1332" s="2" t="s">
        <v>6708</v>
      </c>
      <c r="AF1332" s="56">
        <v>10.61</v>
      </c>
      <c r="AG1332" s="56" t="e">
        <f>VLOOKUP(A1332,Sheet1!$A$2:$C$1140,3,FALSE)</f>
        <v>#N/A</v>
      </c>
      <c r="AH1332" s="58" t="e">
        <v>#N/A</v>
      </c>
      <c r="AI1332" s="56" t="str">
        <f t="shared" si="224"/>
        <v>Delete</v>
      </c>
      <c r="AJ1332" s="81">
        <f t="shared" si="228"/>
        <v>0</v>
      </c>
      <c r="AK1332" s="81">
        <f t="shared" si="229"/>
        <v>0</v>
      </c>
      <c r="AL1332" s="58" t="s">
        <v>7206</v>
      </c>
      <c r="AM1332" s="58" t="s">
        <v>6708</v>
      </c>
      <c r="AN1332" s="75">
        <v>0</v>
      </c>
      <c r="AO1332" s="88">
        <v>10.61</v>
      </c>
      <c r="AP1332" s="6" t="str">
        <f t="shared" si="225"/>
        <v>Same</v>
      </c>
      <c r="AQ1332" s="81">
        <f t="shared" si="226"/>
        <v>0</v>
      </c>
      <c r="AR1332" s="81">
        <f t="shared" si="227"/>
        <v>0</v>
      </c>
      <c r="AS1332" s="81">
        <f t="shared" si="230"/>
        <v>0</v>
      </c>
    </row>
    <row r="1333" spans="1:45" hidden="1" x14ac:dyDescent="0.3">
      <c r="A1333">
        <v>6140630</v>
      </c>
      <c r="B1333" s="15" t="s">
        <v>6669</v>
      </c>
      <c r="C1333" s="16" t="s">
        <v>30</v>
      </c>
      <c r="D1333" s="6" t="s">
        <v>31</v>
      </c>
      <c r="E1333" t="s">
        <v>1269</v>
      </c>
      <c r="F1333" t="s">
        <v>1269</v>
      </c>
      <c r="H1333" s="11" t="s">
        <v>27</v>
      </c>
      <c r="I1333" s="6" t="s">
        <v>28</v>
      </c>
      <c r="J1333" s="6" t="s">
        <v>28</v>
      </c>
      <c r="K1333" t="s">
        <v>32</v>
      </c>
      <c r="L1333" s="35">
        <v>13.31</v>
      </c>
      <c r="M1333" s="6" t="s">
        <v>29</v>
      </c>
      <c r="N1333" s="6">
        <v>3105</v>
      </c>
      <c r="P1333" s="18"/>
      <c r="Q1333" s="17"/>
      <c r="R1333" s="19">
        <v>0</v>
      </c>
      <c r="S1333" s="19">
        <v>0</v>
      </c>
      <c r="T1333" s="38">
        <v>0</v>
      </c>
      <c r="U1333" s="38"/>
      <c r="V1333" s="31">
        <v>13.31</v>
      </c>
      <c r="W1333" s="35">
        <v>13.31</v>
      </c>
      <c r="X1333" s="32">
        <f t="shared" si="220"/>
        <v>0</v>
      </c>
      <c r="Y1333" s="32">
        <f t="shared" si="221"/>
        <v>0</v>
      </c>
      <c r="Z1333" s="32">
        <f t="shared" si="222"/>
        <v>0</v>
      </c>
      <c r="AA1333" s="38" t="s">
        <v>2573</v>
      </c>
      <c r="AB1333" s="37" t="str">
        <f>IFERROR(VLOOKUP(A1333,'Tash Lookup'!A:E,3,FALSE),"")</f>
        <v/>
      </c>
      <c r="AC1333" s="6" t="str">
        <f t="shared" si="223"/>
        <v/>
      </c>
      <c r="AD1333" s="2" t="s">
        <v>6703</v>
      </c>
      <c r="AF1333" s="56">
        <v>13.31</v>
      </c>
      <c r="AG1333" s="56">
        <f>VLOOKUP(A1333,Sheet1!$A$2:$C$1140,3,FALSE)</f>
        <v>13.31</v>
      </c>
      <c r="AH1333" s="58">
        <v>13.31</v>
      </c>
      <c r="AI1333" s="56" t="str">
        <f t="shared" si="224"/>
        <v>Same</v>
      </c>
      <c r="AJ1333" s="81">
        <f t="shared" si="228"/>
        <v>0</v>
      </c>
      <c r="AK1333" s="81">
        <f t="shared" si="229"/>
        <v>0</v>
      </c>
      <c r="AL1333" s="58" t="s">
        <v>7206</v>
      </c>
      <c r="AM1333" s="58" t="s">
        <v>6703</v>
      </c>
      <c r="AN1333" s="75">
        <v>0</v>
      </c>
      <c r="AO1333" s="88">
        <v>13.31</v>
      </c>
      <c r="AP1333" s="6" t="str">
        <f t="shared" si="225"/>
        <v>Same</v>
      </c>
      <c r="AQ1333" s="81">
        <f t="shared" si="226"/>
        <v>0</v>
      </c>
      <c r="AR1333" s="81">
        <f t="shared" si="227"/>
        <v>0</v>
      </c>
      <c r="AS1333" s="81">
        <f t="shared" si="230"/>
        <v>0</v>
      </c>
    </row>
    <row r="1334" spans="1:45" hidden="1" x14ac:dyDescent="0.3">
      <c r="A1334">
        <v>6140629</v>
      </c>
      <c r="B1334" s="15" t="s">
        <v>6670</v>
      </c>
      <c r="C1334" s="16" t="s">
        <v>30</v>
      </c>
      <c r="D1334" s="6" t="s">
        <v>31</v>
      </c>
      <c r="E1334" t="s">
        <v>1270</v>
      </c>
      <c r="F1334" t="s">
        <v>1270</v>
      </c>
      <c r="H1334" s="11" t="s">
        <v>27</v>
      </c>
      <c r="I1334" s="6" t="s">
        <v>28</v>
      </c>
      <c r="J1334" s="6" t="s">
        <v>28</v>
      </c>
      <c r="K1334" t="s">
        <v>32</v>
      </c>
      <c r="L1334" s="35">
        <v>38</v>
      </c>
      <c r="M1334" s="6" t="s">
        <v>29</v>
      </c>
      <c r="N1334" s="6">
        <v>3105</v>
      </c>
      <c r="P1334" s="18"/>
      <c r="Q1334" s="17"/>
      <c r="R1334" s="19">
        <v>38</v>
      </c>
      <c r="S1334" s="19">
        <v>38</v>
      </c>
      <c r="T1334" s="38">
        <v>0</v>
      </c>
      <c r="U1334" s="38"/>
      <c r="V1334" s="30">
        <v>38</v>
      </c>
      <c r="W1334" s="35">
        <v>38</v>
      </c>
      <c r="X1334" s="32">
        <f t="shared" si="220"/>
        <v>0</v>
      </c>
      <c r="Y1334" s="32">
        <f t="shared" si="221"/>
        <v>0</v>
      </c>
      <c r="Z1334" s="32">
        <f t="shared" si="222"/>
        <v>0</v>
      </c>
      <c r="AA1334" s="38" t="s">
        <v>2573</v>
      </c>
      <c r="AB1334" s="37" t="str">
        <f>IFERROR(VLOOKUP(A1334,'Tash Lookup'!A:E,3,FALSE),"")</f>
        <v/>
      </c>
      <c r="AC1334" s="6" t="str">
        <f t="shared" si="223"/>
        <v/>
      </c>
      <c r="AD1334" s="2" t="s">
        <v>6703</v>
      </c>
      <c r="AF1334" s="56">
        <v>38</v>
      </c>
      <c r="AG1334" s="56">
        <f>VLOOKUP(A1334,Sheet1!$A$2:$C$1140,3,FALSE)</f>
        <v>38</v>
      </c>
      <c r="AH1334" s="58">
        <v>38</v>
      </c>
      <c r="AI1334" s="56" t="str">
        <f t="shared" si="224"/>
        <v>Same</v>
      </c>
      <c r="AJ1334" s="81">
        <f t="shared" si="228"/>
        <v>0</v>
      </c>
      <c r="AK1334" s="81">
        <f t="shared" si="229"/>
        <v>0</v>
      </c>
      <c r="AL1334" s="58" t="s">
        <v>7206</v>
      </c>
      <c r="AM1334" s="58" t="s">
        <v>6703</v>
      </c>
      <c r="AN1334" s="75">
        <v>0</v>
      </c>
      <c r="AO1334" s="88">
        <v>38</v>
      </c>
      <c r="AP1334" s="6" t="str">
        <f t="shared" si="225"/>
        <v>Same</v>
      </c>
      <c r="AQ1334" s="81">
        <f t="shared" si="226"/>
        <v>0</v>
      </c>
      <c r="AR1334" s="81">
        <f t="shared" si="227"/>
        <v>0</v>
      </c>
      <c r="AS1334" s="81">
        <f t="shared" si="230"/>
        <v>0</v>
      </c>
    </row>
    <row r="1335" spans="1:45" hidden="1" x14ac:dyDescent="0.3">
      <c r="A1335">
        <v>6389155</v>
      </c>
      <c r="B1335" s="15" t="s">
        <v>6671</v>
      </c>
      <c r="C1335" s="16" t="s">
        <v>30</v>
      </c>
      <c r="D1335" s="6" t="s">
        <v>31</v>
      </c>
      <c r="E1335" t="s">
        <v>1277</v>
      </c>
      <c r="F1335" t="s">
        <v>1277</v>
      </c>
      <c r="H1335" s="11" t="s">
        <v>27</v>
      </c>
      <c r="I1335" s="6" t="s">
        <v>28</v>
      </c>
      <c r="J1335" s="6" t="s">
        <v>28</v>
      </c>
      <c r="K1335" t="s">
        <v>32</v>
      </c>
      <c r="L1335" s="35">
        <v>34.01</v>
      </c>
      <c r="M1335" s="6" t="s">
        <v>29</v>
      </c>
      <c r="N1335" s="6">
        <v>3105</v>
      </c>
      <c r="P1335" s="18"/>
      <c r="Q1335" s="17"/>
      <c r="R1335" s="19">
        <v>0</v>
      </c>
      <c r="S1335" s="19">
        <v>0</v>
      </c>
      <c r="T1335" s="38">
        <v>0</v>
      </c>
      <c r="U1335" s="38"/>
      <c r="V1335" s="31">
        <v>34.01</v>
      </c>
      <c r="W1335" s="35">
        <v>34.01</v>
      </c>
      <c r="X1335" s="32">
        <f t="shared" si="220"/>
        <v>0</v>
      </c>
      <c r="Y1335" s="32">
        <f t="shared" si="221"/>
        <v>0</v>
      </c>
      <c r="Z1335" s="32">
        <f t="shared" si="222"/>
        <v>0</v>
      </c>
      <c r="AA1335" s="38" t="s">
        <v>2573</v>
      </c>
      <c r="AB1335" s="37" t="str">
        <f>IFERROR(VLOOKUP(A1335,'Tash Lookup'!A:E,3,FALSE),"")</f>
        <v/>
      </c>
      <c r="AC1335" s="6" t="str">
        <f t="shared" si="223"/>
        <v/>
      </c>
      <c r="AD1335" s="2" t="s">
        <v>6703</v>
      </c>
      <c r="AF1335" s="56">
        <v>29.46</v>
      </c>
      <c r="AG1335" s="56">
        <f>VLOOKUP(A1335,Sheet1!$A$2:$C$1140,3,FALSE)</f>
        <v>29.46</v>
      </c>
      <c r="AH1335" s="58">
        <v>29.46</v>
      </c>
      <c r="AI1335" s="56" t="str">
        <f t="shared" si="224"/>
        <v>Same</v>
      </c>
      <c r="AJ1335" s="81">
        <f t="shared" si="228"/>
        <v>0</v>
      </c>
      <c r="AK1335" s="81">
        <f t="shared" si="229"/>
        <v>0</v>
      </c>
      <c r="AL1335" s="58" t="s">
        <v>7206</v>
      </c>
      <c r="AM1335" s="58" t="s">
        <v>6703</v>
      </c>
      <c r="AN1335" s="75">
        <v>0</v>
      </c>
      <c r="AO1335" s="88">
        <v>29.46</v>
      </c>
      <c r="AP1335" s="6" t="str">
        <f t="shared" si="225"/>
        <v>Same</v>
      </c>
      <c r="AQ1335" s="81">
        <f t="shared" si="226"/>
        <v>0</v>
      </c>
      <c r="AR1335" s="81">
        <f t="shared" si="227"/>
        <v>0</v>
      </c>
      <c r="AS1335" s="81">
        <f t="shared" si="230"/>
        <v>0</v>
      </c>
    </row>
    <row r="1336" spans="1:45" hidden="1" x14ac:dyDescent="0.3">
      <c r="A1336">
        <v>6291578</v>
      </c>
      <c r="B1336" s="15" t="s">
        <v>6672</v>
      </c>
      <c r="C1336" s="16" t="s">
        <v>30</v>
      </c>
      <c r="D1336" s="6" t="s">
        <v>31</v>
      </c>
      <c r="E1336" t="s">
        <v>1279</v>
      </c>
      <c r="F1336" t="s">
        <v>1279</v>
      </c>
      <c r="H1336" s="11" t="s">
        <v>27</v>
      </c>
      <c r="I1336" s="6" t="s">
        <v>28</v>
      </c>
      <c r="J1336" s="6" t="s">
        <v>28</v>
      </c>
      <c r="K1336" t="s">
        <v>32</v>
      </c>
      <c r="L1336" s="35">
        <v>63.88</v>
      </c>
      <c r="M1336" s="6" t="s">
        <v>29</v>
      </c>
      <c r="N1336" s="6">
        <v>3105</v>
      </c>
      <c r="P1336" s="18"/>
      <c r="Q1336" s="17"/>
      <c r="R1336" s="19">
        <v>63.88</v>
      </c>
      <c r="S1336" s="19">
        <v>63.88</v>
      </c>
      <c r="T1336" s="38">
        <v>0</v>
      </c>
      <c r="U1336" s="38"/>
      <c r="V1336" s="30">
        <v>63.88</v>
      </c>
      <c r="W1336" s="35">
        <v>63.88</v>
      </c>
      <c r="X1336" s="32">
        <f t="shared" si="220"/>
        <v>0</v>
      </c>
      <c r="Y1336" s="32">
        <f t="shared" si="221"/>
        <v>0</v>
      </c>
      <c r="Z1336" s="32">
        <f t="shared" si="222"/>
        <v>0</v>
      </c>
      <c r="AA1336" s="38" t="s">
        <v>2573</v>
      </c>
      <c r="AB1336" s="37" t="str">
        <f>IFERROR(VLOOKUP(A1336,'Tash Lookup'!A:E,3,FALSE),"")</f>
        <v/>
      </c>
      <c r="AC1336" s="6" t="str">
        <f t="shared" si="223"/>
        <v/>
      </c>
      <c r="AD1336" s="2" t="s">
        <v>6704</v>
      </c>
      <c r="AF1336" s="56">
        <v>91.25</v>
      </c>
      <c r="AG1336" s="56" t="e">
        <f>VLOOKUP(A1336,Sheet1!$A$2:$C$1140,3,FALSE)</f>
        <v>#N/A</v>
      </c>
      <c r="AH1336" s="58" t="e">
        <v>#N/A</v>
      </c>
      <c r="AI1336" s="56" t="str">
        <f t="shared" si="224"/>
        <v>Delete</v>
      </c>
      <c r="AJ1336" s="81">
        <f t="shared" si="228"/>
        <v>0</v>
      </c>
      <c r="AK1336" s="81">
        <f t="shared" si="229"/>
        <v>0</v>
      </c>
      <c r="AL1336" s="58" t="s">
        <v>7206</v>
      </c>
      <c r="AM1336" s="58" t="s">
        <v>6711</v>
      </c>
      <c r="AN1336" s="75">
        <v>0</v>
      </c>
      <c r="AO1336" s="88">
        <v>91.25</v>
      </c>
      <c r="AP1336" s="6" t="str">
        <f t="shared" si="225"/>
        <v>Delete</v>
      </c>
      <c r="AQ1336" s="81">
        <f t="shared" si="226"/>
        <v>0</v>
      </c>
      <c r="AR1336" s="81">
        <f t="shared" si="227"/>
        <v>0</v>
      </c>
      <c r="AS1336" s="81">
        <f t="shared" si="230"/>
        <v>0</v>
      </c>
    </row>
    <row r="1337" spans="1:45" hidden="1" x14ac:dyDescent="0.3">
      <c r="A1337">
        <v>6361368</v>
      </c>
      <c r="B1337" s="15" t="s">
        <v>6673</v>
      </c>
      <c r="C1337" s="16" t="s">
        <v>30</v>
      </c>
      <c r="D1337" s="6" t="s">
        <v>31</v>
      </c>
      <c r="E1337" t="s">
        <v>1280</v>
      </c>
      <c r="F1337" t="s">
        <v>1280</v>
      </c>
      <c r="H1337" s="11" t="s">
        <v>27</v>
      </c>
      <c r="I1337" s="6" t="s">
        <v>28</v>
      </c>
      <c r="J1337" s="6" t="s">
        <v>28</v>
      </c>
      <c r="K1337" t="s">
        <v>32</v>
      </c>
      <c r="L1337" s="35">
        <v>50.71</v>
      </c>
      <c r="M1337" s="6" t="s">
        <v>29</v>
      </c>
      <c r="N1337" s="6">
        <v>3105</v>
      </c>
      <c r="P1337" s="18"/>
      <c r="Q1337" s="17"/>
      <c r="R1337" s="19">
        <v>50.71</v>
      </c>
      <c r="S1337" s="19">
        <v>50.71</v>
      </c>
      <c r="T1337" s="38">
        <v>0</v>
      </c>
      <c r="U1337" s="38"/>
      <c r="V1337" s="30">
        <v>50.71</v>
      </c>
      <c r="W1337" s="35">
        <v>50.71</v>
      </c>
      <c r="X1337" s="32">
        <f t="shared" si="220"/>
        <v>0</v>
      </c>
      <c r="Y1337" s="32">
        <f t="shared" si="221"/>
        <v>0</v>
      </c>
      <c r="Z1337" s="32">
        <f t="shared" si="222"/>
        <v>0</v>
      </c>
      <c r="AA1337" s="38" t="s">
        <v>2573</v>
      </c>
      <c r="AB1337" s="37" t="str">
        <f>IFERROR(VLOOKUP(A1337,'Tash Lookup'!A:E,3,FALSE),"")</f>
        <v/>
      </c>
      <c r="AC1337" s="6" t="str">
        <f t="shared" si="223"/>
        <v/>
      </c>
      <c r="AD1337" s="2" t="s">
        <v>6703</v>
      </c>
      <c r="AF1337" s="56">
        <v>56.51</v>
      </c>
      <c r="AG1337" s="56">
        <f>VLOOKUP(A1337,Sheet1!$A$2:$C$1140,3,FALSE)</f>
        <v>56.51</v>
      </c>
      <c r="AH1337" s="58">
        <v>56.51</v>
      </c>
      <c r="AI1337" s="56" t="str">
        <f t="shared" si="224"/>
        <v>Same</v>
      </c>
      <c r="AJ1337" s="81">
        <f t="shared" si="228"/>
        <v>0</v>
      </c>
      <c r="AK1337" s="81">
        <f t="shared" si="229"/>
        <v>0</v>
      </c>
      <c r="AL1337" s="58" t="s">
        <v>7206</v>
      </c>
      <c r="AM1337" s="58" t="s">
        <v>6703</v>
      </c>
      <c r="AN1337" s="75">
        <v>0</v>
      </c>
      <c r="AO1337" s="88">
        <v>56.51</v>
      </c>
      <c r="AP1337" s="6" t="str">
        <f t="shared" si="225"/>
        <v>Same</v>
      </c>
      <c r="AQ1337" s="81">
        <f t="shared" si="226"/>
        <v>0</v>
      </c>
      <c r="AR1337" s="81">
        <f t="shared" si="227"/>
        <v>0</v>
      </c>
      <c r="AS1337" s="81">
        <f t="shared" si="230"/>
        <v>0</v>
      </c>
    </row>
    <row r="1338" spans="1:45" hidden="1" x14ac:dyDescent="0.3">
      <c r="A1338">
        <v>6345849</v>
      </c>
      <c r="B1338" s="15" t="s">
        <v>6674</v>
      </c>
      <c r="C1338" s="16" t="s">
        <v>30</v>
      </c>
      <c r="D1338" s="6" t="s">
        <v>31</v>
      </c>
      <c r="E1338" t="s">
        <v>2539</v>
      </c>
      <c r="F1338" t="s">
        <v>2539</v>
      </c>
      <c r="H1338" s="11" t="s">
        <v>27</v>
      </c>
      <c r="I1338" s="6" t="s">
        <v>28</v>
      </c>
      <c r="J1338" s="6" t="s">
        <v>28</v>
      </c>
      <c r="K1338" t="s">
        <v>32</v>
      </c>
      <c r="L1338" s="35">
        <v>78.05</v>
      </c>
      <c r="M1338" s="6" t="s">
        <v>29</v>
      </c>
      <c r="N1338" s="6">
        <v>3105</v>
      </c>
      <c r="P1338" s="18"/>
      <c r="Q1338" s="17"/>
      <c r="R1338" s="19">
        <v>78.05</v>
      </c>
      <c r="S1338" s="19">
        <v>78.05</v>
      </c>
      <c r="T1338" s="38">
        <v>0</v>
      </c>
      <c r="U1338" s="38"/>
      <c r="V1338" s="30">
        <v>78.05</v>
      </c>
      <c r="W1338" s="35">
        <v>78.05</v>
      </c>
      <c r="X1338" s="32">
        <f t="shared" si="220"/>
        <v>0</v>
      </c>
      <c r="Y1338" s="32">
        <f t="shared" si="221"/>
        <v>0</v>
      </c>
      <c r="Z1338" s="32">
        <f t="shared" si="222"/>
        <v>0</v>
      </c>
      <c r="AA1338" s="38" t="s">
        <v>2573</v>
      </c>
      <c r="AB1338" s="37" t="str">
        <f>IFERROR(VLOOKUP(A1338,'Tash Lookup'!A:E,3,FALSE),"")</f>
        <v/>
      </c>
      <c r="AC1338" s="6" t="str">
        <f t="shared" si="223"/>
        <v/>
      </c>
      <c r="AD1338" s="2" t="s">
        <v>6703</v>
      </c>
      <c r="AF1338" s="56">
        <v>86.97</v>
      </c>
      <c r="AG1338" s="56">
        <f>VLOOKUP(A1338,Sheet1!$A$2:$C$1140,3,FALSE)</f>
        <v>86.97</v>
      </c>
      <c r="AH1338" s="58">
        <v>86.97</v>
      </c>
      <c r="AI1338" s="56" t="str">
        <f t="shared" si="224"/>
        <v>Same</v>
      </c>
      <c r="AJ1338" s="81">
        <f t="shared" si="228"/>
        <v>0</v>
      </c>
      <c r="AK1338" s="81">
        <f t="shared" si="229"/>
        <v>0</v>
      </c>
      <c r="AL1338" s="58" t="s">
        <v>7206</v>
      </c>
      <c r="AM1338" s="58" t="s">
        <v>6703</v>
      </c>
      <c r="AN1338" s="75">
        <v>0</v>
      </c>
      <c r="AO1338" s="88">
        <v>86.97</v>
      </c>
      <c r="AP1338" s="6" t="str">
        <f t="shared" si="225"/>
        <v>Same</v>
      </c>
      <c r="AQ1338" s="81">
        <f t="shared" si="226"/>
        <v>0</v>
      </c>
      <c r="AR1338" s="81">
        <f t="shared" si="227"/>
        <v>0</v>
      </c>
      <c r="AS1338" s="81">
        <f t="shared" si="230"/>
        <v>0</v>
      </c>
    </row>
    <row r="1339" spans="1:45" hidden="1" x14ac:dyDescent="0.3">
      <c r="A1339">
        <v>6345859</v>
      </c>
      <c r="B1339" s="15" t="s">
        <v>6675</v>
      </c>
      <c r="C1339" s="16" t="s">
        <v>30</v>
      </c>
      <c r="D1339" s="6" t="s">
        <v>31</v>
      </c>
      <c r="E1339" t="s">
        <v>1281</v>
      </c>
      <c r="F1339" t="s">
        <v>1281</v>
      </c>
      <c r="H1339" s="11" t="s">
        <v>27</v>
      </c>
      <c r="I1339" s="6" t="s">
        <v>28</v>
      </c>
      <c r="J1339" s="6" t="s">
        <v>28</v>
      </c>
      <c r="K1339" t="s">
        <v>32</v>
      </c>
      <c r="L1339" s="35">
        <v>40.43</v>
      </c>
      <c r="M1339" s="6" t="s">
        <v>29</v>
      </c>
      <c r="N1339" s="6">
        <v>3105</v>
      </c>
      <c r="P1339" s="18"/>
      <c r="Q1339" s="17"/>
      <c r="R1339" s="19">
        <v>40.43</v>
      </c>
      <c r="S1339" s="19">
        <v>40.43</v>
      </c>
      <c r="T1339" s="38">
        <v>0</v>
      </c>
      <c r="U1339" s="38"/>
      <c r="V1339" s="30">
        <v>40.43</v>
      </c>
      <c r="W1339" s="35">
        <v>40.43</v>
      </c>
      <c r="X1339" s="32">
        <f t="shared" si="220"/>
        <v>0</v>
      </c>
      <c r="Y1339" s="32">
        <f t="shared" si="221"/>
        <v>0</v>
      </c>
      <c r="Z1339" s="32">
        <f t="shared" si="222"/>
        <v>0</v>
      </c>
      <c r="AA1339" s="38" t="s">
        <v>2573</v>
      </c>
      <c r="AB1339" s="37" t="str">
        <f>IFERROR(VLOOKUP(A1339,'Tash Lookup'!A:E,3,FALSE),"")</f>
        <v/>
      </c>
      <c r="AC1339" s="6" t="str">
        <f t="shared" si="223"/>
        <v/>
      </c>
      <c r="AD1339" s="2" t="s">
        <v>6703</v>
      </c>
      <c r="AF1339" s="56">
        <v>45.05</v>
      </c>
      <c r="AG1339" s="56">
        <f>VLOOKUP(A1339,Sheet1!$A$2:$C$1140,3,FALSE)</f>
        <v>45.05</v>
      </c>
      <c r="AH1339" s="58">
        <v>45.05</v>
      </c>
      <c r="AI1339" s="56" t="str">
        <f t="shared" si="224"/>
        <v>Same</v>
      </c>
      <c r="AJ1339" s="81">
        <f t="shared" si="228"/>
        <v>0</v>
      </c>
      <c r="AK1339" s="81">
        <f t="shared" si="229"/>
        <v>0</v>
      </c>
      <c r="AL1339" s="58" t="s">
        <v>7206</v>
      </c>
      <c r="AM1339" s="58" t="s">
        <v>6703</v>
      </c>
      <c r="AN1339" s="75">
        <v>1</v>
      </c>
      <c r="AO1339" s="88">
        <v>45.05</v>
      </c>
      <c r="AP1339" s="6" t="str">
        <f t="shared" si="225"/>
        <v>Same</v>
      </c>
      <c r="AQ1339" s="81">
        <f t="shared" si="226"/>
        <v>45.05</v>
      </c>
      <c r="AR1339" s="81">
        <f t="shared" si="227"/>
        <v>45.05</v>
      </c>
      <c r="AS1339" s="81">
        <f t="shared" si="230"/>
        <v>0</v>
      </c>
    </row>
    <row r="1340" spans="1:45" hidden="1" x14ac:dyDescent="0.3">
      <c r="A1340">
        <v>6345860</v>
      </c>
      <c r="B1340" s="15" t="s">
        <v>6676</v>
      </c>
      <c r="C1340" s="16" t="s">
        <v>30</v>
      </c>
      <c r="D1340" s="6" t="s">
        <v>31</v>
      </c>
      <c r="E1340" t="s">
        <v>1284</v>
      </c>
      <c r="F1340" t="s">
        <v>1284</v>
      </c>
      <c r="H1340" s="11" t="s">
        <v>27</v>
      </c>
      <c r="I1340" s="6" t="s">
        <v>28</v>
      </c>
      <c r="J1340" s="6" t="s">
        <v>28</v>
      </c>
      <c r="K1340" t="s">
        <v>32</v>
      </c>
      <c r="L1340" s="35">
        <v>82.77</v>
      </c>
      <c r="M1340" s="6" t="s">
        <v>29</v>
      </c>
      <c r="N1340" s="6">
        <v>3105</v>
      </c>
      <c r="P1340" s="18"/>
      <c r="Q1340" s="17"/>
      <c r="R1340" s="19">
        <v>82.77</v>
      </c>
      <c r="S1340" s="19">
        <v>82.77</v>
      </c>
      <c r="T1340" s="38">
        <v>0</v>
      </c>
      <c r="U1340" s="38"/>
      <c r="V1340" s="30">
        <v>82.77</v>
      </c>
      <c r="W1340" s="35">
        <v>82.77</v>
      </c>
      <c r="X1340" s="32">
        <f t="shared" si="220"/>
        <v>0</v>
      </c>
      <c r="Y1340" s="32">
        <f t="shared" si="221"/>
        <v>0</v>
      </c>
      <c r="Z1340" s="32">
        <f t="shared" si="222"/>
        <v>0</v>
      </c>
      <c r="AA1340" s="38" t="s">
        <v>2573</v>
      </c>
      <c r="AB1340" s="37" t="str">
        <f>IFERROR(VLOOKUP(A1340,'Tash Lookup'!A:E,3,FALSE),"")</f>
        <v/>
      </c>
      <c r="AC1340" s="6" t="str">
        <f t="shared" si="223"/>
        <v/>
      </c>
      <c r="AD1340" s="2" t="s">
        <v>6703</v>
      </c>
      <c r="AF1340" s="56">
        <v>92.23</v>
      </c>
      <c r="AG1340" s="56">
        <f>VLOOKUP(A1340,Sheet1!$A$2:$C$1140,3,FALSE)</f>
        <v>92.23</v>
      </c>
      <c r="AH1340" s="58">
        <v>92.23</v>
      </c>
      <c r="AI1340" s="56" t="str">
        <f t="shared" si="224"/>
        <v>Same</v>
      </c>
      <c r="AJ1340" s="81">
        <f t="shared" si="228"/>
        <v>0</v>
      </c>
      <c r="AK1340" s="81">
        <f t="shared" si="229"/>
        <v>0</v>
      </c>
      <c r="AL1340" s="58" t="s">
        <v>7206</v>
      </c>
      <c r="AM1340" s="58" t="s">
        <v>6703</v>
      </c>
      <c r="AN1340" s="75">
        <v>2</v>
      </c>
      <c r="AO1340" s="88">
        <v>92.23</v>
      </c>
      <c r="AP1340" s="6" t="str">
        <f t="shared" si="225"/>
        <v>Same</v>
      </c>
      <c r="AQ1340" s="81">
        <f t="shared" si="226"/>
        <v>184.46</v>
      </c>
      <c r="AR1340" s="81">
        <f t="shared" si="227"/>
        <v>184.46</v>
      </c>
      <c r="AS1340" s="81">
        <f t="shared" si="230"/>
        <v>0</v>
      </c>
    </row>
    <row r="1341" spans="1:45" hidden="1" x14ac:dyDescent="0.3">
      <c r="A1341">
        <v>6345853</v>
      </c>
      <c r="B1341" s="15" t="s">
        <v>6677</v>
      </c>
      <c r="C1341" s="16" t="s">
        <v>30</v>
      </c>
      <c r="D1341" s="6" t="s">
        <v>31</v>
      </c>
      <c r="E1341" t="s">
        <v>1285</v>
      </c>
      <c r="F1341" t="s">
        <v>1285</v>
      </c>
      <c r="H1341" s="11" t="s">
        <v>27</v>
      </c>
      <c r="I1341" s="6" t="s">
        <v>28</v>
      </c>
      <c r="J1341" s="6" t="s">
        <v>28</v>
      </c>
      <c r="K1341" t="s">
        <v>32</v>
      </c>
      <c r="L1341" s="35">
        <v>62.58</v>
      </c>
      <c r="M1341" s="6" t="s">
        <v>29</v>
      </c>
      <c r="N1341" s="6">
        <v>3105</v>
      </c>
      <c r="P1341" s="18"/>
      <c r="Q1341" s="17"/>
      <c r="R1341" s="19">
        <v>62.57</v>
      </c>
      <c r="S1341" s="19">
        <v>62.57</v>
      </c>
      <c r="T1341" s="38">
        <v>0</v>
      </c>
      <c r="U1341" s="38"/>
      <c r="V1341" s="30">
        <v>62.57</v>
      </c>
      <c r="W1341" s="35">
        <v>62.58</v>
      </c>
      <c r="X1341" s="32">
        <f t="shared" si="220"/>
        <v>0</v>
      </c>
      <c r="Y1341" s="32">
        <f t="shared" si="221"/>
        <v>0</v>
      </c>
      <c r="Z1341" s="32">
        <f t="shared" si="222"/>
        <v>0</v>
      </c>
      <c r="AA1341" s="38" t="s">
        <v>2573</v>
      </c>
      <c r="AB1341" s="37" t="str">
        <f>IFERROR(VLOOKUP(A1341,'Tash Lookup'!A:E,3,FALSE),"")</f>
        <v/>
      </c>
      <c r="AC1341" s="6" t="str">
        <f t="shared" si="223"/>
        <v/>
      </c>
      <c r="AD1341" s="2" t="s">
        <v>6703</v>
      </c>
      <c r="AF1341" s="56">
        <v>65.08</v>
      </c>
      <c r="AG1341" s="56">
        <f>VLOOKUP(A1341,Sheet1!$A$2:$C$1140,3,FALSE)</f>
        <v>64.849999999999994</v>
      </c>
      <c r="AH1341" s="58">
        <v>64.849999999999994</v>
      </c>
      <c r="AI1341" s="56" t="str">
        <f t="shared" si="224"/>
        <v>Decrease</v>
      </c>
      <c r="AJ1341" s="81">
        <f t="shared" si="228"/>
        <v>0</v>
      </c>
      <c r="AK1341" s="81">
        <f t="shared" si="229"/>
        <v>0</v>
      </c>
      <c r="AL1341" s="58" t="s">
        <v>7206</v>
      </c>
      <c r="AM1341" s="58" t="s">
        <v>6703</v>
      </c>
      <c r="AN1341" s="75">
        <v>0</v>
      </c>
      <c r="AO1341" s="88">
        <v>64.849999999999994</v>
      </c>
      <c r="AP1341" s="6" t="str">
        <f t="shared" si="225"/>
        <v>Decrease</v>
      </c>
      <c r="AQ1341" s="81">
        <f t="shared" si="226"/>
        <v>0</v>
      </c>
      <c r="AR1341" s="81">
        <f t="shared" si="227"/>
        <v>0</v>
      </c>
      <c r="AS1341" s="81">
        <f t="shared" si="230"/>
        <v>0</v>
      </c>
    </row>
    <row r="1342" spans="1:45" hidden="1" x14ac:dyDescent="0.3">
      <c r="A1342">
        <v>6345854</v>
      </c>
      <c r="B1342" s="15" t="s">
        <v>6678</v>
      </c>
      <c r="C1342" s="16" t="s">
        <v>30</v>
      </c>
      <c r="D1342" s="6" t="s">
        <v>31</v>
      </c>
      <c r="E1342" t="s">
        <v>1288</v>
      </c>
      <c r="F1342" t="s">
        <v>1288</v>
      </c>
      <c r="H1342" s="11" t="s">
        <v>27</v>
      </c>
      <c r="I1342" s="6" t="s">
        <v>28</v>
      </c>
      <c r="J1342" s="6" t="s">
        <v>28</v>
      </c>
      <c r="K1342" t="s">
        <v>32</v>
      </c>
      <c r="L1342" s="35">
        <v>33.54</v>
      </c>
      <c r="M1342" s="6" t="s">
        <v>29</v>
      </c>
      <c r="N1342" s="6">
        <v>3105</v>
      </c>
      <c r="P1342" s="18"/>
      <c r="Q1342" s="17"/>
      <c r="R1342" s="19">
        <v>33.54</v>
      </c>
      <c r="S1342" s="19">
        <v>33.54</v>
      </c>
      <c r="T1342" s="38">
        <v>0</v>
      </c>
      <c r="U1342" s="38"/>
      <c r="V1342" s="30">
        <v>33.54</v>
      </c>
      <c r="W1342" s="35">
        <v>33.54</v>
      </c>
      <c r="X1342" s="32">
        <f t="shared" si="220"/>
        <v>0</v>
      </c>
      <c r="Y1342" s="32">
        <f t="shared" si="221"/>
        <v>0</v>
      </c>
      <c r="Z1342" s="32">
        <f t="shared" si="222"/>
        <v>0</v>
      </c>
      <c r="AA1342" s="38" t="s">
        <v>2573</v>
      </c>
      <c r="AB1342" s="37" t="str">
        <f>IFERROR(VLOOKUP(A1342,'Tash Lookup'!A:E,3,FALSE),"")</f>
        <v/>
      </c>
      <c r="AC1342" s="6" t="str">
        <f t="shared" si="223"/>
        <v/>
      </c>
      <c r="AD1342" s="2" t="s">
        <v>6703</v>
      </c>
      <c r="AF1342" s="56">
        <v>37.369999999999997</v>
      </c>
      <c r="AG1342" s="56">
        <f>VLOOKUP(A1342,Sheet1!$A$2:$C$1140,3,FALSE)</f>
        <v>37.369999999999997</v>
      </c>
      <c r="AH1342" s="58">
        <v>37.369999999999997</v>
      </c>
      <c r="AI1342" s="56" t="str">
        <f t="shared" si="224"/>
        <v>Same</v>
      </c>
      <c r="AJ1342" s="81">
        <f t="shared" si="228"/>
        <v>0</v>
      </c>
      <c r="AK1342" s="81">
        <f t="shared" si="229"/>
        <v>0</v>
      </c>
      <c r="AL1342" s="58" t="s">
        <v>7206</v>
      </c>
      <c r="AM1342" s="58" t="s">
        <v>6703</v>
      </c>
      <c r="AN1342" s="75">
        <v>4</v>
      </c>
      <c r="AO1342" s="88">
        <v>37.369999999999997</v>
      </c>
      <c r="AP1342" s="6" t="str">
        <f t="shared" si="225"/>
        <v>Same</v>
      </c>
      <c r="AQ1342" s="81">
        <f t="shared" si="226"/>
        <v>149.47999999999999</v>
      </c>
      <c r="AR1342" s="81">
        <f t="shared" si="227"/>
        <v>149.47999999999999</v>
      </c>
      <c r="AS1342" s="81">
        <f t="shared" si="230"/>
        <v>0</v>
      </c>
    </row>
    <row r="1343" spans="1:45" hidden="1" x14ac:dyDescent="0.3">
      <c r="A1343">
        <v>5315854</v>
      </c>
      <c r="B1343" s="15" t="s">
        <v>6679</v>
      </c>
      <c r="C1343" s="16" t="s">
        <v>30</v>
      </c>
      <c r="D1343" s="6" t="s">
        <v>31</v>
      </c>
      <c r="E1343" t="s">
        <v>1293</v>
      </c>
      <c r="F1343" t="s">
        <v>1293</v>
      </c>
      <c r="H1343" s="11" t="s">
        <v>27</v>
      </c>
      <c r="I1343" s="6" t="s">
        <v>28</v>
      </c>
      <c r="J1343" s="6" t="s">
        <v>28</v>
      </c>
      <c r="K1343" t="s">
        <v>32</v>
      </c>
      <c r="L1343" s="35">
        <v>19.25</v>
      </c>
      <c r="M1343" s="6" t="s">
        <v>29</v>
      </c>
      <c r="N1343" s="6">
        <v>3105</v>
      </c>
      <c r="P1343" s="18"/>
      <c r="Q1343" s="17"/>
      <c r="R1343" s="19">
        <v>19.25</v>
      </c>
      <c r="S1343" s="19">
        <v>19.25</v>
      </c>
      <c r="T1343" s="38">
        <v>0</v>
      </c>
      <c r="U1343" s="38"/>
      <c r="V1343" s="30">
        <v>19.25</v>
      </c>
      <c r="W1343" s="35">
        <v>19.25</v>
      </c>
      <c r="X1343" s="32">
        <f t="shared" si="220"/>
        <v>0</v>
      </c>
      <c r="Y1343" s="32">
        <f t="shared" si="221"/>
        <v>0</v>
      </c>
      <c r="Z1343" s="32">
        <f t="shared" si="222"/>
        <v>0</v>
      </c>
      <c r="AA1343" s="38" t="s">
        <v>2573</v>
      </c>
      <c r="AB1343" s="37" t="str">
        <f>IFERROR(VLOOKUP(A1343,'Tash Lookup'!A:E,3,FALSE),"")</f>
        <v/>
      </c>
      <c r="AC1343" s="6" t="str">
        <f t="shared" si="223"/>
        <v/>
      </c>
      <c r="AD1343" s="2" t="s">
        <v>6703</v>
      </c>
      <c r="AF1343" s="56">
        <v>21.45</v>
      </c>
      <c r="AG1343" s="56">
        <f>VLOOKUP(A1343,Sheet1!$A$2:$C$1140,3,FALSE)</f>
        <v>21.45</v>
      </c>
      <c r="AH1343" s="58">
        <v>21.45</v>
      </c>
      <c r="AI1343" s="56" t="str">
        <f t="shared" si="224"/>
        <v>Same</v>
      </c>
      <c r="AJ1343" s="81">
        <f t="shared" si="228"/>
        <v>0</v>
      </c>
      <c r="AK1343" s="81">
        <f t="shared" si="229"/>
        <v>0</v>
      </c>
      <c r="AL1343" s="58" t="s">
        <v>7206</v>
      </c>
      <c r="AM1343" s="58" t="s">
        <v>6703</v>
      </c>
      <c r="AN1343" s="75">
        <v>0</v>
      </c>
      <c r="AO1343" s="88">
        <v>21.45</v>
      </c>
      <c r="AP1343" s="6" t="str">
        <f t="shared" si="225"/>
        <v>Same</v>
      </c>
      <c r="AQ1343" s="81">
        <f t="shared" si="226"/>
        <v>0</v>
      </c>
      <c r="AR1343" s="81">
        <f t="shared" si="227"/>
        <v>0</v>
      </c>
      <c r="AS1343" s="81">
        <f t="shared" si="230"/>
        <v>0</v>
      </c>
    </row>
    <row r="1344" spans="1:45" hidden="1" x14ac:dyDescent="0.3">
      <c r="A1344">
        <v>5315852</v>
      </c>
      <c r="B1344" s="15" t="s">
        <v>6680</v>
      </c>
      <c r="C1344" s="16" t="s">
        <v>30</v>
      </c>
      <c r="D1344" s="6" t="s">
        <v>31</v>
      </c>
      <c r="E1344" t="s">
        <v>1295</v>
      </c>
      <c r="F1344" t="s">
        <v>1295</v>
      </c>
      <c r="H1344" s="11" t="s">
        <v>27</v>
      </c>
      <c r="I1344" s="6" t="s">
        <v>28</v>
      </c>
      <c r="J1344" s="6" t="s">
        <v>28</v>
      </c>
      <c r="K1344" t="s">
        <v>32</v>
      </c>
      <c r="L1344" s="35">
        <v>15.78</v>
      </c>
      <c r="M1344" s="6" t="s">
        <v>29</v>
      </c>
      <c r="N1344" s="6">
        <v>3105</v>
      </c>
      <c r="P1344" s="18"/>
      <c r="Q1344" s="17"/>
      <c r="R1344" s="19">
        <v>15.78</v>
      </c>
      <c r="S1344" s="19">
        <v>15.78</v>
      </c>
      <c r="T1344" s="38">
        <v>0</v>
      </c>
      <c r="U1344" s="38"/>
      <c r="V1344" s="30">
        <v>15.78</v>
      </c>
      <c r="W1344" s="35">
        <v>15.78</v>
      </c>
      <c r="X1344" s="32">
        <f t="shared" si="220"/>
        <v>0</v>
      </c>
      <c r="Y1344" s="32">
        <f t="shared" si="221"/>
        <v>0</v>
      </c>
      <c r="Z1344" s="32">
        <f t="shared" si="222"/>
        <v>0</v>
      </c>
      <c r="AA1344" s="38" t="s">
        <v>2573</v>
      </c>
      <c r="AB1344" s="37" t="str">
        <f>IFERROR(VLOOKUP(A1344,'Tash Lookup'!A:E,3,FALSE),"")</f>
        <v/>
      </c>
      <c r="AC1344" s="6" t="str">
        <f t="shared" si="223"/>
        <v/>
      </c>
      <c r="AD1344" s="2" t="s">
        <v>6703</v>
      </c>
      <c r="AF1344" s="56">
        <v>17.579999999999998</v>
      </c>
      <c r="AG1344" s="56">
        <f>VLOOKUP(A1344,Sheet1!$A$2:$C$1140,3,FALSE)</f>
        <v>17.579999999999998</v>
      </c>
      <c r="AH1344" s="58">
        <v>17.579999999999998</v>
      </c>
      <c r="AI1344" s="56" t="str">
        <f t="shared" si="224"/>
        <v>Same</v>
      </c>
      <c r="AJ1344" s="81">
        <f t="shared" si="228"/>
        <v>0</v>
      </c>
      <c r="AK1344" s="81">
        <f t="shared" si="229"/>
        <v>0</v>
      </c>
      <c r="AL1344" s="58" t="s">
        <v>7206</v>
      </c>
      <c r="AM1344" s="58" t="s">
        <v>6703</v>
      </c>
      <c r="AN1344" s="75">
        <v>4</v>
      </c>
      <c r="AO1344" s="88">
        <v>17.579999999999998</v>
      </c>
      <c r="AP1344" s="6" t="str">
        <f t="shared" si="225"/>
        <v>Same</v>
      </c>
      <c r="AQ1344" s="81">
        <f t="shared" si="226"/>
        <v>70.319999999999993</v>
      </c>
      <c r="AR1344" s="81">
        <f t="shared" si="227"/>
        <v>70.319999999999993</v>
      </c>
      <c r="AS1344" s="81">
        <f t="shared" si="230"/>
        <v>0</v>
      </c>
    </row>
    <row r="1345" spans="1:45" hidden="1" x14ac:dyDescent="0.3">
      <c r="A1345">
        <v>5315925</v>
      </c>
      <c r="B1345" s="15" t="s">
        <v>6681</v>
      </c>
      <c r="C1345" s="16" t="s">
        <v>30</v>
      </c>
      <c r="D1345" s="6" t="s">
        <v>31</v>
      </c>
      <c r="E1345" t="s">
        <v>1296</v>
      </c>
      <c r="F1345" t="s">
        <v>1296</v>
      </c>
      <c r="H1345" s="11" t="s">
        <v>27</v>
      </c>
      <c r="I1345" s="6" t="s">
        <v>28</v>
      </c>
      <c r="J1345" s="6" t="s">
        <v>28</v>
      </c>
      <c r="K1345" t="s">
        <v>32</v>
      </c>
      <c r="L1345" s="35">
        <v>28.88</v>
      </c>
      <c r="M1345" s="6" t="s">
        <v>29</v>
      </c>
      <c r="N1345" s="6">
        <v>3105</v>
      </c>
      <c r="P1345" s="18"/>
      <c r="Q1345" s="17"/>
      <c r="R1345" s="19">
        <v>28.88</v>
      </c>
      <c r="S1345" s="19">
        <v>28.88</v>
      </c>
      <c r="T1345" s="38">
        <v>0</v>
      </c>
      <c r="U1345" s="38"/>
      <c r="V1345" s="30">
        <v>28.88</v>
      </c>
      <c r="W1345" s="35">
        <v>28.88</v>
      </c>
      <c r="X1345" s="32">
        <f t="shared" si="220"/>
        <v>0</v>
      </c>
      <c r="Y1345" s="32">
        <f t="shared" si="221"/>
        <v>0</v>
      </c>
      <c r="Z1345" s="32">
        <f t="shared" si="222"/>
        <v>0</v>
      </c>
      <c r="AA1345" s="38" t="s">
        <v>2573</v>
      </c>
      <c r="AB1345" s="37" t="str">
        <f>IFERROR(VLOOKUP(A1345,'Tash Lookup'!A:E,3,FALSE),"")</f>
        <v/>
      </c>
      <c r="AC1345" s="6" t="str">
        <f t="shared" si="223"/>
        <v/>
      </c>
      <c r="AD1345" s="2" t="s">
        <v>6703</v>
      </c>
      <c r="AF1345" s="56">
        <v>32.18</v>
      </c>
      <c r="AG1345" s="56">
        <f>VLOOKUP(A1345,Sheet1!$A$2:$C$1140,3,FALSE)</f>
        <v>32.18</v>
      </c>
      <c r="AH1345" s="58">
        <v>32.18</v>
      </c>
      <c r="AI1345" s="56" t="str">
        <f t="shared" si="224"/>
        <v>Same</v>
      </c>
      <c r="AJ1345" s="81">
        <f t="shared" si="228"/>
        <v>0</v>
      </c>
      <c r="AK1345" s="81">
        <f t="shared" si="229"/>
        <v>0</v>
      </c>
      <c r="AL1345" s="58" t="s">
        <v>7206</v>
      </c>
      <c r="AM1345" s="58" t="s">
        <v>6703</v>
      </c>
      <c r="AN1345" s="75">
        <v>0</v>
      </c>
      <c r="AO1345" s="88">
        <v>32.18</v>
      </c>
      <c r="AP1345" s="6" t="str">
        <f t="shared" si="225"/>
        <v>Same</v>
      </c>
      <c r="AQ1345" s="81">
        <f t="shared" si="226"/>
        <v>0</v>
      </c>
      <c r="AR1345" s="81">
        <f t="shared" si="227"/>
        <v>0</v>
      </c>
      <c r="AS1345" s="81">
        <f t="shared" si="230"/>
        <v>0</v>
      </c>
    </row>
    <row r="1346" spans="1:45" hidden="1" x14ac:dyDescent="0.3">
      <c r="A1346">
        <v>5222341</v>
      </c>
      <c r="B1346" s="15" t="s">
        <v>6682</v>
      </c>
      <c r="C1346" s="16" t="s">
        <v>30</v>
      </c>
      <c r="D1346" s="6" t="s">
        <v>31</v>
      </c>
      <c r="E1346" t="s">
        <v>1297</v>
      </c>
      <c r="F1346" t="s">
        <v>1297</v>
      </c>
      <c r="H1346" s="11" t="s">
        <v>27</v>
      </c>
      <c r="I1346" s="6" t="s">
        <v>28</v>
      </c>
      <c r="J1346" s="6" t="s">
        <v>28</v>
      </c>
      <c r="K1346" t="s">
        <v>32</v>
      </c>
      <c r="L1346" s="35">
        <v>59.5</v>
      </c>
      <c r="M1346" s="6" t="s">
        <v>29</v>
      </c>
      <c r="N1346" s="6">
        <v>3105</v>
      </c>
      <c r="P1346" s="18"/>
      <c r="Q1346" s="17"/>
      <c r="R1346" s="19">
        <v>59.5</v>
      </c>
      <c r="S1346" s="19">
        <v>59.5</v>
      </c>
      <c r="T1346" s="38">
        <v>0</v>
      </c>
      <c r="U1346" s="38"/>
      <c r="V1346" s="30">
        <v>59.5</v>
      </c>
      <c r="W1346" s="35">
        <v>59.5</v>
      </c>
      <c r="X1346" s="32">
        <f t="shared" si="220"/>
        <v>0</v>
      </c>
      <c r="Y1346" s="32">
        <f t="shared" si="221"/>
        <v>0</v>
      </c>
      <c r="Z1346" s="32">
        <f t="shared" si="222"/>
        <v>0</v>
      </c>
      <c r="AA1346" s="38" t="s">
        <v>2573</v>
      </c>
      <c r="AB1346" s="37" t="str">
        <f>IFERROR(VLOOKUP(A1346,'Tash Lookup'!A:E,3,FALSE),"")</f>
        <v/>
      </c>
      <c r="AC1346" s="6" t="str">
        <f t="shared" si="223"/>
        <v/>
      </c>
      <c r="AD1346" s="2" t="s">
        <v>6703</v>
      </c>
      <c r="AF1346" s="56">
        <v>66.3</v>
      </c>
      <c r="AG1346" s="56">
        <f>VLOOKUP(A1346,Sheet1!$A$2:$C$1140,3,FALSE)</f>
        <v>66.3</v>
      </c>
      <c r="AH1346" s="58">
        <v>66.3</v>
      </c>
      <c r="AI1346" s="56" t="str">
        <f t="shared" si="224"/>
        <v>Same</v>
      </c>
      <c r="AJ1346" s="81">
        <f t="shared" si="228"/>
        <v>0</v>
      </c>
      <c r="AK1346" s="81">
        <f t="shared" si="229"/>
        <v>0</v>
      </c>
      <c r="AL1346" s="58" t="s">
        <v>7206</v>
      </c>
      <c r="AM1346" s="58" t="s">
        <v>6703</v>
      </c>
      <c r="AN1346" s="75">
        <v>1</v>
      </c>
      <c r="AO1346" s="88">
        <v>66.3</v>
      </c>
      <c r="AP1346" s="6" t="str">
        <f t="shared" si="225"/>
        <v>Same</v>
      </c>
      <c r="AQ1346" s="81">
        <f t="shared" si="226"/>
        <v>66.3</v>
      </c>
      <c r="AR1346" s="81">
        <f t="shared" si="227"/>
        <v>66.3</v>
      </c>
      <c r="AS1346" s="81">
        <f t="shared" si="230"/>
        <v>0</v>
      </c>
    </row>
    <row r="1347" spans="1:45" hidden="1" x14ac:dyDescent="0.3">
      <c r="A1347">
        <v>5222321</v>
      </c>
      <c r="B1347" s="15" t="s">
        <v>6683</v>
      </c>
      <c r="C1347" s="16" t="s">
        <v>30</v>
      </c>
      <c r="D1347" s="6" t="s">
        <v>31</v>
      </c>
      <c r="E1347" t="s">
        <v>651</v>
      </c>
      <c r="F1347" t="s">
        <v>651</v>
      </c>
      <c r="H1347" s="11" t="s">
        <v>27</v>
      </c>
      <c r="I1347" s="6" t="s">
        <v>28</v>
      </c>
      <c r="J1347" s="6" t="s">
        <v>28</v>
      </c>
      <c r="K1347" t="s">
        <v>32</v>
      </c>
      <c r="L1347" s="35">
        <v>9.74</v>
      </c>
      <c r="M1347" s="6" t="s">
        <v>29</v>
      </c>
      <c r="N1347" s="6">
        <v>3105</v>
      </c>
      <c r="P1347" s="18"/>
      <c r="Q1347" s="17"/>
      <c r="R1347" s="19">
        <v>9.74</v>
      </c>
      <c r="S1347" s="19">
        <v>9.74</v>
      </c>
      <c r="T1347" s="38">
        <v>0</v>
      </c>
      <c r="U1347" s="38"/>
      <c r="V1347" s="30">
        <v>9.74</v>
      </c>
      <c r="W1347" s="35">
        <v>9.74</v>
      </c>
      <c r="X1347" s="32">
        <f t="shared" si="220"/>
        <v>0</v>
      </c>
      <c r="Y1347" s="32">
        <f t="shared" si="221"/>
        <v>0</v>
      </c>
      <c r="Z1347" s="32">
        <f t="shared" si="222"/>
        <v>0</v>
      </c>
      <c r="AA1347" s="38" t="s">
        <v>2573</v>
      </c>
      <c r="AB1347" s="37" t="str">
        <f>IFERROR(VLOOKUP(A1347,'Tash Lookup'!A:E,3,FALSE),"")</f>
        <v/>
      </c>
      <c r="AC1347" s="6" t="str">
        <f t="shared" si="223"/>
        <v/>
      </c>
      <c r="AD1347" s="2" t="s">
        <v>6703</v>
      </c>
      <c r="AF1347" s="56">
        <v>10.130000000000001</v>
      </c>
      <c r="AG1347" s="56">
        <f>VLOOKUP(A1347,Sheet1!$A$2:$C$1140,3,FALSE)</f>
        <v>10.130000000000001</v>
      </c>
      <c r="AH1347" s="58">
        <v>10.130000000000001</v>
      </c>
      <c r="AI1347" s="56" t="str">
        <f t="shared" si="224"/>
        <v>Same</v>
      </c>
      <c r="AJ1347" s="81">
        <f t="shared" si="228"/>
        <v>0</v>
      </c>
      <c r="AK1347" s="81">
        <f t="shared" si="229"/>
        <v>0</v>
      </c>
      <c r="AL1347" s="58" t="s">
        <v>7206</v>
      </c>
      <c r="AM1347" s="58" t="s">
        <v>6703</v>
      </c>
      <c r="AN1347" s="75">
        <v>0</v>
      </c>
      <c r="AO1347" s="88">
        <v>10.130000000000001</v>
      </c>
      <c r="AP1347" s="6" t="str">
        <f t="shared" si="225"/>
        <v>Same</v>
      </c>
      <c r="AQ1347" s="81">
        <f t="shared" si="226"/>
        <v>0</v>
      </c>
      <c r="AR1347" s="81">
        <f t="shared" si="227"/>
        <v>0</v>
      </c>
      <c r="AS1347" s="81">
        <f t="shared" si="230"/>
        <v>0</v>
      </c>
    </row>
    <row r="1348" spans="1:45" hidden="1" x14ac:dyDescent="0.3">
      <c r="A1348">
        <v>6394225</v>
      </c>
      <c r="B1348" s="15" t="s">
        <v>6684</v>
      </c>
      <c r="C1348" s="16" t="s">
        <v>30</v>
      </c>
      <c r="D1348" s="6" t="s">
        <v>31</v>
      </c>
      <c r="E1348" t="s">
        <v>1299</v>
      </c>
      <c r="F1348" t="s">
        <v>1299</v>
      </c>
      <c r="H1348" s="11" t="s">
        <v>27</v>
      </c>
      <c r="I1348" s="6" t="s">
        <v>28</v>
      </c>
      <c r="J1348" s="6" t="s">
        <v>28</v>
      </c>
      <c r="K1348" t="s">
        <v>32</v>
      </c>
      <c r="L1348" s="35">
        <v>32.700000000000003</v>
      </c>
      <c r="M1348" s="6" t="s">
        <v>29</v>
      </c>
      <c r="N1348" s="6">
        <v>3105</v>
      </c>
      <c r="P1348" s="18"/>
      <c r="Q1348" s="17"/>
      <c r="R1348" s="19">
        <v>32.700000000000003</v>
      </c>
      <c r="S1348" s="19">
        <v>32.700000000000003</v>
      </c>
      <c r="T1348" s="38">
        <v>0</v>
      </c>
      <c r="U1348" s="38"/>
      <c r="V1348" s="30">
        <v>32.700000000000003</v>
      </c>
      <c r="W1348" s="35">
        <v>32.700000000000003</v>
      </c>
      <c r="X1348" s="32">
        <f t="shared" si="220"/>
        <v>0</v>
      </c>
      <c r="Y1348" s="32">
        <f t="shared" si="221"/>
        <v>0</v>
      </c>
      <c r="Z1348" s="32">
        <f t="shared" si="222"/>
        <v>0</v>
      </c>
      <c r="AA1348" s="38" t="s">
        <v>2573</v>
      </c>
      <c r="AB1348" s="37" t="str">
        <f>IFERROR(VLOOKUP(A1348,'Tash Lookup'!A:E,3,FALSE),"")</f>
        <v/>
      </c>
      <c r="AC1348" s="6" t="str">
        <f t="shared" si="223"/>
        <v/>
      </c>
      <c r="AD1348" s="2" t="s">
        <v>6703</v>
      </c>
      <c r="AF1348" s="56">
        <v>34.01</v>
      </c>
      <c r="AG1348" s="56">
        <f>VLOOKUP(A1348,Sheet1!$A$2:$C$1140,3,FALSE)</f>
        <v>34.01</v>
      </c>
      <c r="AH1348" s="58">
        <v>34.01</v>
      </c>
      <c r="AI1348" s="56" t="str">
        <f t="shared" si="224"/>
        <v>Same</v>
      </c>
      <c r="AJ1348" s="81">
        <f t="shared" si="228"/>
        <v>0</v>
      </c>
      <c r="AK1348" s="81">
        <f t="shared" si="229"/>
        <v>0</v>
      </c>
      <c r="AL1348" s="58" t="s">
        <v>7206</v>
      </c>
      <c r="AM1348" s="58" t="s">
        <v>6703</v>
      </c>
      <c r="AN1348" s="75">
        <v>0</v>
      </c>
      <c r="AO1348" s="88">
        <v>34.01</v>
      </c>
      <c r="AP1348" s="6" t="str">
        <f t="shared" si="225"/>
        <v>Same</v>
      </c>
      <c r="AQ1348" s="81">
        <f t="shared" si="226"/>
        <v>0</v>
      </c>
      <c r="AR1348" s="81">
        <f t="shared" si="227"/>
        <v>0</v>
      </c>
      <c r="AS1348" s="81">
        <f t="shared" si="230"/>
        <v>0</v>
      </c>
    </row>
    <row r="1349" spans="1:45" hidden="1" x14ac:dyDescent="0.3">
      <c r="A1349">
        <v>6394197</v>
      </c>
      <c r="B1349" s="15" t="s">
        <v>6685</v>
      </c>
      <c r="C1349" s="16" t="s">
        <v>30</v>
      </c>
      <c r="D1349" s="6" t="s">
        <v>31</v>
      </c>
      <c r="E1349" t="s">
        <v>1300</v>
      </c>
      <c r="F1349" t="s">
        <v>1300</v>
      </c>
      <c r="H1349" s="11" t="s">
        <v>27</v>
      </c>
      <c r="I1349" s="6" t="s">
        <v>28</v>
      </c>
      <c r="J1349" s="6" t="s">
        <v>28</v>
      </c>
      <c r="K1349" t="s">
        <v>32</v>
      </c>
      <c r="L1349" s="35">
        <v>8.92</v>
      </c>
      <c r="M1349" s="6" t="s">
        <v>29</v>
      </c>
      <c r="N1349" s="6">
        <v>3105</v>
      </c>
      <c r="P1349" s="18"/>
      <c r="Q1349" s="17"/>
      <c r="R1349" s="19">
        <v>8.92</v>
      </c>
      <c r="S1349" s="19">
        <v>8.92</v>
      </c>
      <c r="T1349" s="38">
        <v>0</v>
      </c>
      <c r="U1349" s="38"/>
      <c r="V1349" s="30">
        <v>8.92</v>
      </c>
      <c r="W1349" s="35">
        <v>8.92</v>
      </c>
      <c r="X1349" s="32">
        <f t="shared" si="220"/>
        <v>0</v>
      </c>
      <c r="Y1349" s="32">
        <f t="shared" si="221"/>
        <v>0</v>
      </c>
      <c r="Z1349" s="32">
        <f t="shared" si="222"/>
        <v>0</v>
      </c>
      <c r="AA1349" s="38" t="s">
        <v>2573</v>
      </c>
      <c r="AB1349" s="37" t="str">
        <f>IFERROR(VLOOKUP(A1349,'Tash Lookup'!A:E,3,FALSE),"")</f>
        <v/>
      </c>
      <c r="AC1349" s="6" t="str">
        <f t="shared" si="223"/>
        <v/>
      </c>
      <c r="AD1349" s="2" t="s">
        <v>6703</v>
      </c>
      <c r="AF1349" s="56">
        <v>9.94</v>
      </c>
      <c r="AG1349" s="56">
        <f>VLOOKUP(A1349,Sheet1!$A$2:$C$1140,3,FALSE)</f>
        <v>9.94</v>
      </c>
      <c r="AH1349" s="58">
        <v>9.94</v>
      </c>
      <c r="AI1349" s="56" t="str">
        <f t="shared" si="224"/>
        <v>Same</v>
      </c>
      <c r="AJ1349" s="81">
        <f t="shared" si="228"/>
        <v>0</v>
      </c>
      <c r="AK1349" s="81">
        <f t="shared" si="229"/>
        <v>0</v>
      </c>
      <c r="AL1349" s="58" t="s">
        <v>7206</v>
      </c>
      <c r="AM1349" s="58" t="s">
        <v>6703</v>
      </c>
      <c r="AN1349" s="75">
        <v>0</v>
      </c>
      <c r="AO1349" s="88">
        <v>9.94</v>
      </c>
      <c r="AP1349" s="6" t="str">
        <f t="shared" si="225"/>
        <v>Same</v>
      </c>
      <c r="AQ1349" s="81">
        <f t="shared" si="226"/>
        <v>0</v>
      </c>
      <c r="AR1349" s="81">
        <f t="shared" si="227"/>
        <v>0</v>
      </c>
      <c r="AS1349" s="81">
        <f t="shared" si="230"/>
        <v>0</v>
      </c>
    </row>
    <row r="1350" spans="1:45" hidden="1" x14ac:dyDescent="0.3">
      <c r="A1350">
        <v>5315857</v>
      </c>
      <c r="B1350" s="15" t="s">
        <v>6686</v>
      </c>
      <c r="C1350" s="16" t="s">
        <v>30</v>
      </c>
      <c r="D1350" s="6" t="s">
        <v>31</v>
      </c>
      <c r="E1350" t="s">
        <v>1313</v>
      </c>
      <c r="F1350" t="s">
        <v>1313</v>
      </c>
      <c r="H1350" s="11" t="s">
        <v>27</v>
      </c>
      <c r="I1350" s="6" t="s">
        <v>28</v>
      </c>
      <c r="J1350" s="6" t="s">
        <v>28</v>
      </c>
      <c r="K1350" t="s">
        <v>32</v>
      </c>
      <c r="L1350" s="35">
        <v>20.05</v>
      </c>
      <c r="M1350" s="6" t="s">
        <v>29</v>
      </c>
      <c r="N1350" s="6">
        <v>3105</v>
      </c>
      <c r="P1350" s="18"/>
      <c r="Q1350" s="17"/>
      <c r="R1350" s="19">
        <v>20.05</v>
      </c>
      <c r="S1350" s="19">
        <v>20.05</v>
      </c>
      <c r="T1350" s="38">
        <v>0</v>
      </c>
      <c r="U1350" s="38"/>
      <c r="V1350" s="30">
        <v>20.05</v>
      </c>
      <c r="W1350" s="35">
        <v>20.05</v>
      </c>
      <c r="X1350" s="32">
        <f t="shared" ref="X1350:X1363" si="231">SUM(V1350*T1350)</f>
        <v>0</v>
      </c>
      <c r="Y1350" s="32">
        <f t="shared" ref="Y1350:Y1363" si="232">SUM(L1350*T1350)</f>
        <v>0</v>
      </c>
      <c r="Z1350" s="32">
        <f t="shared" ref="Z1350:Z1363" si="233">SUM(X1350-Y1350)</f>
        <v>0</v>
      </c>
      <c r="AA1350" s="38" t="s">
        <v>2573</v>
      </c>
      <c r="AB1350" s="37" t="str">
        <f>IFERROR(VLOOKUP(A1350,'Tash Lookup'!A:E,3,FALSE),"")</f>
        <v/>
      </c>
      <c r="AC1350" s="6" t="str">
        <f t="shared" ref="AC1350:AC1363" si="234">IFERROR(AA1350-T1350,"")</f>
        <v/>
      </c>
      <c r="AD1350" s="2" t="s">
        <v>6703</v>
      </c>
      <c r="AF1350" s="56">
        <v>22.34</v>
      </c>
      <c r="AG1350" s="56">
        <f>VLOOKUP(A1350,Sheet1!$A$2:$C$1140,3,FALSE)</f>
        <v>22.34</v>
      </c>
      <c r="AH1350" s="58">
        <v>22.34</v>
      </c>
      <c r="AI1350" s="56" t="str">
        <f t="shared" ref="AI1350:AI1363" si="235">IF(ISNA(AH1350),"Delete",IF(AH1350=AF1350,"Same",IF(AH1350&gt;AF1350,"Increase","Decrease")))</f>
        <v>Same</v>
      </c>
      <c r="AJ1350" s="81">
        <f t="shared" si="228"/>
        <v>0</v>
      </c>
      <c r="AK1350" s="81">
        <f t="shared" si="229"/>
        <v>0</v>
      </c>
      <c r="AL1350" s="58" t="s">
        <v>7206</v>
      </c>
      <c r="AM1350" s="58" t="s">
        <v>6703</v>
      </c>
      <c r="AN1350" s="75">
        <v>0</v>
      </c>
      <c r="AO1350" s="88">
        <v>22.34</v>
      </c>
      <c r="AP1350" s="6" t="str">
        <f t="shared" ref="AP1350:AP1363" si="236">IF(AM1350="Delete","Delete",IF(AO1350=AF1350,"Same",IF(AO1350&gt;AF1350,"Increase","Decrease")))</f>
        <v>Same</v>
      </c>
      <c r="AQ1350" s="81">
        <f t="shared" ref="AQ1350:AQ1363" si="237">AN1350*AF1350</f>
        <v>0</v>
      </c>
      <c r="AR1350" s="81">
        <f t="shared" ref="AR1350:AR1363" si="238">AN1350*AO1350</f>
        <v>0</v>
      </c>
      <c r="AS1350" s="81">
        <f t="shared" si="230"/>
        <v>0</v>
      </c>
    </row>
    <row r="1351" spans="1:45" hidden="1" x14ac:dyDescent="0.3">
      <c r="A1351">
        <v>6108960</v>
      </c>
      <c r="B1351" s="15" t="s">
        <v>6687</v>
      </c>
      <c r="C1351" s="16" t="s">
        <v>30</v>
      </c>
      <c r="D1351" s="6" t="s">
        <v>31</v>
      </c>
      <c r="E1351" t="s">
        <v>658</v>
      </c>
      <c r="F1351" t="s">
        <v>658</v>
      </c>
      <c r="H1351" s="11" t="s">
        <v>27</v>
      </c>
      <c r="I1351" s="6" t="s">
        <v>28</v>
      </c>
      <c r="J1351" s="6" t="s">
        <v>28</v>
      </c>
      <c r="K1351" t="s">
        <v>32</v>
      </c>
      <c r="L1351" s="35">
        <v>6.27</v>
      </c>
      <c r="M1351" s="6" t="s">
        <v>29</v>
      </c>
      <c r="N1351" s="6">
        <v>3105</v>
      </c>
      <c r="P1351" s="18"/>
      <c r="Q1351" s="17"/>
      <c r="R1351" s="19">
        <v>6.27</v>
      </c>
      <c r="S1351" s="19">
        <v>6.27</v>
      </c>
      <c r="T1351" s="38">
        <v>0</v>
      </c>
      <c r="U1351" s="38"/>
      <c r="V1351" s="30">
        <v>6.27</v>
      </c>
      <c r="W1351" s="35">
        <v>6.27</v>
      </c>
      <c r="X1351" s="32">
        <f t="shared" si="231"/>
        <v>0</v>
      </c>
      <c r="Y1351" s="32">
        <f t="shared" si="232"/>
        <v>0</v>
      </c>
      <c r="Z1351" s="32">
        <f t="shared" si="233"/>
        <v>0</v>
      </c>
      <c r="AA1351" s="38" t="s">
        <v>2573</v>
      </c>
      <c r="AB1351" s="37" t="str">
        <f>IFERROR(VLOOKUP(A1351,'Tash Lookup'!A:E,3,FALSE),"")</f>
        <v/>
      </c>
      <c r="AC1351" s="6" t="str">
        <f t="shared" si="234"/>
        <v/>
      </c>
      <c r="AD1351" s="2" t="s">
        <v>6703</v>
      </c>
      <c r="AF1351" s="56">
        <v>6.27</v>
      </c>
      <c r="AG1351" s="56">
        <f>VLOOKUP(A1351,Sheet1!$A$2:$C$1140,3,FALSE)</f>
        <v>6.27</v>
      </c>
      <c r="AH1351" s="58">
        <v>6.27</v>
      </c>
      <c r="AI1351" s="56" t="str">
        <f t="shared" si="235"/>
        <v>Same</v>
      </c>
      <c r="AJ1351" s="81">
        <f t="shared" ref="AJ1351:AJ1363" si="239">IFERROR(AA1351*AF1351,0)</f>
        <v>0</v>
      </c>
      <c r="AK1351" s="81">
        <f t="shared" ref="AK1351:AK1363" si="240">IFERROR(AA1351*AH1351,0)</f>
        <v>0</v>
      </c>
      <c r="AL1351" s="58" t="s">
        <v>7206</v>
      </c>
      <c r="AM1351" s="58" t="s">
        <v>6703</v>
      </c>
      <c r="AN1351" s="75">
        <v>0</v>
      </c>
      <c r="AO1351" s="88">
        <v>6.27</v>
      </c>
      <c r="AP1351" s="6" t="str">
        <f t="shared" si="236"/>
        <v>Same</v>
      </c>
      <c r="AQ1351" s="81">
        <f t="shared" si="237"/>
        <v>0</v>
      </c>
      <c r="AR1351" s="81">
        <f t="shared" si="238"/>
        <v>0</v>
      </c>
      <c r="AS1351" s="81">
        <f t="shared" ref="AS1351:AS1363" si="241">AR1351-AQ1351</f>
        <v>0</v>
      </c>
    </row>
    <row r="1352" spans="1:45" hidden="1" x14ac:dyDescent="0.3">
      <c r="A1352">
        <v>6108982</v>
      </c>
      <c r="B1352" s="15" t="s">
        <v>6688</v>
      </c>
      <c r="C1352" s="16" t="s">
        <v>30</v>
      </c>
      <c r="D1352" s="6" t="s">
        <v>31</v>
      </c>
      <c r="E1352" t="s">
        <v>659</v>
      </c>
      <c r="F1352" t="s">
        <v>659</v>
      </c>
      <c r="H1352" s="11" t="s">
        <v>27</v>
      </c>
      <c r="I1352" s="6" t="s">
        <v>28</v>
      </c>
      <c r="J1352" s="6" t="s">
        <v>28</v>
      </c>
      <c r="K1352" t="s">
        <v>32</v>
      </c>
      <c r="L1352" s="35">
        <v>6</v>
      </c>
      <c r="M1352" s="6" t="s">
        <v>29</v>
      </c>
      <c r="N1352" s="6">
        <v>3105</v>
      </c>
      <c r="P1352" s="18"/>
      <c r="Q1352" s="17"/>
      <c r="R1352" s="19">
        <v>6</v>
      </c>
      <c r="S1352" s="19">
        <v>6</v>
      </c>
      <c r="T1352" s="38">
        <v>0</v>
      </c>
      <c r="U1352" s="38"/>
      <c r="V1352" s="30">
        <v>6</v>
      </c>
      <c r="W1352" s="35">
        <v>6</v>
      </c>
      <c r="X1352" s="32">
        <f t="shared" si="231"/>
        <v>0</v>
      </c>
      <c r="Y1352" s="32">
        <f t="shared" si="232"/>
        <v>0</v>
      </c>
      <c r="Z1352" s="32">
        <f t="shared" si="233"/>
        <v>0</v>
      </c>
      <c r="AA1352" s="38" t="s">
        <v>2573</v>
      </c>
      <c r="AB1352" s="37" t="str">
        <f>IFERROR(VLOOKUP(A1352,'Tash Lookup'!A:E,3,FALSE),"")</f>
        <v/>
      </c>
      <c r="AC1352" s="6" t="str">
        <f t="shared" si="234"/>
        <v/>
      </c>
      <c r="AD1352" s="2" t="s">
        <v>6703</v>
      </c>
      <c r="AF1352" s="56">
        <v>6</v>
      </c>
      <c r="AG1352" s="56">
        <f>VLOOKUP(A1352,Sheet1!$A$2:$C$1140,3,FALSE)</f>
        <v>6</v>
      </c>
      <c r="AH1352" s="58">
        <v>6</v>
      </c>
      <c r="AI1352" s="56" t="str">
        <f t="shared" si="235"/>
        <v>Same</v>
      </c>
      <c r="AJ1352" s="81">
        <f t="shared" si="239"/>
        <v>0</v>
      </c>
      <c r="AK1352" s="81">
        <f t="shared" si="240"/>
        <v>0</v>
      </c>
      <c r="AL1352" s="58" t="s">
        <v>7206</v>
      </c>
      <c r="AM1352" s="58" t="s">
        <v>6703</v>
      </c>
      <c r="AN1352" s="75">
        <v>121</v>
      </c>
      <c r="AO1352" s="88">
        <v>6</v>
      </c>
      <c r="AP1352" s="6" t="str">
        <f t="shared" si="236"/>
        <v>Same</v>
      </c>
      <c r="AQ1352" s="81">
        <f t="shared" si="237"/>
        <v>726</v>
      </c>
      <c r="AR1352" s="81">
        <f t="shared" si="238"/>
        <v>726</v>
      </c>
      <c r="AS1352" s="81">
        <f t="shared" si="241"/>
        <v>0</v>
      </c>
    </row>
    <row r="1353" spans="1:45" hidden="1" x14ac:dyDescent="0.3">
      <c r="A1353">
        <v>6108983</v>
      </c>
      <c r="B1353" s="15" t="s">
        <v>6689</v>
      </c>
      <c r="C1353" s="16" t="s">
        <v>30</v>
      </c>
      <c r="D1353" s="6" t="s">
        <v>31</v>
      </c>
      <c r="E1353" t="s">
        <v>660</v>
      </c>
      <c r="F1353" t="s">
        <v>660</v>
      </c>
      <c r="H1353" s="11" t="s">
        <v>27</v>
      </c>
      <c r="I1353" s="6" t="s">
        <v>28</v>
      </c>
      <c r="J1353" s="6" t="s">
        <v>28</v>
      </c>
      <c r="K1353" t="s">
        <v>32</v>
      </c>
      <c r="L1353" s="35">
        <v>5.68</v>
      </c>
      <c r="M1353" s="6" t="s">
        <v>29</v>
      </c>
      <c r="N1353" s="6">
        <v>3105</v>
      </c>
      <c r="P1353" s="18"/>
      <c r="Q1353" s="17"/>
      <c r="R1353" s="19">
        <v>5.68</v>
      </c>
      <c r="S1353" s="19">
        <v>5.68</v>
      </c>
      <c r="T1353" s="38">
        <v>0</v>
      </c>
      <c r="U1353" s="38"/>
      <c r="V1353" s="30">
        <v>5.68</v>
      </c>
      <c r="W1353" s="35">
        <v>5.68</v>
      </c>
      <c r="X1353" s="32">
        <f t="shared" si="231"/>
        <v>0</v>
      </c>
      <c r="Y1353" s="32">
        <f t="shared" si="232"/>
        <v>0</v>
      </c>
      <c r="Z1353" s="32">
        <f t="shared" si="233"/>
        <v>0</v>
      </c>
      <c r="AA1353" s="38" t="s">
        <v>2573</v>
      </c>
      <c r="AB1353" s="37" t="str">
        <f>IFERROR(VLOOKUP(A1353,'Tash Lookup'!A:E,3,FALSE),"")</f>
        <v/>
      </c>
      <c r="AC1353" s="6" t="str">
        <f t="shared" si="234"/>
        <v/>
      </c>
      <c r="AD1353" s="2" t="s">
        <v>6703</v>
      </c>
      <c r="AF1353" s="56">
        <v>5.68</v>
      </c>
      <c r="AG1353" s="56">
        <f>VLOOKUP(A1353,Sheet1!$A$2:$C$1140,3,FALSE)</f>
        <v>5.68</v>
      </c>
      <c r="AH1353" s="58">
        <v>5.68</v>
      </c>
      <c r="AI1353" s="56" t="str">
        <f t="shared" si="235"/>
        <v>Same</v>
      </c>
      <c r="AJ1353" s="81">
        <f t="shared" si="239"/>
        <v>0</v>
      </c>
      <c r="AK1353" s="81">
        <f t="shared" si="240"/>
        <v>0</v>
      </c>
      <c r="AL1353" s="58" t="s">
        <v>7206</v>
      </c>
      <c r="AM1353" s="58" t="s">
        <v>6703</v>
      </c>
      <c r="AN1353" s="75">
        <v>0</v>
      </c>
      <c r="AO1353" s="88">
        <v>5.68</v>
      </c>
      <c r="AP1353" s="6" t="str">
        <f t="shared" si="236"/>
        <v>Same</v>
      </c>
      <c r="AQ1353" s="81">
        <f t="shared" si="237"/>
        <v>0</v>
      </c>
      <c r="AR1353" s="81">
        <f t="shared" si="238"/>
        <v>0</v>
      </c>
      <c r="AS1353" s="81">
        <f t="shared" si="241"/>
        <v>0</v>
      </c>
    </row>
    <row r="1354" spans="1:45" hidden="1" x14ac:dyDescent="0.3">
      <c r="A1354">
        <v>6033946</v>
      </c>
      <c r="B1354" s="15" t="s">
        <v>6690</v>
      </c>
      <c r="C1354" s="16" t="s">
        <v>30</v>
      </c>
      <c r="D1354" s="6" t="s">
        <v>31</v>
      </c>
      <c r="E1354" t="s">
        <v>667</v>
      </c>
      <c r="F1354" t="s">
        <v>667</v>
      </c>
      <c r="H1354" s="11" t="s">
        <v>27</v>
      </c>
      <c r="I1354" s="6" t="s">
        <v>28</v>
      </c>
      <c r="J1354" s="6" t="s">
        <v>28</v>
      </c>
      <c r="K1354" t="s">
        <v>32</v>
      </c>
      <c r="L1354" s="48">
        <v>4.66</v>
      </c>
      <c r="M1354" s="6" t="s">
        <v>29</v>
      </c>
      <c r="N1354" s="6">
        <v>3105</v>
      </c>
      <c r="P1354" s="18"/>
      <c r="Q1354" s="17"/>
      <c r="R1354" s="19">
        <v>4.66</v>
      </c>
      <c r="S1354" s="19">
        <v>4.66</v>
      </c>
      <c r="T1354" s="38">
        <v>0</v>
      </c>
      <c r="U1354" s="38"/>
      <c r="V1354" s="30">
        <v>4.66</v>
      </c>
      <c r="W1354" s="35">
        <v>4.66</v>
      </c>
      <c r="X1354" s="32">
        <f t="shared" si="231"/>
        <v>0</v>
      </c>
      <c r="Y1354" s="32">
        <f t="shared" si="232"/>
        <v>0</v>
      </c>
      <c r="Z1354" s="32">
        <f t="shared" si="233"/>
        <v>0</v>
      </c>
      <c r="AA1354" s="38" t="s">
        <v>2573</v>
      </c>
      <c r="AB1354" s="37" t="str">
        <f>IFERROR(VLOOKUP(A1354,'Tash Lookup'!A:E,3,FALSE),"")</f>
        <v/>
      </c>
      <c r="AC1354" s="6" t="str">
        <f t="shared" si="234"/>
        <v/>
      </c>
      <c r="AD1354" s="2" t="s">
        <v>6704</v>
      </c>
      <c r="AF1354" s="56">
        <v>4.66</v>
      </c>
      <c r="AG1354" s="56" t="e">
        <f>VLOOKUP(A1354,Sheet1!$A$2:$C$1140,3,FALSE)</f>
        <v>#N/A</v>
      </c>
      <c r="AH1354" s="58" t="e">
        <v>#N/A</v>
      </c>
      <c r="AI1354" s="56" t="str">
        <f t="shared" si="235"/>
        <v>Delete</v>
      </c>
      <c r="AJ1354" s="81">
        <f t="shared" si="239"/>
        <v>0</v>
      </c>
      <c r="AK1354" s="81">
        <f t="shared" si="240"/>
        <v>0</v>
      </c>
      <c r="AL1354" s="58" t="s">
        <v>7206</v>
      </c>
      <c r="AM1354" s="58" t="s">
        <v>6708</v>
      </c>
      <c r="AN1354" s="75">
        <v>0</v>
      </c>
      <c r="AO1354" s="88">
        <v>4.66</v>
      </c>
      <c r="AP1354" s="6" t="str">
        <f t="shared" si="236"/>
        <v>Same</v>
      </c>
      <c r="AQ1354" s="81">
        <f t="shared" si="237"/>
        <v>0</v>
      </c>
      <c r="AR1354" s="81">
        <f t="shared" si="238"/>
        <v>0</v>
      </c>
      <c r="AS1354" s="81">
        <f t="shared" si="241"/>
        <v>0</v>
      </c>
    </row>
    <row r="1355" spans="1:45" hidden="1" x14ac:dyDescent="0.3">
      <c r="A1355">
        <v>6103933</v>
      </c>
      <c r="B1355" s="15" t="s">
        <v>6691</v>
      </c>
      <c r="C1355" s="16" t="s">
        <v>30</v>
      </c>
      <c r="D1355" s="6" t="s">
        <v>31</v>
      </c>
      <c r="E1355" t="s">
        <v>668</v>
      </c>
      <c r="F1355" t="s">
        <v>668</v>
      </c>
      <c r="H1355" s="11" t="s">
        <v>27</v>
      </c>
      <c r="I1355" s="6" t="s">
        <v>28</v>
      </c>
      <c r="J1355" s="6" t="s">
        <v>28</v>
      </c>
      <c r="K1355" t="s">
        <v>32</v>
      </c>
      <c r="L1355" s="35">
        <v>4.66</v>
      </c>
      <c r="M1355" s="6" t="s">
        <v>29</v>
      </c>
      <c r="N1355" s="6">
        <v>3105</v>
      </c>
      <c r="P1355" s="18"/>
      <c r="Q1355" s="17"/>
      <c r="R1355" s="19">
        <v>4.66</v>
      </c>
      <c r="S1355" s="19">
        <v>4.66</v>
      </c>
      <c r="T1355" s="38">
        <v>0</v>
      </c>
      <c r="U1355" s="38"/>
      <c r="V1355" s="30">
        <v>4.66</v>
      </c>
      <c r="W1355" s="35">
        <v>4.66</v>
      </c>
      <c r="X1355" s="32">
        <f t="shared" si="231"/>
        <v>0</v>
      </c>
      <c r="Y1355" s="32">
        <f t="shared" si="232"/>
        <v>0</v>
      </c>
      <c r="Z1355" s="32">
        <f t="shared" si="233"/>
        <v>0</v>
      </c>
      <c r="AA1355" s="38" t="s">
        <v>2573</v>
      </c>
      <c r="AB1355" s="37" t="str">
        <f>IFERROR(VLOOKUP(A1355,'Tash Lookup'!A:E,3,FALSE),"")</f>
        <v/>
      </c>
      <c r="AC1355" s="6" t="str">
        <f t="shared" si="234"/>
        <v/>
      </c>
      <c r="AD1355" s="2" t="s">
        <v>6708</v>
      </c>
      <c r="AF1355" s="56">
        <v>4.8</v>
      </c>
      <c r="AG1355" s="56" t="e">
        <f>VLOOKUP(A1355,Sheet1!$A$2:$C$1140,3,FALSE)</f>
        <v>#N/A</v>
      </c>
      <c r="AH1355" s="58" t="e">
        <v>#N/A</v>
      </c>
      <c r="AI1355" s="56" t="str">
        <f t="shared" si="235"/>
        <v>Delete</v>
      </c>
      <c r="AJ1355" s="81">
        <f t="shared" si="239"/>
        <v>0</v>
      </c>
      <c r="AK1355" s="81">
        <f t="shared" si="240"/>
        <v>0</v>
      </c>
      <c r="AL1355" s="58" t="s">
        <v>7206</v>
      </c>
      <c r="AM1355" s="58" t="s">
        <v>6708</v>
      </c>
      <c r="AN1355" s="75">
        <v>0</v>
      </c>
      <c r="AO1355" s="88">
        <v>4.8</v>
      </c>
      <c r="AP1355" s="6" t="str">
        <f t="shared" si="236"/>
        <v>Same</v>
      </c>
      <c r="AQ1355" s="81">
        <f t="shared" si="237"/>
        <v>0</v>
      </c>
      <c r="AR1355" s="81">
        <f t="shared" si="238"/>
        <v>0</v>
      </c>
      <c r="AS1355" s="81">
        <f t="shared" si="241"/>
        <v>0</v>
      </c>
    </row>
    <row r="1356" spans="1:45" hidden="1" x14ac:dyDescent="0.3">
      <c r="A1356">
        <v>6403469</v>
      </c>
      <c r="B1356" s="15" t="s">
        <v>6692</v>
      </c>
      <c r="C1356" s="16" t="s">
        <v>30</v>
      </c>
      <c r="D1356" s="6" t="s">
        <v>31</v>
      </c>
      <c r="E1356" t="s">
        <v>674</v>
      </c>
      <c r="F1356" t="s">
        <v>674</v>
      </c>
      <c r="H1356" s="11" t="s">
        <v>27</v>
      </c>
      <c r="I1356" s="6" t="s">
        <v>28</v>
      </c>
      <c r="J1356" s="6" t="s">
        <v>28</v>
      </c>
      <c r="K1356" t="s">
        <v>32</v>
      </c>
      <c r="L1356" s="35">
        <v>29.98</v>
      </c>
      <c r="M1356" s="6" t="s">
        <v>29</v>
      </c>
      <c r="N1356" s="6">
        <v>3105</v>
      </c>
      <c r="P1356" s="18"/>
      <c r="Q1356" s="17"/>
      <c r="R1356" s="19">
        <v>29.98</v>
      </c>
      <c r="S1356" s="19">
        <v>29.98</v>
      </c>
      <c r="T1356" s="38">
        <v>0</v>
      </c>
      <c r="U1356" s="38"/>
      <c r="V1356" s="30">
        <v>29.98</v>
      </c>
      <c r="W1356" s="35">
        <v>29.98</v>
      </c>
      <c r="X1356" s="32">
        <f t="shared" si="231"/>
        <v>0</v>
      </c>
      <c r="Y1356" s="32">
        <f t="shared" si="232"/>
        <v>0</v>
      </c>
      <c r="Z1356" s="32">
        <f t="shared" si="233"/>
        <v>0</v>
      </c>
      <c r="AA1356" s="38" t="s">
        <v>2573</v>
      </c>
      <c r="AB1356" s="37" t="str">
        <f>IFERROR(VLOOKUP(A1356,'Tash Lookup'!A:E,3,FALSE),"")</f>
        <v/>
      </c>
      <c r="AC1356" s="6" t="str">
        <f t="shared" si="234"/>
        <v/>
      </c>
      <c r="AD1356" s="2" t="s">
        <v>6708</v>
      </c>
      <c r="AF1356" s="56">
        <v>28.55</v>
      </c>
      <c r="AG1356" s="56">
        <f>VLOOKUP(A1356,Sheet1!$A$2:$C$1140,3,FALSE)</f>
        <v>28.55</v>
      </c>
      <c r="AH1356" s="58">
        <v>28.55</v>
      </c>
      <c r="AI1356" s="56" t="str">
        <f t="shared" si="235"/>
        <v>Same</v>
      </c>
      <c r="AJ1356" s="81">
        <f t="shared" si="239"/>
        <v>0</v>
      </c>
      <c r="AK1356" s="81">
        <f t="shared" si="240"/>
        <v>0</v>
      </c>
      <c r="AL1356" s="58" t="s">
        <v>7206</v>
      </c>
      <c r="AM1356" s="58" t="s">
        <v>6708</v>
      </c>
      <c r="AN1356" s="75">
        <v>0</v>
      </c>
      <c r="AO1356" s="88">
        <v>28.55</v>
      </c>
      <c r="AP1356" s="6" t="str">
        <f t="shared" si="236"/>
        <v>Same</v>
      </c>
      <c r="AQ1356" s="81">
        <f t="shared" si="237"/>
        <v>0</v>
      </c>
      <c r="AR1356" s="81">
        <f t="shared" si="238"/>
        <v>0</v>
      </c>
      <c r="AS1356" s="81">
        <f t="shared" si="241"/>
        <v>0</v>
      </c>
    </row>
    <row r="1357" spans="1:45" hidden="1" x14ac:dyDescent="0.3">
      <c r="A1357">
        <v>6403744</v>
      </c>
      <c r="B1357" s="15" t="s">
        <v>6693</v>
      </c>
      <c r="C1357" s="16" t="s">
        <v>30</v>
      </c>
      <c r="D1357" s="6" t="s">
        <v>31</v>
      </c>
      <c r="E1357" t="s">
        <v>675</v>
      </c>
      <c r="F1357" t="s">
        <v>675</v>
      </c>
      <c r="H1357" s="11" t="s">
        <v>27</v>
      </c>
      <c r="I1357" s="6" t="s">
        <v>28</v>
      </c>
      <c r="J1357" s="6" t="s">
        <v>28</v>
      </c>
      <c r="K1357" t="s">
        <v>32</v>
      </c>
      <c r="L1357" s="35">
        <v>19.57</v>
      </c>
      <c r="M1357" s="6" t="s">
        <v>29</v>
      </c>
      <c r="N1357" s="6">
        <v>3105</v>
      </c>
      <c r="P1357" s="18"/>
      <c r="Q1357" s="17"/>
      <c r="R1357" s="19">
        <v>19.57</v>
      </c>
      <c r="S1357" s="19">
        <v>19.57</v>
      </c>
      <c r="T1357" s="38">
        <v>0</v>
      </c>
      <c r="U1357" s="38"/>
      <c r="V1357" s="30">
        <v>19.57</v>
      </c>
      <c r="W1357" s="35">
        <v>19.57</v>
      </c>
      <c r="X1357" s="32">
        <f t="shared" si="231"/>
        <v>0</v>
      </c>
      <c r="Y1357" s="32">
        <f t="shared" si="232"/>
        <v>0</v>
      </c>
      <c r="Z1357" s="32">
        <f t="shared" si="233"/>
        <v>0</v>
      </c>
      <c r="AA1357" s="38" t="s">
        <v>2573</v>
      </c>
      <c r="AB1357" s="37" t="str">
        <f>IFERROR(VLOOKUP(A1357,'Tash Lookup'!A:E,3,FALSE),"")</f>
        <v/>
      </c>
      <c r="AC1357" s="6" t="str">
        <f t="shared" si="234"/>
        <v/>
      </c>
      <c r="AD1357" s="2" t="s">
        <v>6703</v>
      </c>
      <c r="AF1357" s="56">
        <v>21.55</v>
      </c>
      <c r="AG1357" s="56">
        <f>VLOOKUP(A1357,Sheet1!$A$2:$C$1140,3,FALSE)</f>
        <v>21.55</v>
      </c>
      <c r="AH1357" s="58">
        <v>21.55</v>
      </c>
      <c r="AI1357" s="56" t="str">
        <f t="shared" si="235"/>
        <v>Same</v>
      </c>
      <c r="AJ1357" s="81">
        <f t="shared" si="239"/>
        <v>0</v>
      </c>
      <c r="AK1357" s="81">
        <f t="shared" si="240"/>
        <v>0</v>
      </c>
      <c r="AL1357" s="58" t="s">
        <v>7206</v>
      </c>
      <c r="AM1357" s="58" t="s">
        <v>6703</v>
      </c>
      <c r="AN1357" s="75">
        <v>0</v>
      </c>
      <c r="AO1357" s="88">
        <v>21.55</v>
      </c>
      <c r="AP1357" s="6" t="str">
        <f t="shared" si="236"/>
        <v>Same</v>
      </c>
      <c r="AQ1357" s="81">
        <f t="shared" si="237"/>
        <v>0</v>
      </c>
      <c r="AR1357" s="81">
        <f t="shared" si="238"/>
        <v>0</v>
      </c>
      <c r="AS1357" s="81">
        <f t="shared" si="241"/>
        <v>0</v>
      </c>
    </row>
    <row r="1358" spans="1:45" hidden="1" x14ac:dyDescent="0.3">
      <c r="A1358">
        <v>6403727</v>
      </c>
      <c r="B1358" s="15" t="s">
        <v>6694</v>
      </c>
      <c r="C1358" s="16" t="s">
        <v>30</v>
      </c>
      <c r="D1358" s="6" t="s">
        <v>31</v>
      </c>
      <c r="E1358" t="s">
        <v>676</v>
      </c>
      <c r="F1358" t="s">
        <v>676</v>
      </c>
      <c r="H1358" s="11" t="s">
        <v>27</v>
      </c>
      <c r="I1358" s="6" t="s">
        <v>28</v>
      </c>
      <c r="J1358" s="6" t="s">
        <v>28</v>
      </c>
      <c r="K1358" t="s">
        <v>32</v>
      </c>
      <c r="L1358" s="35">
        <v>19.57</v>
      </c>
      <c r="M1358" s="6" t="s">
        <v>29</v>
      </c>
      <c r="N1358" s="6">
        <v>3105</v>
      </c>
      <c r="P1358" s="18"/>
      <c r="Q1358" s="17"/>
      <c r="R1358" s="19">
        <v>19.57</v>
      </c>
      <c r="S1358" s="19">
        <v>19.57</v>
      </c>
      <c r="T1358" s="38">
        <v>0</v>
      </c>
      <c r="U1358" s="38"/>
      <c r="V1358" s="30">
        <v>19.57</v>
      </c>
      <c r="W1358" s="35">
        <v>19.57</v>
      </c>
      <c r="X1358" s="32">
        <f t="shared" si="231"/>
        <v>0</v>
      </c>
      <c r="Y1358" s="32">
        <f t="shared" si="232"/>
        <v>0</v>
      </c>
      <c r="Z1358" s="32">
        <f t="shared" si="233"/>
        <v>0</v>
      </c>
      <c r="AA1358" s="38" t="s">
        <v>2573</v>
      </c>
      <c r="AB1358" s="37" t="str">
        <f>IFERROR(VLOOKUP(A1358,'Tash Lookup'!A:E,3,FALSE),"")</f>
        <v/>
      </c>
      <c r="AC1358" s="6" t="str">
        <f t="shared" si="234"/>
        <v/>
      </c>
      <c r="AD1358" s="2" t="s">
        <v>6703</v>
      </c>
      <c r="AF1358" s="56">
        <v>21.55</v>
      </c>
      <c r="AG1358" s="56">
        <f>VLOOKUP(A1358,Sheet1!$A$2:$C$1140,3,FALSE)</f>
        <v>21.55</v>
      </c>
      <c r="AH1358" s="58">
        <v>21.55</v>
      </c>
      <c r="AI1358" s="56" t="str">
        <f t="shared" si="235"/>
        <v>Same</v>
      </c>
      <c r="AJ1358" s="81">
        <f t="shared" si="239"/>
        <v>0</v>
      </c>
      <c r="AK1358" s="81">
        <f t="shared" si="240"/>
        <v>0</v>
      </c>
      <c r="AL1358" s="58" t="s">
        <v>7206</v>
      </c>
      <c r="AM1358" s="58" t="s">
        <v>6703</v>
      </c>
      <c r="AN1358" s="75">
        <v>0</v>
      </c>
      <c r="AO1358" s="88">
        <v>21.55</v>
      </c>
      <c r="AP1358" s="6" t="str">
        <f t="shared" si="236"/>
        <v>Same</v>
      </c>
      <c r="AQ1358" s="81">
        <f t="shared" si="237"/>
        <v>0</v>
      </c>
      <c r="AR1358" s="81">
        <f t="shared" si="238"/>
        <v>0</v>
      </c>
      <c r="AS1358" s="81">
        <f t="shared" si="241"/>
        <v>0</v>
      </c>
    </row>
    <row r="1359" spans="1:45" hidden="1" x14ac:dyDescent="0.3">
      <c r="A1359">
        <v>6403738</v>
      </c>
      <c r="B1359" s="15" t="s">
        <v>6695</v>
      </c>
      <c r="C1359" s="16" t="s">
        <v>30</v>
      </c>
      <c r="D1359" s="6" t="s">
        <v>31</v>
      </c>
      <c r="E1359" t="s">
        <v>677</v>
      </c>
      <c r="F1359" t="s">
        <v>677</v>
      </c>
      <c r="H1359" s="11" t="s">
        <v>27</v>
      </c>
      <c r="I1359" s="6" t="s">
        <v>28</v>
      </c>
      <c r="J1359" s="6" t="s">
        <v>28</v>
      </c>
      <c r="K1359" t="s">
        <v>32</v>
      </c>
      <c r="L1359" s="35">
        <v>19.57</v>
      </c>
      <c r="M1359" s="6" t="s">
        <v>29</v>
      </c>
      <c r="N1359" s="6">
        <v>3105</v>
      </c>
      <c r="P1359" s="18"/>
      <c r="Q1359" s="17"/>
      <c r="R1359" s="19">
        <v>19.57</v>
      </c>
      <c r="S1359" s="19">
        <v>19.57</v>
      </c>
      <c r="T1359" s="38">
        <v>0</v>
      </c>
      <c r="U1359" s="38"/>
      <c r="V1359" s="30">
        <v>19.57</v>
      </c>
      <c r="W1359" s="35">
        <v>19.57</v>
      </c>
      <c r="X1359" s="32">
        <f t="shared" si="231"/>
        <v>0</v>
      </c>
      <c r="Y1359" s="32">
        <f t="shared" si="232"/>
        <v>0</v>
      </c>
      <c r="Z1359" s="32">
        <f t="shared" si="233"/>
        <v>0</v>
      </c>
      <c r="AA1359" s="38" t="s">
        <v>2573</v>
      </c>
      <c r="AB1359" s="37" t="str">
        <f>IFERROR(VLOOKUP(A1359,'Tash Lookup'!A:E,3,FALSE),"")</f>
        <v/>
      </c>
      <c r="AC1359" s="6" t="str">
        <f t="shared" si="234"/>
        <v/>
      </c>
      <c r="AD1359" s="2" t="s">
        <v>6703</v>
      </c>
      <c r="AF1359" s="56">
        <v>21.55</v>
      </c>
      <c r="AG1359" s="56">
        <f>VLOOKUP(A1359,Sheet1!$A$2:$C$1140,3,FALSE)</f>
        <v>21.55</v>
      </c>
      <c r="AH1359" s="58">
        <v>21.55</v>
      </c>
      <c r="AI1359" s="56" t="str">
        <f t="shared" si="235"/>
        <v>Same</v>
      </c>
      <c r="AJ1359" s="81">
        <f t="shared" si="239"/>
        <v>0</v>
      </c>
      <c r="AK1359" s="81">
        <f t="shared" si="240"/>
        <v>0</v>
      </c>
      <c r="AL1359" s="58" t="s">
        <v>7206</v>
      </c>
      <c r="AM1359" s="58" t="s">
        <v>6703</v>
      </c>
      <c r="AN1359" s="75">
        <v>0</v>
      </c>
      <c r="AO1359" s="88">
        <v>21.55</v>
      </c>
      <c r="AP1359" s="6" t="str">
        <f t="shared" si="236"/>
        <v>Same</v>
      </c>
      <c r="AQ1359" s="81">
        <f t="shared" si="237"/>
        <v>0</v>
      </c>
      <c r="AR1359" s="81">
        <f t="shared" si="238"/>
        <v>0</v>
      </c>
      <c r="AS1359" s="81">
        <f t="shared" si="241"/>
        <v>0</v>
      </c>
    </row>
    <row r="1360" spans="1:45" hidden="1" x14ac:dyDescent="0.3">
      <c r="A1360">
        <v>6403730</v>
      </c>
      <c r="B1360" s="15" t="s">
        <v>6696</v>
      </c>
      <c r="C1360" s="16" t="s">
        <v>30</v>
      </c>
      <c r="D1360" s="6" t="s">
        <v>31</v>
      </c>
      <c r="E1360" t="s">
        <v>678</v>
      </c>
      <c r="F1360" t="s">
        <v>678</v>
      </c>
      <c r="H1360" s="11" t="s">
        <v>27</v>
      </c>
      <c r="I1360" s="6" t="s">
        <v>28</v>
      </c>
      <c r="J1360" s="6" t="s">
        <v>28</v>
      </c>
      <c r="K1360" t="s">
        <v>32</v>
      </c>
      <c r="L1360" s="35">
        <v>19.57</v>
      </c>
      <c r="M1360" s="6" t="s">
        <v>29</v>
      </c>
      <c r="N1360" s="6">
        <v>3105</v>
      </c>
      <c r="P1360" s="18"/>
      <c r="Q1360" s="17"/>
      <c r="R1360" s="19">
        <v>19.57</v>
      </c>
      <c r="S1360" s="19">
        <v>19.57</v>
      </c>
      <c r="T1360" s="38">
        <v>0</v>
      </c>
      <c r="U1360" s="38"/>
      <c r="V1360" s="30">
        <v>19.57</v>
      </c>
      <c r="W1360" s="35">
        <v>19.57</v>
      </c>
      <c r="X1360" s="32">
        <f t="shared" si="231"/>
        <v>0</v>
      </c>
      <c r="Y1360" s="32">
        <f t="shared" si="232"/>
        <v>0</v>
      </c>
      <c r="Z1360" s="32">
        <f t="shared" si="233"/>
        <v>0</v>
      </c>
      <c r="AA1360" s="38" t="s">
        <v>2573</v>
      </c>
      <c r="AB1360" s="37" t="str">
        <f>IFERROR(VLOOKUP(A1360,'Tash Lookup'!A:E,3,FALSE),"")</f>
        <v/>
      </c>
      <c r="AC1360" s="6" t="str">
        <f t="shared" si="234"/>
        <v/>
      </c>
      <c r="AD1360" s="2" t="s">
        <v>6703</v>
      </c>
      <c r="AF1360" s="56">
        <v>21.55</v>
      </c>
      <c r="AG1360" s="56">
        <f>VLOOKUP(A1360,Sheet1!$A$2:$C$1140,3,FALSE)</f>
        <v>21.55</v>
      </c>
      <c r="AH1360" s="58">
        <v>21.55</v>
      </c>
      <c r="AI1360" s="56" t="str">
        <f t="shared" si="235"/>
        <v>Same</v>
      </c>
      <c r="AJ1360" s="81">
        <f t="shared" si="239"/>
        <v>0</v>
      </c>
      <c r="AK1360" s="81">
        <f t="shared" si="240"/>
        <v>0</v>
      </c>
      <c r="AL1360" s="58" t="s">
        <v>7206</v>
      </c>
      <c r="AM1360" s="58" t="s">
        <v>6703</v>
      </c>
      <c r="AN1360" s="75">
        <v>0</v>
      </c>
      <c r="AO1360" s="88">
        <v>21.55</v>
      </c>
      <c r="AP1360" s="6" t="str">
        <f t="shared" si="236"/>
        <v>Same</v>
      </c>
      <c r="AQ1360" s="81">
        <f t="shared" si="237"/>
        <v>0</v>
      </c>
      <c r="AR1360" s="81">
        <f t="shared" si="238"/>
        <v>0</v>
      </c>
      <c r="AS1360" s="81">
        <f t="shared" si="241"/>
        <v>0</v>
      </c>
    </row>
    <row r="1361" spans="1:45" hidden="1" x14ac:dyDescent="0.3">
      <c r="A1361">
        <v>6108961</v>
      </c>
      <c r="B1361" s="15" t="s">
        <v>6697</v>
      </c>
      <c r="C1361" s="16" t="s">
        <v>30</v>
      </c>
      <c r="D1361" s="6" t="s">
        <v>31</v>
      </c>
      <c r="E1361" t="s">
        <v>679</v>
      </c>
      <c r="F1361" t="s">
        <v>679</v>
      </c>
      <c r="H1361" s="11" t="s">
        <v>27</v>
      </c>
      <c r="I1361" s="6" t="s">
        <v>28</v>
      </c>
      <c r="J1361" s="6" t="s">
        <v>28</v>
      </c>
      <c r="K1361" t="s">
        <v>32</v>
      </c>
      <c r="L1361" s="35">
        <v>5.83</v>
      </c>
      <c r="M1361" s="6" t="s">
        <v>29</v>
      </c>
      <c r="N1361" s="6">
        <v>3105</v>
      </c>
      <c r="P1361" s="18"/>
      <c r="Q1361" s="17"/>
      <c r="R1361" s="19">
        <v>7.58</v>
      </c>
      <c r="S1361" s="19">
        <v>0</v>
      </c>
      <c r="T1361" s="38">
        <v>0</v>
      </c>
      <c r="U1361" s="38"/>
      <c r="V1361" s="30">
        <v>7.58</v>
      </c>
      <c r="W1361" s="35">
        <v>5.83</v>
      </c>
      <c r="X1361" s="32">
        <f t="shared" si="231"/>
        <v>0</v>
      </c>
      <c r="Y1361" s="32">
        <f t="shared" si="232"/>
        <v>0</v>
      </c>
      <c r="Z1361" s="32">
        <f t="shared" si="233"/>
        <v>0</v>
      </c>
      <c r="AA1361" s="38" t="s">
        <v>2573</v>
      </c>
      <c r="AB1361" s="37" t="str">
        <f>IFERROR(VLOOKUP(A1361,'Tash Lookup'!A:E,3,FALSE),"")</f>
        <v/>
      </c>
      <c r="AC1361" s="6" t="str">
        <f t="shared" si="234"/>
        <v/>
      </c>
      <c r="AD1361" s="2" t="s">
        <v>6703</v>
      </c>
      <c r="AF1361" s="56">
        <v>7.58</v>
      </c>
      <c r="AG1361" s="56">
        <f>VLOOKUP(A1361,Sheet1!$A$2:$C$1140,3,FALSE)</f>
        <v>7.58</v>
      </c>
      <c r="AH1361" s="58">
        <v>7.58</v>
      </c>
      <c r="AI1361" s="56" t="str">
        <f t="shared" si="235"/>
        <v>Same</v>
      </c>
      <c r="AJ1361" s="81">
        <f t="shared" si="239"/>
        <v>0</v>
      </c>
      <c r="AK1361" s="81">
        <f t="shared" si="240"/>
        <v>0</v>
      </c>
      <c r="AL1361" s="58" t="s">
        <v>7206</v>
      </c>
      <c r="AM1361" s="58" t="s">
        <v>6703</v>
      </c>
      <c r="AN1361" s="75">
        <v>97</v>
      </c>
      <c r="AO1361" s="88">
        <v>7.58</v>
      </c>
      <c r="AP1361" s="6" t="str">
        <f t="shared" si="236"/>
        <v>Same</v>
      </c>
      <c r="AQ1361" s="81">
        <f t="shared" si="237"/>
        <v>735.26</v>
      </c>
      <c r="AR1361" s="81">
        <f t="shared" si="238"/>
        <v>735.26</v>
      </c>
      <c r="AS1361" s="81">
        <f t="shared" si="241"/>
        <v>0</v>
      </c>
    </row>
    <row r="1362" spans="1:45" hidden="1" x14ac:dyDescent="0.3">
      <c r="A1362">
        <v>6183863</v>
      </c>
      <c r="B1362" s="15" t="s">
        <v>6698</v>
      </c>
      <c r="C1362" s="16" t="s">
        <v>30</v>
      </c>
      <c r="D1362" s="6" t="s">
        <v>31</v>
      </c>
      <c r="E1362" t="s">
        <v>683</v>
      </c>
      <c r="F1362" t="s">
        <v>683</v>
      </c>
      <c r="H1362" s="11" t="s">
        <v>27</v>
      </c>
      <c r="I1362" s="6" t="s">
        <v>28</v>
      </c>
      <c r="J1362" s="6" t="s">
        <v>28</v>
      </c>
      <c r="K1362" t="s">
        <v>32</v>
      </c>
      <c r="L1362" s="35">
        <v>6.62</v>
      </c>
      <c r="M1362" s="6" t="s">
        <v>29</v>
      </c>
      <c r="N1362" s="6">
        <v>3105</v>
      </c>
      <c r="P1362" s="18"/>
      <c r="Q1362" s="17"/>
      <c r="R1362" s="19">
        <v>6.62</v>
      </c>
      <c r="S1362" s="19">
        <v>6.62</v>
      </c>
      <c r="T1362" s="38">
        <v>0</v>
      </c>
      <c r="U1362" s="38"/>
      <c r="V1362" s="30">
        <v>6.62</v>
      </c>
      <c r="W1362" s="35">
        <v>6.62</v>
      </c>
      <c r="X1362" s="32">
        <f t="shared" si="231"/>
        <v>0</v>
      </c>
      <c r="Y1362" s="32">
        <f t="shared" si="232"/>
        <v>0</v>
      </c>
      <c r="Z1362" s="32">
        <f t="shared" si="233"/>
        <v>0</v>
      </c>
      <c r="AA1362" s="38" t="s">
        <v>2573</v>
      </c>
      <c r="AB1362" s="37" t="str">
        <f>IFERROR(VLOOKUP(A1362,'Tash Lookup'!A:E,3,FALSE),"")</f>
        <v/>
      </c>
      <c r="AC1362" s="6" t="str">
        <f t="shared" si="234"/>
        <v/>
      </c>
      <c r="AD1362" s="2" t="s">
        <v>6704</v>
      </c>
      <c r="AF1362" s="56">
        <v>6.62</v>
      </c>
      <c r="AG1362" s="56" t="e">
        <f>VLOOKUP(A1362,Sheet1!$A$2:$C$1140,3,FALSE)</f>
        <v>#N/A</v>
      </c>
      <c r="AH1362" s="58" t="e">
        <v>#N/A</v>
      </c>
      <c r="AI1362" s="56" t="str">
        <f t="shared" si="235"/>
        <v>Delete</v>
      </c>
      <c r="AJ1362" s="81">
        <f t="shared" si="239"/>
        <v>0</v>
      </c>
      <c r="AK1362" s="81">
        <f t="shared" si="240"/>
        <v>0</v>
      </c>
      <c r="AL1362" s="58" t="s">
        <v>7206</v>
      </c>
      <c r="AM1362" s="58" t="s">
        <v>6708</v>
      </c>
      <c r="AN1362" s="75">
        <v>0</v>
      </c>
      <c r="AO1362" s="88">
        <v>6.62</v>
      </c>
      <c r="AP1362" s="6" t="str">
        <f t="shared" si="236"/>
        <v>Same</v>
      </c>
      <c r="AQ1362" s="81">
        <f t="shared" si="237"/>
        <v>0</v>
      </c>
      <c r="AR1362" s="81">
        <f t="shared" si="238"/>
        <v>0</v>
      </c>
      <c r="AS1362" s="81">
        <f t="shared" si="241"/>
        <v>0</v>
      </c>
    </row>
    <row r="1363" spans="1:45" hidden="1" x14ac:dyDescent="0.3">
      <c r="A1363">
        <v>6183876</v>
      </c>
      <c r="B1363" s="15" t="s">
        <v>6699</v>
      </c>
      <c r="C1363" s="16" t="s">
        <v>30</v>
      </c>
      <c r="D1363" s="6" t="s">
        <v>31</v>
      </c>
      <c r="E1363" t="s">
        <v>686</v>
      </c>
      <c r="F1363" t="s">
        <v>686</v>
      </c>
      <c r="H1363" s="11" t="s">
        <v>27</v>
      </c>
      <c r="I1363" s="6" t="s">
        <v>28</v>
      </c>
      <c r="J1363" s="6" t="s">
        <v>28</v>
      </c>
      <c r="K1363" t="s">
        <v>32</v>
      </c>
      <c r="L1363" s="35">
        <v>9.01</v>
      </c>
      <c r="M1363" s="6" t="s">
        <v>29</v>
      </c>
      <c r="N1363" s="6">
        <v>3105</v>
      </c>
      <c r="P1363" s="18"/>
      <c r="Q1363" s="17"/>
      <c r="R1363" s="19">
        <v>9.01</v>
      </c>
      <c r="S1363" s="19">
        <v>9.01</v>
      </c>
      <c r="T1363" s="38">
        <v>0</v>
      </c>
      <c r="U1363" s="38"/>
      <c r="V1363" s="30">
        <v>9.01</v>
      </c>
      <c r="W1363" s="35">
        <v>9.01</v>
      </c>
      <c r="X1363" s="32">
        <f t="shared" si="231"/>
        <v>0</v>
      </c>
      <c r="Y1363" s="32">
        <f t="shared" si="232"/>
        <v>0</v>
      </c>
      <c r="Z1363" s="32">
        <f t="shared" si="233"/>
        <v>0</v>
      </c>
      <c r="AA1363" s="38" t="s">
        <v>2573</v>
      </c>
      <c r="AB1363" s="37" t="str">
        <f>IFERROR(VLOOKUP(A1363,'Tash Lookup'!A:E,3,FALSE),"")</f>
        <v/>
      </c>
      <c r="AC1363" s="6" t="str">
        <f t="shared" si="234"/>
        <v/>
      </c>
      <c r="AD1363" s="2" t="s">
        <v>6703</v>
      </c>
      <c r="AF1363" s="56">
        <v>9.01</v>
      </c>
      <c r="AG1363" s="56">
        <f>VLOOKUP(A1363,Sheet1!$A$2:$C$1140,3,FALSE)</f>
        <v>9.19</v>
      </c>
      <c r="AH1363" s="58">
        <v>9.19</v>
      </c>
      <c r="AI1363" s="56" t="str">
        <f t="shared" si="235"/>
        <v>Increase</v>
      </c>
      <c r="AJ1363" s="81">
        <f t="shared" si="239"/>
        <v>0</v>
      </c>
      <c r="AK1363" s="81">
        <f t="shared" si="240"/>
        <v>0</v>
      </c>
      <c r="AL1363" s="58" t="s">
        <v>7206</v>
      </c>
      <c r="AM1363" s="58" t="s">
        <v>6703</v>
      </c>
      <c r="AN1363" s="75">
        <v>4</v>
      </c>
      <c r="AO1363" s="88">
        <v>9.19</v>
      </c>
      <c r="AP1363" s="6" t="str">
        <f t="shared" si="236"/>
        <v>Increase</v>
      </c>
      <c r="AQ1363" s="81">
        <f t="shared" si="237"/>
        <v>36.04</v>
      </c>
      <c r="AR1363" s="81">
        <f t="shared" si="238"/>
        <v>36.76</v>
      </c>
      <c r="AS1363" s="81">
        <f t="shared" si="241"/>
        <v>0.71999999999999886</v>
      </c>
    </row>
    <row r="1364" spans="1:45" x14ac:dyDescent="0.3">
      <c r="A1364"/>
      <c r="B1364"/>
      <c r="C1364" s="16"/>
      <c r="D1364" s="6"/>
      <c r="E1364"/>
      <c r="F1364"/>
      <c r="H1364" s="11"/>
      <c r="I1364" s="6"/>
      <c r="J1364" s="6"/>
      <c r="K1364"/>
      <c r="L1364" s="48"/>
      <c r="M1364" s="6"/>
      <c r="P1364" s="18"/>
      <c r="Q1364" s="17"/>
      <c r="W1364" s="35"/>
    </row>
    <row r="1365" spans="1:45" x14ac:dyDescent="0.3">
      <c r="A1365"/>
      <c r="B1365"/>
      <c r="C1365" s="16"/>
      <c r="D1365" s="6"/>
      <c r="E1365"/>
      <c r="F1365"/>
      <c r="H1365" s="11"/>
      <c r="I1365" s="6"/>
      <c r="J1365" s="6"/>
      <c r="K1365"/>
      <c r="L1365" s="48"/>
      <c r="M1365" s="6"/>
      <c r="P1365" s="18"/>
      <c r="Q1365" s="17"/>
      <c r="W1365" s="35"/>
      <c r="X1365" s="32" t="e">
        <f>SUM(X11:X1364)</f>
        <v>#N/A</v>
      </c>
      <c r="Y1365" s="32">
        <f>SUM(Y6:Y1364)</f>
        <v>3030562.249999993</v>
      </c>
      <c r="Z1365" s="32" t="e">
        <f>SUM(Z11:Z1364)</f>
        <v>#N/A</v>
      </c>
    </row>
    <row r="1436" spans="19:20" x14ac:dyDescent="0.3">
      <c r="S1436" s="6">
        <f>SUM(S5:S1435)</f>
        <v>48344.51999999996</v>
      </c>
      <c r="T1436" s="6">
        <f>SUM(T5:T1435)</f>
        <v>138847</v>
      </c>
    </row>
  </sheetData>
  <autoFilter ref="A5:AU1363" xr:uid="{00000000-0001-0000-0000-000000000000}">
    <filterColumn colId="4">
      <filters>
        <filter val="Sikkens Cetol BL Primer White 2.5L"/>
        <filter val="Sikkens Cetol Filter 7 Plus 006 Light Oak 1L"/>
        <filter val="Sikkens Cetol Filter 7 Plus 006 Light Oak 2.5L"/>
        <filter val="Sikkens Cetol Filter 7 Plus 006 Light Oak 5L"/>
        <filter val="Sikkens Cetol Filter 7 Plus 009 Dark Oak 1L"/>
        <filter val="Sikkens Cetol Filter 7 Plus 009 Dark Oak 2.5L"/>
        <filter val="Sikkens Cetol Filter 7 Plus 010 Walnut 2.5L"/>
        <filter val="Sikkens Cetol Filter 7 Plus 020 Ebony 2.5L"/>
        <filter val="Sikkens Cetol Filter 7 Plus 045 Mahogany 1L"/>
        <filter val="Sikkens Cetol Filter 7 Plus 045 Mahogany 2.5L"/>
        <filter val="Sikkens Cetol Filter 7 Plus 085 Teak 2.5L"/>
        <filter val="Sikkens Cetol HLS Plus 006 Light Oak 1L"/>
        <filter val="Sikkens Cetol HLS Plus 006 Light Oak 2.5L"/>
        <filter val="Sikkens Cetol HLS Plus 006 Light Oak 5L"/>
        <filter val="Sikkens Cetol HLS Plus 009 Dark Oak 2.5L"/>
        <filter val="Sikkens Cetol HLS Plus 010 Walnut 2.5L"/>
        <filter val="Sikkens Cetol HLS Plus 045 Mahogany 1L"/>
        <filter val="Sikkens Cetol HLS Plus 045 Mahogany 2.5L"/>
        <filter val="Sikkens Cetol HLS Plus TU Tint 5L"/>
        <filter val="Sikkens Cetol TSI Satin Plus Colourless 2.5L"/>
        <filter val="Sikkens Rubbol AZ Plus White 5L"/>
        <filter val="Sikkens Rubbol Primer Plus White 2.5L"/>
        <filter val="Sikkens Rubbol Primer Plus White 5L"/>
        <filter val="Sikkens Rubbol Satura Plus Tint W05 5L"/>
        <filter val="Sikkens Rubbol Satura Plus White 5L"/>
        <filter val="Sikkens Rubbol XD Gloss White 2.5L"/>
      </filters>
    </filterColumn>
  </autoFilter>
  <sortState xmlns:xlrd2="http://schemas.microsoft.com/office/spreadsheetml/2017/richdata2" ref="A5:N120">
    <sortCondition ref="N78:N120"/>
  </sortState>
  <phoneticPr fontId="20" type="noConversion"/>
  <conditionalFormatting sqref="A161:A307">
    <cfRule type="duplicateValues" dxfId="15" priority="486"/>
  </conditionalFormatting>
  <conditionalFormatting sqref="A10168:A11822">
    <cfRule type="duplicateValues" dxfId="14" priority="50"/>
    <cfRule type="duplicateValues" dxfId="13" priority="51"/>
  </conditionalFormatting>
  <conditionalFormatting sqref="A11823:A1048576 A1:A4 A308:A7603 A149:A160">
    <cfRule type="duplicateValues" dxfId="12" priority="514"/>
  </conditionalFormatting>
  <conditionalFormatting sqref="A1:B4 E2:E4 A149:B7603 E149:E7603 A11823:B1048576">
    <cfRule type="expression" dxfId="11" priority="104">
      <formula>LEN(A1)&gt;20</formula>
    </cfRule>
  </conditionalFormatting>
  <conditionalFormatting sqref="B2:B4">
    <cfRule type="duplicateValues" dxfId="10" priority="533"/>
  </conditionalFormatting>
  <conditionalFormatting sqref="B149:B160">
    <cfRule type="duplicateValues" dxfId="9" priority="499"/>
  </conditionalFormatting>
  <conditionalFormatting sqref="B161:B307">
    <cfRule type="duplicateValues" dxfId="8" priority="488"/>
  </conditionalFormatting>
  <conditionalFormatting sqref="B308:B7603">
    <cfRule type="duplicateValues" dxfId="7" priority="738"/>
  </conditionalFormatting>
  <conditionalFormatting sqref="B10168:B11822">
    <cfRule type="duplicateValues" dxfId="6" priority="48"/>
    <cfRule type="duplicateValues" dxfId="5" priority="49"/>
  </conditionalFormatting>
  <conditionalFormatting sqref="F404:F412">
    <cfRule type="expression" dxfId="4" priority="4">
      <formula>LEN(F404)&gt;20</formula>
    </cfRule>
  </conditionalFormatting>
  <conditionalFormatting sqref="F1:G4 L2:L4 F5:F403 L149:L307 G149:G7603 F413:F1393 E7604:E9738 L7604:L9738 F9739:G11357 F11358 F11359:G11532 F11533:F11557 F11558:G1048576">
    <cfRule type="expression" dxfId="3" priority="103">
      <formula>LEN(E1)&gt;50</formula>
    </cfRule>
  </conditionalFormatting>
  <conditionalFormatting sqref="V159">
    <cfRule type="expression" dxfId="2" priority="3">
      <formula>LEN(V159)&gt;50</formula>
    </cfRule>
  </conditionalFormatting>
  <conditionalFormatting sqref="V163:V166">
    <cfRule type="expression" dxfId="1" priority="2">
      <formula>LEN(V163)&gt;50</formula>
    </cfRule>
  </conditionalFormatting>
  <conditionalFormatting sqref="W2:W4 W149:W307 W7604:W9738">
    <cfRule type="expression" dxfId="0" priority="1">
      <formula>LEN(W2)&gt;50</formula>
    </cfRule>
  </conditionalFormatting>
  <pageMargins left="0.7" right="0.7" top="0.75" bottom="0.75" header="0.3" footer="0.3"/>
  <pageSetup paperSize="9" orientation="portrait" horizontalDpi="360" verticalDpi="36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D6AAF-9612-40DB-A1BE-032FF321C0C1}">
  <dimension ref="A2:E1140"/>
  <sheetViews>
    <sheetView workbookViewId="0">
      <selection activeCell="A2" sqref="A2"/>
    </sheetView>
  </sheetViews>
  <sheetFormatPr defaultRowHeight="14.4" x14ac:dyDescent="0.3"/>
  <cols>
    <col min="1" max="1" width="8.77734375" style="52"/>
    <col min="2" max="2" width="46.109375" bestFit="1" customWidth="1"/>
    <col min="3" max="3" width="8.77734375" style="52"/>
  </cols>
  <sheetData>
    <row r="2" spans="1:5" x14ac:dyDescent="0.3">
      <c r="A2" s="53">
        <v>5218583</v>
      </c>
      <c r="B2" s="49" t="s">
        <v>79</v>
      </c>
      <c r="C2" s="51">
        <v>16.989999999999998</v>
      </c>
      <c r="D2" s="50"/>
      <c r="E2" s="50"/>
    </row>
    <row r="3" spans="1:5" x14ac:dyDescent="0.3">
      <c r="A3" s="53">
        <v>5218584</v>
      </c>
      <c r="B3" s="49" t="s">
        <v>80</v>
      </c>
      <c r="C3" s="51">
        <v>17.47</v>
      </c>
      <c r="D3" s="50"/>
      <c r="E3" s="50"/>
    </row>
    <row r="4" spans="1:5" x14ac:dyDescent="0.3">
      <c r="A4" s="53">
        <v>5218585</v>
      </c>
      <c r="B4" s="49" t="s">
        <v>81</v>
      </c>
      <c r="C4" s="51">
        <v>24.61</v>
      </c>
      <c r="D4" s="50"/>
      <c r="E4" s="50"/>
    </row>
    <row r="5" spans="1:5" x14ac:dyDescent="0.3">
      <c r="A5" s="53">
        <v>5219312</v>
      </c>
      <c r="B5" s="49" t="s">
        <v>6713</v>
      </c>
      <c r="C5" s="51">
        <v>17.04</v>
      </c>
      <c r="D5" s="50"/>
      <c r="E5" s="50"/>
    </row>
    <row r="6" spans="1:5" x14ac:dyDescent="0.3">
      <c r="A6" s="53">
        <v>5218587</v>
      </c>
      <c r="B6" s="49" t="s">
        <v>83</v>
      </c>
      <c r="C6" s="51">
        <v>12.5</v>
      </c>
      <c r="D6" s="50"/>
      <c r="E6" s="50"/>
    </row>
    <row r="7" spans="1:5" x14ac:dyDescent="0.3">
      <c r="A7" s="53">
        <v>5218588</v>
      </c>
      <c r="B7" s="49" t="s">
        <v>84</v>
      </c>
      <c r="C7" s="51">
        <v>20.9</v>
      </c>
      <c r="D7" s="50"/>
      <c r="E7" s="50"/>
    </row>
    <row r="8" spans="1:5" x14ac:dyDescent="0.3">
      <c r="A8" s="53">
        <v>5196657</v>
      </c>
      <c r="B8" s="49" t="s">
        <v>68</v>
      </c>
      <c r="C8" s="51">
        <v>35.340000000000003</v>
      </c>
      <c r="D8" s="50"/>
      <c r="E8" s="50"/>
    </row>
    <row r="9" spans="1:5" x14ac:dyDescent="0.3">
      <c r="A9" s="53">
        <v>5091283</v>
      </c>
      <c r="B9" s="49" t="s">
        <v>69</v>
      </c>
      <c r="C9" s="51">
        <v>33</v>
      </c>
      <c r="D9" s="50"/>
      <c r="E9" s="50"/>
    </row>
    <row r="10" spans="1:5" x14ac:dyDescent="0.3">
      <c r="A10" s="53">
        <v>5090769</v>
      </c>
      <c r="B10" s="49" t="s">
        <v>6714</v>
      </c>
      <c r="C10" s="51">
        <v>31.28</v>
      </c>
      <c r="D10" s="50"/>
      <c r="E10" s="50"/>
    </row>
    <row r="11" spans="1:5" x14ac:dyDescent="0.3">
      <c r="A11" s="53">
        <v>5091282</v>
      </c>
      <c r="B11" s="49" t="s">
        <v>71</v>
      </c>
      <c r="C11" s="51">
        <v>30.37</v>
      </c>
      <c r="D11" s="50"/>
      <c r="E11" s="50"/>
    </row>
    <row r="12" spans="1:5" x14ac:dyDescent="0.3">
      <c r="A12" s="53">
        <v>5091671</v>
      </c>
      <c r="B12" s="49" t="s">
        <v>2527</v>
      </c>
      <c r="C12" s="51">
        <v>26.7</v>
      </c>
      <c r="D12" s="50"/>
      <c r="E12" s="50"/>
    </row>
    <row r="13" spans="1:5" x14ac:dyDescent="0.3">
      <c r="A13" s="53">
        <v>5091670</v>
      </c>
      <c r="B13" s="49" t="s">
        <v>72</v>
      </c>
      <c r="C13" s="51">
        <v>30</v>
      </c>
      <c r="D13" s="50"/>
      <c r="E13" s="50"/>
    </row>
    <row r="14" spans="1:5" x14ac:dyDescent="0.3">
      <c r="A14" s="53">
        <v>5091668</v>
      </c>
      <c r="B14" s="49" t="s">
        <v>6715</v>
      </c>
      <c r="C14" s="51">
        <v>32.04</v>
      </c>
      <c r="D14" s="50"/>
      <c r="E14" s="50"/>
    </row>
    <row r="15" spans="1:5" x14ac:dyDescent="0.3">
      <c r="A15" s="53">
        <v>5091667</v>
      </c>
      <c r="B15" s="49" t="s">
        <v>74</v>
      </c>
      <c r="C15" s="51">
        <v>16.59</v>
      </c>
      <c r="D15" s="50"/>
      <c r="E15" s="50"/>
    </row>
    <row r="16" spans="1:5" x14ac:dyDescent="0.3">
      <c r="A16" s="53">
        <v>5090796</v>
      </c>
      <c r="B16" s="49" t="s">
        <v>6716</v>
      </c>
      <c r="C16" s="51">
        <v>40.03</v>
      </c>
      <c r="D16" s="50"/>
      <c r="E16" s="50"/>
    </row>
    <row r="17" spans="1:5" x14ac:dyDescent="0.3">
      <c r="A17" s="53">
        <v>5090795</v>
      </c>
      <c r="B17" s="49" t="s">
        <v>6717</v>
      </c>
      <c r="C17" s="51">
        <v>27.19</v>
      </c>
      <c r="D17" s="50"/>
      <c r="E17" s="50"/>
    </row>
    <row r="18" spans="1:5" x14ac:dyDescent="0.3">
      <c r="A18" s="53">
        <v>5091663</v>
      </c>
      <c r="B18" s="49" t="s">
        <v>67</v>
      </c>
      <c r="C18" s="51">
        <v>29.14</v>
      </c>
      <c r="D18" s="50"/>
      <c r="E18" s="50"/>
    </row>
    <row r="19" spans="1:5" x14ac:dyDescent="0.3">
      <c r="A19" s="53">
        <v>5091661</v>
      </c>
      <c r="B19" s="49" t="s">
        <v>78</v>
      </c>
      <c r="C19" s="51">
        <v>16.920000000000002</v>
      </c>
      <c r="D19" s="50"/>
      <c r="E19" s="50"/>
    </row>
    <row r="20" spans="1:5" x14ac:dyDescent="0.3">
      <c r="A20" s="53">
        <v>5917260</v>
      </c>
      <c r="B20" s="49" t="s">
        <v>6718</v>
      </c>
      <c r="C20" s="51">
        <v>24.14</v>
      </c>
      <c r="D20" s="50"/>
      <c r="E20" s="50"/>
    </row>
    <row r="21" spans="1:5" x14ac:dyDescent="0.3">
      <c r="A21" s="53">
        <v>5218671</v>
      </c>
      <c r="B21" s="49" t="s">
        <v>6719</v>
      </c>
      <c r="C21" s="51">
        <v>17.13</v>
      </c>
      <c r="D21" s="50"/>
      <c r="E21" s="50"/>
    </row>
    <row r="22" spans="1:5" x14ac:dyDescent="0.3">
      <c r="A22" s="53">
        <v>5218668</v>
      </c>
      <c r="B22" s="49" t="s">
        <v>6720</v>
      </c>
      <c r="C22" s="51">
        <v>21.13</v>
      </c>
      <c r="D22" s="50"/>
      <c r="E22" s="50"/>
    </row>
    <row r="23" spans="1:5" x14ac:dyDescent="0.3">
      <c r="A23" s="53">
        <v>5218670</v>
      </c>
      <c r="B23" s="49" t="s">
        <v>6721</v>
      </c>
      <c r="C23" s="51">
        <v>12.38</v>
      </c>
      <c r="D23" s="50"/>
      <c r="E23" s="50"/>
    </row>
    <row r="24" spans="1:5" x14ac:dyDescent="0.3">
      <c r="A24" s="53">
        <v>5218672</v>
      </c>
      <c r="B24" s="49" t="s">
        <v>6722</v>
      </c>
      <c r="C24" s="51">
        <v>35.61</v>
      </c>
      <c r="D24" s="50"/>
      <c r="E24" s="50"/>
    </row>
    <row r="25" spans="1:5" x14ac:dyDescent="0.3">
      <c r="A25" s="53">
        <v>5218673</v>
      </c>
      <c r="B25" s="49" t="s">
        <v>6723</v>
      </c>
      <c r="C25" s="51">
        <v>21.56</v>
      </c>
      <c r="D25" s="50"/>
      <c r="E25" s="50"/>
    </row>
    <row r="26" spans="1:5" x14ac:dyDescent="0.3">
      <c r="A26" s="53">
        <v>5218674</v>
      </c>
      <c r="B26" s="49" t="s">
        <v>6724</v>
      </c>
      <c r="C26" s="51">
        <v>21.13</v>
      </c>
      <c r="D26" s="50"/>
      <c r="E26" s="50"/>
    </row>
    <row r="27" spans="1:5" x14ac:dyDescent="0.3">
      <c r="A27" s="53">
        <v>5218675</v>
      </c>
      <c r="B27" s="49" t="s">
        <v>6725</v>
      </c>
      <c r="C27" s="51">
        <v>15.13</v>
      </c>
      <c r="D27" s="50"/>
      <c r="E27" s="50"/>
    </row>
    <row r="28" spans="1:5" x14ac:dyDescent="0.3">
      <c r="A28" s="53">
        <v>5219324</v>
      </c>
      <c r="B28" s="49" t="s">
        <v>6726</v>
      </c>
      <c r="C28" s="51">
        <v>10.94</v>
      </c>
      <c r="D28" s="50"/>
      <c r="E28" s="50"/>
    </row>
    <row r="29" spans="1:5" x14ac:dyDescent="0.3">
      <c r="A29" s="53">
        <v>5219325</v>
      </c>
      <c r="B29" s="49" t="s">
        <v>6727</v>
      </c>
      <c r="C29" s="51">
        <v>17.13</v>
      </c>
      <c r="D29" s="50"/>
      <c r="E29" s="50"/>
    </row>
    <row r="30" spans="1:5" x14ac:dyDescent="0.3">
      <c r="A30" s="53">
        <v>5218683</v>
      </c>
      <c r="B30" s="49" t="s">
        <v>6728</v>
      </c>
      <c r="C30" s="51">
        <v>19.32</v>
      </c>
      <c r="D30" s="50"/>
      <c r="E30" s="50"/>
    </row>
    <row r="31" spans="1:5" x14ac:dyDescent="0.3">
      <c r="A31" s="53">
        <v>5218684</v>
      </c>
      <c r="B31" s="49" t="s">
        <v>6729</v>
      </c>
      <c r="C31" s="51">
        <v>11.3</v>
      </c>
      <c r="D31" s="50"/>
      <c r="E31" s="50"/>
    </row>
    <row r="32" spans="1:5" x14ac:dyDescent="0.3">
      <c r="A32" s="53">
        <v>5236702</v>
      </c>
      <c r="B32" s="49" t="s">
        <v>6730</v>
      </c>
      <c r="C32" s="51">
        <v>9.3699999999999992</v>
      </c>
      <c r="D32" s="50"/>
      <c r="E32" s="50"/>
    </row>
    <row r="33" spans="1:5" x14ac:dyDescent="0.3">
      <c r="A33" s="53">
        <v>5236726</v>
      </c>
      <c r="B33" s="49" t="s">
        <v>6731</v>
      </c>
      <c r="C33" s="51">
        <v>33.58</v>
      </c>
      <c r="D33" s="50"/>
      <c r="E33" s="50"/>
    </row>
    <row r="34" spans="1:5" x14ac:dyDescent="0.3">
      <c r="A34" s="53">
        <v>5236721</v>
      </c>
      <c r="B34" s="49" t="s">
        <v>6732</v>
      </c>
      <c r="C34" s="51">
        <v>8.7200000000000006</v>
      </c>
      <c r="D34" s="50"/>
      <c r="E34" s="50"/>
    </row>
    <row r="35" spans="1:5" x14ac:dyDescent="0.3">
      <c r="A35" s="53">
        <v>5220826</v>
      </c>
      <c r="B35" s="49" t="s">
        <v>150</v>
      </c>
      <c r="C35" s="51">
        <v>36.74</v>
      </c>
      <c r="D35" s="50"/>
      <c r="E35" s="50"/>
    </row>
    <row r="36" spans="1:5" x14ac:dyDescent="0.3">
      <c r="A36" s="53">
        <v>5091650</v>
      </c>
      <c r="B36" s="49" t="s">
        <v>157</v>
      </c>
      <c r="C36" s="51">
        <v>15.08</v>
      </c>
      <c r="D36" s="50"/>
      <c r="E36" s="50"/>
    </row>
    <row r="37" spans="1:5" x14ac:dyDescent="0.3">
      <c r="A37" s="53">
        <v>5091651</v>
      </c>
      <c r="B37" s="49" t="s">
        <v>158</v>
      </c>
      <c r="C37" s="51">
        <v>24.2</v>
      </c>
      <c r="D37" s="50"/>
      <c r="E37" s="50"/>
    </row>
    <row r="38" spans="1:5" x14ac:dyDescent="0.3">
      <c r="A38" s="53">
        <v>5248426</v>
      </c>
      <c r="B38" s="49" t="s">
        <v>159</v>
      </c>
      <c r="C38" s="51">
        <v>31.64</v>
      </c>
      <c r="D38" s="50"/>
      <c r="E38" s="50"/>
    </row>
    <row r="39" spans="1:5" x14ac:dyDescent="0.3">
      <c r="A39" s="53">
        <v>5091656</v>
      </c>
      <c r="B39" s="49" t="s">
        <v>160</v>
      </c>
      <c r="C39" s="51">
        <v>31.64</v>
      </c>
      <c r="D39" s="50"/>
      <c r="E39" s="50"/>
    </row>
    <row r="40" spans="1:5" x14ac:dyDescent="0.3">
      <c r="A40" s="53">
        <v>5248419</v>
      </c>
      <c r="B40" s="49" t="s">
        <v>161</v>
      </c>
      <c r="C40" s="51">
        <v>31.64</v>
      </c>
      <c r="D40" s="50"/>
      <c r="E40" s="50"/>
    </row>
    <row r="41" spans="1:5" x14ac:dyDescent="0.3">
      <c r="A41" s="53">
        <v>5094278</v>
      </c>
      <c r="B41" s="49" t="s">
        <v>162</v>
      </c>
      <c r="C41" s="51">
        <v>22.75</v>
      </c>
      <c r="D41" s="50"/>
      <c r="E41" s="50"/>
    </row>
    <row r="42" spans="1:5" x14ac:dyDescent="0.3">
      <c r="A42" s="53">
        <v>5090590</v>
      </c>
      <c r="B42" s="49" t="s">
        <v>6733</v>
      </c>
      <c r="C42" s="51">
        <v>32.61</v>
      </c>
      <c r="D42" s="50"/>
      <c r="E42" s="50"/>
    </row>
    <row r="43" spans="1:5" x14ac:dyDescent="0.3">
      <c r="A43" s="53">
        <v>5091654</v>
      </c>
      <c r="B43" s="49" t="s">
        <v>164</v>
      </c>
      <c r="C43" s="51">
        <v>33.26</v>
      </c>
      <c r="D43" s="50"/>
      <c r="E43" s="50"/>
    </row>
    <row r="44" spans="1:5" x14ac:dyDescent="0.3">
      <c r="A44" s="53">
        <v>5091652</v>
      </c>
      <c r="B44" s="49" t="s">
        <v>165</v>
      </c>
      <c r="C44" s="51">
        <v>14.69</v>
      </c>
      <c r="D44" s="50"/>
      <c r="E44" s="50"/>
    </row>
    <row r="45" spans="1:5" x14ac:dyDescent="0.3">
      <c r="A45" s="53">
        <v>5091653</v>
      </c>
      <c r="B45" s="49" t="s">
        <v>166</v>
      </c>
      <c r="C45" s="51">
        <v>17.41</v>
      </c>
      <c r="D45" s="50"/>
      <c r="E45" s="50"/>
    </row>
    <row r="46" spans="1:5" x14ac:dyDescent="0.3">
      <c r="A46" s="53">
        <v>5248422</v>
      </c>
      <c r="B46" s="49" t="s">
        <v>167</v>
      </c>
      <c r="C46" s="51">
        <v>31.64</v>
      </c>
      <c r="D46" s="50"/>
      <c r="E46" s="50"/>
    </row>
    <row r="47" spans="1:5" x14ac:dyDescent="0.3">
      <c r="A47" s="53">
        <v>5248423</v>
      </c>
      <c r="B47" s="49" t="s">
        <v>168</v>
      </c>
      <c r="C47" s="51">
        <v>31.64</v>
      </c>
      <c r="D47" s="50"/>
      <c r="E47" s="50"/>
    </row>
    <row r="48" spans="1:5" x14ac:dyDescent="0.3">
      <c r="A48" s="53">
        <v>5248424</v>
      </c>
      <c r="B48" s="49" t="s">
        <v>169</v>
      </c>
      <c r="C48" s="51">
        <v>31.64</v>
      </c>
      <c r="D48" s="50"/>
      <c r="E48" s="50"/>
    </row>
    <row r="49" spans="1:5" x14ac:dyDescent="0.3">
      <c r="A49" s="53">
        <v>5149187</v>
      </c>
      <c r="B49" s="49" t="s">
        <v>170</v>
      </c>
      <c r="C49" s="51">
        <v>33.25</v>
      </c>
      <c r="D49" s="50"/>
      <c r="E49" s="50"/>
    </row>
    <row r="50" spans="1:5" x14ac:dyDescent="0.3">
      <c r="A50" s="53">
        <v>5149182</v>
      </c>
      <c r="B50" s="49" t="s">
        <v>171</v>
      </c>
      <c r="C50" s="51">
        <v>10.56</v>
      </c>
      <c r="D50" s="50"/>
      <c r="E50" s="50"/>
    </row>
    <row r="51" spans="1:5" x14ac:dyDescent="0.3">
      <c r="A51" s="53">
        <v>5149183</v>
      </c>
      <c r="B51" s="49" t="s">
        <v>172</v>
      </c>
      <c r="C51" s="51">
        <v>17.420000000000002</v>
      </c>
      <c r="D51" s="50"/>
      <c r="E51" s="50"/>
    </row>
    <row r="52" spans="1:5" x14ac:dyDescent="0.3">
      <c r="A52" s="53">
        <v>5248425</v>
      </c>
      <c r="B52" s="49" t="s">
        <v>173</v>
      </c>
      <c r="C52" s="51">
        <v>31.64</v>
      </c>
      <c r="D52" s="50"/>
      <c r="E52" s="50"/>
    </row>
    <row r="53" spans="1:5" x14ac:dyDescent="0.3">
      <c r="A53" s="53">
        <v>5090802</v>
      </c>
      <c r="B53" s="49" t="s">
        <v>6734</v>
      </c>
      <c r="C53" s="51">
        <v>44.77</v>
      </c>
      <c r="D53" s="50"/>
      <c r="E53" s="50"/>
    </row>
    <row r="54" spans="1:5" x14ac:dyDescent="0.3">
      <c r="A54" s="53">
        <v>5090799</v>
      </c>
      <c r="B54" s="49" t="s">
        <v>6735</v>
      </c>
      <c r="C54" s="51">
        <v>7.82</v>
      </c>
      <c r="D54" s="50"/>
      <c r="E54" s="50"/>
    </row>
    <row r="55" spans="1:5" x14ac:dyDescent="0.3">
      <c r="A55" s="53">
        <v>5090800</v>
      </c>
      <c r="B55" s="49" t="s">
        <v>6736</v>
      </c>
      <c r="C55" s="51">
        <v>15.48</v>
      </c>
      <c r="D55" s="50"/>
      <c r="E55" s="50"/>
    </row>
    <row r="56" spans="1:5" x14ac:dyDescent="0.3">
      <c r="A56" s="53">
        <v>5090801</v>
      </c>
      <c r="B56" s="49" t="s">
        <v>6737</v>
      </c>
      <c r="C56" s="51">
        <v>24.55</v>
      </c>
      <c r="D56" s="50"/>
      <c r="E56" s="50"/>
    </row>
    <row r="57" spans="1:5" x14ac:dyDescent="0.3">
      <c r="A57" s="53">
        <v>5091649</v>
      </c>
      <c r="B57" s="49" t="s">
        <v>178</v>
      </c>
      <c r="C57" s="51">
        <v>30.61</v>
      </c>
      <c r="D57" s="50"/>
      <c r="E57" s="50"/>
    </row>
    <row r="58" spans="1:5" x14ac:dyDescent="0.3">
      <c r="A58" s="53">
        <v>5091646</v>
      </c>
      <c r="B58" s="49" t="s">
        <v>179</v>
      </c>
      <c r="C58" s="51">
        <v>9.39</v>
      </c>
      <c r="D58" s="50"/>
      <c r="E58" s="50"/>
    </row>
    <row r="59" spans="1:5" x14ac:dyDescent="0.3">
      <c r="A59" s="53">
        <v>5091647</v>
      </c>
      <c r="B59" s="49" t="s">
        <v>180</v>
      </c>
      <c r="C59" s="51">
        <v>15.92</v>
      </c>
      <c r="D59" s="50"/>
      <c r="E59" s="50"/>
    </row>
    <row r="60" spans="1:5" x14ac:dyDescent="0.3">
      <c r="A60" s="53">
        <v>5248421</v>
      </c>
      <c r="B60" s="49" t="s">
        <v>181</v>
      </c>
      <c r="C60" s="51">
        <v>31.64</v>
      </c>
      <c r="D60" s="50"/>
      <c r="E60" s="50"/>
    </row>
    <row r="61" spans="1:5" x14ac:dyDescent="0.3">
      <c r="A61" s="53">
        <v>5236668</v>
      </c>
      <c r="B61" s="49" t="s">
        <v>33</v>
      </c>
      <c r="C61" s="51">
        <v>13.27</v>
      </c>
      <c r="D61" s="50"/>
      <c r="E61" s="50"/>
    </row>
    <row r="62" spans="1:5" x14ac:dyDescent="0.3">
      <c r="A62" s="53">
        <v>5218591</v>
      </c>
      <c r="B62" s="49" t="s">
        <v>34</v>
      </c>
      <c r="C62" s="51">
        <v>19.8</v>
      </c>
      <c r="D62" s="50"/>
      <c r="E62" s="50"/>
    </row>
    <row r="63" spans="1:5" x14ac:dyDescent="0.3">
      <c r="A63" s="53">
        <v>5219308</v>
      </c>
      <c r="B63" s="49" t="s">
        <v>6738</v>
      </c>
      <c r="C63" s="51">
        <v>19.75</v>
      </c>
      <c r="D63" s="50"/>
      <c r="E63" s="50"/>
    </row>
    <row r="64" spans="1:5" x14ac:dyDescent="0.3">
      <c r="A64" s="53">
        <v>5218595</v>
      </c>
      <c r="B64" s="49" t="s">
        <v>36</v>
      </c>
      <c r="C64" s="51">
        <v>18</v>
      </c>
      <c r="D64" s="50"/>
      <c r="E64" s="50"/>
    </row>
    <row r="65" spans="1:5" x14ac:dyDescent="0.3">
      <c r="A65" s="53">
        <v>5219314</v>
      </c>
      <c r="B65" s="49" t="s">
        <v>6739</v>
      </c>
      <c r="C65" s="51">
        <v>13.53</v>
      </c>
      <c r="D65" s="50"/>
      <c r="E65" s="50"/>
    </row>
    <row r="66" spans="1:5" x14ac:dyDescent="0.3">
      <c r="A66" s="53">
        <v>5219315</v>
      </c>
      <c r="B66" s="49" t="s">
        <v>6740</v>
      </c>
      <c r="C66" s="51">
        <v>22.33</v>
      </c>
      <c r="D66" s="50"/>
      <c r="E66" s="50"/>
    </row>
    <row r="67" spans="1:5" x14ac:dyDescent="0.3">
      <c r="A67" s="53">
        <v>5218596</v>
      </c>
      <c r="B67" s="49" t="s">
        <v>39</v>
      </c>
      <c r="C67" s="51">
        <v>17.54</v>
      </c>
      <c r="D67" s="50"/>
      <c r="E67" s="50"/>
    </row>
    <row r="68" spans="1:5" x14ac:dyDescent="0.3">
      <c r="A68" s="53">
        <v>5242831</v>
      </c>
      <c r="B68" s="49" t="s">
        <v>40</v>
      </c>
      <c r="C68" s="51">
        <v>34.97</v>
      </c>
      <c r="D68" s="50"/>
      <c r="E68" s="50"/>
    </row>
    <row r="69" spans="1:5" x14ac:dyDescent="0.3">
      <c r="A69" s="53">
        <v>5242800</v>
      </c>
      <c r="B69" s="49" t="s">
        <v>41</v>
      </c>
      <c r="C69" s="51">
        <v>20.39</v>
      </c>
      <c r="D69" s="50"/>
      <c r="E69" s="50"/>
    </row>
    <row r="70" spans="1:5" x14ac:dyDescent="0.3">
      <c r="A70" s="53">
        <v>5236727</v>
      </c>
      <c r="B70" s="49" t="s">
        <v>6741</v>
      </c>
      <c r="C70" s="51">
        <v>37.96</v>
      </c>
      <c r="D70" s="50"/>
      <c r="E70" s="50"/>
    </row>
    <row r="71" spans="1:5" x14ac:dyDescent="0.3">
      <c r="A71" s="53">
        <v>5236667</v>
      </c>
      <c r="B71" s="49" t="s">
        <v>43</v>
      </c>
      <c r="C71" s="51">
        <v>31.72</v>
      </c>
      <c r="D71" s="50"/>
      <c r="E71" s="50"/>
    </row>
    <row r="72" spans="1:5" x14ac:dyDescent="0.3">
      <c r="A72" s="53">
        <v>5090592</v>
      </c>
      <c r="B72" s="49" t="s">
        <v>6742</v>
      </c>
      <c r="C72" s="51">
        <v>56.06</v>
      </c>
      <c r="D72" s="50"/>
      <c r="E72" s="50"/>
    </row>
    <row r="73" spans="1:5" x14ac:dyDescent="0.3">
      <c r="A73" s="53">
        <v>5092359</v>
      </c>
      <c r="B73" s="49" t="s">
        <v>49</v>
      </c>
      <c r="C73" s="51">
        <v>24.52</v>
      </c>
      <c r="D73" s="50"/>
      <c r="E73" s="50"/>
    </row>
    <row r="74" spans="1:5" x14ac:dyDescent="0.3">
      <c r="A74" s="53">
        <v>5082319</v>
      </c>
      <c r="B74" s="49" t="s">
        <v>50</v>
      </c>
      <c r="C74" s="51">
        <v>16.010000000000002</v>
      </c>
      <c r="D74" s="50"/>
      <c r="E74" s="50"/>
    </row>
    <row r="75" spans="1:5" x14ac:dyDescent="0.3">
      <c r="A75" s="53">
        <v>5082320</v>
      </c>
      <c r="B75" s="49" t="s">
        <v>51</v>
      </c>
      <c r="C75" s="51">
        <v>25.5</v>
      </c>
      <c r="D75" s="50"/>
      <c r="E75" s="50"/>
    </row>
    <row r="76" spans="1:5" x14ac:dyDescent="0.3">
      <c r="A76" s="53">
        <v>5090807</v>
      </c>
      <c r="B76" s="49" t="s">
        <v>6743</v>
      </c>
      <c r="C76" s="51">
        <v>10.62</v>
      </c>
      <c r="D76" s="50"/>
      <c r="E76" s="50"/>
    </row>
    <row r="77" spans="1:5" x14ac:dyDescent="0.3">
      <c r="A77" s="53">
        <v>5090808</v>
      </c>
      <c r="B77" s="49" t="s">
        <v>6744</v>
      </c>
      <c r="C77" s="51">
        <v>20.41</v>
      </c>
      <c r="D77" s="50"/>
      <c r="E77" s="50"/>
    </row>
    <row r="78" spans="1:5" x14ac:dyDescent="0.3">
      <c r="A78" s="53">
        <v>5090809</v>
      </c>
      <c r="B78" s="49" t="s">
        <v>6745</v>
      </c>
      <c r="C78" s="51">
        <v>33.880000000000003</v>
      </c>
      <c r="D78" s="50"/>
      <c r="E78" s="50"/>
    </row>
    <row r="79" spans="1:5" x14ac:dyDescent="0.3">
      <c r="A79" s="53">
        <v>5090767</v>
      </c>
      <c r="B79" s="49" t="s">
        <v>6746</v>
      </c>
      <c r="C79" s="51">
        <v>48.22</v>
      </c>
      <c r="D79" s="50"/>
      <c r="E79" s="50"/>
    </row>
    <row r="80" spans="1:5" x14ac:dyDescent="0.3">
      <c r="A80" s="53">
        <v>5191768</v>
      </c>
      <c r="B80" s="49" t="s">
        <v>58</v>
      </c>
      <c r="C80" s="51">
        <v>19.13</v>
      </c>
      <c r="D80" s="50"/>
      <c r="E80" s="50"/>
    </row>
    <row r="81" spans="1:5" x14ac:dyDescent="0.3">
      <c r="A81" s="53">
        <v>5224645</v>
      </c>
      <c r="B81" s="49" t="s">
        <v>59</v>
      </c>
      <c r="C81" s="51">
        <v>37.46</v>
      </c>
      <c r="D81" s="50"/>
      <c r="E81" s="50"/>
    </row>
    <row r="82" spans="1:5" x14ac:dyDescent="0.3">
      <c r="A82" s="53">
        <v>5191767</v>
      </c>
      <c r="B82" s="49" t="s">
        <v>60</v>
      </c>
      <c r="C82" s="51">
        <v>12.2</v>
      </c>
      <c r="D82" s="50"/>
      <c r="E82" s="50"/>
    </row>
    <row r="83" spans="1:5" x14ac:dyDescent="0.3">
      <c r="A83" s="53">
        <v>5122627</v>
      </c>
      <c r="B83" s="49" t="s">
        <v>61</v>
      </c>
      <c r="C83" s="51">
        <v>20.02</v>
      </c>
      <c r="D83" s="50"/>
      <c r="E83" s="50"/>
    </row>
    <row r="84" spans="1:5" x14ac:dyDescent="0.3">
      <c r="A84" s="53">
        <v>5224812</v>
      </c>
      <c r="B84" s="49" t="s">
        <v>6747</v>
      </c>
      <c r="C84" s="51">
        <v>54.63</v>
      </c>
      <c r="D84" s="50"/>
      <c r="E84" s="50"/>
    </row>
    <row r="85" spans="1:5" x14ac:dyDescent="0.3">
      <c r="A85" s="53">
        <v>5090750</v>
      </c>
      <c r="B85" s="49" t="s">
        <v>6748</v>
      </c>
      <c r="C85" s="51">
        <v>18.47</v>
      </c>
      <c r="D85" s="50"/>
      <c r="E85" s="50"/>
    </row>
    <row r="86" spans="1:5" x14ac:dyDescent="0.3">
      <c r="A86" s="53">
        <v>5090751</v>
      </c>
      <c r="B86" s="49" t="s">
        <v>6749</v>
      </c>
      <c r="C86" s="51">
        <v>29.61</v>
      </c>
      <c r="D86" s="50"/>
      <c r="E86" s="50"/>
    </row>
    <row r="87" spans="1:5" x14ac:dyDescent="0.3">
      <c r="A87" s="53">
        <v>5572017</v>
      </c>
      <c r="B87" s="49" t="s">
        <v>6750</v>
      </c>
      <c r="C87" s="51">
        <v>38.340000000000003</v>
      </c>
      <c r="D87" s="50"/>
      <c r="E87" s="50"/>
    </row>
    <row r="88" spans="1:5" x14ac:dyDescent="0.3">
      <c r="A88" s="53">
        <v>5518972</v>
      </c>
      <c r="B88" s="49" t="s">
        <v>66</v>
      </c>
      <c r="C88" s="51">
        <v>25.34</v>
      </c>
      <c r="D88" s="50"/>
      <c r="E88" s="50"/>
    </row>
    <row r="89" spans="1:5" x14ac:dyDescent="0.3">
      <c r="A89" s="53">
        <v>5282772</v>
      </c>
      <c r="B89" s="49" t="s">
        <v>101</v>
      </c>
      <c r="C89" s="51">
        <v>15.29</v>
      </c>
      <c r="D89" s="50"/>
      <c r="E89" s="50"/>
    </row>
    <row r="90" spans="1:5" x14ac:dyDescent="0.3">
      <c r="A90" s="53">
        <v>5282774</v>
      </c>
      <c r="B90" s="49" t="s">
        <v>102</v>
      </c>
      <c r="C90" s="51">
        <v>29.68</v>
      </c>
      <c r="D90" s="50"/>
      <c r="E90" s="50"/>
    </row>
    <row r="91" spans="1:5" x14ac:dyDescent="0.3">
      <c r="A91" s="53">
        <v>5282776</v>
      </c>
      <c r="B91" s="49" t="s">
        <v>103</v>
      </c>
      <c r="C91" s="51">
        <v>45.35</v>
      </c>
      <c r="D91" s="50"/>
      <c r="E91" s="50"/>
    </row>
    <row r="92" spans="1:5" x14ac:dyDescent="0.3">
      <c r="A92" s="53">
        <v>5326056</v>
      </c>
      <c r="B92" s="49" t="s">
        <v>6751</v>
      </c>
      <c r="C92" s="51">
        <v>22.03</v>
      </c>
      <c r="D92" s="50"/>
      <c r="E92" s="50"/>
    </row>
    <row r="93" spans="1:5" x14ac:dyDescent="0.3">
      <c r="A93" s="53">
        <v>5326057</v>
      </c>
      <c r="B93" s="49" t="s">
        <v>6752</v>
      </c>
      <c r="C93" s="51">
        <v>43.1</v>
      </c>
      <c r="D93" s="50"/>
      <c r="E93" s="50"/>
    </row>
    <row r="94" spans="1:5" x14ac:dyDescent="0.3">
      <c r="A94" s="53">
        <v>5326058</v>
      </c>
      <c r="B94" s="49" t="s">
        <v>6753</v>
      </c>
      <c r="C94" s="51">
        <v>59.95</v>
      </c>
      <c r="D94" s="50"/>
      <c r="E94" s="50"/>
    </row>
    <row r="95" spans="1:5" x14ac:dyDescent="0.3">
      <c r="A95" s="53">
        <v>5183260</v>
      </c>
      <c r="B95" s="49" t="s">
        <v>107</v>
      </c>
      <c r="C95" s="51">
        <v>12.23</v>
      </c>
      <c r="D95" s="50"/>
      <c r="E95" s="50"/>
    </row>
    <row r="96" spans="1:5" x14ac:dyDescent="0.3">
      <c r="A96" s="53">
        <v>5183328</v>
      </c>
      <c r="B96" s="49" t="s">
        <v>108</v>
      </c>
      <c r="C96" s="51">
        <v>23.16</v>
      </c>
      <c r="D96" s="50"/>
      <c r="E96" s="50"/>
    </row>
    <row r="97" spans="1:5" x14ac:dyDescent="0.3">
      <c r="A97" s="53">
        <v>5184007</v>
      </c>
      <c r="B97" s="49" t="s">
        <v>109</v>
      </c>
      <c r="C97" s="51">
        <v>38.42</v>
      </c>
      <c r="D97" s="50"/>
      <c r="E97" s="50"/>
    </row>
    <row r="98" spans="1:5" x14ac:dyDescent="0.3">
      <c r="A98" s="53">
        <v>5082976</v>
      </c>
      <c r="B98" s="49" t="s">
        <v>110</v>
      </c>
      <c r="C98" s="51">
        <v>9.17</v>
      </c>
      <c r="D98" s="50"/>
      <c r="E98" s="50"/>
    </row>
    <row r="99" spans="1:5" x14ac:dyDescent="0.3">
      <c r="A99" s="53">
        <v>5082977</v>
      </c>
      <c r="B99" s="49" t="s">
        <v>111</v>
      </c>
      <c r="C99" s="51">
        <v>15.9</v>
      </c>
      <c r="D99" s="50"/>
      <c r="E99" s="50"/>
    </row>
    <row r="100" spans="1:5" x14ac:dyDescent="0.3">
      <c r="A100" s="53">
        <v>5091026</v>
      </c>
      <c r="B100" s="49" t="s">
        <v>112</v>
      </c>
      <c r="C100" s="51">
        <v>26.59</v>
      </c>
      <c r="D100" s="50"/>
      <c r="E100" s="50"/>
    </row>
    <row r="101" spans="1:5" x14ac:dyDescent="0.3">
      <c r="A101" s="53">
        <v>5090726</v>
      </c>
      <c r="B101" s="49" t="s">
        <v>6754</v>
      </c>
      <c r="C101" s="51">
        <v>12.31</v>
      </c>
      <c r="D101" s="50"/>
      <c r="E101" s="50"/>
    </row>
    <row r="102" spans="1:5" x14ac:dyDescent="0.3">
      <c r="A102" s="53">
        <v>5090727</v>
      </c>
      <c r="B102" s="49" t="s">
        <v>6755</v>
      </c>
      <c r="C102" s="51">
        <v>23.84</v>
      </c>
      <c r="D102" s="50"/>
      <c r="E102" s="50"/>
    </row>
    <row r="103" spans="1:5" x14ac:dyDescent="0.3">
      <c r="A103" s="53">
        <v>5090728</v>
      </c>
      <c r="B103" s="49" t="s">
        <v>6756</v>
      </c>
      <c r="C103" s="51">
        <v>40.090000000000003</v>
      </c>
      <c r="D103" s="50"/>
      <c r="E103" s="50"/>
    </row>
    <row r="104" spans="1:5" x14ac:dyDescent="0.3">
      <c r="A104" s="53">
        <v>5089649</v>
      </c>
      <c r="B104" s="49" t="s">
        <v>116</v>
      </c>
      <c r="C104" s="51">
        <v>8.3000000000000007</v>
      </c>
      <c r="D104" s="50"/>
      <c r="E104" s="50"/>
    </row>
    <row r="105" spans="1:5" x14ac:dyDescent="0.3">
      <c r="A105" s="53">
        <v>5089681</v>
      </c>
      <c r="B105" s="49" t="s">
        <v>117</v>
      </c>
      <c r="C105" s="51">
        <v>14.7</v>
      </c>
      <c r="D105" s="50"/>
      <c r="E105" s="50"/>
    </row>
    <row r="106" spans="1:5" x14ac:dyDescent="0.3">
      <c r="A106" s="53">
        <v>5091012</v>
      </c>
      <c r="B106" s="49" t="s">
        <v>118</v>
      </c>
      <c r="C106" s="51">
        <v>24.22</v>
      </c>
      <c r="D106" s="50"/>
      <c r="E106" s="50"/>
    </row>
    <row r="107" spans="1:5" x14ac:dyDescent="0.3">
      <c r="A107" s="53">
        <v>5220069</v>
      </c>
      <c r="B107" s="49" t="s">
        <v>120</v>
      </c>
      <c r="C107" s="51">
        <v>10.8</v>
      </c>
      <c r="D107" s="50"/>
      <c r="E107" s="50"/>
    </row>
    <row r="108" spans="1:5" x14ac:dyDescent="0.3">
      <c r="A108" s="53">
        <v>5220092</v>
      </c>
      <c r="B108" s="49" t="s">
        <v>121</v>
      </c>
      <c r="C108" s="51">
        <v>20.239999999999998</v>
      </c>
      <c r="D108" s="50"/>
      <c r="E108" s="50"/>
    </row>
    <row r="109" spans="1:5" x14ac:dyDescent="0.3">
      <c r="A109" s="53">
        <v>5220126</v>
      </c>
      <c r="B109" s="49" t="s">
        <v>122</v>
      </c>
      <c r="C109" s="51">
        <v>34.159999999999997</v>
      </c>
      <c r="D109" s="50"/>
      <c r="E109" s="50"/>
    </row>
    <row r="110" spans="1:5" x14ac:dyDescent="0.3">
      <c r="A110" s="53">
        <v>5220395</v>
      </c>
      <c r="B110" s="49" t="s">
        <v>6757</v>
      </c>
      <c r="C110" s="51">
        <v>15.29</v>
      </c>
      <c r="D110" s="50"/>
      <c r="E110" s="50"/>
    </row>
    <row r="111" spans="1:5" x14ac:dyDescent="0.3">
      <c r="A111" s="53">
        <v>5220396</v>
      </c>
      <c r="B111" s="49" t="s">
        <v>6758</v>
      </c>
      <c r="C111" s="51">
        <v>29.21</v>
      </c>
      <c r="D111" s="50"/>
      <c r="E111" s="50"/>
    </row>
    <row r="112" spans="1:5" x14ac:dyDescent="0.3">
      <c r="A112" s="53">
        <v>5220397</v>
      </c>
      <c r="B112" s="49" t="s">
        <v>6759</v>
      </c>
      <c r="C112" s="51">
        <v>49</v>
      </c>
      <c r="D112" s="50"/>
      <c r="E112" s="50"/>
    </row>
    <row r="113" spans="1:5" x14ac:dyDescent="0.3">
      <c r="A113" s="53">
        <v>5220398</v>
      </c>
      <c r="B113" s="49" t="s">
        <v>6760</v>
      </c>
      <c r="C113" s="51">
        <v>17.98</v>
      </c>
      <c r="D113" s="50"/>
      <c r="E113" s="50"/>
    </row>
    <row r="114" spans="1:5" x14ac:dyDescent="0.3">
      <c r="A114" s="53">
        <v>5220399</v>
      </c>
      <c r="B114" s="49" t="s">
        <v>6761</v>
      </c>
      <c r="C114" s="51">
        <v>34.619999999999997</v>
      </c>
      <c r="D114" s="50"/>
      <c r="E114" s="50"/>
    </row>
    <row r="115" spans="1:5" x14ac:dyDescent="0.3">
      <c r="A115" s="53">
        <v>5220433</v>
      </c>
      <c r="B115" s="49" t="s">
        <v>6762</v>
      </c>
      <c r="C115" s="51">
        <v>57.54</v>
      </c>
      <c r="D115" s="50"/>
      <c r="E115" s="50"/>
    </row>
    <row r="116" spans="1:5" x14ac:dyDescent="0.3">
      <c r="A116" s="53">
        <v>5220148</v>
      </c>
      <c r="B116" s="49" t="s">
        <v>129</v>
      </c>
      <c r="C116" s="51">
        <v>23.29</v>
      </c>
      <c r="D116" s="50"/>
      <c r="E116" s="50"/>
    </row>
    <row r="117" spans="1:5" x14ac:dyDescent="0.3">
      <c r="A117" s="53">
        <v>5220147</v>
      </c>
      <c r="B117" s="49" t="s">
        <v>130</v>
      </c>
      <c r="C117" s="51">
        <v>13.42</v>
      </c>
      <c r="D117" s="50"/>
      <c r="E117" s="50"/>
    </row>
    <row r="118" spans="1:5" x14ac:dyDescent="0.3">
      <c r="A118" s="53">
        <v>5220149</v>
      </c>
      <c r="B118" s="49" t="s">
        <v>131</v>
      </c>
      <c r="C118" s="51">
        <v>38.409999999999997</v>
      </c>
      <c r="D118" s="50"/>
      <c r="E118" s="50"/>
    </row>
    <row r="119" spans="1:5" x14ac:dyDescent="0.3">
      <c r="A119" s="53">
        <v>5220150</v>
      </c>
      <c r="B119" s="49" t="s">
        <v>132</v>
      </c>
      <c r="C119" s="51">
        <v>9.4600000000000009</v>
      </c>
      <c r="D119" s="50"/>
      <c r="E119" s="50"/>
    </row>
    <row r="120" spans="1:5" x14ac:dyDescent="0.3">
      <c r="A120" s="53">
        <v>5220151</v>
      </c>
      <c r="B120" s="49" t="s">
        <v>133</v>
      </c>
      <c r="C120" s="51">
        <v>18.43</v>
      </c>
      <c r="D120" s="50"/>
      <c r="E120" s="50"/>
    </row>
    <row r="121" spans="1:5" x14ac:dyDescent="0.3">
      <c r="A121" s="53">
        <v>5220152</v>
      </c>
      <c r="B121" s="49" t="s">
        <v>134</v>
      </c>
      <c r="C121" s="51">
        <v>31.01</v>
      </c>
      <c r="D121" s="50"/>
      <c r="E121" s="50"/>
    </row>
    <row r="122" spans="1:5" x14ac:dyDescent="0.3">
      <c r="A122" s="53">
        <v>5242767</v>
      </c>
      <c r="B122" s="49" t="s">
        <v>6763</v>
      </c>
      <c r="C122" s="51">
        <v>13.9</v>
      </c>
      <c r="D122" s="50"/>
      <c r="E122" s="50"/>
    </row>
    <row r="123" spans="1:5" x14ac:dyDescent="0.3">
      <c r="A123" s="53">
        <v>5242783</v>
      </c>
      <c r="B123" s="49" t="s">
        <v>6764</v>
      </c>
      <c r="C123" s="51">
        <v>26.58</v>
      </c>
      <c r="D123" s="50"/>
      <c r="E123" s="50"/>
    </row>
    <row r="124" spans="1:5" x14ac:dyDescent="0.3">
      <c r="A124" s="53">
        <v>5242791</v>
      </c>
      <c r="B124" s="49" t="s">
        <v>6765</v>
      </c>
      <c r="C124" s="51">
        <v>37.25</v>
      </c>
      <c r="D124" s="50"/>
      <c r="E124" s="50"/>
    </row>
    <row r="125" spans="1:5" x14ac:dyDescent="0.3">
      <c r="A125" s="53">
        <v>5183281</v>
      </c>
      <c r="B125" s="49" t="s">
        <v>138</v>
      </c>
      <c r="C125" s="51">
        <v>11.36</v>
      </c>
      <c r="D125" s="50"/>
      <c r="E125" s="50"/>
    </row>
    <row r="126" spans="1:5" x14ac:dyDescent="0.3">
      <c r="A126" s="53">
        <v>5183381</v>
      </c>
      <c r="B126" s="49" t="s">
        <v>139</v>
      </c>
      <c r="C126" s="51">
        <v>20.27</v>
      </c>
      <c r="D126" s="50"/>
      <c r="E126" s="50"/>
    </row>
    <row r="127" spans="1:5" x14ac:dyDescent="0.3">
      <c r="A127" s="53">
        <v>5183994</v>
      </c>
      <c r="B127" s="49" t="s">
        <v>140</v>
      </c>
      <c r="C127" s="51">
        <v>34.15</v>
      </c>
      <c r="D127" s="50"/>
      <c r="E127" s="50"/>
    </row>
    <row r="128" spans="1:5" x14ac:dyDescent="0.3">
      <c r="A128" s="53">
        <v>5090729</v>
      </c>
      <c r="B128" s="49" t="s">
        <v>6766</v>
      </c>
      <c r="C128" s="51">
        <v>14.7</v>
      </c>
      <c r="D128" s="50"/>
      <c r="E128" s="50"/>
    </row>
    <row r="129" spans="1:5" x14ac:dyDescent="0.3">
      <c r="A129" s="53">
        <v>5090730</v>
      </c>
      <c r="B129" s="49" t="s">
        <v>6767</v>
      </c>
      <c r="C129" s="51">
        <v>28.21</v>
      </c>
      <c r="D129" s="50"/>
      <c r="E129" s="50"/>
    </row>
    <row r="130" spans="1:5" x14ac:dyDescent="0.3">
      <c r="A130" s="53">
        <v>5090731</v>
      </c>
      <c r="B130" s="49" t="s">
        <v>6768</v>
      </c>
      <c r="C130" s="51">
        <v>46.84</v>
      </c>
      <c r="D130" s="50"/>
      <c r="E130" s="50"/>
    </row>
    <row r="131" spans="1:5" x14ac:dyDescent="0.3">
      <c r="A131" s="53">
        <v>5183283</v>
      </c>
      <c r="B131" s="49" t="s">
        <v>144</v>
      </c>
      <c r="C131" s="51">
        <v>9.64</v>
      </c>
      <c r="D131" s="50"/>
      <c r="E131" s="50"/>
    </row>
    <row r="132" spans="1:5" x14ac:dyDescent="0.3">
      <c r="A132" s="53">
        <v>5183383</v>
      </c>
      <c r="B132" s="49" t="s">
        <v>145</v>
      </c>
      <c r="C132" s="51">
        <v>17.48</v>
      </c>
      <c r="D132" s="50"/>
      <c r="E132" s="50"/>
    </row>
    <row r="133" spans="1:5" x14ac:dyDescent="0.3">
      <c r="A133" s="53">
        <v>5183991</v>
      </c>
      <c r="B133" s="49" t="s">
        <v>146</v>
      </c>
      <c r="C133" s="51">
        <v>26.59</v>
      </c>
      <c r="D133" s="50"/>
      <c r="E133" s="50"/>
    </row>
    <row r="134" spans="1:5" x14ac:dyDescent="0.3">
      <c r="A134" s="53">
        <v>5183261</v>
      </c>
      <c r="B134" s="49" t="s">
        <v>147</v>
      </c>
      <c r="C134" s="51">
        <v>12.24</v>
      </c>
      <c r="D134" s="50"/>
      <c r="E134" s="50"/>
    </row>
    <row r="135" spans="1:5" x14ac:dyDescent="0.3">
      <c r="A135" s="53">
        <v>5183329</v>
      </c>
      <c r="B135" s="49" t="s">
        <v>148</v>
      </c>
      <c r="C135" s="51">
        <v>18.940000000000001</v>
      </c>
      <c r="D135" s="50"/>
      <c r="E135" s="50"/>
    </row>
    <row r="136" spans="1:5" x14ac:dyDescent="0.3">
      <c r="A136" s="53">
        <v>5184004</v>
      </c>
      <c r="B136" s="49" t="s">
        <v>149</v>
      </c>
      <c r="C136" s="51">
        <v>31.43</v>
      </c>
      <c r="D136" s="50"/>
      <c r="E136" s="50"/>
    </row>
    <row r="137" spans="1:5" x14ac:dyDescent="0.3">
      <c r="A137" s="53">
        <v>5090755</v>
      </c>
      <c r="B137" s="49" t="s">
        <v>6769</v>
      </c>
      <c r="C137" s="51">
        <v>11.08</v>
      </c>
      <c r="D137" s="50"/>
      <c r="E137" s="50"/>
    </row>
    <row r="138" spans="1:5" x14ac:dyDescent="0.3">
      <c r="A138" s="53">
        <v>5090756</v>
      </c>
      <c r="B138" s="49" t="s">
        <v>6770</v>
      </c>
      <c r="C138" s="51">
        <v>23.84</v>
      </c>
      <c r="D138" s="50"/>
      <c r="E138" s="50"/>
    </row>
    <row r="139" spans="1:5" x14ac:dyDescent="0.3">
      <c r="A139" s="53">
        <v>5090757</v>
      </c>
      <c r="B139" s="49" t="s">
        <v>6771</v>
      </c>
      <c r="C139" s="51">
        <v>44.1</v>
      </c>
      <c r="D139" s="50"/>
      <c r="E139" s="50"/>
    </row>
    <row r="140" spans="1:5" x14ac:dyDescent="0.3">
      <c r="A140" s="53">
        <v>5183282</v>
      </c>
      <c r="B140" s="49" t="s">
        <v>154</v>
      </c>
      <c r="C140" s="51">
        <v>8.3000000000000007</v>
      </c>
      <c r="D140" s="50"/>
      <c r="E140" s="50"/>
    </row>
    <row r="141" spans="1:5" x14ac:dyDescent="0.3">
      <c r="A141" s="53">
        <v>5183382</v>
      </c>
      <c r="B141" s="49" t="s">
        <v>155</v>
      </c>
      <c r="C141" s="51">
        <v>14.7</v>
      </c>
      <c r="D141" s="50"/>
      <c r="E141" s="50"/>
    </row>
    <row r="142" spans="1:5" x14ac:dyDescent="0.3">
      <c r="A142" s="53">
        <v>5183993</v>
      </c>
      <c r="B142" s="49" t="s">
        <v>156</v>
      </c>
      <c r="C142" s="51">
        <v>24.22</v>
      </c>
      <c r="D142" s="50"/>
      <c r="E142" s="50"/>
    </row>
    <row r="143" spans="1:5" x14ac:dyDescent="0.3">
      <c r="A143" s="53">
        <v>5180253</v>
      </c>
      <c r="B143" s="49" t="s">
        <v>184</v>
      </c>
      <c r="C143" s="51">
        <v>20.100000000000001</v>
      </c>
      <c r="D143" s="50"/>
      <c r="E143" s="50"/>
    </row>
    <row r="144" spans="1:5" x14ac:dyDescent="0.3">
      <c r="A144" s="53">
        <v>5180262</v>
      </c>
      <c r="B144" s="49" t="s">
        <v>185</v>
      </c>
      <c r="C144" s="51">
        <v>35.33</v>
      </c>
      <c r="D144" s="50"/>
      <c r="E144" s="50"/>
    </row>
    <row r="145" spans="1:5" x14ac:dyDescent="0.3">
      <c r="A145" s="53">
        <v>5180447</v>
      </c>
      <c r="B145" s="49" t="s">
        <v>186</v>
      </c>
      <c r="C145" s="51">
        <v>59.14</v>
      </c>
      <c r="D145" s="50"/>
      <c r="E145" s="50"/>
    </row>
    <row r="146" spans="1:5" x14ac:dyDescent="0.3">
      <c r="A146" s="53">
        <v>5180254</v>
      </c>
      <c r="B146" s="49" t="s">
        <v>187</v>
      </c>
      <c r="C146" s="51">
        <v>13.98</v>
      </c>
      <c r="D146" s="50"/>
      <c r="E146" s="50"/>
    </row>
    <row r="147" spans="1:5" x14ac:dyDescent="0.3">
      <c r="A147" s="53">
        <v>5180263</v>
      </c>
      <c r="B147" s="49" t="s">
        <v>188</v>
      </c>
      <c r="C147" s="51">
        <v>21.8</v>
      </c>
      <c r="D147" s="50"/>
      <c r="E147" s="50"/>
    </row>
    <row r="148" spans="1:5" x14ac:dyDescent="0.3">
      <c r="A148" s="53">
        <v>5180448</v>
      </c>
      <c r="B148" s="49" t="s">
        <v>189</v>
      </c>
      <c r="C148" s="51">
        <v>36.44</v>
      </c>
      <c r="D148" s="50"/>
      <c r="E148" s="50"/>
    </row>
    <row r="149" spans="1:5" x14ac:dyDescent="0.3">
      <c r="A149" s="53">
        <v>5090732</v>
      </c>
      <c r="B149" s="49" t="s">
        <v>6772</v>
      </c>
      <c r="C149" s="51">
        <v>18.29</v>
      </c>
      <c r="D149" s="50"/>
      <c r="E149" s="50"/>
    </row>
    <row r="150" spans="1:5" x14ac:dyDescent="0.3">
      <c r="A150" s="53">
        <v>5090733</v>
      </c>
      <c r="B150" s="49" t="s">
        <v>6773</v>
      </c>
      <c r="C150" s="51">
        <v>35.33</v>
      </c>
      <c r="D150" s="50"/>
      <c r="E150" s="50"/>
    </row>
    <row r="151" spans="1:5" x14ac:dyDescent="0.3">
      <c r="A151" s="53">
        <v>5090734</v>
      </c>
      <c r="B151" s="49" t="s">
        <v>6774</v>
      </c>
      <c r="C151" s="51">
        <v>59.13</v>
      </c>
      <c r="D151" s="50"/>
      <c r="E151" s="50"/>
    </row>
    <row r="152" spans="1:5" x14ac:dyDescent="0.3">
      <c r="A152" s="53">
        <v>5180255</v>
      </c>
      <c r="B152" s="49" t="s">
        <v>193</v>
      </c>
      <c r="C152" s="51">
        <v>13.99</v>
      </c>
      <c r="D152" s="50"/>
      <c r="E152" s="50"/>
    </row>
    <row r="153" spans="1:5" x14ac:dyDescent="0.3">
      <c r="A153" s="53">
        <v>5180264</v>
      </c>
      <c r="B153" s="49" t="s">
        <v>194</v>
      </c>
      <c r="C153" s="51">
        <v>19.38</v>
      </c>
      <c r="D153" s="50"/>
      <c r="E153" s="50"/>
    </row>
    <row r="154" spans="1:5" x14ac:dyDescent="0.3">
      <c r="A154" s="53">
        <v>5180449</v>
      </c>
      <c r="B154" s="49" t="s">
        <v>195</v>
      </c>
      <c r="C154" s="51">
        <v>36.44</v>
      </c>
      <c r="D154" s="50"/>
      <c r="E154" s="50"/>
    </row>
    <row r="155" spans="1:5" x14ac:dyDescent="0.3">
      <c r="A155" s="53">
        <v>5180256</v>
      </c>
      <c r="B155" s="49" t="s">
        <v>196</v>
      </c>
      <c r="C155" s="51">
        <v>20.09</v>
      </c>
      <c r="D155" s="50"/>
      <c r="E155" s="50"/>
    </row>
    <row r="156" spans="1:5" x14ac:dyDescent="0.3">
      <c r="A156" s="53">
        <v>5180412</v>
      </c>
      <c r="B156" s="49" t="s">
        <v>197</v>
      </c>
      <c r="C156" s="51">
        <v>28.26</v>
      </c>
      <c r="D156" s="50"/>
      <c r="E156" s="50"/>
    </row>
    <row r="157" spans="1:5" x14ac:dyDescent="0.3">
      <c r="A157" s="53">
        <v>5180470</v>
      </c>
      <c r="B157" s="49" t="s">
        <v>198</v>
      </c>
      <c r="C157" s="51">
        <v>47.32</v>
      </c>
      <c r="D157" s="50"/>
      <c r="E157" s="50"/>
    </row>
    <row r="158" spans="1:5" x14ac:dyDescent="0.3">
      <c r="A158" s="53">
        <v>5090739</v>
      </c>
      <c r="B158" s="49" t="s">
        <v>6775</v>
      </c>
      <c r="C158" s="51">
        <v>20.100000000000001</v>
      </c>
      <c r="D158" s="50"/>
      <c r="E158" s="50"/>
    </row>
    <row r="159" spans="1:5" x14ac:dyDescent="0.3">
      <c r="A159" s="53">
        <v>5090740</v>
      </c>
      <c r="B159" s="49" t="s">
        <v>6776</v>
      </c>
      <c r="C159" s="51">
        <v>35.33</v>
      </c>
      <c r="D159" s="50"/>
      <c r="E159" s="50"/>
    </row>
    <row r="160" spans="1:5" x14ac:dyDescent="0.3">
      <c r="A160" s="53">
        <v>5090741</v>
      </c>
      <c r="B160" s="49" t="s">
        <v>6777</v>
      </c>
      <c r="C160" s="51">
        <v>59.14</v>
      </c>
      <c r="D160" s="50"/>
      <c r="E160" s="50"/>
    </row>
    <row r="161" spans="1:5" x14ac:dyDescent="0.3">
      <c r="A161" s="53">
        <v>5624588</v>
      </c>
      <c r="B161" s="49" t="s">
        <v>227</v>
      </c>
      <c r="C161" s="51">
        <v>15.6</v>
      </c>
      <c r="D161" s="50"/>
      <c r="E161" s="50"/>
    </row>
    <row r="162" spans="1:5" x14ac:dyDescent="0.3">
      <c r="A162" s="53">
        <v>5624589</v>
      </c>
      <c r="B162" s="49" t="s">
        <v>228</v>
      </c>
      <c r="C162" s="51">
        <v>30.28</v>
      </c>
      <c r="D162" s="50"/>
      <c r="E162" s="50"/>
    </row>
    <row r="163" spans="1:5" x14ac:dyDescent="0.3">
      <c r="A163" s="53">
        <v>5624590</v>
      </c>
      <c r="B163" s="49" t="s">
        <v>229</v>
      </c>
      <c r="C163" s="51">
        <v>36.89</v>
      </c>
      <c r="D163" s="50"/>
      <c r="E163" s="50"/>
    </row>
    <row r="164" spans="1:5" x14ac:dyDescent="0.3">
      <c r="A164" s="53">
        <v>5745112</v>
      </c>
      <c r="B164" s="49" t="s">
        <v>6778</v>
      </c>
      <c r="C164" s="51">
        <v>22.26</v>
      </c>
      <c r="D164" s="50"/>
      <c r="E164" s="50"/>
    </row>
    <row r="165" spans="1:5" x14ac:dyDescent="0.3">
      <c r="A165" s="53">
        <v>5745131</v>
      </c>
      <c r="B165" s="49" t="s">
        <v>6779</v>
      </c>
      <c r="C165" s="51">
        <v>42.74</v>
      </c>
      <c r="D165" s="50"/>
      <c r="E165" s="50"/>
    </row>
    <row r="166" spans="1:5" x14ac:dyDescent="0.3">
      <c r="A166" s="53">
        <v>5745136</v>
      </c>
      <c r="B166" s="49" t="s">
        <v>6780</v>
      </c>
      <c r="C166" s="51">
        <v>71.209999999999994</v>
      </c>
      <c r="D166" s="50"/>
      <c r="E166" s="50"/>
    </row>
    <row r="167" spans="1:5" x14ac:dyDescent="0.3">
      <c r="A167" s="53">
        <v>5624601</v>
      </c>
      <c r="B167" s="49" t="s">
        <v>224</v>
      </c>
      <c r="C167" s="51">
        <v>15.6</v>
      </c>
      <c r="D167" s="50"/>
      <c r="E167" s="50"/>
    </row>
    <row r="168" spans="1:5" x14ac:dyDescent="0.3">
      <c r="A168" s="53">
        <v>5624602</v>
      </c>
      <c r="B168" s="49" t="s">
        <v>225</v>
      </c>
      <c r="C168" s="51">
        <v>24.77</v>
      </c>
      <c r="D168" s="50"/>
      <c r="E168" s="50"/>
    </row>
    <row r="169" spans="1:5" x14ac:dyDescent="0.3">
      <c r="A169" s="53">
        <v>5624603</v>
      </c>
      <c r="B169" s="49" t="s">
        <v>226</v>
      </c>
      <c r="C169" s="51">
        <v>41.5</v>
      </c>
      <c r="D169" s="50"/>
      <c r="E169" s="50"/>
    </row>
    <row r="170" spans="1:5" x14ac:dyDescent="0.3">
      <c r="A170" s="53">
        <v>5745138</v>
      </c>
      <c r="B170" s="49" t="s">
        <v>6781</v>
      </c>
      <c r="C170" s="51">
        <v>22.26</v>
      </c>
      <c r="D170" s="50"/>
      <c r="E170" s="50"/>
    </row>
    <row r="171" spans="1:5" x14ac:dyDescent="0.3">
      <c r="A171" s="53">
        <v>5745139</v>
      </c>
      <c r="B171" s="49" t="s">
        <v>6782</v>
      </c>
      <c r="C171" s="51">
        <v>42.74</v>
      </c>
      <c r="D171" s="50"/>
      <c r="E171" s="50"/>
    </row>
    <row r="172" spans="1:5" x14ac:dyDescent="0.3">
      <c r="A172" s="53">
        <v>5745140</v>
      </c>
      <c r="B172" s="49" t="s">
        <v>6783</v>
      </c>
      <c r="C172" s="51">
        <v>71.209999999999994</v>
      </c>
      <c r="D172" s="50"/>
      <c r="E172" s="50"/>
    </row>
    <row r="173" spans="1:5" x14ac:dyDescent="0.3">
      <c r="A173" s="53">
        <v>5090786</v>
      </c>
      <c r="B173" s="49" t="s">
        <v>6784</v>
      </c>
      <c r="C173" s="51">
        <v>24.49</v>
      </c>
      <c r="D173" s="50"/>
      <c r="E173" s="50"/>
    </row>
    <row r="174" spans="1:5" x14ac:dyDescent="0.3">
      <c r="A174" s="53">
        <v>5090787</v>
      </c>
      <c r="B174" s="49" t="s">
        <v>6785</v>
      </c>
      <c r="C174" s="51">
        <v>47.18</v>
      </c>
      <c r="D174" s="50"/>
      <c r="E174" s="50"/>
    </row>
    <row r="175" spans="1:5" x14ac:dyDescent="0.3">
      <c r="A175" s="53">
        <v>5082971</v>
      </c>
      <c r="B175" s="49" t="s">
        <v>235</v>
      </c>
      <c r="C175" s="51">
        <v>34.72</v>
      </c>
      <c r="D175" s="50"/>
      <c r="E175" s="50"/>
    </row>
    <row r="176" spans="1:5" x14ac:dyDescent="0.3">
      <c r="A176" s="53">
        <v>5089158</v>
      </c>
      <c r="B176" s="49" t="s">
        <v>236</v>
      </c>
      <c r="C176" s="51">
        <v>47.34</v>
      </c>
      <c r="D176" s="50"/>
      <c r="E176" s="50"/>
    </row>
    <row r="177" spans="1:5" x14ac:dyDescent="0.3">
      <c r="A177" s="53">
        <v>5090803</v>
      </c>
      <c r="B177" s="49" t="s">
        <v>6786</v>
      </c>
      <c r="C177" s="51">
        <v>30.27</v>
      </c>
      <c r="D177" s="50"/>
      <c r="E177" s="50"/>
    </row>
    <row r="178" spans="1:5" x14ac:dyDescent="0.3">
      <c r="A178" s="53">
        <v>5091687</v>
      </c>
      <c r="B178" s="49" t="s">
        <v>203</v>
      </c>
      <c r="C178" s="51">
        <v>28.05</v>
      </c>
      <c r="D178" s="50"/>
      <c r="E178" s="50"/>
    </row>
    <row r="179" spans="1:5" x14ac:dyDescent="0.3">
      <c r="A179" s="53">
        <v>5090797</v>
      </c>
      <c r="B179" s="49" t="s">
        <v>6787</v>
      </c>
      <c r="C179" s="51">
        <v>40.46</v>
      </c>
      <c r="D179" s="50"/>
      <c r="E179" s="50"/>
    </row>
    <row r="180" spans="1:5" x14ac:dyDescent="0.3">
      <c r="A180" s="53">
        <v>5583705</v>
      </c>
      <c r="B180" s="49" t="s">
        <v>205</v>
      </c>
      <c r="C180" s="51">
        <v>27.15</v>
      </c>
      <c r="D180" s="50"/>
      <c r="E180" s="50"/>
    </row>
    <row r="181" spans="1:5" x14ac:dyDescent="0.3">
      <c r="A181" s="53">
        <v>5091675</v>
      </c>
      <c r="B181" s="49" t="s">
        <v>6788</v>
      </c>
      <c r="C181" s="51">
        <v>21.82</v>
      </c>
      <c r="D181" s="50"/>
      <c r="E181" s="50"/>
    </row>
    <row r="182" spans="1:5" x14ac:dyDescent="0.3">
      <c r="A182" s="53">
        <v>5091682</v>
      </c>
      <c r="B182" s="49" t="s">
        <v>6789</v>
      </c>
      <c r="C182" s="51">
        <v>21.82</v>
      </c>
      <c r="D182" s="50"/>
      <c r="E182" s="50"/>
    </row>
    <row r="183" spans="1:5" x14ac:dyDescent="0.3">
      <c r="A183" s="53">
        <v>5583704</v>
      </c>
      <c r="B183" s="49" t="s">
        <v>208</v>
      </c>
      <c r="C183" s="51">
        <v>21.82</v>
      </c>
      <c r="D183" s="50"/>
      <c r="E183" s="50"/>
    </row>
    <row r="184" spans="1:5" x14ac:dyDescent="0.3">
      <c r="A184" s="53">
        <v>5583722</v>
      </c>
      <c r="B184" s="49" t="s">
        <v>209</v>
      </c>
      <c r="C184" s="51">
        <v>21.82</v>
      </c>
      <c r="D184" s="50"/>
      <c r="E184" s="50"/>
    </row>
    <row r="185" spans="1:5" x14ac:dyDescent="0.3">
      <c r="A185" s="53">
        <v>5583706</v>
      </c>
      <c r="B185" s="49" t="s">
        <v>210</v>
      </c>
      <c r="C185" s="51">
        <v>21.82</v>
      </c>
      <c r="D185" s="50"/>
      <c r="E185" s="50"/>
    </row>
    <row r="186" spans="1:5" x14ac:dyDescent="0.3">
      <c r="A186" s="53">
        <v>5583703</v>
      </c>
      <c r="B186" s="49" t="s">
        <v>211</v>
      </c>
      <c r="C186" s="51">
        <v>22.47</v>
      </c>
      <c r="D186" s="50"/>
      <c r="E186" s="50"/>
    </row>
    <row r="187" spans="1:5" x14ac:dyDescent="0.3">
      <c r="A187" s="53">
        <v>5583721</v>
      </c>
      <c r="B187" s="49" t="s">
        <v>213</v>
      </c>
      <c r="C187" s="51">
        <v>21.82</v>
      </c>
      <c r="D187" s="50"/>
      <c r="E187" s="50"/>
    </row>
    <row r="188" spans="1:5" x14ac:dyDescent="0.3">
      <c r="A188" s="53">
        <v>5583719</v>
      </c>
      <c r="B188" s="49" t="s">
        <v>214</v>
      </c>
      <c r="C188" s="51">
        <v>30.6</v>
      </c>
      <c r="D188" s="50"/>
      <c r="E188" s="50"/>
    </row>
    <row r="189" spans="1:5" x14ac:dyDescent="0.3">
      <c r="A189" s="53">
        <v>5583716</v>
      </c>
      <c r="B189" s="49" t="s">
        <v>215</v>
      </c>
      <c r="C189" s="51">
        <v>27.68</v>
      </c>
      <c r="D189" s="50"/>
      <c r="E189" s="50"/>
    </row>
    <row r="190" spans="1:5" x14ac:dyDescent="0.3">
      <c r="A190" s="53">
        <v>5583711</v>
      </c>
      <c r="B190" s="49" t="s">
        <v>216</v>
      </c>
      <c r="C190" s="51">
        <v>18.22</v>
      </c>
      <c r="D190" s="50"/>
      <c r="E190" s="50"/>
    </row>
    <row r="191" spans="1:5" x14ac:dyDescent="0.3">
      <c r="A191" s="53">
        <v>5090806</v>
      </c>
      <c r="B191" s="49" t="s">
        <v>6790</v>
      </c>
      <c r="C191" s="51">
        <v>43.75</v>
      </c>
      <c r="D191" s="50"/>
      <c r="E191" s="50"/>
    </row>
    <row r="192" spans="1:5" x14ac:dyDescent="0.3">
      <c r="A192" s="53">
        <v>5090804</v>
      </c>
      <c r="B192" s="49" t="s">
        <v>6791</v>
      </c>
      <c r="C192" s="51">
        <v>18.22</v>
      </c>
      <c r="D192" s="50"/>
      <c r="E192" s="50"/>
    </row>
    <row r="193" spans="1:5" x14ac:dyDescent="0.3">
      <c r="A193" s="53">
        <v>5090805</v>
      </c>
      <c r="B193" s="49" t="s">
        <v>6792</v>
      </c>
      <c r="C193" s="51">
        <v>29.82</v>
      </c>
      <c r="D193" s="50"/>
      <c r="E193" s="50"/>
    </row>
    <row r="194" spans="1:5" x14ac:dyDescent="0.3">
      <c r="A194" s="53">
        <v>5219311</v>
      </c>
      <c r="B194" s="49" t="s">
        <v>6793</v>
      </c>
      <c r="C194" s="51">
        <v>26.57</v>
      </c>
      <c r="D194" s="50"/>
      <c r="E194" s="50"/>
    </row>
    <row r="195" spans="1:5" x14ac:dyDescent="0.3">
      <c r="A195" s="53">
        <v>5218581</v>
      </c>
      <c r="B195" s="49" t="s">
        <v>6794</v>
      </c>
      <c r="C195" s="51">
        <v>28.37</v>
      </c>
      <c r="D195" s="50"/>
      <c r="E195" s="50"/>
    </row>
    <row r="196" spans="1:5" x14ac:dyDescent="0.3">
      <c r="A196" s="53">
        <v>5218565</v>
      </c>
      <c r="B196" s="49" t="s">
        <v>240</v>
      </c>
      <c r="C196" s="51">
        <v>47.72</v>
      </c>
      <c r="D196" s="50"/>
      <c r="E196" s="50"/>
    </row>
    <row r="197" spans="1:5" x14ac:dyDescent="0.3">
      <c r="A197" s="53">
        <v>5218566</v>
      </c>
      <c r="B197" s="49" t="s">
        <v>241</v>
      </c>
      <c r="C197" s="51">
        <v>49.14</v>
      </c>
      <c r="D197" s="50"/>
      <c r="E197" s="50"/>
    </row>
    <row r="198" spans="1:5" x14ac:dyDescent="0.3">
      <c r="A198" s="53">
        <v>5218567</v>
      </c>
      <c r="B198" s="49" t="s">
        <v>242</v>
      </c>
      <c r="C198" s="51">
        <v>47.72</v>
      </c>
      <c r="D198" s="50"/>
      <c r="E198" s="50"/>
    </row>
    <row r="199" spans="1:5" x14ac:dyDescent="0.3">
      <c r="A199" s="53">
        <v>5218568</v>
      </c>
      <c r="B199" s="49" t="s">
        <v>243</v>
      </c>
      <c r="C199" s="51">
        <v>47.72</v>
      </c>
      <c r="D199" s="50"/>
      <c r="E199" s="50"/>
    </row>
    <row r="200" spans="1:5" x14ac:dyDescent="0.3">
      <c r="A200" s="53">
        <v>5218569</v>
      </c>
      <c r="B200" s="49" t="s">
        <v>244</v>
      </c>
      <c r="C200" s="51">
        <v>47.72</v>
      </c>
      <c r="D200" s="50"/>
      <c r="E200" s="50"/>
    </row>
    <row r="201" spans="1:5" x14ac:dyDescent="0.3">
      <c r="A201" s="53">
        <v>5219316</v>
      </c>
      <c r="B201" s="49" t="s">
        <v>6795</v>
      </c>
      <c r="C201" s="51">
        <v>24.1</v>
      </c>
      <c r="D201" s="50"/>
      <c r="E201" s="50"/>
    </row>
    <row r="202" spans="1:5" x14ac:dyDescent="0.3">
      <c r="A202" s="53">
        <v>5218609</v>
      </c>
      <c r="B202" s="49" t="s">
        <v>248</v>
      </c>
      <c r="C202" s="51">
        <v>29.82</v>
      </c>
      <c r="D202" s="50"/>
      <c r="E202" s="50"/>
    </row>
    <row r="203" spans="1:5" x14ac:dyDescent="0.3">
      <c r="A203" s="53">
        <v>5218610</v>
      </c>
      <c r="B203" s="49" t="s">
        <v>249</v>
      </c>
      <c r="C203" s="51">
        <v>29.82</v>
      </c>
      <c r="D203" s="50"/>
      <c r="E203" s="50"/>
    </row>
    <row r="204" spans="1:5" x14ac:dyDescent="0.3">
      <c r="A204" s="53">
        <v>5218612</v>
      </c>
      <c r="B204" s="49" t="s">
        <v>250</v>
      </c>
      <c r="C204" s="51">
        <v>24.41</v>
      </c>
      <c r="D204" s="50"/>
      <c r="E204" s="50"/>
    </row>
    <row r="205" spans="1:5" x14ac:dyDescent="0.3">
      <c r="A205" s="53">
        <v>5219317</v>
      </c>
      <c r="B205" s="49" t="s">
        <v>6796</v>
      </c>
      <c r="C205" s="51">
        <v>27.67</v>
      </c>
      <c r="D205" s="50"/>
      <c r="E205" s="50"/>
    </row>
    <row r="206" spans="1:5" x14ac:dyDescent="0.3">
      <c r="A206" s="53">
        <v>5218614</v>
      </c>
      <c r="B206" s="49" t="s">
        <v>252</v>
      </c>
      <c r="C206" s="51">
        <v>7.68</v>
      </c>
      <c r="D206" s="50"/>
      <c r="E206" s="50"/>
    </row>
    <row r="207" spans="1:5" x14ac:dyDescent="0.3">
      <c r="A207" s="53">
        <v>5218615</v>
      </c>
      <c r="B207" s="49" t="s">
        <v>253</v>
      </c>
      <c r="C207" s="51">
        <v>14.44</v>
      </c>
      <c r="D207" s="50"/>
      <c r="E207" s="50"/>
    </row>
    <row r="208" spans="1:5" x14ac:dyDescent="0.3">
      <c r="A208" s="53">
        <v>5218616</v>
      </c>
      <c r="B208" s="49" t="s">
        <v>254</v>
      </c>
      <c r="C208" s="51">
        <v>19.54</v>
      </c>
      <c r="D208" s="50"/>
      <c r="E208" s="50"/>
    </row>
    <row r="209" spans="1:5" x14ac:dyDescent="0.3">
      <c r="A209" s="53">
        <v>5218617</v>
      </c>
      <c r="B209" s="49" t="s">
        <v>255</v>
      </c>
      <c r="C209" s="51">
        <v>8.59</v>
      </c>
      <c r="D209" s="50"/>
      <c r="E209" s="50"/>
    </row>
    <row r="210" spans="1:5" x14ac:dyDescent="0.3">
      <c r="A210" s="53">
        <v>5218618</v>
      </c>
      <c r="B210" s="49" t="s">
        <v>6797</v>
      </c>
      <c r="C210" s="51">
        <v>16.23</v>
      </c>
      <c r="D210" s="50"/>
      <c r="E210" s="50"/>
    </row>
    <row r="211" spans="1:5" x14ac:dyDescent="0.3">
      <c r="A211" s="53">
        <v>5218619</v>
      </c>
      <c r="B211" s="49" t="s">
        <v>257</v>
      </c>
      <c r="C211" s="51">
        <v>22.11</v>
      </c>
      <c r="D211" s="50"/>
      <c r="E211" s="50"/>
    </row>
    <row r="212" spans="1:5" x14ac:dyDescent="0.3">
      <c r="A212" s="53">
        <v>5219318</v>
      </c>
      <c r="B212" s="49" t="s">
        <v>6798</v>
      </c>
      <c r="C212" s="51">
        <v>9.49</v>
      </c>
      <c r="D212" s="50"/>
      <c r="E212" s="50"/>
    </row>
    <row r="213" spans="1:5" x14ac:dyDescent="0.3">
      <c r="A213" s="53">
        <v>5219319</v>
      </c>
      <c r="B213" s="49" t="s">
        <v>6799</v>
      </c>
      <c r="C213" s="51">
        <v>16.39</v>
      </c>
      <c r="D213" s="50"/>
      <c r="E213" s="50"/>
    </row>
    <row r="214" spans="1:5" x14ac:dyDescent="0.3">
      <c r="A214" s="53">
        <v>5219320</v>
      </c>
      <c r="B214" s="49" t="s">
        <v>6800</v>
      </c>
      <c r="C214" s="51">
        <v>27.43</v>
      </c>
      <c r="D214" s="50"/>
      <c r="E214" s="50"/>
    </row>
    <row r="215" spans="1:5" x14ac:dyDescent="0.3">
      <c r="A215" s="53">
        <v>5218640</v>
      </c>
      <c r="B215" s="49" t="s">
        <v>261</v>
      </c>
      <c r="C215" s="51">
        <v>13.08</v>
      </c>
      <c r="D215" s="50"/>
      <c r="E215" s="50"/>
    </row>
    <row r="216" spans="1:5" x14ac:dyDescent="0.3">
      <c r="A216" s="53">
        <v>5218641</v>
      </c>
      <c r="B216" s="49" t="s">
        <v>262</v>
      </c>
      <c r="C216" s="51">
        <v>17.690000000000001</v>
      </c>
      <c r="D216" s="50"/>
      <c r="E216" s="50"/>
    </row>
    <row r="217" spans="1:5" x14ac:dyDescent="0.3">
      <c r="A217" s="53">
        <v>5249007</v>
      </c>
      <c r="B217" s="49" t="s">
        <v>263</v>
      </c>
      <c r="C217" s="51">
        <v>27.92</v>
      </c>
      <c r="D217" s="50"/>
      <c r="E217" s="50"/>
    </row>
    <row r="218" spans="1:5" x14ac:dyDescent="0.3">
      <c r="A218" s="53">
        <v>5218726</v>
      </c>
      <c r="B218" s="49" t="s">
        <v>264</v>
      </c>
      <c r="C218" s="51">
        <v>26.16</v>
      </c>
      <c r="D218" s="50"/>
      <c r="E218" s="50"/>
    </row>
    <row r="219" spans="1:5" x14ac:dyDescent="0.3">
      <c r="A219" s="53">
        <v>5218723</v>
      </c>
      <c r="B219" s="49" t="s">
        <v>265</v>
      </c>
      <c r="C219" s="51">
        <v>26.16</v>
      </c>
      <c r="D219" s="50"/>
      <c r="E219" s="50"/>
    </row>
    <row r="220" spans="1:5" x14ac:dyDescent="0.3">
      <c r="A220" s="53">
        <v>5219306</v>
      </c>
      <c r="B220" s="49" t="s">
        <v>6801</v>
      </c>
      <c r="C220" s="51">
        <v>21.79</v>
      </c>
      <c r="D220" s="50"/>
      <c r="E220" s="50"/>
    </row>
    <row r="221" spans="1:5" x14ac:dyDescent="0.3">
      <c r="A221" s="53">
        <v>5218646</v>
      </c>
      <c r="B221" s="49" t="s">
        <v>268</v>
      </c>
      <c r="C221" s="51">
        <v>15.79</v>
      </c>
      <c r="D221" s="50"/>
      <c r="E221" s="50"/>
    </row>
    <row r="222" spans="1:5" x14ac:dyDescent="0.3">
      <c r="A222" s="53">
        <v>5236722</v>
      </c>
      <c r="B222" s="49" t="s">
        <v>269</v>
      </c>
      <c r="C222" s="51">
        <v>25.96</v>
      </c>
      <c r="D222" s="50"/>
      <c r="E222" s="50"/>
    </row>
    <row r="223" spans="1:5" x14ac:dyDescent="0.3">
      <c r="A223" s="53">
        <v>5218752</v>
      </c>
      <c r="B223" s="49" t="s">
        <v>271</v>
      </c>
      <c r="C223" s="51">
        <v>20.420000000000002</v>
      </c>
      <c r="D223" s="50"/>
      <c r="E223" s="50"/>
    </row>
    <row r="224" spans="1:5" x14ac:dyDescent="0.3">
      <c r="A224" s="53">
        <v>5218753</v>
      </c>
      <c r="B224" s="49" t="s">
        <v>272</v>
      </c>
      <c r="C224" s="51">
        <v>27.32</v>
      </c>
      <c r="D224" s="50"/>
      <c r="E224" s="50"/>
    </row>
    <row r="225" spans="1:5" x14ac:dyDescent="0.3">
      <c r="A225" s="53">
        <v>5219310</v>
      </c>
      <c r="B225" s="49" t="s">
        <v>6802</v>
      </c>
      <c r="C225" s="51">
        <v>21.93</v>
      </c>
      <c r="D225" s="50"/>
      <c r="E225" s="50"/>
    </row>
    <row r="226" spans="1:5" x14ac:dyDescent="0.3">
      <c r="A226" s="53">
        <v>5219309</v>
      </c>
      <c r="B226" s="49" t="s">
        <v>6803</v>
      </c>
      <c r="C226" s="51">
        <v>12.51</v>
      </c>
      <c r="D226" s="50"/>
      <c r="E226" s="50"/>
    </row>
    <row r="227" spans="1:5" x14ac:dyDescent="0.3">
      <c r="A227" s="53">
        <v>5218561</v>
      </c>
      <c r="B227" s="49" t="s">
        <v>6804</v>
      </c>
      <c r="C227" s="51">
        <v>8.26</v>
      </c>
      <c r="D227" s="50"/>
      <c r="E227" s="50"/>
    </row>
    <row r="228" spans="1:5" x14ac:dyDescent="0.3">
      <c r="A228" s="53">
        <v>5218562</v>
      </c>
      <c r="B228" s="49" t="s">
        <v>6805</v>
      </c>
      <c r="C228" s="51">
        <v>14.98</v>
      </c>
      <c r="D228" s="50"/>
      <c r="E228" s="50"/>
    </row>
    <row r="229" spans="1:5" x14ac:dyDescent="0.3">
      <c r="A229" s="53">
        <v>5218563</v>
      </c>
      <c r="B229" s="49" t="s">
        <v>6806</v>
      </c>
      <c r="C229" s="51">
        <v>22.58</v>
      </c>
      <c r="D229" s="50"/>
      <c r="E229" s="50"/>
    </row>
    <row r="230" spans="1:5" x14ac:dyDescent="0.3">
      <c r="A230" s="53">
        <v>5254525</v>
      </c>
      <c r="B230" s="49" t="s">
        <v>6807</v>
      </c>
      <c r="C230" s="51">
        <v>17.57</v>
      </c>
      <c r="D230" s="50"/>
      <c r="E230" s="50"/>
    </row>
    <row r="231" spans="1:5" x14ac:dyDescent="0.3">
      <c r="A231" s="53">
        <v>5218650</v>
      </c>
      <c r="B231" s="49" t="s">
        <v>279</v>
      </c>
      <c r="C231" s="51">
        <v>14.03</v>
      </c>
      <c r="D231" s="50"/>
      <c r="E231" s="50"/>
    </row>
    <row r="232" spans="1:5" x14ac:dyDescent="0.3">
      <c r="A232" s="53">
        <v>5218651</v>
      </c>
      <c r="B232" s="49" t="s">
        <v>280</v>
      </c>
      <c r="C232" s="51">
        <v>23.16</v>
      </c>
      <c r="D232" s="50"/>
      <c r="E232" s="50"/>
    </row>
    <row r="233" spans="1:5" x14ac:dyDescent="0.3">
      <c r="A233" s="53">
        <v>5219321</v>
      </c>
      <c r="B233" s="49" t="s">
        <v>6808</v>
      </c>
      <c r="C233" s="51">
        <v>18.84</v>
      </c>
      <c r="D233" s="50"/>
      <c r="E233" s="50"/>
    </row>
    <row r="234" spans="1:5" x14ac:dyDescent="0.3">
      <c r="A234" s="53">
        <v>5218602</v>
      </c>
      <c r="B234" s="49" t="s">
        <v>282</v>
      </c>
      <c r="C234" s="51">
        <v>26.17</v>
      </c>
      <c r="D234" s="50"/>
      <c r="E234" s="50"/>
    </row>
    <row r="235" spans="1:5" x14ac:dyDescent="0.3">
      <c r="A235" s="53">
        <v>5218603</v>
      </c>
      <c r="B235" s="49" t="s">
        <v>6809</v>
      </c>
      <c r="C235" s="51">
        <v>15.62</v>
      </c>
      <c r="D235" s="50"/>
      <c r="E235" s="50"/>
    </row>
    <row r="236" spans="1:5" x14ac:dyDescent="0.3">
      <c r="A236" s="53">
        <v>5218604</v>
      </c>
      <c r="B236" s="49" t="s">
        <v>284</v>
      </c>
      <c r="C236" s="51">
        <v>15.62</v>
      </c>
      <c r="D236" s="50"/>
      <c r="E236" s="50"/>
    </row>
    <row r="237" spans="1:5" x14ac:dyDescent="0.3">
      <c r="A237" s="53">
        <v>5219307</v>
      </c>
      <c r="B237" s="49" t="s">
        <v>6810</v>
      </c>
      <c r="C237" s="51">
        <v>15.03</v>
      </c>
      <c r="D237" s="50"/>
      <c r="E237" s="50"/>
    </row>
    <row r="238" spans="1:5" x14ac:dyDescent="0.3">
      <c r="A238" s="53">
        <v>5218657</v>
      </c>
      <c r="B238" s="49" t="s">
        <v>6811</v>
      </c>
      <c r="C238" s="51">
        <v>8.1300000000000008</v>
      </c>
      <c r="D238" s="50"/>
      <c r="E238" s="50"/>
    </row>
    <row r="239" spans="1:5" x14ac:dyDescent="0.3">
      <c r="A239" s="53">
        <v>5218658</v>
      </c>
      <c r="B239" s="49" t="s">
        <v>6812</v>
      </c>
      <c r="C239" s="51">
        <v>15.76</v>
      </c>
      <c r="D239" s="50"/>
      <c r="E239" s="50"/>
    </row>
    <row r="240" spans="1:5" x14ac:dyDescent="0.3">
      <c r="A240" s="53">
        <v>5218660</v>
      </c>
      <c r="B240" s="49" t="s">
        <v>6813</v>
      </c>
      <c r="C240" s="51">
        <v>18.989999999999998</v>
      </c>
      <c r="D240" s="50"/>
      <c r="E240" s="50"/>
    </row>
    <row r="241" spans="1:5" x14ac:dyDescent="0.3">
      <c r="A241" s="53">
        <v>5219322</v>
      </c>
      <c r="B241" s="49" t="s">
        <v>6814</v>
      </c>
      <c r="C241" s="51">
        <v>18.02</v>
      </c>
      <c r="D241" s="50"/>
      <c r="E241" s="50"/>
    </row>
    <row r="242" spans="1:5" x14ac:dyDescent="0.3">
      <c r="A242" s="53">
        <v>5219323</v>
      </c>
      <c r="B242" s="49" t="s">
        <v>6815</v>
      </c>
      <c r="C242" s="51">
        <v>21.92</v>
      </c>
      <c r="D242" s="50"/>
      <c r="E242" s="50"/>
    </row>
    <row r="243" spans="1:5" x14ac:dyDescent="0.3">
      <c r="A243" s="53">
        <v>5218665</v>
      </c>
      <c r="B243" s="49" t="s">
        <v>6816</v>
      </c>
      <c r="C243" s="51">
        <v>13.08</v>
      </c>
      <c r="D243" s="50"/>
      <c r="E243" s="50"/>
    </row>
    <row r="244" spans="1:5" x14ac:dyDescent="0.3">
      <c r="A244" s="53">
        <v>5218666</v>
      </c>
      <c r="B244" s="49" t="s">
        <v>6817</v>
      </c>
      <c r="C244" s="51">
        <v>17.690000000000001</v>
      </c>
      <c r="D244" s="50"/>
      <c r="E244" s="50"/>
    </row>
    <row r="245" spans="1:5" x14ac:dyDescent="0.3">
      <c r="A245" s="53">
        <v>5218685</v>
      </c>
      <c r="B245" s="49" t="s">
        <v>6818</v>
      </c>
      <c r="C245" s="51">
        <v>38.54</v>
      </c>
      <c r="D245" s="50"/>
      <c r="E245" s="50"/>
    </row>
    <row r="246" spans="1:5" x14ac:dyDescent="0.3">
      <c r="A246" s="53">
        <v>5218686</v>
      </c>
      <c r="B246" s="49" t="s">
        <v>6819</v>
      </c>
      <c r="C246" s="51">
        <v>22.5</v>
      </c>
      <c r="D246" s="50"/>
      <c r="E246" s="50"/>
    </row>
    <row r="247" spans="1:5" x14ac:dyDescent="0.3">
      <c r="A247" s="53">
        <v>5219326</v>
      </c>
      <c r="B247" s="49" t="s">
        <v>6820</v>
      </c>
      <c r="C247" s="51">
        <v>17.04</v>
      </c>
      <c r="D247" s="50"/>
      <c r="E247" s="50"/>
    </row>
    <row r="248" spans="1:5" x14ac:dyDescent="0.3">
      <c r="A248" s="53">
        <v>5219327</v>
      </c>
      <c r="B248" s="49" t="s">
        <v>6821</v>
      </c>
      <c r="C248" s="51">
        <v>19.37</v>
      </c>
      <c r="D248" s="50"/>
      <c r="E248" s="50"/>
    </row>
    <row r="249" spans="1:5" x14ac:dyDescent="0.3">
      <c r="A249" s="53">
        <v>5218691</v>
      </c>
      <c r="B249" s="49" t="s">
        <v>6822</v>
      </c>
      <c r="C249" s="51">
        <v>34.86</v>
      </c>
      <c r="D249" s="50"/>
      <c r="E249" s="50"/>
    </row>
    <row r="250" spans="1:5" x14ac:dyDescent="0.3">
      <c r="A250" s="53">
        <v>5218692</v>
      </c>
      <c r="B250" s="49" t="s">
        <v>6823</v>
      </c>
      <c r="C250" s="51">
        <v>20.68</v>
      </c>
      <c r="D250" s="50"/>
      <c r="E250" s="50"/>
    </row>
    <row r="251" spans="1:5" x14ac:dyDescent="0.3">
      <c r="A251" s="53">
        <v>5218693</v>
      </c>
      <c r="B251" s="49" t="s">
        <v>6824</v>
      </c>
      <c r="C251" s="51">
        <v>20.67</v>
      </c>
      <c r="D251" s="50"/>
      <c r="E251" s="50"/>
    </row>
    <row r="252" spans="1:5" x14ac:dyDescent="0.3">
      <c r="A252" s="53">
        <v>5218694</v>
      </c>
      <c r="B252" s="49" t="s">
        <v>6825</v>
      </c>
      <c r="C252" s="51">
        <v>22.5</v>
      </c>
      <c r="D252" s="50"/>
      <c r="E252" s="50"/>
    </row>
    <row r="253" spans="1:5" x14ac:dyDescent="0.3">
      <c r="A253" s="53">
        <v>5219328</v>
      </c>
      <c r="B253" s="49" t="s">
        <v>6826</v>
      </c>
      <c r="C253" s="51">
        <v>17.04</v>
      </c>
      <c r="D253" s="50"/>
      <c r="E253" s="50"/>
    </row>
    <row r="254" spans="1:5" x14ac:dyDescent="0.3">
      <c r="A254" s="53">
        <v>5219329</v>
      </c>
      <c r="B254" s="49" t="s">
        <v>6827</v>
      </c>
      <c r="C254" s="51">
        <v>19.37</v>
      </c>
      <c r="D254" s="50"/>
      <c r="E254" s="50"/>
    </row>
    <row r="255" spans="1:5" x14ac:dyDescent="0.3">
      <c r="A255" s="53">
        <v>5218700</v>
      </c>
      <c r="B255" s="49" t="s">
        <v>303</v>
      </c>
      <c r="C255" s="51">
        <v>17.920000000000002</v>
      </c>
      <c r="D255" s="50"/>
      <c r="E255" s="50"/>
    </row>
    <row r="256" spans="1:5" x14ac:dyDescent="0.3">
      <c r="A256" s="53">
        <v>5321297</v>
      </c>
      <c r="B256" s="49" t="s">
        <v>305</v>
      </c>
      <c r="C256" s="51">
        <v>27.54</v>
      </c>
      <c r="D256" s="50"/>
      <c r="E256" s="50"/>
    </row>
    <row r="257" spans="1:5" x14ac:dyDescent="0.3">
      <c r="A257" s="53">
        <v>5092479</v>
      </c>
      <c r="B257" s="49" t="s">
        <v>306</v>
      </c>
      <c r="C257" s="51">
        <v>6.24</v>
      </c>
      <c r="D257" s="50"/>
      <c r="E257" s="50"/>
    </row>
    <row r="258" spans="1:5" x14ac:dyDescent="0.3">
      <c r="A258" s="53">
        <v>5092480</v>
      </c>
      <c r="B258" s="49" t="s">
        <v>307</v>
      </c>
      <c r="C258" s="51">
        <v>6.49</v>
      </c>
      <c r="D258" s="50"/>
      <c r="E258" s="50"/>
    </row>
    <row r="259" spans="1:5" x14ac:dyDescent="0.3">
      <c r="A259" s="53">
        <v>5092481</v>
      </c>
      <c r="B259" s="49" t="s">
        <v>308</v>
      </c>
      <c r="C259" s="51">
        <v>5.9</v>
      </c>
      <c r="D259" s="50"/>
      <c r="E259" s="50"/>
    </row>
    <row r="260" spans="1:5" x14ac:dyDescent="0.3">
      <c r="A260" s="53">
        <v>5083424</v>
      </c>
      <c r="B260" s="49" t="s">
        <v>6828</v>
      </c>
      <c r="C260" s="51">
        <v>3.18</v>
      </c>
      <c r="D260" s="50"/>
      <c r="E260" s="50"/>
    </row>
    <row r="261" spans="1:5" x14ac:dyDescent="0.3">
      <c r="A261" s="53">
        <v>5092537</v>
      </c>
      <c r="B261" s="49" t="s">
        <v>6829</v>
      </c>
      <c r="C261" s="51">
        <v>6.8</v>
      </c>
      <c r="D261" s="50"/>
      <c r="E261" s="50"/>
    </row>
    <row r="262" spans="1:5" x14ac:dyDescent="0.3">
      <c r="A262" s="53">
        <v>5092488</v>
      </c>
      <c r="B262" s="49" t="s">
        <v>6830</v>
      </c>
      <c r="C262" s="51">
        <v>3.1</v>
      </c>
      <c r="D262" s="50"/>
      <c r="E262" s="50"/>
    </row>
    <row r="263" spans="1:5" x14ac:dyDescent="0.3">
      <c r="A263" s="53">
        <v>5097039</v>
      </c>
      <c r="B263" s="49" t="s">
        <v>312</v>
      </c>
      <c r="C263" s="51">
        <v>29.96</v>
      </c>
      <c r="D263" s="50"/>
      <c r="E263" s="50"/>
    </row>
    <row r="264" spans="1:5" x14ac:dyDescent="0.3">
      <c r="A264" s="53">
        <v>5097040</v>
      </c>
      <c r="B264" s="49" t="s">
        <v>313</v>
      </c>
      <c r="C264" s="51">
        <v>29.96</v>
      </c>
      <c r="D264" s="50"/>
      <c r="E264" s="50"/>
    </row>
    <row r="265" spans="1:5" x14ac:dyDescent="0.3">
      <c r="A265" s="53">
        <v>5122409</v>
      </c>
      <c r="B265" s="49" t="s">
        <v>314</v>
      </c>
      <c r="C265" s="51">
        <v>29.09</v>
      </c>
      <c r="D265" s="50"/>
      <c r="E265" s="50"/>
    </row>
    <row r="266" spans="1:5" x14ac:dyDescent="0.3">
      <c r="A266" s="53">
        <v>5092615</v>
      </c>
      <c r="B266" s="49" t="s">
        <v>315</v>
      </c>
      <c r="C266" s="51">
        <v>20.94</v>
      </c>
      <c r="D266" s="50"/>
      <c r="E266" s="50"/>
    </row>
    <row r="267" spans="1:5" x14ac:dyDescent="0.3">
      <c r="A267" s="53">
        <v>5092617</v>
      </c>
      <c r="B267" s="49" t="s">
        <v>316</v>
      </c>
      <c r="C267" s="51">
        <v>20.94</v>
      </c>
      <c r="D267" s="50"/>
      <c r="E267" s="50"/>
    </row>
    <row r="268" spans="1:5" x14ac:dyDescent="0.3">
      <c r="A268" s="53">
        <v>5122405</v>
      </c>
      <c r="B268" s="49" t="s">
        <v>317</v>
      </c>
      <c r="C268" s="51">
        <v>20.34</v>
      </c>
      <c r="D268" s="50"/>
      <c r="E268" s="50"/>
    </row>
    <row r="269" spans="1:5" x14ac:dyDescent="0.3">
      <c r="A269" s="53">
        <v>5122408</v>
      </c>
      <c r="B269" s="49" t="s">
        <v>318</v>
      </c>
      <c r="C269" s="51">
        <v>20.94</v>
      </c>
      <c r="D269" s="50"/>
      <c r="E269" s="50"/>
    </row>
    <row r="270" spans="1:5" x14ac:dyDescent="0.3">
      <c r="A270" s="53">
        <v>5092618</v>
      </c>
      <c r="B270" s="49" t="s">
        <v>319</v>
      </c>
      <c r="C270" s="51">
        <v>20.94</v>
      </c>
      <c r="D270" s="50"/>
      <c r="E270" s="50"/>
    </row>
    <row r="271" spans="1:5" x14ac:dyDescent="0.3">
      <c r="A271" s="53">
        <v>5083465</v>
      </c>
      <c r="B271" s="49" t="s">
        <v>320</v>
      </c>
      <c r="C271" s="51">
        <v>20.94</v>
      </c>
      <c r="D271" s="50"/>
      <c r="E271" s="50"/>
    </row>
    <row r="272" spans="1:5" x14ac:dyDescent="0.3">
      <c r="A272" s="53">
        <v>5092620</v>
      </c>
      <c r="B272" s="49" t="s">
        <v>321</v>
      </c>
      <c r="C272" s="51">
        <v>20.34</v>
      </c>
      <c r="D272" s="50"/>
      <c r="E272" s="50"/>
    </row>
    <row r="273" spans="1:5" x14ac:dyDescent="0.3">
      <c r="A273" s="53">
        <v>5122406</v>
      </c>
      <c r="B273" s="49" t="s">
        <v>322</v>
      </c>
      <c r="C273" s="51">
        <v>20.34</v>
      </c>
      <c r="D273" s="50"/>
      <c r="E273" s="50"/>
    </row>
    <row r="274" spans="1:5" x14ac:dyDescent="0.3">
      <c r="A274" s="53">
        <v>5122407</v>
      </c>
      <c r="B274" s="49" t="s">
        <v>323</v>
      </c>
      <c r="C274" s="51">
        <v>20.34</v>
      </c>
      <c r="D274" s="50"/>
      <c r="E274" s="50"/>
    </row>
    <row r="275" spans="1:5" x14ac:dyDescent="0.3">
      <c r="A275" s="53">
        <v>5083458</v>
      </c>
      <c r="B275" s="49" t="s">
        <v>324</v>
      </c>
      <c r="C275" s="51">
        <v>20.94</v>
      </c>
      <c r="D275" s="50"/>
      <c r="E275" s="50"/>
    </row>
    <row r="276" spans="1:5" x14ac:dyDescent="0.3">
      <c r="A276" s="53">
        <v>6106427</v>
      </c>
      <c r="B276" s="49" t="s">
        <v>333</v>
      </c>
      <c r="C276" s="51">
        <v>27.63</v>
      </c>
      <c r="D276" s="50"/>
      <c r="E276" s="50"/>
    </row>
    <row r="277" spans="1:5" x14ac:dyDescent="0.3">
      <c r="A277" s="53">
        <v>5095360</v>
      </c>
      <c r="B277" s="49" t="s">
        <v>334</v>
      </c>
      <c r="C277" s="51">
        <v>22.13</v>
      </c>
      <c r="D277" s="50"/>
      <c r="E277" s="50"/>
    </row>
    <row r="278" spans="1:5" x14ac:dyDescent="0.3">
      <c r="A278" s="53">
        <v>5095361</v>
      </c>
      <c r="B278" s="49" t="s">
        <v>335</v>
      </c>
      <c r="C278" s="51">
        <v>22.13</v>
      </c>
      <c r="D278" s="50"/>
      <c r="E278" s="50"/>
    </row>
    <row r="279" spans="1:5" x14ac:dyDescent="0.3">
      <c r="A279" s="53">
        <v>5095363</v>
      </c>
      <c r="B279" s="49" t="s">
        <v>336</v>
      </c>
      <c r="C279" s="51">
        <v>22.13</v>
      </c>
      <c r="D279" s="50"/>
      <c r="E279" s="50"/>
    </row>
    <row r="280" spans="1:5" x14ac:dyDescent="0.3">
      <c r="A280" s="53">
        <v>5095366</v>
      </c>
      <c r="B280" s="49" t="s">
        <v>337</v>
      </c>
      <c r="C280" s="51">
        <v>21.48</v>
      </c>
      <c r="D280" s="50"/>
      <c r="E280" s="50"/>
    </row>
    <row r="281" spans="1:5" x14ac:dyDescent="0.3">
      <c r="A281" s="53">
        <v>5095368</v>
      </c>
      <c r="B281" s="49" t="s">
        <v>338</v>
      </c>
      <c r="C281" s="51">
        <v>22.13</v>
      </c>
      <c r="D281" s="50"/>
      <c r="E281" s="50"/>
    </row>
    <row r="282" spans="1:5" x14ac:dyDescent="0.3">
      <c r="A282" s="53">
        <v>5092572</v>
      </c>
      <c r="B282" s="49" t="s">
        <v>339</v>
      </c>
      <c r="C282" s="51">
        <v>9.41</v>
      </c>
      <c r="D282" s="50"/>
      <c r="E282" s="50"/>
    </row>
    <row r="283" spans="1:5" x14ac:dyDescent="0.3">
      <c r="A283" s="53">
        <v>5092573</v>
      </c>
      <c r="B283" s="49" t="s">
        <v>340</v>
      </c>
      <c r="C283" s="51">
        <v>18.27</v>
      </c>
      <c r="D283" s="50"/>
      <c r="E283" s="50"/>
    </row>
    <row r="284" spans="1:5" x14ac:dyDescent="0.3">
      <c r="A284" s="53">
        <v>5092574</v>
      </c>
      <c r="B284" s="49" t="s">
        <v>341</v>
      </c>
      <c r="C284" s="51">
        <v>30.42</v>
      </c>
      <c r="D284" s="50"/>
      <c r="E284" s="50"/>
    </row>
    <row r="285" spans="1:5" x14ac:dyDescent="0.3">
      <c r="A285" s="53">
        <v>5159073</v>
      </c>
      <c r="B285" s="49" t="s">
        <v>342</v>
      </c>
      <c r="C285" s="51">
        <v>9.41</v>
      </c>
      <c r="D285" s="50"/>
      <c r="E285" s="50"/>
    </row>
    <row r="286" spans="1:5" x14ac:dyDescent="0.3">
      <c r="A286" s="53">
        <v>5083469</v>
      </c>
      <c r="B286" s="49" t="s">
        <v>344</v>
      </c>
      <c r="C286" s="51">
        <v>18.27</v>
      </c>
      <c r="D286" s="50"/>
      <c r="E286" s="50"/>
    </row>
    <row r="287" spans="1:5" x14ac:dyDescent="0.3">
      <c r="A287" s="53">
        <v>5092549</v>
      </c>
      <c r="B287" s="49" t="s">
        <v>345</v>
      </c>
      <c r="C287" s="51">
        <v>30.42</v>
      </c>
      <c r="D287" s="50"/>
      <c r="E287" s="50"/>
    </row>
    <row r="288" spans="1:5" x14ac:dyDescent="0.3">
      <c r="A288" s="53">
        <v>5122390</v>
      </c>
      <c r="B288" s="49" t="s">
        <v>346</v>
      </c>
      <c r="C288" s="51">
        <v>9.41</v>
      </c>
      <c r="D288" s="50"/>
      <c r="E288" s="50"/>
    </row>
    <row r="289" spans="1:5" x14ac:dyDescent="0.3">
      <c r="A289" s="53">
        <v>5122395</v>
      </c>
      <c r="B289" s="49" t="s">
        <v>347</v>
      </c>
      <c r="C289" s="51">
        <v>17.22</v>
      </c>
      <c r="D289" s="50"/>
      <c r="E289" s="50"/>
    </row>
    <row r="290" spans="1:5" x14ac:dyDescent="0.3">
      <c r="A290" s="53">
        <v>5244440</v>
      </c>
      <c r="B290" s="49" t="s">
        <v>348</v>
      </c>
      <c r="C290" s="51">
        <v>30.42</v>
      </c>
      <c r="D290" s="50"/>
      <c r="E290" s="50"/>
    </row>
    <row r="291" spans="1:5" x14ac:dyDescent="0.3">
      <c r="A291" s="53">
        <v>5092588</v>
      </c>
      <c r="B291" s="49" t="s">
        <v>349</v>
      </c>
      <c r="C291" s="51">
        <v>9.41</v>
      </c>
      <c r="D291" s="50"/>
      <c r="E291" s="50"/>
    </row>
    <row r="292" spans="1:5" x14ac:dyDescent="0.3">
      <c r="A292" s="53">
        <v>5092589</v>
      </c>
      <c r="B292" s="49" t="s">
        <v>350</v>
      </c>
      <c r="C292" s="51">
        <v>18.27</v>
      </c>
      <c r="D292" s="50"/>
      <c r="E292" s="50"/>
    </row>
    <row r="293" spans="1:5" x14ac:dyDescent="0.3">
      <c r="A293" s="53">
        <v>5092590</v>
      </c>
      <c r="B293" s="49" t="s">
        <v>351</v>
      </c>
      <c r="C293" s="51">
        <v>30.42</v>
      </c>
      <c r="D293" s="50"/>
      <c r="E293" s="50"/>
    </row>
    <row r="294" spans="1:5" x14ac:dyDescent="0.3">
      <c r="A294" s="53">
        <v>5244471</v>
      </c>
      <c r="B294" s="49" t="s">
        <v>352</v>
      </c>
      <c r="C294" s="51">
        <v>9.41</v>
      </c>
      <c r="D294" s="50"/>
      <c r="E294" s="50"/>
    </row>
    <row r="295" spans="1:5" x14ac:dyDescent="0.3">
      <c r="A295" s="53">
        <v>5232365</v>
      </c>
      <c r="B295" s="49" t="s">
        <v>354</v>
      </c>
      <c r="C295" s="51">
        <v>9.41</v>
      </c>
      <c r="D295" s="50"/>
      <c r="E295" s="50"/>
    </row>
    <row r="296" spans="1:5" x14ac:dyDescent="0.3">
      <c r="A296" s="53">
        <v>5232386</v>
      </c>
      <c r="B296" s="49" t="s">
        <v>355</v>
      </c>
      <c r="C296" s="51">
        <v>18.27</v>
      </c>
      <c r="D296" s="50"/>
      <c r="E296" s="50"/>
    </row>
    <row r="297" spans="1:5" x14ac:dyDescent="0.3">
      <c r="A297" s="53">
        <v>5232387</v>
      </c>
      <c r="B297" s="49" t="s">
        <v>356</v>
      </c>
      <c r="C297" s="51">
        <v>18.27</v>
      </c>
      <c r="D297" s="50"/>
      <c r="E297" s="50"/>
    </row>
    <row r="298" spans="1:5" x14ac:dyDescent="0.3">
      <c r="A298" s="53">
        <v>5083471</v>
      </c>
      <c r="B298" s="49" t="s">
        <v>357</v>
      </c>
      <c r="C298" s="51">
        <v>9.41</v>
      </c>
      <c r="D298" s="50"/>
      <c r="E298" s="50"/>
    </row>
    <row r="299" spans="1:5" x14ac:dyDescent="0.3">
      <c r="A299" s="53">
        <v>5083472</v>
      </c>
      <c r="B299" s="49" t="s">
        <v>358</v>
      </c>
      <c r="C299" s="51">
        <v>18.27</v>
      </c>
      <c r="D299" s="50"/>
      <c r="E299" s="50"/>
    </row>
    <row r="300" spans="1:5" x14ac:dyDescent="0.3">
      <c r="A300" s="53">
        <v>5092553</v>
      </c>
      <c r="B300" s="49" t="s">
        <v>6831</v>
      </c>
      <c r="C300" s="51">
        <v>30.42</v>
      </c>
      <c r="D300" s="50"/>
      <c r="E300" s="50"/>
    </row>
    <row r="301" spans="1:5" x14ac:dyDescent="0.3">
      <c r="A301" s="53">
        <v>5232385</v>
      </c>
      <c r="B301" s="49" t="s">
        <v>360</v>
      </c>
      <c r="C301" s="51">
        <v>18.27</v>
      </c>
      <c r="D301" s="50"/>
      <c r="E301" s="50"/>
    </row>
    <row r="302" spans="1:5" x14ac:dyDescent="0.3">
      <c r="A302" s="53">
        <v>5282515</v>
      </c>
      <c r="B302" s="49" t="s">
        <v>361</v>
      </c>
      <c r="C302" s="51">
        <v>17.73</v>
      </c>
      <c r="D302" s="50"/>
      <c r="E302" s="50"/>
    </row>
    <row r="303" spans="1:5" x14ac:dyDescent="0.3">
      <c r="A303" s="53">
        <v>5083473</v>
      </c>
      <c r="B303" s="49" t="s">
        <v>362</v>
      </c>
      <c r="C303" s="51">
        <v>9.41</v>
      </c>
      <c r="D303" s="50"/>
      <c r="E303" s="50"/>
    </row>
    <row r="304" spans="1:5" x14ac:dyDescent="0.3">
      <c r="A304" s="53">
        <v>5092557</v>
      </c>
      <c r="B304" s="49" t="s">
        <v>363</v>
      </c>
      <c r="C304" s="51">
        <v>18.27</v>
      </c>
      <c r="D304" s="50"/>
      <c r="E304" s="50"/>
    </row>
    <row r="305" spans="1:5" x14ac:dyDescent="0.3">
      <c r="A305" s="53">
        <v>5122392</v>
      </c>
      <c r="B305" s="49" t="s">
        <v>364</v>
      </c>
      <c r="C305" s="51">
        <v>9.41</v>
      </c>
      <c r="D305" s="50"/>
      <c r="E305" s="50"/>
    </row>
    <row r="306" spans="1:5" x14ac:dyDescent="0.3">
      <c r="A306" s="53">
        <v>5122397</v>
      </c>
      <c r="B306" s="49" t="s">
        <v>365</v>
      </c>
      <c r="C306" s="51">
        <v>18.27</v>
      </c>
      <c r="D306" s="50"/>
      <c r="E306" s="50"/>
    </row>
    <row r="307" spans="1:5" x14ac:dyDescent="0.3">
      <c r="A307" s="53">
        <v>5092611</v>
      </c>
      <c r="B307" s="49" t="s">
        <v>366</v>
      </c>
      <c r="C307" s="51">
        <v>9.41</v>
      </c>
      <c r="D307" s="50"/>
      <c r="E307" s="50"/>
    </row>
    <row r="308" spans="1:5" x14ac:dyDescent="0.3">
      <c r="A308" s="53">
        <v>5092612</v>
      </c>
      <c r="B308" s="49" t="s">
        <v>367</v>
      </c>
      <c r="C308" s="51">
        <v>17.739999999999998</v>
      </c>
      <c r="D308" s="50"/>
      <c r="E308" s="50"/>
    </row>
    <row r="309" spans="1:5" x14ac:dyDescent="0.3">
      <c r="A309" s="53">
        <v>5092613</v>
      </c>
      <c r="B309" s="49" t="s">
        <v>368</v>
      </c>
      <c r="C309" s="51">
        <v>30.42</v>
      </c>
      <c r="D309" s="50"/>
      <c r="E309" s="50"/>
    </row>
    <row r="310" spans="1:5" x14ac:dyDescent="0.3">
      <c r="A310" s="53">
        <v>5092586</v>
      </c>
      <c r="B310" s="49" t="s">
        <v>369</v>
      </c>
      <c r="C310" s="51">
        <v>18.27</v>
      </c>
      <c r="D310" s="50"/>
      <c r="E310" s="50"/>
    </row>
    <row r="311" spans="1:5" x14ac:dyDescent="0.3">
      <c r="A311" s="53">
        <v>5244439</v>
      </c>
      <c r="B311" s="49" t="s">
        <v>370</v>
      </c>
      <c r="C311" s="51">
        <v>18.27</v>
      </c>
      <c r="D311" s="50"/>
      <c r="E311" s="50"/>
    </row>
    <row r="312" spans="1:5" x14ac:dyDescent="0.3">
      <c r="A312" s="53">
        <v>5092582</v>
      </c>
      <c r="B312" s="49" t="s">
        <v>371</v>
      </c>
      <c r="C312" s="51">
        <v>9.41</v>
      </c>
      <c r="D312" s="50"/>
      <c r="E312" s="50"/>
    </row>
    <row r="313" spans="1:5" x14ac:dyDescent="0.3">
      <c r="A313" s="53">
        <v>5092583</v>
      </c>
      <c r="B313" s="49" t="s">
        <v>372</v>
      </c>
      <c r="C313" s="51">
        <v>18.27</v>
      </c>
      <c r="D313" s="50"/>
      <c r="E313" s="50"/>
    </row>
    <row r="314" spans="1:5" x14ac:dyDescent="0.3">
      <c r="A314" s="53">
        <v>5122398</v>
      </c>
      <c r="B314" s="49" t="s">
        <v>373</v>
      </c>
      <c r="C314" s="51">
        <v>30.42</v>
      </c>
      <c r="D314" s="50"/>
      <c r="E314" s="50"/>
    </row>
    <row r="315" spans="1:5" x14ac:dyDescent="0.3">
      <c r="A315" s="53">
        <v>5232364</v>
      </c>
      <c r="B315" s="49" t="s">
        <v>374</v>
      </c>
      <c r="C315" s="51">
        <v>9.41</v>
      </c>
      <c r="D315" s="50"/>
      <c r="E315" s="50"/>
    </row>
    <row r="316" spans="1:5" x14ac:dyDescent="0.3">
      <c r="A316" s="53">
        <v>5083478</v>
      </c>
      <c r="B316" s="49" t="s">
        <v>375</v>
      </c>
      <c r="C316" s="51">
        <v>9.41</v>
      </c>
      <c r="D316" s="50"/>
      <c r="E316" s="50"/>
    </row>
    <row r="317" spans="1:5" x14ac:dyDescent="0.3">
      <c r="A317" s="53">
        <v>5083479</v>
      </c>
      <c r="B317" s="49" t="s">
        <v>376</v>
      </c>
      <c r="C317" s="51">
        <v>18.27</v>
      </c>
      <c r="D317" s="50"/>
      <c r="E317" s="50"/>
    </row>
    <row r="318" spans="1:5" x14ac:dyDescent="0.3">
      <c r="A318" s="53">
        <v>5083482</v>
      </c>
      <c r="B318" s="49" t="s">
        <v>377</v>
      </c>
      <c r="C318" s="51">
        <v>9.41</v>
      </c>
      <c r="D318" s="50"/>
      <c r="E318" s="50"/>
    </row>
    <row r="319" spans="1:5" x14ac:dyDescent="0.3">
      <c r="A319" s="53">
        <v>5092567</v>
      </c>
      <c r="B319" s="49" t="s">
        <v>378</v>
      </c>
      <c r="C319" s="51">
        <v>18.27</v>
      </c>
      <c r="D319" s="50"/>
      <c r="E319" s="50"/>
    </row>
    <row r="320" spans="1:5" x14ac:dyDescent="0.3">
      <c r="A320" s="53">
        <v>5092568</v>
      </c>
      <c r="B320" s="49" t="s">
        <v>379</v>
      </c>
      <c r="C320" s="51">
        <v>30.42</v>
      </c>
      <c r="D320" s="50"/>
      <c r="E320" s="50"/>
    </row>
    <row r="321" spans="1:5" x14ac:dyDescent="0.3">
      <c r="A321" s="53">
        <v>5092607</v>
      </c>
      <c r="B321" s="49" t="s">
        <v>380</v>
      </c>
      <c r="C321" s="51">
        <v>9.41</v>
      </c>
      <c r="D321" s="50"/>
      <c r="E321" s="50"/>
    </row>
    <row r="322" spans="1:5" x14ac:dyDescent="0.3">
      <c r="A322" s="53">
        <v>5092608</v>
      </c>
      <c r="B322" s="49" t="s">
        <v>381</v>
      </c>
      <c r="C322" s="51">
        <v>17.739999999999998</v>
      </c>
      <c r="D322" s="50"/>
      <c r="E322" s="50"/>
    </row>
    <row r="323" spans="1:5" x14ac:dyDescent="0.3">
      <c r="A323" s="53">
        <v>5092551</v>
      </c>
      <c r="B323" s="49" t="s">
        <v>382</v>
      </c>
      <c r="C323" s="51">
        <v>9.41</v>
      </c>
      <c r="D323" s="50"/>
      <c r="E323" s="50"/>
    </row>
    <row r="324" spans="1:5" x14ac:dyDescent="0.3">
      <c r="A324" s="53">
        <v>5244438</v>
      </c>
      <c r="B324" s="49" t="s">
        <v>383</v>
      </c>
      <c r="C324" s="51">
        <v>17.739999999999998</v>
      </c>
      <c r="D324" s="50"/>
      <c r="E324" s="50"/>
    </row>
    <row r="325" spans="1:5" x14ac:dyDescent="0.3">
      <c r="A325" s="53">
        <v>5122396</v>
      </c>
      <c r="B325" s="49" t="s">
        <v>385</v>
      </c>
      <c r="C325" s="51">
        <v>18.27</v>
      </c>
      <c r="D325" s="50"/>
      <c r="E325" s="50"/>
    </row>
    <row r="326" spans="1:5" x14ac:dyDescent="0.3">
      <c r="A326" s="53">
        <v>5122247</v>
      </c>
      <c r="B326" s="49" t="s">
        <v>387</v>
      </c>
      <c r="C326" s="51">
        <v>9.41</v>
      </c>
      <c r="D326" s="50"/>
      <c r="E326" s="50"/>
    </row>
    <row r="327" spans="1:5" x14ac:dyDescent="0.3">
      <c r="A327" s="53">
        <v>5159074</v>
      </c>
      <c r="B327" s="49" t="s">
        <v>388</v>
      </c>
      <c r="C327" s="51">
        <v>9.41</v>
      </c>
      <c r="D327" s="50"/>
      <c r="E327" s="50"/>
    </row>
    <row r="328" spans="1:5" x14ac:dyDescent="0.3">
      <c r="A328" s="53">
        <v>5092559</v>
      </c>
      <c r="B328" s="49" t="s">
        <v>389</v>
      </c>
      <c r="C328" s="51">
        <v>9.41</v>
      </c>
      <c r="D328" s="50"/>
      <c r="E328" s="50"/>
    </row>
    <row r="329" spans="1:5" x14ac:dyDescent="0.3">
      <c r="A329" s="53">
        <v>5313746</v>
      </c>
      <c r="B329" s="49" t="s">
        <v>390</v>
      </c>
      <c r="C329" s="51">
        <v>9.43</v>
      </c>
      <c r="D329" s="50"/>
      <c r="E329" s="50"/>
    </row>
    <row r="330" spans="1:5" x14ac:dyDescent="0.3">
      <c r="A330" s="53">
        <v>5313745</v>
      </c>
      <c r="B330" s="49" t="s">
        <v>391</v>
      </c>
      <c r="C330" s="51">
        <v>15.53</v>
      </c>
      <c r="D330" s="50"/>
      <c r="E330" s="50"/>
    </row>
    <row r="331" spans="1:5" x14ac:dyDescent="0.3">
      <c r="A331" s="53">
        <v>5159075</v>
      </c>
      <c r="B331" s="49" t="s">
        <v>392</v>
      </c>
      <c r="C331" s="51">
        <v>17.739999999999998</v>
      </c>
      <c r="D331" s="50"/>
      <c r="E331" s="50"/>
    </row>
    <row r="332" spans="1:5" x14ac:dyDescent="0.3">
      <c r="A332" s="53">
        <v>5159077</v>
      </c>
      <c r="B332" s="49" t="s">
        <v>393</v>
      </c>
      <c r="C332" s="51">
        <v>18.27</v>
      </c>
      <c r="D332" s="50"/>
      <c r="E332" s="50"/>
    </row>
    <row r="333" spans="1:5" x14ac:dyDescent="0.3">
      <c r="A333" s="53">
        <v>5092592</v>
      </c>
      <c r="B333" s="49" t="s">
        <v>394</v>
      </c>
      <c r="C333" s="51">
        <v>9.41</v>
      </c>
      <c r="D333" s="50"/>
      <c r="E333" s="50"/>
    </row>
    <row r="334" spans="1:5" x14ac:dyDescent="0.3">
      <c r="A334" s="53">
        <v>5092593</v>
      </c>
      <c r="B334" s="49" t="s">
        <v>395</v>
      </c>
      <c r="C334" s="51">
        <v>18.27</v>
      </c>
      <c r="D334" s="50"/>
      <c r="E334" s="50"/>
    </row>
    <row r="335" spans="1:5" x14ac:dyDescent="0.3">
      <c r="A335" s="53">
        <v>5092594</v>
      </c>
      <c r="B335" s="49" t="s">
        <v>396</v>
      </c>
      <c r="C335" s="51">
        <v>30.42</v>
      </c>
      <c r="D335" s="50"/>
      <c r="E335" s="50"/>
    </row>
    <row r="336" spans="1:5" x14ac:dyDescent="0.3">
      <c r="A336" s="53">
        <v>5083483</v>
      </c>
      <c r="B336" s="49" t="s">
        <v>397</v>
      </c>
      <c r="C336" s="51">
        <v>9.41</v>
      </c>
      <c r="D336" s="50"/>
      <c r="E336" s="50"/>
    </row>
    <row r="337" spans="1:5" x14ac:dyDescent="0.3">
      <c r="A337" s="53">
        <v>5083484</v>
      </c>
      <c r="B337" s="49" t="s">
        <v>398</v>
      </c>
      <c r="C337" s="51">
        <v>17.739999999999998</v>
      </c>
      <c r="D337" s="50"/>
      <c r="E337" s="50"/>
    </row>
    <row r="338" spans="1:5" x14ac:dyDescent="0.3">
      <c r="A338" s="53">
        <v>5092570</v>
      </c>
      <c r="B338" s="49" t="s">
        <v>399</v>
      </c>
      <c r="C338" s="51">
        <v>30.42</v>
      </c>
      <c r="D338" s="50"/>
      <c r="E338" s="50"/>
    </row>
    <row r="339" spans="1:5" x14ac:dyDescent="0.3">
      <c r="A339" s="53">
        <v>5092710</v>
      </c>
      <c r="B339" s="49" t="s">
        <v>400</v>
      </c>
      <c r="C339" s="51">
        <v>33.9</v>
      </c>
      <c r="D339" s="50"/>
      <c r="E339" s="50"/>
    </row>
    <row r="340" spans="1:5" x14ac:dyDescent="0.3">
      <c r="A340" s="53">
        <v>5092709</v>
      </c>
      <c r="B340" s="49" t="s">
        <v>401</v>
      </c>
      <c r="C340" s="51">
        <v>33.9</v>
      </c>
      <c r="D340" s="50"/>
      <c r="E340" s="50"/>
    </row>
    <row r="341" spans="1:5" x14ac:dyDescent="0.3">
      <c r="A341" s="53">
        <v>5092713</v>
      </c>
      <c r="B341" s="49" t="s">
        <v>402</v>
      </c>
      <c r="C341" s="51">
        <v>33.9</v>
      </c>
      <c r="D341" s="50"/>
      <c r="E341" s="50"/>
    </row>
    <row r="342" spans="1:5" x14ac:dyDescent="0.3">
      <c r="A342" s="53">
        <v>5092711</v>
      </c>
      <c r="B342" s="49" t="s">
        <v>403</v>
      </c>
      <c r="C342" s="51">
        <v>33.9</v>
      </c>
      <c r="D342" s="50"/>
      <c r="E342" s="50"/>
    </row>
    <row r="343" spans="1:5" x14ac:dyDescent="0.3">
      <c r="A343" s="53">
        <v>5092712</v>
      </c>
      <c r="B343" s="49" t="s">
        <v>404</v>
      </c>
      <c r="C343" s="51">
        <v>37.28</v>
      </c>
      <c r="D343" s="50"/>
      <c r="E343" s="50"/>
    </row>
    <row r="344" spans="1:5" x14ac:dyDescent="0.3">
      <c r="A344" s="53">
        <v>5092714</v>
      </c>
      <c r="B344" s="49" t="s">
        <v>405</v>
      </c>
      <c r="C344" s="51">
        <v>33.9</v>
      </c>
      <c r="D344" s="50"/>
      <c r="E344" s="50"/>
    </row>
    <row r="345" spans="1:5" x14ac:dyDescent="0.3">
      <c r="A345" s="53">
        <v>5211844</v>
      </c>
      <c r="B345" s="49" t="s">
        <v>406</v>
      </c>
      <c r="C345" s="51">
        <v>27.96</v>
      </c>
      <c r="D345" s="50"/>
      <c r="E345" s="50"/>
    </row>
    <row r="346" spans="1:5" x14ac:dyDescent="0.3">
      <c r="A346" s="53">
        <v>5211845</v>
      </c>
      <c r="B346" s="49" t="s">
        <v>407</v>
      </c>
      <c r="C346" s="51">
        <v>39.92</v>
      </c>
      <c r="D346" s="50"/>
      <c r="E346" s="50"/>
    </row>
    <row r="347" spans="1:5" x14ac:dyDescent="0.3">
      <c r="A347" s="53">
        <v>5206083</v>
      </c>
      <c r="B347" s="49" t="s">
        <v>408</v>
      </c>
      <c r="C347" s="51">
        <v>28.24</v>
      </c>
      <c r="D347" s="50"/>
      <c r="E347" s="50"/>
    </row>
    <row r="348" spans="1:5" x14ac:dyDescent="0.3">
      <c r="A348" s="53">
        <v>5206086</v>
      </c>
      <c r="B348" s="49" t="s">
        <v>409</v>
      </c>
      <c r="C348" s="51">
        <v>27.4</v>
      </c>
      <c r="D348" s="50"/>
      <c r="E348" s="50"/>
    </row>
    <row r="349" spans="1:5" x14ac:dyDescent="0.3">
      <c r="A349" s="53">
        <v>5206088</v>
      </c>
      <c r="B349" s="49" t="s">
        <v>410</v>
      </c>
      <c r="C349" s="51">
        <v>28.24</v>
      </c>
      <c r="D349" s="50"/>
      <c r="E349" s="50"/>
    </row>
    <row r="350" spans="1:5" x14ac:dyDescent="0.3">
      <c r="A350" s="53">
        <v>5206089</v>
      </c>
      <c r="B350" s="49" t="s">
        <v>411</v>
      </c>
      <c r="C350" s="51">
        <v>27.4</v>
      </c>
      <c r="D350" s="50"/>
      <c r="E350" s="50"/>
    </row>
    <row r="351" spans="1:5" x14ac:dyDescent="0.3">
      <c r="A351" s="53">
        <v>5206120</v>
      </c>
      <c r="B351" s="49" t="s">
        <v>412</v>
      </c>
      <c r="C351" s="51">
        <v>28.24</v>
      </c>
      <c r="D351" s="50"/>
      <c r="E351" s="50"/>
    </row>
    <row r="352" spans="1:5" x14ac:dyDescent="0.3">
      <c r="A352" s="53">
        <v>5206121</v>
      </c>
      <c r="B352" s="49" t="s">
        <v>413</v>
      </c>
      <c r="C352" s="51">
        <v>27.4</v>
      </c>
      <c r="D352" s="50"/>
      <c r="E352" s="50"/>
    </row>
    <row r="353" spans="1:5" x14ac:dyDescent="0.3">
      <c r="A353" s="53">
        <v>5092524</v>
      </c>
      <c r="B353" s="49" t="s">
        <v>6832</v>
      </c>
      <c r="C353" s="51">
        <v>7.16</v>
      </c>
      <c r="D353" s="50"/>
      <c r="E353" s="50"/>
    </row>
    <row r="354" spans="1:5" x14ac:dyDescent="0.3">
      <c r="A354" s="53">
        <v>5092525</v>
      </c>
      <c r="B354" s="49" t="s">
        <v>6833</v>
      </c>
      <c r="C354" s="51">
        <v>9.6199999999999992</v>
      </c>
      <c r="D354" s="50"/>
      <c r="E354" s="50"/>
    </row>
    <row r="355" spans="1:5" x14ac:dyDescent="0.3">
      <c r="A355" s="53">
        <v>5092526</v>
      </c>
      <c r="B355" s="49" t="s">
        <v>6834</v>
      </c>
      <c r="C355" s="51">
        <v>13.2</v>
      </c>
      <c r="D355" s="50"/>
      <c r="E355" s="50"/>
    </row>
    <row r="356" spans="1:5" x14ac:dyDescent="0.3">
      <c r="A356" s="53">
        <v>5092527</v>
      </c>
      <c r="B356" s="49" t="s">
        <v>6835</v>
      </c>
      <c r="C356" s="51">
        <v>6.94</v>
      </c>
      <c r="D356" s="50"/>
      <c r="E356" s="50"/>
    </row>
    <row r="357" spans="1:5" x14ac:dyDescent="0.3">
      <c r="A357" s="53">
        <v>5092528</v>
      </c>
      <c r="B357" s="49" t="s">
        <v>6836</v>
      </c>
      <c r="C357" s="51">
        <v>9.6199999999999992</v>
      </c>
      <c r="D357" s="50"/>
      <c r="E357" s="50"/>
    </row>
    <row r="358" spans="1:5" x14ac:dyDescent="0.3">
      <c r="A358" s="53">
        <v>5092529</v>
      </c>
      <c r="B358" s="49" t="s">
        <v>6837</v>
      </c>
      <c r="C358" s="51">
        <v>13.2</v>
      </c>
      <c r="D358" s="50"/>
      <c r="E358" s="50"/>
    </row>
    <row r="359" spans="1:5" x14ac:dyDescent="0.3">
      <c r="A359" s="53">
        <v>5122415</v>
      </c>
      <c r="B359" s="49" t="s">
        <v>6838</v>
      </c>
      <c r="C359" s="51">
        <v>31.16</v>
      </c>
      <c r="D359" s="50"/>
      <c r="E359" s="50"/>
    </row>
    <row r="360" spans="1:5" x14ac:dyDescent="0.3">
      <c r="A360" s="53">
        <v>5122414</v>
      </c>
      <c r="B360" s="49" t="s">
        <v>6839</v>
      </c>
      <c r="C360" s="51">
        <v>31.16</v>
      </c>
      <c r="D360" s="50"/>
      <c r="E360" s="50"/>
    </row>
    <row r="361" spans="1:5" x14ac:dyDescent="0.3">
      <c r="A361" s="53">
        <v>5122410</v>
      </c>
      <c r="B361" s="49" t="s">
        <v>423</v>
      </c>
      <c r="C361" s="51">
        <v>18.63</v>
      </c>
      <c r="D361" s="50"/>
      <c r="E361" s="50"/>
    </row>
    <row r="362" spans="1:5" x14ac:dyDescent="0.3">
      <c r="A362" s="53">
        <v>5122411</v>
      </c>
      <c r="B362" s="49" t="s">
        <v>424</v>
      </c>
      <c r="C362" s="51">
        <v>19.2</v>
      </c>
      <c r="D362" s="50"/>
      <c r="E362" s="50"/>
    </row>
    <row r="363" spans="1:5" x14ac:dyDescent="0.3">
      <c r="A363" s="53">
        <v>5316975</v>
      </c>
      <c r="B363" s="49" t="s">
        <v>2528</v>
      </c>
      <c r="C363" s="51">
        <v>9.41</v>
      </c>
      <c r="D363" s="50"/>
      <c r="E363" s="50"/>
    </row>
    <row r="364" spans="1:5" x14ac:dyDescent="0.3">
      <c r="A364" s="53">
        <v>5317080</v>
      </c>
      <c r="B364" s="49" t="s">
        <v>2529</v>
      </c>
      <c r="C364" s="51">
        <v>30.42</v>
      </c>
      <c r="D364" s="50"/>
      <c r="E364" s="50"/>
    </row>
    <row r="365" spans="1:5" x14ac:dyDescent="0.3">
      <c r="A365" s="53">
        <v>5316990</v>
      </c>
      <c r="B365" s="49" t="s">
        <v>2530</v>
      </c>
      <c r="C365" s="51">
        <v>18.27</v>
      </c>
      <c r="D365" s="50"/>
      <c r="E365" s="50"/>
    </row>
    <row r="366" spans="1:5" x14ac:dyDescent="0.3">
      <c r="A366" s="53">
        <v>5316967</v>
      </c>
      <c r="B366" s="49" t="s">
        <v>2531</v>
      </c>
      <c r="C366" s="51">
        <v>9.41</v>
      </c>
      <c r="D366" s="50"/>
      <c r="E366" s="50"/>
    </row>
    <row r="367" spans="1:5" x14ac:dyDescent="0.3">
      <c r="A367" s="53">
        <v>5317077</v>
      </c>
      <c r="B367" s="49" t="s">
        <v>2532</v>
      </c>
      <c r="C367" s="51">
        <v>29.54</v>
      </c>
      <c r="D367" s="50"/>
      <c r="E367" s="50"/>
    </row>
    <row r="368" spans="1:5" x14ac:dyDescent="0.3">
      <c r="A368" s="53">
        <v>5255624</v>
      </c>
      <c r="B368" s="49" t="s">
        <v>2968</v>
      </c>
      <c r="C368" s="51">
        <v>28.1</v>
      </c>
      <c r="D368" s="50"/>
      <c r="E368" s="50"/>
    </row>
    <row r="369" spans="1:5" x14ac:dyDescent="0.3">
      <c r="A369" s="53">
        <v>5255621</v>
      </c>
      <c r="B369" s="49" t="s">
        <v>2969</v>
      </c>
      <c r="C369" s="51">
        <v>76.77</v>
      </c>
      <c r="D369" s="50"/>
      <c r="E369" s="50"/>
    </row>
    <row r="370" spans="1:5" x14ac:dyDescent="0.3">
      <c r="A370" s="53">
        <v>5259331</v>
      </c>
      <c r="B370" s="49" t="s">
        <v>2971</v>
      </c>
      <c r="C370" s="51">
        <v>50.91</v>
      </c>
      <c r="D370" s="50"/>
      <c r="E370" s="50"/>
    </row>
    <row r="371" spans="1:5" x14ac:dyDescent="0.3">
      <c r="A371" s="53">
        <v>6410329</v>
      </c>
      <c r="B371" s="49" t="s">
        <v>6840</v>
      </c>
      <c r="C371" s="51">
        <v>63.74</v>
      </c>
      <c r="D371" s="50"/>
      <c r="E371" s="50"/>
    </row>
    <row r="372" spans="1:5" x14ac:dyDescent="0.3">
      <c r="A372" s="53">
        <v>5556026</v>
      </c>
      <c r="B372" s="49" t="s">
        <v>2974</v>
      </c>
      <c r="C372" s="51">
        <v>56.11</v>
      </c>
      <c r="D372" s="50"/>
      <c r="E372" s="50"/>
    </row>
    <row r="373" spans="1:5" x14ac:dyDescent="0.3">
      <c r="A373" s="53">
        <v>5556022</v>
      </c>
      <c r="B373" s="49" t="s">
        <v>2975</v>
      </c>
      <c r="C373" s="51">
        <v>184.81</v>
      </c>
      <c r="D373" s="50"/>
      <c r="E373" s="50"/>
    </row>
    <row r="374" spans="1:5" x14ac:dyDescent="0.3">
      <c r="A374" s="53">
        <v>6410384</v>
      </c>
      <c r="B374" s="49" t="s">
        <v>6841</v>
      </c>
      <c r="C374" s="51">
        <v>65</v>
      </c>
      <c r="D374" s="50"/>
      <c r="E374" s="50"/>
    </row>
    <row r="375" spans="1:5" x14ac:dyDescent="0.3">
      <c r="A375" s="53">
        <v>5556023</v>
      </c>
      <c r="B375" s="49" t="s">
        <v>2977</v>
      </c>
      <c r="C375" s="51">
        <v>44.99</v>
      </c>
      <c r="D375" s="50"/>
      <c r="E375" s="50"/>
    </row>
    <row r="376" spans="1:5" x14ac:dyDescent="0.3">
      <c r="A376" s="53">
        <v>5193078</v>
      </c>
      <c r="B376" s="49" t="s">
        <v>6842</v>
      </c>
      <c r="C376" s="51">
        <v>45.41</v>
      </c>
      <c r="D376" s="50"/>
      <c r="E376" s="50"/>
    </row>
    <row r="377" spans="1:5" x14ac:dyDescent="0.3">
      <c r="A377" s="53">
        <v>5090371</v>
      </c>
      <c r="B377" s="49" t="s">
        <v>6843</v>
      </c>
      <c r="C377" s="51">
        <v>163.31</v>
      </c>
      <c r="D377" s="50"/>
      <c r="E377" s="50"/>
    </row>
    <row r="378" spans="1:5" x14ac:dyDescent="0.3">
      <c r="A378" s="53">
        <v>5090886</v>
      </c>
      <c r="B378" s="49" t="s">
        <v>6844</v>
      </c>
      <c r="C378" s="51">
        <v>27.09</v>
      </c>
      <c r="D378" s="50"/>
      <c r="E378" s="50"/>
    </row>
    <row r="379" spans="1:5" x14ac:dyDescent="0.3">
      <c r="A379" s="53">
        <v>5090885</v>
      </c>
      <c r="B379" s="49" t="s">
        <v>6845</v>
      </c>
      <c r="C379" s="51">
        <v>92.05</v>
      </c>
      <c r="D379" s="50"/>
      <c r="E379" s="50"/>
    </row>
    <row r="380" spans="1:5" x14ac:dyDescent="0.3">
      <c r="A380" s="53">
        <v>5090819</v>
      </c>
      <c r="B380" s="49" t="s">
        <v>6846</v>
      </c>
      <c r="C380" s="51">
        <v>18.48</v>
      </c>
      <c r="D380" s="50"/>
      <c r="E380" s="50"/>
    </row>
    <row r="381" spans="1:5" x14ac:dyDescent="0.3">
      <c r="A381" s="53">
        <v>5320602</v>
      </c>
      <c r="B381" s="49" t="s">
        <v>436</v>
      </c>
      <c r="C381" s="51">
        <v>59.16</v>
      </c>
      <c r="D381" s="50"/>
      <c r="E381" s="50"/>
    </row>
    <row r="382" spans="1:5" x14ac:dyDescent="0.3">
      <c r="A382" s="53">
        <v>5183274</v>
      </c>
      <c r="B382" s="49" t="s">
        <v>437</v>
      </c>
      <c r="C382" s="51">
        <v>16.68</v>
      </c>
      <c r="D382" s="50"/>
      <c r="E382" s="50"/>
    </row>
    <row r="383" spans="1:5" x14ac:dyDescent="0.3">
      <c r="A383" s="53">
        <v>5183368</v>
      </c>
      <c r="B383" s="49" t="s">
        <v>438</v>
      </c>
      <c r="C383" s="51">
        <v>33.770000000000003</v>
      </c>
      <c r="D383" s="50"/>
      <c r="E383" s="50"/>
    </row>
    <row r="384" spans="1:5" x14ac:dyDescent="0.3">
      <c r="A384" s="53">
        <v>5183325</v>
      </c>
      <c r="B384" s="49" t="s">
        <v>6847</v>
      </c>
      <c r="C384" s="51">
        <v>28.28</v>
      </c>
      <c r="D384" s="50"/>
      <c r="E384" s="50"/>
    </row>
    <row r="385" spans="1:5" x14ac:dyDescent="0.3">
      <c r="A385" s="53">
        <v>5183435</v>
      </c>
      <c r="B385" s="49" t="s">
        <v>440</v>
      </c>
      <c r="C385" s="51">
        <v>51.32</v>
      </c>
      <c r="D385" s="50"/>
      <c r="E385" s="50"/>
    </row>
    <row r="386" spans="1:5" x14ac:dyDescent="0.3">
      <c r="A386" s="53">
        <v>5183273</v>
      </c>
      <c r="B386" s="49" t="s">
        <v>441</v>
      </c>
      <c r="C386" s="51">
        <v>15.8</v>
      </c>
      <c r="D386" s="50"/>
      <c r="E386" s="50"/>
    </row>
    <row r="387" spans="1:5" x14ac:dyDescent="0.3">
      <c r="A387" s="53">
        <v>5183440</v>
      </c>
      <c r="B387" s="49" t="s">
        <v>443</v>
      </c>
      <c r="C387" s="51">
        <v>52.65</v>
      </c>
      <c r="D387" s="50"/>
      <c r="E387" s="50"/>
    </row>
    <row r="388" spans="1:5" x14ac:dyDescent="0.3">
      <c r="A388" s="53">
        <v>5083552</v>
      </c>
      <c r="B388" s="49" t="s">
        <v>444</v>
      </c>
      <c r="C388" s="51">
        <v>51.98</v>
      </c>
      <c r="D388" s="50"/>
      <c r="E388" s="50"/>
    </row>
    <row r="389" spans="1:5" x14ac:dyDescent="0.3">
      <c r="A389" s="53">
        <v>5090790</v>
      </c>
      <c r="B389" s="49" t="s">
        <v>6848</v>
      </c>
      <c r="C389" s="51">
        <v>60.99</v>
      </c>
      <c r="D389" s="50"/>
      <c r="E389" s="50"/>
    </row>
    <row r="390" spans="1:5" x14ac:dyDescent="0.3">
      <c r="A390" s="53">
        <v>5096810</v>
      </c>
      <c r="B390" s="49" t="s">
        <v>6849</v>
      </c>
      <c r="C390" s="51">
        <v>14.25</v>
      </c>
      <c r="D390" s="50"/>
      <c r="E390" s="50"/>
    </row>
    <row r="391" spans="1:5" x14ac:dyDescent="0.3">
      <c r="A391" s="53">
        <v>5090721</v>
      </c>
      <c r="B391" s="49" t="s">
        <v>6850</v>
      </c>
      <c r="C391" s="51">
        <v>30.73</v>
      </c>
      <c r="D391" s="50"/>
      <c r="E391" s="50"/>
    </row>
    <row r="392" spans="1:5" x14ac:dyDescent="0.3">
      <c r="A392" s="53">
        <v>5090722</v>
      </c>
      <c r="B392" s="49" t="s">
        <v>6851</v>
      </c>
      <c r="C392" s="51">
        <v>58.58</v>
      </c>
      <c r="D392" s="50"/>
      <c r="E392" s="50"/>
    </row>
    <row r="393" spans="1:5" x14ac:dyDescent="0.3">
      <c r="A393" s="53">
        <v>5220564</v>
      </c>
      <c r="B393" s="49" t="s">
        <v>450</v>
      </c>
      <c r="C393" s="51">
        <v>28</v>
      </c>
      <c r="D393" s="50"/>
      <c r="E393" s="50"/>
    </row>
    <row r="394" spans="1:5" x14ac:dyDescent="0.3">
      <c r="A394" s="53">
        <v>5220376</v>
      </c>
      <c r="B394" s="49" t="s">
        <v>451</v>
      </c>
      <c r="C394" s="51">
        <v>53.21</v>
      </c>
      <c r="D394" s="50"/>
      <c r="E394" s="50"/>
    </row>
    <row r="395" spans="1:5" x14ac:dyDescent="0.3">
      <c r="A395" s="53">
        <v>5095395</v>
      </c>
      <c r="B395" s="49" t="s">
        <v>452</v>
      </c>
      <c r="C395" s="51">
        <v>12.42</v>
      </c>
      <c r="D395" s="50"/>
      <c r="E395" s="50"/>
    </row>
    <row r="396" spans="1:5" x14ac:dyDescent="0.3">
      <c r="A396" s="53">
        <v>5220470</v>
      </c>
      <c r="B396" s="49" t="s">
        <v>454</v>
      </c>
      <c r="C396" s="51">
        <v>53.21</v>
      </c>
      <c r="D396" s="50"/>
      <c r="E396" s="50"/>
    </row>
    <row r="397" spans="1:5" x14ac:dyDescent="0.3">
      <c r="A397" s="53">
        <v>5220471</v>
      </c>
      <c r="B397" s="49" t="s">
        <v>456</v>
      </c>
      <c r="C397" s="51">
        <v>53.21</v>
      </c>
      <c r="D397" s="50"/>
      <c r="E397" s="50"/>
    </row>
    <row r="398" spans="1:5" x14ac:dyDescent="0.3">
      <c r="A398" s="53">
        <v>5090979</v>
      </c>
      <c r="B398" s="49" t="s">
        <v>457</v>
      </c>
      <c r="C398" s="51">
        <v>12.42</v>
      </c>
      <c r="D398" s="50"/>
      <c r="E398" s="50"/>
    </row>
    <row r="399" spans="1:5" x14ac:dyDescent="0.3">
      <c r="A399" s="53">
        <v>5090980</v>
      </c>
      <c r="B399" s="49" t="s">
        <v>458</v>
      </c>
      <c r="C399" s="51">
        <v>28</v>
      </c>
      <c r="D399" s="50"/>
      <c r="E399" s="50"/>
    </row>
    <row r="400" spans="1:5" x14ac:dyDescent="0.3">
      <c r="A400" s="53">
        <v>5220378</v>
      </c>
      <c r="B400" s="49" t="s">
        <v>459</v>
      </c>
      <c r="C400" s="51">
        <v>53.21</v>
      </c>
      <c r="D400" s="50"/>
      <c r="E400" s="50"/>
    </row>
    <row r="401" spans="1:5" x14ac:dyDescent="0.3">
      <c r="A401" s="53">
        <v>5090810</v>
      </c>
      <c r="B401" s="49" t="s">
        <v>6852</v>
      </c>
      <c r="C401" s="51">
        <v>3</v>
      </c>
      <c r="D401" s="50"/>
      <c r="E401" s="50"/>
    </row>
    <row r="402" spans="1:5" x14ac:dyDescent="0.3">
      <c r="A402" s="53">
        <v>5180499</v>
      </c>
      <c r="B402" s="49" t="s">
        <v>461</v>
      </c>
      <c r="C402" s="51">
        <v>18.46</v>
      </c>
      <c r="D402" s="50"/>
      <c r="E402" s="50"/>
    </row>
    <row r="403" spans="1:5" x14ac:dyDescent="0.3">
      <c r="A403" s="53">
        <v>5180638</v>
      </c>
      <c r="B403" s="49" t="s">
        <v>462</v>
      </c>
      <c r="C403" s="51">
        <v>36.869999999999997</v>
      </c>
      <c r="D403" s="50"/>
      <c r="E403" s="50"/>
    </row>
    <row r="404" spans="1:5" x14ac:dyDescent="0.3">
      <c r="A404" s="53">
        <v>5083002</v>
      </c>
      <c r="B404" s="49" t="s">
        <v>463</v>
      </c>
      <c r="C404" s="51">
        <v>26.18</v>
      </c>
      <c r="D404" s="50"/>
      <c r="E404" s="50"/>
    </row>
    <row r="405" spans="1:5" x14ac:dyDescent="0.3">
      <c r="A405" s="53">
        <v>5082969</v>
      </c>
      <c r="B405" s="49" t="s">
        <v>464</v>
      </c>
      <c r="C405" s="51">
        <v>49.99</v>
      </c>
      <c r="D405" s="50"/>
      <c r="E405" s="50"/>
    </row>
    <row r="406" spans="1:5" x14ac:dyDescent="0.3">
      <c r="A406" s="53">
        <v>5091367</v>
      </c>
      <c r="B406" s="49" t="s">
        <v>465</v>
      </c>
      <c r="C406" s="51">
        <v>83.45</v>
      </c>
      <c r="D406" s="50"/>
      <c r="E406" s="50"/>
    </row>
    <row r="407" spans="1:5" x14ac:dyDescent="0.3">
      <c r="A407" s="53">
        <v>5083003</v>
      </c>
      <c r="B407" s="49" t="s">
        <v>466</v>
      </c>
      <c r="C407" s="51">
        <v>26.18</v>
      </c>
      <c r="D407" s="50"/>
      <c r="E407" s="50"/>
    </row>
    <row r="408" spans="1:5" x14ac:dyDescent="0.3">
      <c r="A408" s="53">
        <v>5082970</v>
      </c>
      <c r="B408" s="49" t="s">
        <v>467</v>
      </c>
      <c r="C408" s="51">
        <v>49.99</v>
      </c>
      <c r="D408" s="50"/>
      <c r="E408" s="50"/>
    </row>
    <row r="409" spans="1:5" x14ac:dyDescent="0.3">
      <c r="A409" s="53">
        <v>5091368</v>
      </c>
      <c r="B409" s="49" t="s">
        <v>468</v>
      </c>
      <c r="C409" s="51">
        <v>83.45</v>
      </c>
      <c r="D409" s="50"/>
      <c r="E409" s="50"/>
    </row>
    <row r="410" spans="1:5" x14ac:dyDescent="0.3">
      <c r="A410" s="53">
        <v>5090784</v>
      </c>
      <c r="B410" s="49" t="s">
        <v>6853</v>
      </c>
      <c r="C410" s="51">
        <v>28.48</v>
      </c>
      <c r="D410" s="50"/>
      <c r="E410" s="50"/>
    </row>
    <row r="411" spans="1:5" x14ac:dyDescent="0.3">
      <c r="A411" s="53">
        <v>5090785</v>
      </c>
      <c r="B411" s="49" t="s">
        <v>6854</v>
      </c>
      <c r="C411" s="51">
        <v>55.02</v>
      </c>
      <c r="D411" s="50"/>
      <c r="E411" s="50"/>
    </row>
    <row r="412" spans="1:5" x14ac:dyDescent="0.3">
      <c r="A412" s="53">
        <v>5091108</v>
      </c>
      <c r="B412" s="49" t="s">
        <v>471</v>
      </c>
      <c r="C412" s="51">
        <v>145.44999999999999</v>
      </c>
      <c r="D412" s="50"/>
      <c r="E412" s="50"/>
    </row>
    <row r="413" spans="1:5" x14ac:dyDescent="0.3">
      <c r="A413" s="53">
        <v>5183327</v>
      </c>
      <c r="B413" s="49" t="s">
        <v>6855</v>
      </c>
      <c r="C413" s="51">
        <v>25.23</v>
      </c>
      <c r="D413" s="50"/>
      <c r="E413" s="50"/>
    </row>
    <row r="414" spans="1:5" x14ac:dyDescent="0.3">
      <c r="A414" s="53">
        <v>5184005</v>
      </c>
      <c r="B414" s="49" t="s">
        <v>6856</v>
      </c>
      <c r="C414" s="51">
        <v>34.25</v>
      </c>
      <c r="D414" s="50"/>
      <c r="E414" s="50"/>
    </row>
    <row r="415" spans="1:5" x14ac:dyDescent="0.3">
      <c r="A415" s="53">
        <v>5090752</v>
      </c>
      <c r="B415" s="49" t="s">
        <v>6857</v>
      </c>
      <c r="C415" s="51">
        <v>17.59</v>
      </c>
      <c r="D415" s="50"/>
      <c r="E415" s="50"/>
    </row>
    <row r="416" spans="1:5" x14ac:dyDescent="0.3">
      <c r="A416" s="53">
        <v>5090753</v>
      </c>
      <c r="B416" s="49" t="s">
        <v>6858</v>
      </c>
      <c r="C416" s="51">
        <v>34.200000000000003</v>
      </c>
      <c r="D416" s="50"/>
      <c r="E416" s="50"/>
    </row>
    <row r="417" spans="1:5" x14ac:dyDescent="0.3">
      <c r="A417" s="53">
        <v>5090754</v>
      </c>
      <c r="B417" s="49" t="s">
        <v>6859</v>
      </c>
      <c r="C417" s="51">
        <v>46.39</v>
      </c>
      <c r="D417" s="50"/>
      <c r="E417" s="50"/>
    </row>
    <row r="418" spans="1:5" x14ac:dyDescent="0.3">
      <c r="A418" s="53">
        <v>5183326</v>
      </c>
      <c r="B418" s="49" t="s">
        <v>6860</v>
      </c>
      <c r="C418" s="51">
        <v>22.97</v>
      </c>
      <c r="D418" s="50"/>
      <c r="E418" s="50"/>
    </row>
    <row r="419" spans="1:5" x14ac:dyDescent="0.3">
      <c r="A419" s="53">
        <v>5184006</v>
      </c>
      <c r="B419" s="49" t="s">
        <v>6861</v>
      </c>
      <c r="C419" s="51">
        <v>37.81</v>
      </c>
      <c r="D419" s="50"/>
      <c r="E419" s="50"/>
    </row>
    <row r="420" spans="1:5" x14ac:dyDescent="0.3">
      <c r="A420" s="53">
        <v>5316733</v>
      </c>
      <c r="B420" s="49" t="s">
        <v>479</v>
      </c>
      <c r="C420" s="51">
        <v>22.7</v>
      </c>
      <c r="D420" s="50"/>
      <c r="E420" s="50"/>
    </row>
    <row r="421" spans="1:5" x14ac:dyDescent="0.3">
      <c r="A421" s="53">
        <v>5184008</v>
      </c>
      <c r="B421" s="49" t="s">
        <v>480</v>
      </c>
      <c r="C421" s="51">
        <v>44.06</v>
      </c>
      <c r="D421" s="50"/>
      <c r="E421" s="50"/>
    </row>
    <row r="422" spans="1:5" x14ac:dyDescent="0.3">
      <c r="A422" s="53">
        <v>5090746</v>
      </c>
      <c r="B422" s="49" t="s">
        <v>6862</v>
      </c>
      <c r="C422" s="51">
        <v>44.04</v>
      </c>
      <c r="D422" s="50"/>
      <c r="E422" s="50"/>
    </row>
    <row r="423" spans="1:5" x14ac:dyDescent="0.3">
      <c r="A423" s="53">
        <v>5090717</v>
      </c>
      <c r="B423" s="49" t="s">
        <v>6863</v>
      </c>
      <c r="C423" s="51">
        <v>27.42</v>
      </c>
      <c r="D423" s="50"/>
      <c r="E423" s="50"/>
    </row>
    <row r="424" spans="1:5" x14ac:dyDescent="0.3">
      <c r="A424" s="53">
        <v>5090718</v>
      </c>
      <c r="B424" s="49" t="s">
        <v>6864</v>
      </c>
      <c r="C424" s="51">
        <v>38.79</v>
      </c>
      <c r="D424" s="50"/>
      <c r="E424" s="50"/>
    </row>
    <row r="425" spans="1:5" x14ac:dyDescent="0.3">
      <c r="A425" s="53">
        <v>5082008</v>
      </c>
      <c r="B425" s="49" t="s">
        <v>484</v>
      </c>
      <c r="C425" s="51">
        <v>24.81</v>
      </c>
      <c r="D425" s="50"/>
      <c r="E425" s="50"/>
    </row>
    <row r="426" spans="1:5" x14ac:dyDescent="0.3">
      <c r="A426" s="53">
        <v>5480936</v>
      </c>
      <c r="B426" s="49" t="s">
        <v>6865</v>
      </c>
      <c r="C426" s="51">
        <v>11.5</v>
      </c>
      <c r="D426" s="50"/>
      <c r="E426" s="50"/>
    </row>
    <row r="427" spans="1:5" x14ac:dyDescent="0.3">
      <c r="A427" s="53">
        <v>5480938</v>
      </c>
      <c r="B427" s="49" t="s">
        <v>6866</v>
      </c>
      <c r="C427" s="51">
        <v>20.85</v>
      </c>
      <c r="D427" s="50"/>
      <c r="E427" s="50"/>
    </row>
    <row r="428" spans="1:5" x14ac:dyDescent="0.3">
      <c r="A428" s="53">
        <v>5480940</v>
      </c>
      <c r="B428" s="49" t="s">
        <v>6867</v>
      </c>
      <c r="C428" s="51">
        <v>35.020000000000003</v>
      </c>
      <c r="D428" s="50"/>
      <c r="E428" s="50"/>
    </row>
    <row r="429" spans="1:5" x14ac:dyDescent="0.3">
      <c r="A429" s="53">
        <v>5090877</v>
      </c>
      <c r="B429" s="49" t="s">
        <v>490</v>
      </c>
      <c r="C429" s="51">
        <v>88.17</v>
      </c>
      <c r="D429" s="50"/>
      <c r="E429" s="50"/>
    </row>
    <row r="430" spans="1:5" x14ac:dyDescent="0.3">
      <c r="A430" s="53">
        <v>5090874</v>
      </c>
      <c r="B430" s="49" t="s">
        <v>491</v>
      </c>
      <c r="C430" s="51">
        <v>52.79</v>
      </c>
      <c r="D430" s="50"/>
      <c r="E430" s="50"/>
    </row>
    <row r="431" spans="1:5" x14ac:dyDescent="0.3">
      <c r="A431" s="53">
        <v>5090873</v>
      </c>
      <c r="B431" s="49" t="s">
        <v>492</v>
      </c>
      <c r="C431" s="51">
        <v>54.36</v>
      </c>
      <c r="D431" s="50"/>
      <c r="E431" s="50"/>
    </row>
    <row r="432" spans="1:5" x14ac:dyDescent="0.3">
      <c r="A432" s="53">
        <v>5083626</v>
      </c>
      <c r="B432" s="49" t="s">
        <v>493</v>
      </c>
      <c r="C432" s="51">
        <v>79.34</v>
      </c>
      <c r="D432" s="50"/>
      <c r="E432" s="50"/>
    </row>
    <row r="433" spans="1:5" x14ac:dyDescent="0.3">
      <c r="A433" s="53">
        <v>5083625</v>
      </c>
      <c r="B433" s="49" t="s">
        <v>494</v>
      </c>
      <c r="C433" s="51">
        <v>79.34</v>
      </c>
      <c r="D433" s="50"/>
      <c r="E433" s="50"/>
    </row>
    <row r="434" spans="1:5" x14ac:dyDescent="0.3">
      <c r="A434" s="53">
        <v>5091630</v>
      </c>
      <c r="B434" s="49" t="s">
        <v>515</v>
      </c>
      <c r="C434" s="51">
        <v>52.54</v>
      </c>
      <c r="D434" s="50"/>
      <c r="E434" s="50"/>
    </row>
    <row r="435" spans="1:5" x14ac:dyDescent="0.3">
      <c r="A435" s="53">
        <v>5090792</v>
      </c>
      <c r="B435" s="49" t="s">
        <v>6868</v>
      </c>
      <c r="C435" s="51">
        <v>67.67</v>
      </c>
      <c r="D435" s="50"/>
      <c r="E435" s="50"/>
    </row>
    <row r="436" spans="1:5" x14ac:dyDescent="0.3">
      <c r="A436" s="53">
        <v>5091535</v>
      </c>
      <c r="B436" s="49" t="s">
        <v>516</v>
      </c>
      <c r="C436" s="51">
        <v>37.9</v>
      </c>
      <c r="D436" s="50"/>
      <c r="E436" s="50"/>
    </row>
    <row r="437" spans="1:5" x14ac:dyDescent="0.3">
      <c r="A437" s="53">
        <v>5090791</v>
      </c>
      <c r="B437" s="49" t="s">
        <v>6869</v>
      </c>
      <c r="C437" s="51">
        <v>55.47</v>
      </c>
      <c r="D437" s="50"/>
      <c r="E437" s="50"/>
    </row>
    <row r="438" spans="1:5" x14ac:dyDescent="0.3">
      <c r="A438" s="53">
        <v>5183270</v>
      </c>
      <c r="B438" s="49" t="s">
        <v>511</v>
      </c>
      <c r="C438" s="51">
        <v>20.66</v>
      </c>
      <c r="D438" s="50"/>
      <c r="E438" s="50"/>
    </row>
    <row r="439" spans="1:5" x14ac:dyDescent="0.3">
      <c r="A439" s="53">
        <v>5183363</v>
      </c>
      <c r="B439" s="49" t="s">
        <v>512</v>
      </c>
      <c r="C439" s="51">
        <v>41.29</v>
      </c>
      <c r="D439" s="50"/>
      <c r="E439" s="50"/>
    </row>
    <row r="440" spans="1:5" x14ac:dyDescent="0.3">
      <c r="A440" s="53">
        <v>5183437</v>
      </c>
      <c r="B440" s="49" t="s">
        <v>513</v>
      </c>
      <c r="C440" s="51">
        <v>68.78</v>
      </c>
      <c r="D440" s="50"/>
      <c r="E440" s="50"/>
    </row>
    <row r="441" spans="1:5" x14ac:dyDescent="0.3">
      <c r="A441" s="53">
        <v>5183272</v>
      </c>
      <c r="B441" s="49" t="s">
        <v>496</v>
      </c>
      <c r="C441" s="51">
        <v>20.66</v>
      </c>
      <c r="D441" s="50"/>
      <c r="E441" s="50"/>
    </row>
    <row r="442" spans="1:5" x14ac:dyDescent="0.3">
      <c r="A442" s="53">
        <v>5090743</v>
      </c>
      <c r="B442" s="49" t="s">
        <v>6870</v>
      </c>
      <c r="C442" s="51">
        <v>20.66</v>
      </c>
      <c r="D442" s="50"/>
      <c r="E442" s="50"/>
    </row>
    <row r="443" spans="1:5" x14ac:dyDescent="0.3">
      <c r="A443" s="53">
        <v>5090744</v>
      </c>
      <c r="B443" s="49" t="s">
        <v>6871</v>
      </c>
      <c r="C443" s="51">
        <v>41.29</v>
      </c>
      <c r="D443" s="50"/>
      <c r="E443" s="50"/>
    </row>
    <row r="444" spans="1:5" x14ac:dyDescent="0.3">
      <c r="A444" s="53">
        <v>5090745</v>
      </c>
      <c r="B444" s="49" t="s">
        <v>6872</v>
      </c>
      <c r="C444" s="51">
        <v>68.78</v>
      </c>
      <c r="D444" s="50"/>
      <c r="E444" s="50"/>
    </row>
    <row r="445" spans="1:5" x14ac:dyDescent="0.3">
      <c r="A445" s="53">
        <v>5183209</v>
      </c>
      <c r="B445" s="49" t="s">
        <v>500</v>
      </c>
      <c r="C445" s="51">
        <v>20.66</v>
      </c>
      <c r="D445" s="50"/>
      <c r="E445" s="50"/>
    </row>
    <row r="446" spans="1:5" x14ac:dyDescent="0.3">
      <c r="A446" s="53">
        <v>5183362</v>
      </c>
      <c r="B446" s="49" t="s">
        <v>501</v>
      </c>
      <c r="C446" s="51">
        <v>41.29</v>
      </c>
      <c r="D446" s="50"/>
      <c r="E446" s="50"/>
    </row>
    <row r="447" spans="1:5" x14ac:dyDescent="0.3">
      <c r="A447" s="53">
        <v>5183436</v>
      </c>
      <c r="B447" s="49" t="s">
        <v>502</v>
      </c>
      <c r="C447" s="51">
        <v>68.78</v>
      </c>
      <c r="D447" s="50"/>
      <c r="E447" s="50"/>
    </row>
    <row r="448" spans="1:5" x14ac:dyDescent="0.3">
      <c r="A448" s="53">
        <v>5184468</v>
      </c>
      <c r="B448" s="49" t="s">
        <v>503</v>
      </c>
      <c r="C448" s="51">
        <v>41.29</v>
      </c>
      <c r="D448" s="50"/>
      <c r="E448" s="50"/>
    </row>
    <row r="449" spans="1:5" x14ac:dyDescent="0.3">
      <c r="A449" s="53">
        <v>5184469</v>
      </c>
      <c r="B449" s="49" t="s">
        <v>504</v>
      </c>
      <c r="C449" s="51">
        <v>68.78</v>
      </c>
      <c r="D449" s="50"/>
      <c r="E449" s="50"/>
    </row>
    <row r="450" spans="1:5" x14ac:dyDescent="0.3">
      <c r="A450" s="53">
        <v>5097225</v>
      </c>
      <c r="B450" s="49" t="s">
        <v>6873</v>
      </c>
      <c r="C450" s="51">
        <v>37.54</v>
      </c>
      <c r="D450" s="50"/>
      <c r="E450" s="50"/>
    </row>
    <row r="451" spans="1:5" x14ac:dyDescent="0.3">
      <c r="A451" s="53">
        <v>5097226</v>
      </c>
      <c r="B451" s="49" t="s">
        <v>6874</v>
      </c>
      <c r="C451" s="51">
        <v>68.78</v>
      </c>
      <c r="D451" s="50"/>
      <c r="E451" s="50"/>
    </row>
    <row r="452" spans="1:5" x14ac:dyDescent="0.3">
      <c r="A452" s="53">
        <v>5184501</v>
      </c>
      <c r="B452" s="49" t="s">
        <v>507</v>
      </c>
      <c r="C452" s="51">
        <v>68.78</v>
      </c>
      <c r="D452" s="50"/>
      <c r="E452" s="50"/>
    </row>
    <row r="453" spans="1:5" x14ac:dyDescent="0.3">
      <c r="A453" s="53">
        <v>5241252</v>
      </c>
      <c r="B453" s="49" t="s">
        <v>508</v>
      </c>
      <c r="C453" s="51">
        <v>27.92</v>
      </c>
      <c r="D453" s="50"/>
      <c r="E453" s="50"/>
    </row>
    <row r="454" spans="1:5" x14ac:dyDescent="0.3">
      <c r="A454" s="53">
        <v>5241253</v>
      </c>
      <c r="B454" s="49" t="s">
        <v>509</v>
      </c>
      <c r="C454" s="51">
        <v>93.56</v>
      </c>
      <c r="D454" s="50"/>
      <c r="E454" s="50"/>
    </row>
    <row r="455" spans="1:5" x14ac:dyDescent="0.3">
      <c r="A455" s="53">
        <v>5092094</v>
      </c>
      <c r="B455" s="49" t="s">
        <v>510</v>
      </c>
      <c r="C455" s="51">
        <v>25.22</v>
      </c>
      <c r="D455" s="50"/>
      <c r="E455" s="50"/>
    </row>
    <row r="456" spans="1:5" x14ac:dyDescent="0.3">
      <c r="A456" s="53">
        <v>5090969</v>
      </c>
      <c r="B456" s="49" t="s">
        <v>514</v>
      </c>
      <c r="C456" s="51">
        <v>14.25</v>
      </c>
      <c r="D456" s="50"/>
      <c r="E456" s="50"/>
    </row>
    <row r="457" spans="1:5" x14ac:dyDescent="0.3">
      <c r="A457" s="53">
        <v>5180478</v>
      </c>
      <c r="B457" s="49" t="s">
        <v>518</v>
      </c>
      <c r="C457" s="51">
        <v>17.47</v>
      </c>
      <c r="D457" s="50"/>
      <c r="E457" s="50"/>
    </row>
    <row r="458" spans="1:5" x14ac:dyDescent="0.3">
      <c r="A458" s="53">
        <v>5180486</v>
      </c>
      <c r="B458" s="49" t="s">
        <v>519</v>
      </c>
      <c r="C458" s="51">
        <v>33.5</v>
      </c>
      <c r="D458" s="50"/>
      <c r="E458" s="50"/>
    </row>
    <row r="459" spans="1:5" x14ac:dyDescent="0.3">
      <c r="A459" s="53">
        <v>5180489</v>
      </c>
      <c r="B459" s="49" t="s">
        <v>520</v>
      </c>
      <c r="C459" s="51">
        <v>55.5</v>
      </c>
      <c r="D459" s="50"/>
      <c r="E459" s="50"/>
    </row>
    <row r="460" spans="1:5" x14ac:dyDescent="0.3">
      <c r="A460" s="53">
        <v>5180485</v>
      </c>
      <c r="B460" s="49" t="s">
        <v>521</v>
      </c>
      <c r="C460" s="51">
        <v>33.5</v>
      </c>
      <c r="D460" s="50"/>
      <c r="E460" s="50"/>
    </row>
    <row r="461" spans="1:5" x14ac:dyDescent="0.3">
      <c r="A461" s="53">
        <v>5180479</v>
      </c>
      <c r="B461" s="49" t="s">
        <v>522</v>
      </c>
      <c r="C461" s="51">
        <v>17.47</v>
      </c>
      <c r="D461" s="50"/>
      <c r="E461" s="50"/>
    </row>
    <row r="462" spans="1:5" x14ac:dyDescent="0.3">
      <c r="A462" s="53">
        <v>5180487</v>
      </c>
      <c r="B462" s="49" t="s">
        <v>523</v>
      </c>
      <c r="C462" s="51">
        <v>33.5</v>
      </c>
      <c r="D462" s="50"/>
      <c r="E462" s="50"/>
    </row>
    <row r="463" spans="1:5" x14ac:dyDescent="0.3">
      <c r="A463" s="53">
        <v>5180488</v>
      </c>
      <c r="B463" s="49" t="s">
        <v>524</v>
      </c>
      <c r="C463" s="51">
        <v>55.5</v>
      </c>
      <c r="D463" s="50"/>
      <c r="E463" s="50"/>
    </row>
    <row r="464" spans="1:5" x14ac:dyDescent="0.3">
      <c r="A464" s="53">
        <v>5090736</v>
      </c>
      <c r="B464" s="49" t="s">
        <v>6875</v>
      </c>
      <c r="C464" s="51">
        <v>17.489999999999998</v>
      </c>
      <c r="D464" s="50"/>
      <c r="E464" s="50"/>
    </row>
    <row r="465" spans="1:5" x14ac:dyDescent="0.3">
      <c r="A465" s="53">
        <v>5090737</v>
      </c>
      <c r="B465" s="49" t="s">
        <v>6876</v>
      </c>
      <c r="C465" s="51">
        <v>32.82</v>
      </c>
      <c r="D465" s="50"/>
      <c r="E465" s="50"/>
    </row>
    <row r="466" spans="1:5" x14ac:dyDescent="0.3">
      <c r="A466" s="53">
        <v>5090738</v>
      </c>
      <c r="B466" s="49" t="s">
        <v>6877</v>
      </c>
      <c r="C466" s="51">
        <v>56.86</v>
      </c>
      <c r="D466" s="50"/>
      <c r="E466" s="50"/>
    </row>
    <row r="467" spans="1:5" x14ac:dyDescent="0.3">
      <c r="A467" s="53">
        <v>5081987</v>
      </c>
      <c r="B467" s="49" t="s">
        <v>541</v>
      </c>
      <c r="C467" s="51">
        <v>15.31</v>
      </c>
      <c r="D467" s="50"/>
      <c r="E467" s="50"/>
    </row>
    <row r="468" spans="1:5" x14ac:dyDescent="0.3">
      <c r="A468" s="53">
        <v>5081988</v>
      </c>
      <c r="B468" s="49" t="s">
        <v>542</v>
      </c>
      <c r="C468" s="51">
        <v>35.22</v>
      </c>
      <c r="D468" s="50"/>
      <c r="E468" s="50"/>
    </row>
    <row r="469" spans="1:5" x14ac:dyDescent="0.3">
      <c r="A469" s="53">
        <v>5091366</v>
      </c>
      <c r="B469" s="49" t="s">
        <v>543</v>
      </c>
      <c r="C469" s="51">
        <v>67.63</v>
      </c>
      <c r="D469" s="50"/>
      <c r="E469" s="50"/>
    </row>
    <row r="470" spans="1:5" x14ac:dyDescent="0.3">
      <c r="A470" s="53">
        <v>5090778</v>
      </c>
      <c r="B470" s="49" t="s">
        <v>6878</v>
      </c>
      <c r="C470" s="51">
        <v>16.23</v>
      </c>
      <c r="D470" s="50"/>
      <c r="E470" s="50"/>
    </row>
    <row r="471" spans="1:5" x14ac:dyDescent="0.3">
      <c r="A471" s="53">
        <v>5090779</v>
      </c>
      <c r="B471" s="49" t="s">
        <v>6879</v>
      </c>
      <c r="C471" s="51">
        <v>37.08</v>
      </c>
      <c r="D471" s="50"/>
      <c r="E471" s="50"/>
    </row>
    <row r="472" spans="1:5" x14ac:dyDescent="0.3">
      <c r="A472" s="53">
        <v>5090780</v>
      </c>
      <c r="B472" s="49" t="s">
        <v>6880</v>
      </c>
      <c r="C472" s="51">
        <v>70.87</v>
      </c>
      <c r="D472" s="50"/>
      <c r="E472" s="50"/>
    </row>
    <row r="473" spans="1:5" x14ac:dyDescent="0.3">
      <c r="A473" s="53">
        <v>5081985</v>
      </c>
      <c r="B473" s="49" t="s">
        <v>547</v>
      </c>
      <c r="C473" s="51">
        <v>15.31</v>
      </c>
      <c r="D473" s="50"/>
      <c r="E473" s="50"/>
    </row>
    <row r="474" spans="1:5" x14ac:dyDescent="0.3">
      <c r="A474" s="53">
        <v>5081986</v>
      </c>
      <c r="B474" s="49" t="s">
        <v>548</v>
      </c>
      <c r="C474" s="51">
        <v>35.22</v>
      </c>
      <c r="D474" s="50"/>
      <c r="E474" s="50"/>
    </row>
    <row r="475" spans="1:5" x14ac:dyDescent="0.3">
      <c r="A475" s="53">
        <v>5091365</v>
      </c>
      <c r="B475" s="49" t="s">
        <v>549</v>
      </c>
      <c r="C475" s="51">
        <v>67.63</v>
      </c>
      <c r="D475" s="50"/>
      <c r="E475" s="50"/>
    </row>
    <row r="476" spans="1:5" x14ac:dyDescent="0.3">
      <c r="A476" s="53">
        <v>5090818</v>
      </c>
      <c r="B476" s="49" t="s">
        <v>6881</v>
      </c>
      <c r="C476" s="51">
        <v>38.54</v>
      </c>
      <c r="D476" s="50"/>
      <c r="E476" s="50"/>
    </row>
    <row r="477" spans="1:5" x14ac:dyDescent="0.3">
      <c r="A477" s="53">
        <v>5092218</v>
      </c>
      <c r="B477" s="49" t="s">
        <v>551</v>
      </c>
      <c r="C477" s="51">
        <v>17.46</v>
      </c>
      <c r="D477" s="50"/>
      <c r="E477" s="50"/>
    </row>
    <row r="478" spans="1:5" x14ac:dyDescent="0.3">
      <c r="A478" s="53">
        <v>5092219</v>
      </c>
      <c r="B478" s="49" t="s">
        <v>552</v>
      </c>
      <c r="C478" s="51">
        <v>35.270000000000003</v>
      </c>
      <c r="D478" s="50"/>
      <c r="E478" s="50"/>
    </row>
    <row r="479" spans="1:5" x14ac:dyDescent="0.3">
      <c r="A479" s="53">
        <v>5092220</v>
      </c>
      <c r="B479" s="49" t="s">
        <v>553</v>
      </c>
      <c r="C479" s="51">
        <v>17.46</v>
      </c>
      <c r="D479" s="50"/>
      <c r="E479" s="50"/>
    </row>
    <row r="480" spans="1:5" x14ac:dyDescent="0.3">
      <c r="A480" s="53">
        <v>5092221</v>
      </c>
      <c r="B480" s="49" t="s">
        <v>554</v>
      </c>
      <c r="C480" s="51">
        <v>35.270000000000003</v>
      </c>
      <c r="D480" s="50"/>
      <c r="E480" s="50"/>
    </row>
    <row r="481" spans="1:5" x14ac:dyDescent="0.3">
      <c r="A481" s="53">
        <v>5090817</v>
      </c>
      <c r="B481" s="49" t="s">
        <v>6882</v>
      </c>
      <c r="C481" s="51">
        <v>20.22</v>
      </c>
      <c r="D481" s="50"/>
      <c r="E481" s="50"/>
    </row>
    <row r="482" spans="1:5" x14ac:dyDescent="0.3">
      <c r="A482" s="53">
        <v>5082933</v>
      </c>
      <c r="B482" s="49" t="s">
        <v>556</v>
      </c>
      <c r="C482" s="51">
        <v>12.63</v>
      </c>
      <c r="D482" s="50"/>
      <c r="E482" s="50"/>
    </row>
    <row r="483" spans="1:5" x14ac:dyDescent="0.3">
      <c r="A483" s="53">
        <v>5081949</v>
      </c>
      <c r="B483" s="49" t="s">
        <v>557</v>
      </c>
      <c r="C483" s="51">
        <v>24.81</v>
      </c>
      <c r="D483" s="50"/>
      <c r="E483" s="50"/>
    </row>
    <row r="484" spans="1:5" x14ac:dyDescent="0.3">
      <c r="A484" s="53">
        <v>5081950</v>
      </c>
      <c r="B484" s="49" t="s">
        <v>558</v>
      </c>
      <c r="C484" s="51">
        <v>42.31</v>
      </c>
      <c r="D484" s="50"/>
      <c r="E484" s="50"/>
    </row>
    <row r="485" spans="1:5" x14ac:dyDescent="0.3">
      <c r="A485" s="53">
        <v>5090781</v>
      </c>
      <c r="B485" s="49" t="s">
        <v>6883</v>
      </c>
      <c r="C485" s="51">
        <v>16.09</v>
      </c>
      <c r="D485" s="50"/>
      <c r="E485" s="50"/>
    </row>
    <row r="486" spans="1:5" x14ac:dyDescent="0.3">
      <c r="A486" s="53">
        <v>5090782</v>
      </c>
      <c r="B486" s="49" t="s">
        <v>6884</v>
      </c>
      <c r="C486" s="51">
        <v>36.71</v>
      </c>
      <c r="D486" s="50"/>
      <c r="E486" s="50"/>
    </row>
    <row r="487" spans="1:5" x14ac:dyDescent="0.3">
      <c r="A487" s="53">
        <v>5090783</v>
      </c>
      <c r="B487" s="49" t="s">
        <v>6885</v>
      </c>
      <c r="C487" s="51">
        <v>70.17</v>
      </c>
      <c r="D487" s="50"/>
      <c r="E487" s="50"/>
    </row>
    <row r="488" spans="1:5" x14ac:dyDescent="0.3">
      <c r="A488" s="53">
        <v>5091632</v>
      </c>
      <c r="B488" s="49" t="s">
        <v>562</v>
      </c>
      <c r="C488" s="51">
        <v>30.75</v>
      </c>
      <c r="D488" s="50"/>
      <c r="E488" s="50"/>
    </row>
    <row r="489" spans="1:5" x14ac:dyDescent="0.3">
      <c r="A489" s="53">
        <v>5081964</v>
      </c>
      <c r="B489" s="49" t="s">
        <v>563</v>
      </c>
      <c r="C489" s="51">
        <v>30.75</v>
      </c>
      <c r="D489" s="50"/>
      <c r="E489" s="50"/>
    </row>
    <row r="490" spans="1:5" x14ac:dyDescent="0.3">
      <c r="A490" s="53">
        <v>5090811</v>
      </c>
      <c r="B490" s="49" t="s">
        <v>6886</v>
      </c>
      <c r="C490" s="51">
        <v>12.79</v>
      </c>
      <c r="D490" s="50"/>
      <c r="E490" s="50"/>
    </row>
    <row r="491" spans="1:5" x14ac:dyDescent="0.3">
      <c r="A491" s="53">
        <v>5090812</v>
      </c>
      <c r="B491" s="49" t="s">
        <v>6887</v>
      </c>
      <c r="C491" s="51">
        <v>25.25</v>
      </c>
      <c r="D491" s="50"/>
      <c r="E491" s="50"/>
    </row>
    <row r="492" spans="1:5" x14ac:dyDescent="0.3">
      <c r="A492" s="53">
        <v>5090813</v>
      </c>
      <c r="B492" s="49" t="s">
        <v>6888</v>
      </c>
      <c r="C492" s="51">
        <v>40.36</v>
      </c>
      <c r="D492" s="50"/>
      <c r="E492" s="50"/>
    </row>
    <row r="493" spans="1:5" x14ac:dyDescent="0.3">
      <c r="A493" s="53">
        <v>5090798</v>
      </c>
      <c r="B493" s="49" t="s">
        <v>6889</v>
      </c>
      <c r="C493" s="51">
        <v>54.13</v>
      </c>
      <c r="D493" s="50"/>
      <c r="E493" s="50"/>
    </row>
    <row r="494" spans="1:5" x14ac:dyDescent="0.3">
      <c r="A494" s="53">
        <v>5081997</v>
      </c>
      <c r="B494" s="49" t="s">
        <v>568</v>
      </c>
      <c r="C494" s="51">
        <v>35.979999999999997</v>
      </c>
      <c r="D494" s="50"/>
      <c r="E494" s="50"/>
    </row>
    <row r="495" spans="1:5" x14ac:dyDescent="0.3">
      <c r="A495" s="53">
        <v>5090742</v>
      </c>
      <c r="B495" s="49" t="s">
        <v>6890</v>
      </c>
      <c r="C495" s="51">
        <v>60.47</v>
      </c>
      <c r="D495" s="50"/>
      <c r="E495" s="50"/>
    </row>
    <row r="496" spans="1:5" x14ac:dyDescent="0.3">
      <c r="A496" s="53">
        <v>5081993</v>
      </c>
      <c r="B496" s="49" t="s">
        <v>570</v>
      </c>
      <c r="C496" s="51">
        <v>58.78</v>
      </c>
      <c r="D496" s="50"/>
      <c r="E496" s="50"/>
    </row>
    <row r="497" spans="1:5" x14ac:dyDescent="0.3">
      <c r="A497" s="53">
        <v>5183284</v>
      </c>
      <c r="B497" s="49" t="s">
        <v>571</v>
      </c>
      <c r="C497" s="51">
        <v>14.23</v>
      </c>
      <c r="D497" s="50"/>
      <c r="E497" s="50"/>
    </row>
    <row r="498" spans="1:5" x14ac:dyDescent="0.3">
      <c r="A498" s="53">
        <v>5183285</v>
      </c>
      <c r="B498" s="49" t="s">
        <v>574</v>
      </c>
      <c r="C498" s="51">
        <v>17.07</v>
      </c>
      <c r="D498" s="50"/>
      <c r="E498" s="50"/>
    </row>
    <row r="499" spans="1:5" x14ac:dyDescent="0.3">
      <c r="A499" s="53">
        <v>5183391</v>
      </c>
      <c r="B499" s="49" t="s">
        <v>575</v>
      </c>
      <c r="C499" s="51">
        <v>31.91</v>
      </c>
      <c r="D499" s="50"/>
      <c r="E499" s="50"/>
    </row>
    <row r="500" spans="1:5" x14ac:dyDescent="0.3">
      <c r="A500" s="53">
        <v>5183947</v>
      </c>
      <c r="B500" s="49" t="s">
        <v>576</v>
      </c>
      <c r="C500" s="51">
        <v>51.13</v>
      </c>
      <c r="D500" s="50"/>
      <c r="E500" s="50"/>
    </row>
    <row r="501" spans="1:5" x14ac:dyDescent="0.3">
      <c r="A501" s="53">
        <v>5090892</v>
      </c>
      <c r="B501" s="49" t="s">
        <v>6891</v>
      </c>
      <c r="C501" s="51">
        <v>5.68</v>
      </c>
      <c r="D501" s="50"/>
      <c r="E501" s="50"/>
    </row>
    <row r="502" spans="1:5" x14ac:dyDescent="0.3">
      <c r="A502" s="53">
        <v>5090891</v>
      </c>
      <c r="B502" s="49" t="s">
        <v>6892</v>
      </c>
      <c r="C502" s="51">
        <v>23.97</v>
      </c>
      <c r="D502" s="50"/>
      <c r="E502" s="50"/>
    </row>
    <row r="503" spans="1:5" x14ac:dyDescent="0.3">
      <c r="A503" s="53">
        <v>5091640</v>
      </c>
      <c r="B503" s="49" t="s">
        <v>579</v>
      </c>
      <c r="C503" s="51">
        <v>52.86</v>
      </c>
      <c r="D503" s="50"/>
      <c r="E503" s="50"/>
    </row>
    <row r="504" spans="1:5" x14ac:dyDescent="0.3">
      <c r="A504" s="53">
        <v>5091639</v>
      </c>
      <c r="B504" s="49" t="s">
        <v>580</v>
      </c>
      <c r="C504" s="51">
        <v>29.51</v>
      </c>
      <c r="D504" s="50"/>
      <c r="E504" s="50"/>
    </row>
    <row r="505" spans="1:5" x14ac:dyDescent="0.3">
      <c r="A505" s="53">
        <v>5082932</v>
      </c>
      <c r="B505" s="49" t="s">
        <v>581</v>
      </c>
      <c r="C505" s="51">
        <v>52.86</v>
      </c>
      <c r="D505" s="50"/>
      <c r="E505" s="50"/>
    </row>
    <row r="506" spans="1:5" x14ac:dyDescent="0.3">
      <c r="A506" s="53">
        <v>5082983</v>
      </c>
      <c r="B506" s="49" t="s">
        <v>582</v>
      </c>
      <c r="C506" s="51">
        <v>18.170000000000002</v>
      </c>
      <c r="D506" s="50"/>
      <c r="E506" s="50"/>
    </row>
    <row r="507" spans="1:5" x14ac:dyDescent="0.3">
      <c r="A507" s="53">
        <v>5082982</v>
      </c>
      <c r="B507" s="49" t="s">
        <v>583</v>
      </c>
      <c r="C507" s="51">
        <v>29.5</v>
      </c>
      <c r="D507" s="50"/>
      <c r="E507" s="50"/>
    </row>
    <row r="508" spans="1:5" x14ac:dyDescent="0.3">
      <c r="A508" s="53">
        <v>5090761</v>
      </c>
      <c r="B508" s="49" t="s">
        <v>6893</v>
      </c>
      <c r="C508" s="51">
        <v>73.13</v>
      </c>
      <c r="D508" s="50"/>
      <c r="E508" s="50"/>
    </row>
    <row r="509" spans="1:5" x14ac:dyDescent="0.3">
      <c r="A509" s="53">
        <v>5090758</v>
      </c>
      <c r="B509" s="49" t="s">
        <v>6894</v>
      </c>
      <c r="C509" s="51">
        <v>12.54</v>
      </c>
      <c r="D509" s="50"/>
      <c r="E509" s="50"/>
    </row>
    <row r="510" spans="1:5" x14ac:dyDescent="0.3">
      <c r="A510" s="53">
        <v>5090759</v>
      </c>
      <c r="B510" s="49" t="s">
        <v>6895</v>
      </c>
      <c r="C510" s="51">
        <v>25</v>
      </c>
      <c r="D510" s="50"/>
      <c r="E510" s="50"/>
    </row>
    <row r="511" spans="1:5" x14ac:dyDescent="0.3">
      <c r="A511" s="53">
        <v>5090760</v>
      </c>
      <c r="B511" s="49" t="s">
        <v>6896</v>
      </c>
      <c r="C511" s="51">
        <v>40.369999999999997</v>
      </c>
      <c r="D511" s="50"/>
      <c r="E511" s="50"/>
    </row>
    <row r="512" spans="1:5" x14ac:dyDescent="0.3">
      <c r="A512" s="53">
        <v>5091636</v>
      </c>
      <c r="B512" s="49" t="s">
        <v>588</v>
      </c>
      <c r="C512" s="51">
        <v>47.88</v>
      </c>
      <c r="D512" s="50"/>
      <c r="E512" s="50"/>
    </row>
    <row r="513" spans="1:5" x14ac:dyDescent="0.3">
      <c r="A513" s="53">
        <v>5091634</v>
      </c>
      <c r="B513" s="49" t="s">
        <v>589</v>
      </c>
      <c r="C513" s="51">
        <v>27.42</v>
      </c>
      <c r="D513" s="50"/>
      <c r="E513" s="50"/>
    </row>
    <row r="514" spans="1:5" x14ac:dyDescent="0.3">
      <c r="A514" s="53">
        <v>5091202</v>
      </c>
      <c r="B514" s="49" t="s">
        <v>6897</v>
      </c>
      <c r="C514" s="51">
        <v>16.13</v>
      </c>
      <c r="D514" s="50"/>
      <c r="E514" s="50"/>
    </row>
    <row r="515" spans="1:5" x14ac:dyDescent="0.3">
      <c r="A515" s="53">
        <v>5091532</v>
      </c>
      <c r="B515" s="49" t="s">
        <v>593</v>
      </c>
      <c r="C515" s="51">
        <v>51.5</v>
      </c>
      <c r="D515" s="50"/>
      <c r="E515" s="50"/>
    </row>
    <row r="516" spans="1:5" x14ac:dyDescent="0.3">
      <c r="A516" s="53">
        <v>5180583</v>
      </c>
      <c r="B516" s="49" t="s">
        <v>6898</v>
      </c>
      <c r="C516" s="51">
        <v>15.16</v>
      </c>
      <c r="D516" s="50"/>
      <c r="E516" s="50"/>
    </row>
    <row r="517" spans="1:5" x14ac:dyDescent="0.3">
      <c r="A517" s="53">
        <v>5180652</v>
      </c>
      <c r="B517" s="49" t="s">
        <v>6899</v>
      </c>
      <c r="C517" s="51">
        <v>34.869999999999997</v>
      </c>
      <c r="D517" s="50"/>
      <c r="E517" s="50"/>
    </row>
    <row r="518" spans="1:5" x14ac:dyDescent="0.3">
      <c r="A518" s="53">
        <v>5180744</v>
      </c>
      <c r="B518" s="49" t="s">
        <v>6900</v>
      </c>
      <c r="C518" s="51">
        <v>66.959999999999994</v>
      </c>
      <c r="D518" s="50"/>
      <c r="E518" s="50"/>
    </row>
    <row r="519" spans="1:5" x14ac:dyDescent="0.3">
      <c r="A519" s="53">
        <v>5110678</v>
      </c>
      <c r="B519" s="49" t="s">
        <v>6901</v>
      </c>
      <c r="C519" s="51">
        <v>16.079999999999998</v>
      </c>
      <c r="D519" s="50"/>
      <c r="E519" s="50"/>
    </row>
    <row r="520" spans="1:5" x14ac:dyDescent="0.3">
      <c r="A520" s="53">
        <v>5110679</v>
      </c>
      <c r="B520" s="49" t="s">
        <v>6902</v>
      </c>
      <c r="C520" s="51">
        <v>36.71</v>
      </c>
      <c r="D520" s="50"/>
      <c r="E520" s="50"/>
    </row>
    <row r="521" spans="1:5" x14ac:dyDescent="0.3">
      <c r="A521" s="53">
        <v>5110680</v>
      </c>
      <c r="B521" s="49" t="s">
        <v>6903</v>
      </c>
      <c r="C521" s="51">
        <v>57.41</v>
      </c>
      <c r="D521" s="50"/>
      <c r="E521" s="50"/>
    </row>
    <row r="522" spans="1:5" x14ac:dyDescent="0.3">
      <c r="A522" s="53">
        <v>5180586</v>
      </c>
      <c r="B522" s="49" t="s">
        <v>6904</v>
      </c>
      <c r="C522" s="51">
        <v>15.63</v>
      </c>
      <c r="D522" s="50"/>
      <c r="E522" s="50"/>
    </row>
    <row r="523" spans="1:5" x14ac:dyDescent="0.3">
      <c r="A523" s="53">
        <v>5180665</v>
      </c>
      <c r="B523" s="49" t="s">
        <v>6905</v>
      </c>
      <c r="C523" s="51">
        <v>34.869999999999997</v>
      </c>
      <c r="D523" s="50"/>
      <c r="E523" s="50"/>
    </row>
    <row r="524" spans="1:5" x14ac:dyDescent="0.3">
      <c r="A524" s="53">
        <v>5180701</v>
      </c>
      <c r="B524" s="49" t="s">
        <v>6906</v>
      </c>
      <c r="C524" s="51">
        <v>66.959999999999994</v>
      </c>
      <c r="D524" s="50"/>
      <c r="E524" s="50"/>
    </row>
    <row r="525" spans="1:5" x14ac:dyDescent="0.3">
      <c r="A525" s="53">
        <v>5183357</v>
      </c>
      <c r="B525" s="49" t="s">
        <v>605</v>
      </c>
      <c r="C525" s="51">
        <v>15.63</v>
      </c>
      <c r="D525" s="50"/>
      <c r="E525" s="50"/>
    </row>
    <row r="526" spans="1:5" x14ac:dyDescent="0.3">
      <c r="A526" s="53">
        <v>5183422</v>
      </c>
      <c r="B526" s="49" t="s">
        <v>606</v>
      </c>
      <c r="C526" s="51">
        <v>35.92</v>
      </c>
      <c r="D526" s="50"/>
      <c r="E526" s="50"/>
    </row>
    <row r="527" spans="1:5" x14ac:dyDescent="0.3">
      <c r="A527" s="53">
        <v>5180702</v>
      </c>
      <c r="B527" s="49" t="s">
        <v>607</v>
      </c>
      <c r="C527" s="51">
        <v>70.489999999999995</v>
      </c>
      <c r="D527" s="50"/>
      <c r="E527" s="50"/>
    </row>
    <row r="528" spans="1:5" x14ac:dyDescent="0.3">
      <c r="A528" s="53">
        <v>5183358</v>
      </c>
      <c r="B528" s="49" t="s">
        <v>608</v>
      </c>
      <c r="C528" s="51">
        <v>15.16</v>
      </c>
      <c r="D528" s="50"/>
      <c r="E528" s="50"/>
    </row>
    <row r="529" spans="1:5" x14ac:dyDescent="0.3">
      <c r="A529" s="53">
        <v>5183423</v>
      </c>
      <c r="B529" s="49" t="s">
        <v>609</v>
      </c>
      <c r="C529" s="51">
        <v>36.700000000000003</v>
      </c>
      <c r="D529" s="50"/>
      <c r="E529" s="50"/>
    </row>
    <row r="530" spans="1:5" x14ac:dyDescent="0.3">
      <c r="A530" s="53">
        <v>5180704</v>
      </c>
      <c r="B530" s="49" t="s">
        <v>610</v>
      </c>
      <c r="C530" s="51">
        <v>70.489999999999995</v>
      </c>
      <c r="D530" s="50"/>
      <c r="E530" s="50"/>
    </row>
    <row r="531" spans="1:5" x14ac:dyDescent="0.3">
      <c r="A531" s="53">
        <v>5183359</v>
      </c>
      <c r="B531" s="49" t="s">
        <v>611</v>
      </c>
      <c r="C531" s="51">
        <v>15.16</v>
      </c>
      <c r="D531" s="50"/>
      <c r="E531" s="50"/>
    </row>
    <row r="532" spans="1:5" x14ac:dyDescent="0.3">
      <c r="A532" s="53">
        <v>5183424</v>
      </c>
      <c r="B532" s="49" t="s">
        <v>612</v>
      </c>
      <c r="C532" s="51">
        <v>36.700000000000003</v>
      </c>
      <c r="D532" s="50"/>
      <c r="E532" s="50"/>
    </row>
    <row r="533" spans="1:5" x14ac:dyDescent="0.3">
      <c r="A533" s="53">
        <v>5180705</v>
      </c>
      <c r="B533" s="49" t="s">
        <v>613</v>
      </c>
      <c r="C533" s="51">
        <v>70.489999999999995</v>
      </c>
      <c r="D533" s="50"/>
      <c r="E533" s="50"/>
    </row>
    <row r="534" spans="1:5" x14ac:dyDescent="0.3">
      <c r="A534" s="53">
        <v>5183420</v>
      </c>
      <c r="B534" s="49" t="s">
        <v>614</v>
      </c>
      <c r="C534" s="51">
        <v>15.16</v>
      </c>
      <c r="D534" s="50"/>
      <c r="E534" s="50"/>
    </row>
    <row r="535" spans="1:5" x14ac:dyDescent="0.3">
      <c r="A535" s="53">
        <v>5183425</v>
      </c>
      <c r="B535" s="49" t="s">
        <v>615</v>
      </c>
      <c r="C535" s="51">
        <v>36.700000000000003</v>
      </c>
      <c r="D535" s="50"/>
      <c r="E535" s="50"/>
    </row>
    <row r="536" spans="1:5" x14ac:dyDescent="0.3">
      <c r="A536" s="53">
        <v>5180706</v>
      </c>
      <c r="B536" s="49" t="s">
        <v>616</v>
      </c>
      <c r="C536" s="51">
        <v>70.489999999999995</v>
      </c>
      <c r="D536" s="50"/>
      <c r="E536" s="50"/>
    </row>
    <row r="537" spans="1:5" x14ac:dyDescent="0.3">
      <c r="A537" s="53">
        <v>5110651</v>
      </c>
      <c r="B537" s="49" t="s">
        <v>6907</v>
      </c>
      <c r="C537" s="51">
        <v>16.079999999999998</v>
      </c>
      <c r="D537" s="50"/>
      <c r="E537" s="50"/>
    </row>
    <row r="538" spans="1:5" x14ac:dyDescent="0.3">
      <c r="A538" s="53">
        <v>5110652</v>
      </c>
      <c r="B538" s="49" t="s">
        <v>6908</v>
      </c>
      <c r="C538" s="51">
        <v>36.71</v>
      </c>
      <c r="D538" s="50"/>
      <c r="E538" s="50"/>
    </row>
    <row r="539" spans="1:5" x14ac:dyDescent="0.3">
      <c r="A539" s="53">
        <v>5110653</v>
      </c>
      <c r="B539" s="49" t="s">
        <v>6909</v>
      </c>
      <c r="C539" s="51">
        <v>70.17</v>
      </c>
      <c r="D539" s="50"/>
      <c r="E539" s="50"/>
    </row>
    <row r="540" spans="1:5" x14ac:dyDescent="0.3">
      <c r="A540" s="53">
        <v>5183421</v>
      </c>
      <c r="B540" s="49" t="s">
        <v>620</v>
      </c>
      <c r="C540" s="51">
        <v>15.16</v>
      </c>
      <c r="D540" s="50"/>
      <c r="E540" s="50"/>
    </row>
    <row r="541" spans="1:5" x14ac:dyDescent="0.3">
      <c r="A541" s="53">
        <v>5183426</v>
      </c>
      <c r="B541" s="49" t="s">
        <v>621</v>
      </c>
      <c r="C541" s="51">
        <v>36.700000000000003</v>
      </c>
      <c r="D541" s="50"/>
      <c r="E541" s="50"/>
    </row>
    <row r="542" spans="1:5" x14ac:dyDescent="0.3">
      <c r="A542" s="53">
        <v>5180707</v>
      </c>
      <c r="B542" s="49" t="s">
        <v>622</v>
      </c>
      <c r="C542" s="51">
        <v>70.489999999999995</v>
      </c>
      <c r="D542" s="50"/>
      <c r="E542" s="50"/>
    </row>
    <row r="543" spans="1:5" x14ac:dyDescent="0.3">
      <c r="A543" s="53">
        <v>5180483</v>
      </c>
      <c r="B543" s="49" t="s">
        <v>623</v>
      </c>
      <c r="C543" s="51">
        <v>19.75</v>
      </c>
      <c r="D543" s="50"/>
      <c r="E543" s="50"/>
    </row>
    <row r="544" spans="1:5" x14ac:dyDescent="0.3">
      <c r="A544" s="53">
        <v>5180484</v>
      </c>
      <c r="B544" s="49" t="s">
        <v>624</v>
      </c>
      <c r="C544" s="51">
        <v>37.630000000000003</v>
      </c>
      <c r="D544" s="50"/>
      <c r="E544" s="50"/>
    </row>
    <row r="545" spans="1:5" x14ac:dyDescent="0.3">
      <c r="A545" s="53">
        <v>5321363</v>
      </c>
      <c r="B545" s="49" t="s">
        <v>625</v>
      </c>
      <c r="C545" s="51">
        <v>28.46</v>
      </c>
      <c r="D545" s="50"/>
      <c r="E545" s="50"/>
    </row>
    <row r="546" spans="1:5" x14ac:dyDescent="0.3">
      <c r="A546" s="53">
        <v>5183280</v>
      </c>
      <c r="B546" s="49" t="s">
        <v>626</v>
      </c>
      <c r="C546" s="51">
        <v>13.98</v>
      </c>
      <c r="D546" s="50"/>
      <c r="E546" s="50"/>
    </row>
    <row r="547" spans="1:5" x14ac:dyDescent="0.3">
      <c r="A547" s="53">
        <v>5183384</v>
      </c>
      <c r="B547" s="49" t="s">
        <v>627</v>
      </c>
      <c r="C547" s="51">
        <v>27.92</v>
      </c>
      <c r="D547" s="50"/>
      <c r="E547" s="50"/>
    </row>
    <row r="548" spans="1:5" x14ac:dyDescent="0.3">
      <c r="A548" s="53">
        <v>5183995</v>
      </c>
      <c r="B548" s="49" t="s">
        <v>628</v>
      </c>
      <c r="C548" s="51">
        <v>46.36</v>
      </c>
      <c r="D548" s="50"/>
      <c r="E548" s="50"/>
    </row>
    <row r="549" spans="1:5" x14ac:dyDescent="0.3">
      <c r="A549" s="53">
        <v>5329188</v>
      </c>
      <c r="B549" s="49" t="s">
        <v>6910</v>
      </c>
      <c r="C549" s="51">
        <v>26.67</v>
      </c>
      <c r="D549" s="50"/>
      <c r="E549" s="50"/>
    </row>
    <row r="550" spans="1:5" x14ac:dyDescent="0.3">
      <c r="A550" s="53">
        <v>5092175</v>
      </c>
      <c r="B550" s="49" t="s">
        <v>6911</v>
      </c>
      <c r="C550" s="51">
        <v>21.67</v>
      </c>
      <c r="D550" s="50"/>
      <c r="E550" s="50"/>
    </row>
    <row r="551" spans="1:5" x14ac:dyDescent="0.3">
      <c r="A551" s="53">
        <v>5084141</v>
      </c>
      <c r="B551" s="49" t="s">
        <v>6912</v>
      </c>
      <c r="C551" s="51">
        <v>20.55</v>
      </c>
      <c r="D551" s="50"/>
      <c r="E551" s="50"/>
    </row>
    <row r="552" spans="1:5" x14ac:dyDescent="0.3">
      <c r="A552" s="53">
        <v>5091096</v>
      </c>
      <c r="B552" s="49" t="s">
        <v>6913</v>
      </c>
      <c r="C552" s="51">
        <v>20.56</v>
      </c>
      <c r="D552" s="50"/>
      <c r="E552" s="50"/>
    </row>
    <row r="553" spans="1:5" x14ac:dyDescent="0.3">
      <c r="A553" s="53">
        <v>5362532</v>
      </c>
      <c r="B553" s="49" t="s">
        <v>6914</v>
      </c>
      <c r="C553" s="51">
        <v>25.83</v>
      </c>
      <c r="D553" s="50"/>
      <c r="E553" s="50"/>
    </row>
    <row r="554" spans="1:5" x14ac:dyDescent="0.3">
      <c r="A554" s="53">
        <v>5362538</v>
      </c>
      <c r="B554" s="49" t="s">
        <v>6915</v>
      </c>
      <c r="C554" s="51">
        <v>25.83</v>
      </c>
      <c r="D554" s="50"/>
      <c r="E554" s="50"/>
    </row>
    <row r="555" spans="1:5" x14ac:dyDescent="0.3">
      <c r="A555" s="53">
        <v>5362526</v>
      </c>
      <c r="B555" s="49" t="s">
        <v>6916</v>
      </c>
      <c r="C555" s="51">
        <v>17.55</v>
      </c>
      <c r="D555" s="50"/>
      <c r="E555" s="50"/>
    </row>
    <row r="556" spans="1:5" x14ac:dyDescent="0.3">
      <c r="A556" s="53">
        <v>5362527</v>
      </c>
      <c r="B556" s="49" t="s">
        <v>6917</v>
      </c>
      <c r="C556" s="51">
        <v>25.83</v>
      </c>
      <c r="D556" s="50"/>
      <c r="E556" s="50"/>
    </row>
    <row r="557" spans="1:5" x14ac:dyDescent="0.3">
      <c r="A557" s="53">
        <v>5362528</v>
      </c>
      <c r="B557" s="49" t="s">
        <v>6918</v>
      </c>
      <c r="C557" s="51">
        <v>25.83</v>
      </c>
      <c r="D557" s="50"/>
      <c r="E557" s="50"/>
    </row>
    <row r="558" spans="1:5" x14ac:dyDescent="0.3">
      <c r="A558" s="53">
        <v>5362531</v>
      </c>
      <c r="B558" s="49" t="s">
        <v>6919</v>
      </c>
      <c r="C558" s="51">
        <v>25.83</v>
      </c>
      <c r="D558" s="50"/>
      <c r="E558" s="50"/>
    </row>
    <row r="559" spans="1:5" x14ac:dyDescent="0.3">
      <c r="A559" s="53">
        <v>5092846</v>
      </c>
      <c r="B559" s="49" t="s">
        <v>975</v>
      </c>
      <c r="C559" s="51">
        <v>11.92</v>
      </c>
      <c r="D559" s="50"/>
      <c r="E559" s="50"/>
    </row>
    <row r="560" spans="1:5" x14ac:dyDescent="0.3">
      <c r="A560" s="53">
        <v>5084917</v>
      </c>
      <c r="B560" s="49" t="s">
        <v>976</v>
      </c>
      <c r="C560" s="51">
        <v>17.5</v>
      </c>
      <c r="D560" s="50"/>
      <c r="E560" s="50"/>
    </row>
    <row r="561" spans="1:5" x14ac:dyDescent="0.3">
      <c r="A561" s="53">
        <v>5084866</v>
      </c>
      <c r="B561" s="49" t="s">
        <v>977</v>
      </c>
      <c r="C561" s="51">
        <v>28.89</v>
      </c>
      <c r="D561" s="50"/>
      <c r="E561" s="50"/>
    </row>
    <row r="562" spans="1:5" x14ac:dyDescent="0.3">
      <c r="A562" s="53">
        <v>5084863</v>
      </c>
      <c r="B562" s="49" t="s">
        <v>978</v>
      </c>
      <c r="C562" s="51">
        <v>11.67</v>
      </c>
      <c r="D562" s="50"/>
      <c r="E562" s="50"/>
    </row>
    <row r="563" spans="1:5" x14ac:dyDescent="0.3">
      <c r="A563" s="53">
        <v>5084867</v>
      </c>
      <c r="B563" s="49" t="s">
        <v>979</v>
      </c>
      <c r="C563" s="51">
        <v>44.73</v>
      </c>
      <c r="D563" s="50"/>
      <c r="E563" s="50"/>
    </row>
    <row r="564" spans="1:5" x14ac:dyDescent="0.3">
      <c r="A564" s="53">
        <v>5092966</v>
      </c>
      <c r="B564" s="49" t="s">
        <v>980</v>
      </c>
      <c r="C564" s="51">
        <v>13.63</v>
      </c>
      <c r="D564" s="50"/>
      <c r="E564" s="50"/>
    </row>
    <row r="565" spans="1:5" x14ac:dyDescent="0.3">
      <c r="A565" s="53">
        <v>5092965</v>
      </c>
      <c r="B565" s="49" t="s">
        <v>981</v>
      </c>
      <c r="C565" s="51">
        <v>9.64</v>
      </c>
      <c r="D565" s="50"/>
      <c r="E565" s="50"/>
    </row>
    <row r="566" spans="1:5" x14ac:dyDescent="0.3">
      <c r="A566" s="53">
        <v>5092830</v>
      </c>
      <c r="B566" s="49" t="s">
        <v>982</v>
      </c>
      <c r="C566" s="51">
        <v>15.9</v>
      </c>
      <c r="D566" s="50"/>
      <c r="E566" s="50"/>
    </row>
    <row r="567" spans="1:5" x14ac:dyDescent="0.3">
      <c r="A567" s="53">
        <v>5084897</v>
      </c>
      <c r="B567" s="49" t="s">
        <v>983</v>
      </c>
      <c r="C567" s="51">
        <v>34.549999999999997</v>
      </c>
      <c r="D567" s="50"/>
      <c r="E567" s="50"/>
    </row>
    <row r="568" spans="1:5" x14ac:dyDescent="0.3">
      <c r="A568" s="53">
        <v>5084898</v>
      </c>
      <c r="B568" s="49" t="s">
        <v>984</v>
      </c>
      <c r="C568" s="51">
        <v>53.23</v>
      </c>
      <c r="D568" s="50"/>
      <c r="E568" s="50"/>
    </row>
    <row r="569" spans="1:5" x14ac:dyDescent="0.3">
      <c r="A569" s="53">
        <v>5092808</v>
      </c>
      <c r="B569" s="49" t="s">
        <v>985</v>
      </c>
      <c r="C569" s="51">
        <v>15.9</v>
      </c>
      <c r="D569" s="50"/>
      <c r="E569" s="50"/>
    </row>
    <row r="570" spans="1:5" x14ac:dyDescent="0.3">
      <c r="A570" s="53">
        <v>5084860</v>
      </c>
      <c r="B570" s="49" t="s">
        <v>986</v>
      </c>
      <c r="C570" s="51">
        <v>28.89</v>
      </c>
      <c r="D570" s="50"/>
      <c r="E570" s="50"/>
    </row>
    <row r="571" spans="1:5" x14ac:dyDescent="0.3">
      <c r="A571" s="53">
        <v>5084861</v>
      </c>
      <c r="B571" s="49" t="s">
        <v>987</v>
      </c>
      <c r="C571" s="51">
        <v>44.73</v>
      </c>
      <c r="D571" s="50"/>
      <c r="E571" s="50"/>
    </row>
    <row r="572" spans="1:5" x14ac:dyDescent="0.3">
      <c r="A572" s="53">
        <v>5092956</v>
      </c>
      <c r="B572" s="49" t="s">
        <v>988</v>
      </c>
      <c r="C572" s="51">
        <v>20</v>
      </c>
      <c r="D572" s="50"/>
      <c r="E572" s="50"/>
    </row>
    <row r="573" spans="1:5" x14ac:dyDescent="0.3">
      <c r="A573" s="53">
        <v>5084782</v>
      </c>
      <c r="B573" s="49" t="s">
        <v>989</v>
      </c>
      <c r="C573" s="51">
        <v>9.64</v>
      </c>
      <c r="D573" s="50"/>
      <c r="E573" s="50"/>
    </row>
    <row r="574" spans="1:5" x14ac:dyDescent="0.3">
      <c r="A574" s="53">
        <v>5084878</v>
      </c>
      <c r="B574" s="49" t="s">
        <v>990</v>
      </c>
      <c r="C574" s="51">
        <v>78.33</v>
      </c>
      <c r="D574" s="50"/>
      <c r="E574" s="50"/>
    </row>
    <row r="575" spans="1:5" x14ac:dyDescent="0.3">
      <c r="A575" s="53">
        <v>5223748</v>
      </c>
      <c r="B575" s="49" t="s">
        <v>991</v>
      </c>
      <c r="C575" s="51">
        <v>17</v>
      </c>
      <c r="D575" s="50"/>
      <c r="E575" s="50"/>
    </row>
    <row r="576" spans="1:5" x14ac:dyDescent="0.3">
      <c r="A576" s="53">
        <v>5282520</v>
      </c>
      <c r="B576" s="49" t="s">
        <v>267</v>
      </c>
      <c r="C576" s="51">
        <v>7.89</v>
      </c>
      <c r="D576" s="50"/>
      <c r="E576" s="50"/>
    </row>
    <row r="577" spans="1:5" x14ac:dyDescent="0.3">
      <c r="A577" s="53">
        <v>5282521</v>
      </c>
      <c r="B577" s="49" t="s">
        <v>270</v>
      </c>
      <c r="C577" s="51">
        <v>10.69</v>
      </c>
      <c r="D577" s="50"/>
      <c r="E577" s="50"/>
    </row>
    <row r="578" spans="1:5" x14ac:dyDescent="0.3">
      <c r="A578" s="53">
        <v>6058996</v>
      </c>
      <c r="B578" s="49" t="s">
        <v>709</v>
      </c>
      <c r="C578" s="51">
        <v>15.91</v>
      </c>
      <c r="D578" s="50"/>
      <c r="E578" s="50"/>
    </row>
    <row r="579" spans="1:5" x14ac:dyDescent="0.3">
      <c r="A579" s="53">
        <v>5316000</v>
      </c>
      <c r="B579" s="49" t="s">
        <v>727</v>
      </c>
      <c r="C579" s="51">
        <v>47.03</v>
      </c>
      <c r="D579" s="50"/>
      <c r="E579" s="50"/>
    </row>
    <row r="580" spans="1:5" x14ac:dyDescent="0.3">
      <c r="A580" s="53">
        <v>5315986</v>
      </c>
      <c r="B580" s="49" t="s">
        <v>728</v>
      </c>
      <c r="C580" s="51">
        <v>47.03</v>
      </c>
      <c r="D580" s="50"/>
      <c r="E580" s="50"/>
    </row>
    <row r="581" spans="1:5" x14ac:dyDescent="0.3">
      <c r="A581" s="53">
        <v>5222643</v>
      </c>
      <c r="B581" s="49" t="s">
        <v>729</v>
      </c>
      <c r="C581" s="51">
        <v>47.03</v>
      </c>
      <c r="D581" s="50"/>
      <c r="E581" s="50"/>
    </row>
    <row r="582" spans="1:5" x14ac:dyDescent="0.3">
      <c r="A582" s="53">
        <v>5222644</v>
      </c>
      <c r="B582" s="49" t="s">
        <v>730</v>
      </c>
      <c r="C582" s="51">
        <v>47.03</v>
      </c>
      <c r="D582" s="50"/>
      <c r="E582" s="50"/>
    </row>
    <row r="583" spans="1:5" x14ac:dyDescent="0.3">
      <c r="A583" s="53">
        <v>5222636</v>
      </c>
      <c r="B583" s="49" t="s">
        <v>731</v>
      </c>
      <c r="C583" s="51">
        <v>30.58</v>
      </c>
      <c r="D583" s="50"/>
      <c r="E583" s="50"/>
    </row>
    <row r="584" spans="1:5" x14ac:dyDescent="0.3">
      <c r="A584" s="53">
        <v>5222637</v>
      </c>
      <c r="B584" s="49" t="s">
        <v>732</v>
      </c>
      <c r="C584" s="51">
        <v>30.58</v>
      </c>
      <c r="D584" s="50"/>
      <c r="E584" s="50"/>
    </row>
    <row r="585" spans="1:5" x14ac:dyDescent="0.3">
      <c r="A585" s="53">
        <v>6394828</v>
      </c>
      <c r="B585" s="49" t="s">
        <v>6920</v>
      </c>
      <c r="C585" s="51">
        <v>6.97</v>
      </c>
      <c r="D585" s="50"/>
      <c r="E585" s="50"/>
    </row>
    <row r="586" spans="1:5" x14ac:dyDescent="0.3">
      <c r="A586" s="53">
        <v>6394759</v>
      </c>
      <c r="B586" s="49" t="s">
        <v>6921</v>
      </c>
      <c r="C586" s="51">
        <v>6.97</v>
      </c>
      <c r="D586" s="50"/>
      <c r="E586" s="50"/>
    </row>
    <row r="587" spans="1:5" x14ac:dyDescent="0.3">
      <c r="A587" s="53">
        <v>5222639</v>
      </c>
      <c r="B587" s="49" t="s">
        <v>735</v>
      </c>
      <c r="C587" s="51">
        <v>30.58</v>
      </c>
      <c r="D587" s="50"/>
      <c r="E587" s="50"/>
    </row>
    <row r="588" spans="1:5" x14ac:dyDescent="0.3">
      <c r="A588" s="53">
        <v>6394837</v>
      </c>
      <c r="B588" s="49" t="s">
        <v>6922</v>
      </c>
      <c r="C588" s="51">
        <v>6.97</v>
      </c>
      <c r="D588" s="50"/>
      <c r="E588" s="50"/>
    </row>
    <row r="589" spans="1:5" x14ac:dyDescent="0.3">
      <c r="A589" s="53">
        <v>5222640</v>
      </c>
      <c r="B589" s="49" t="s">
        <v>737</v>
      </c>
      <c r="C589" s="51">
        <v>30.58</v>
      </c>
      <c r="D589" s="50"/>
      <c r="E589" s="50"/>
    </row>
    <row r="590" spans="1:5" x14ac:dyDescent="0.3">
      <c r="A590" s="53">
        <v>6394892</v>
      </c>
      <c r="B590" s="49" t="s">
        <v>6923</v>
      </c>
      <c r="C590" s="51">
        <v>6.97</v>
      </c>
      <c r="D590" s="50"/>
      <c r="E590" s="50"/>
    </row>
    <row r="591" spans="1:5" x14ac:dyDescent="0.3">
      <c r="A591" s="53">
        <v>5315937</v>
      </c>
      <c r="B591" s="49" t="s">
        <v>746</v>
      </c>
      <c r="C591" s="51">
        <v>21.87</v>
      </c>
      <c r="D591" s="50"/>
      <c r="E591" s="50"/>
    </row>
    <row r="592" spans="1:5" x14ac:dyDescent="0.3">
      <c r="A592" s="53">
        <v>6378726</v>
      </c>
      <c r="B592" s="49" t="s">
        <v>747</v>
      </c>
      <c r="C592" s="51">
        <v>48.47</v>
      </c>
      <c r="D592" s="50"/>
      <c r="E592" s="50"/>
    </row>
    <row r="593" spans="1:5" x14ac:dyDescent="0.3">
      <c r="A593" s="53">
        <v>6378736</v>
      </c>
      <c r="B593" s="49" t="s">
        <v>6924</v>
      </c>
      <c r="C593" s="51">
        <v>48.47</v>
      </c>
      <c r="D593" s="50"/>
      <c r="E593" s="50"/>
    </row>
    <row r="594" spans="1:5" x14ac:dyDescent="0.3">
      <c r="A594" s="53">
        <v>6383564</v>
      </c>
      <c r="B594" s="49" t="s">
        <v>6925</v>
      </c>
      <c r="C594" s="51">
        <v>40.98</v>
      </c>
      <c r="D594" s="50"/>
      <c r="E594" s="50"/>
    </row>
    <row r="595" spans="1:5" x14ac:dyDescent="0.3">
      <c r="A595" s="53">
        <v>5222443</v>
      </c>
      <c r="B595" s="49" t="s">
        <v>750</v>
      </c>
      <c r="C595" s="51">
        <v>18.45</v>
      </c>
      <c r="D595" s="50"/>
      <c r="E595" s="50"/>
    </row>
    <row r="596" spans="1:5" x14ac:dyDescent="0.3">
      <c r="A596" s="53">
        <v>6394223</v>
      </c>
      <c r="B596" s="49" t="s">
        <v>6926</v>
      </c>
      <c r="C596" s="51">
        <v>16.91</v>
      </c>
      <c r="D596" s="50"/>
      <c r="E596" s="50"/>
    </row>
    <row r="597" spans="1:5" x14ac:dyDescent="0.3">
      <c r="A597" s="53">
        <v>6394196</v>
      </c>
      <c r="B597" s="49" t="s">
        <v>6927</v>
      </c>
      <c r="C597" s="51">
        <v>32.24</v>
      </c>
      <c r="D597" s="50"/>
      <c r="E597" s="50"/>
    </row>
    <row r="598" spans="1:5" x14ac:dyDescent="0.3">
      <c r="A598" s="53">
        <v>6394224</v>
      </c>
      <c r="B598" s="49" t="s">
        <v>6928</v>
      </c>
      <c r="C598" s="51">
        <v>60.48</v>
      </c>
      <c r="D598" s="50"/>
      <c r="E598" s="50"/>
    </row>
    <row r="599" spans="1:5" x14ac:dyDescent="0.3">
      <c r="A599" s="53">
        <v>5223733</v>
      </c>
      <c r="B599" s="49" t="s">
        <v>764</v>
      </c>
      <c r="C599" s="51">
        <v>54.12</v>
      </c>
      <c r="D599" s="50"/>
      <c r="E599" s="50"/>
    </row>
    <row r="600" spans="1:5" x14ac:dyDescent="0.3">
      <c r="A600" s="53">
        <v>5223745</v>
      </c>
      <c r="B600" s="49" t="s">
        <v>765</v>
      </c>
      <c r="C600" s="51">
        <v>34.19</v>
      </c>
      <c r="D600" s="50"/>
      <c r="E600" s="50"/>
    </row>
    <row r="601" spans="1:5" x14ac:dyDescent="0.3">
      <c r="A601" s="53">
        <v>5223746</v>
      </c>
      <c r="B601" s="49" t="s">
        <v>766</v>
      </c>
      <c r="C601" s="51">
        <v>15.59</v>
      </c>
      <c r="D601" s="50"/>
      <c r="E601" s="50"/>
    </row>
    <row r="602" spans="1:5" x14ac:dyDescent="0.3">
      <c r="A602" s="53">
        <v>5317834</v>
      </c>
      <c r="B602" s="49" t="s">
        <v>767</v>
      </c>
      <c r="C602" s="51">
        <v>60.16</v>
      </c>
      <c r="D602" s="50"/>
      <c r="E602" s="50"/>
    </row>
    <row r="603" spans="1:5" x14ac:dyDescent="0.3">
      <c r="A603" s="53">
        <v>6344593</v>
      </c>
      <c r="B603" s="49" t="s">
        <v>6929</v>
      </c>
      <c r="C603" s="51">
        <v>155.68</v>
      </c>
      <c r="D603" s="50"/>
      <c r="E603" s="50"/>
    </row>
    <row r="604" spans="1:5" x14ac:dyDescent="0.3">
      <c r="A604" s="53">
        <v>5223738</v>
      </c>
      <c r="B604" s="49" t="s">
        <v>769</v>
      </c>
      <c r="C604" s="51">
        <v>14.09</v>
      </c>
      <c r="D604" s="50"/>
      <c r="E604" s="50"/>
    </row>
    <row r="605" spans="1:5" x14ac:dyDescent="0.3">
      <c r="A605" s="53">
        <v>5223743</v>
      </c>
      <c r="B605" s="49" t="s">
        <v>770</v>
      </c>
      <c r="C605" s="51">
        <v>10.58</v>
      </c>
      <c r="D605" s="50"/>
      <c r="E605" s="50"/>
    </row>
    <row r="606" spans="1:5" x14ac:dyDescent="0.3">
      <c r="A606" s="53">
        <v>5223744</v>
      </c>
      <c r="B606" s="49" t="s">
        <v>771</v>
      </c>
      <c r="C606" s="51">
        <v>25.75</v>
      </c>
      <c r="D606" s="50"/>
      <c r="E606" s="50"/>
    </row>
    <row r="607" spans="1:5" x14ac:dyDescent="0.3">
      <c r="A607" s="53">
        <v>6344599</v>
      </c>
      <c r="B607" s="49" t="s">
        <v>772</v>
      </c>
      <c r="C607" s="51">
        <v>125.64</v>
      </c>
      <c r="D607" s="50"/>
      <c r="E607" s="50"/>
    </row>
    <row r="608" spans="1:5" x14ac:dyDescent="0.3">
      <c r="A608" s="53">
        <v>6344597</v>
      </c>
      <c r="B608" s="49" t="s">
        <v>773</v>
      </c>
      <c r="C608" s="51">
        <v>121.98</v>
      </c>
      <c r="D608" s="50"/>
      <c r="E608" s="50"/>
    </row>
    <row r="609" spans="1:5" x14ac:dyDescent="0.3">
      <c r="A609" s="53">
        <v>6125148</v>
      </c>
      <c r="B609" s="49" t="s">
        <v>774</v>
      </c>
      <c r="C609" s="51">
        <v>52.86</v>
      </c>
      <c r="D609" s="50"/>
      <c r="E609" s="50"/>
    </row>
    <row r="610" spans="1:5" x14ac:dyDescent="0.3">
      <c r="A610" s="53">
        <v>6317839</v>
      </c>
      <c r="B610" s="49" t="s">
        <v>1004</v>
      </c>
      <c r="C610" s="51">
        <v>445.49</v>
      </c>
      <c r="D610" s="50"/>
      <c r="E610" s="50"/>
    </row>
    <row r="611" spans="1:5" x14ac:dyDescent="0.3">
      <c r="A611" s="53">
        <v>5257702</v>
      </c>
      <c r="B611" s="49" t="s">
        <v>1009</v>
      </c>
      <c r="C611" s="51">
        <v>81.400000000000006</v>
      </c>
      <c r="D611" s="50"/>
      <c r="E611" s="50"/>
    </row>
    <row r="612" spans="1:5" x14ac:dyDescent="0.3">
      <c r="A612" s="53">
        <v>5257695</v>
      </c>
      <c r="B612" s="49" t="s">
        <v>1010</v>
      </c>
      <c r="C612" s="51">
        <v>109.01</v>
      </c>
      <c r="D612" s="50"/>
      <c r="E612" s="50"/>
    </row>
    <row r="613" spans="1:5" x14ac:dyDescent="0.3">
      <c r="A613" s="53">
        <v>6350790</v>
      </c>
      <c r="B613" s="49" t="s">
        <v>1060</v>
      </c>
      <c r="C613" s="51">
        <v>60.06</v>
      </c>
      <c r="D613" s="50"/>
      <c r="E613" s="50"/>
    </row>
    <row r="614" spans="1:5" x14ac:dyDescent="0.3">
      <c r="A614" s="53">
        <v>5077776</v>
      </c>
      <c r="B614" s="49" t="s">
        <v>1117</v>
      </c>
      <c r="C614" s="51">
        <v>22.25</v>
      </c>
      <c r="D614" s="50"/>
      <c r="E614" s="50"/>
    </row>
    <row r="615" spans="1:5" x14ac:dyDescent="0.3">
      <c r="A615" s="53">
        <v>5077788</v>
      </c>
      <c r="B615" s="49" t="s">
        <v>1118</v>
      </c>
      <c r="C615" s="51">
        <v>39.42</v>
      </c>
      <c r="D615" s="50"/>
      <c r="E615" s="50"/>
    </row>
    <row r="616" spans="1:5" x14ac:dyDescent="0.3">
      <c r="A616" s="53">
        <v>5093019</v>
      </c>
      <c r="B616" s="49" t="s">
        <v>6930</v>
      </c>
      <c r="C616" s="51">
        <v>12.02</v>
      </c>
      <c r="D616" s="50"/>
      <c r="E616" s="50"/>
    </row>
    <row r="617" spans="1:5" x14ac:dyDescent="0.3">
      <c r="A617" s="53">
        <v>6361368</v>
      </c>
      <c r="B617" s="49" t="s">
        <v>1280</v>
      </c>
      <c r="C617" s="51">
        <v>56.51</v>
      </c>
      <c r="D617" s="50"/>
      <c r="E617" s="50"/>
    </row>
    <row r="618" spans="1:5" x14ac:dyDescent="0.3">
      <c r="A618" s="53">
        <v>6345859</v>
      </c>
      <c r="B618" s="49" t="s">
        <v>1281</v>
      </c>
      <c r="C618" s="51">
        <v>45.05</v>
      </c>
      <c r="D618" s="50"/>
      <c r="E618" s="50"/>
    </row>
    <row r="619" spans="1:5" x14ac:dyDescent="0.3">
      <c r="A619" s="53">
        <v>6345861</v>
      </c>
      <c r="B619" s="49" t="s">
        <v>1282</v>
      </c>
      <c r="C619" s="51">
        <v>92.23</v>
      </c>
      <c r="D619" s="50"/>
      <c r="E619" s="50"/>
    </row>
    <row r="620" spans="1:5" x14ac:dyDescent="0.3">
      <c r="A620" s="53">
        <v>6345858</v>
      </c>
      <c r="B620" s="49" t="s">
        <v>1283</v>
      </c>
      <c r="C620" s="51">
        <v>45.05</v>
      </c>
      <c r="D620" s="50"/>
      <c r="E620" s="50"/>
    </row>
    <row r="621" spans="1:5" x14ac:dyDescent="0.3">
      <c r="A621" s="53">
        <v>6345860</v>
      </c>
      <c r="B621" s="49" t="s">
        <v>1284</v>
      </c>
      <c r="C621" s="51">
        <v>92.23</v>
      </c>
      <c r="D621" s="50"/>
      <c r="E621" s="50"/>
    </row>
    <row r="622" spans="1:5" x14ac:dyDescent="0.3">
      <c r="A622" s="53">
        <v>6345853</v>
      </c>
      <c r="B622" s="49" t="s">
        <v>1285</v>
      </c>
      <c r="C622" s="51">
        <v>64.849999999999994</v>
      </c>
      <c r="D622" s="50"/>
      <c r="E622" s="50"/>
    </row>
    <row r="623" spans="1:5" x14ac:dyDescent="0.3">
      <c r="A623" s="53">
        <v>6345855</v>
      </c>
      <c r="B623" s="49" t="s">
        <v>1286</v>
      </c>
      <c r="C623" s="51">
        <v>37.369999999999997</v>
      </c>
      <c r="D623" s="50"/>
      <c r="E623" s="50"/>
    </row>
    <row r="624" spans="1:5" x14ac:dyDescent="0.3">
      <c r="A624" s="53">
        <v>6345857</v>
      </c>
      <c r="B624" s="49" t="s">
        <v>1287</v>
      </c>
      <c r="C624" s="51">
        <v>69.48</v>
      </c>
      <c r="D624" s="50"/>
      <c r="E624" s="50"/>
    </row>
    <row r="625" spans="1:5" x14ac:dyDescent="0.3">
      <c r="A625" s="53">
        <v>6345854</v>
      </c>
      <c r="B625" s="49" t="s">
        <v>1288</v>
      </c>
      <c r="C625" s="51">
        <v>37.369999999999997</v>
      </c>
      <c r="D625" s="50"/>
      <c r="E625" s="50"/>
    </row>
    <row r="626" spans="1:5" x14ac:dyDescent="0.3">
      <c r="A626" s="53">
        <v>6345856</v>
      </c>
      <c r="B626" s="49" t="s">
        <v>1289</v>
      </c>
      <c r="C626" s="51">
        <v>69.48</v>
      </c>
      <c r="D626" s="50"/>
      <c r="E626" s="50"/>
    </row>
    <row r="627" spans="1:5" x14ac:dyDescent="0.3">
      <c r="A627" s="53">
        <v>6394214</v>
      </c>
      <c r="B627" s="49" t="s">
        <v>1290</v>
      </c>
      <c r="C627" s="51">
        <v>28.55</v>
      </c>
      <c r="D627" s="50"/>
      <c r="E627" s="50"/>
    </row>
    <row r="628" spans="1:5" x14ac:dyDescent="0.3">
      <c r="A628" s="53">
        <v>6394226</v>
      </c>
      <c r="B628" s="49" t="s">
        <v>1291</v>
      </c>
      <c r="C628" s="51">
        <v>51.03</v>
      </c>
      <c r="D628" s="50"/>
      <c r="E628" s="50"/>
    </row>
    <row r="629" spans="1:5" x14ac:dyDescent="0.3">
      <c r="A629" s="53">
        <v>6394165</v>
      </c>
      <c r="B629" s="49" t="s">
        <v>1292</v>
      </c>
      <c r="C629" s="51">
        <v>97</v>
      </c>
      <c r="D629" s="50"/>
      <c r="E629" s="50"/>
    </row>
    <row r="630" spans="1:5" x14ac:dyDescent="0.3">
      <c r="A630" s="53">
        <v>5315854</v>
      </c>
      <c r="B630" s="49" t="s">
        <v>1293</v>
      </c>
      <c r="C630" s="51">
        <v>21.45</v>
      </c>
      <c r="D630" s="50"/>
      <c r="E630" s="50"/>
    </row>
    <row r="631" spans="1:5" x14ac:dyDescent="0.3">
      <c r="A631" s="53">
        <v>5315853</v>
      </c>
      <c r="B631" s="49" t="s">
        <v>1294</v>
      </c>
      <c r="C631" s="51">
        <v>17.579999999999998</v>
      </c>
      <c r="D631" s="50"/>
      <c r="E631" s="50"/>
    </row>
    <row r="632" spans="1:5" x14ac:dyDescent="0.3">
      <c r="A632" s="53">
        <v>5315852</v>
      </c>
      <c r="B632" s="49" t="s">
        <v>1295</v>
      </c>
      <c r="C632" s="51">
        <v>17.579999999999998</v>
      </c>
      <c r="D632" s="50"/>
      <c r="E632" s="50"/>
    </row>
    <row r="633" spans="1:5" x14ac:dyDescent="0.3">
      <c r="A633" s="53">
        <v>5315925</v>
      </c>
      <c r="B633" s="49" t="s">
        <v>1296</v>
      </c>
      <c r="C633" s="51">
        <v>32.18</v>
      </c>
      <c r="D633" s="50"/>
      <c r="E633" s="50"/>
    </row>
    <row r="634" spans="1:5" x14ac:dyDescent="0.3">
      <c r="A634" s="53">
        <v>5222341</v>
      </c>
      <c r="B634" s="49" t="s">
        <v>1297</v>
      </c>
      <c r="C634" s="51">
        <v>66.3</v>
      </c>
      <c r="D634" s="50"/>
      <c r="E634" s="50"/>
    </row>
    <row r="635" spans="1:5" x14ac:dyDescent="0.3">
      <c r="A635" s="53">
        <v>6345849</v>
      </c>
      <c r="B635" s="49" t="s">
        <v>2539</v>
      </c>
      <c r="C635" s="51">
        <v>86.97</v>
      </c>
      <c r="D635" s="50"/>
      <c r="E635" s="50"/>
    </row>
    <row r="636" spans="1:5" x14ac:dyDescent="0.3">
      <c r="A636" s="53">
        <v>6394164</v>
      </c>
      <c r="B636" s="49" t="s">
        <v>1298</v>
      </c>
      <c r="C636" s="51">
        <v>16.93</v>
      </c>
      <c r="D636" s="50"/>
      <c r="E636" s="50"/>
    </row>
    <row r="637" spans="1:5" x14ac:dyDescent="0.3">
      <c r="A637" s="53">
        <v>6394225</v>
      </c>
      <c r="B637" s="49" t="s">
        <v>1299</v>
      </c>
      <c r="C637" s="51">
        <v>34.01</v>
      </c>
      <c r="D637" s="50"/>
      <c r="E637" s="50"/>
    </row>
    <row r="638" spans="1:5" x14ac:dyDescent="0.3">
      <c r="A638" s="53">
        <v>6394197</v>
      </c>
      <c r="B638" s="49" t="s">
        <v>1300</v>
      </c>
      <c r="C638" s="51">
        <v>9.94</v>
      </c>
      <c r="D638" s="50"/>
      <c r="E638" s="50"/>
    </row>
    <row r="639" spans="1:5" x14ac:dyDescent="0.3">
      <c r="A639" s="53">
        <v>5321443</v>
      </c>
      <c r="B639" s="49" t="s">
        <v>1301</v>
      </c>
      <c r="C639" s="51">
        <v>43.43</v>
      </c>
      <c r="D639" s="50"/>
      <c r="E639" s="50"/>
    </row>
    <row r="640" spans="1:5" x14ac:dyDescent="0.3">
      <c r="A640" s="53">
        <v>5321442</v>
      </c>
      <c r="B640" s="49" t="s">
        <v>1302</v>
      </c>
      <c r="C640" s="51">
        <v>85.28</v>
      </c>
      <c r="D640" s="50"/>
      <c r="E640" s="50"/>
    </row>
    <row r="641" spans="1:5" x14ac:dyDescent="0.3">
      <c r="A641" s="53">
        <v>5222347</v>
      </c>
      <c r="B641" s="49" t="s">
        <v>1303</v>
      </c>
      <c r="C641" s="51">
        <v>35.270000000000003</v>
      </c>
      <c r="D641" s="50"/>
      <c r="E641" s="50"/>
    </row>
    <row r="642" spans="1:5" x14ac:dyDescent="0.3">
      <c r="A642" s="53">
        <v>5315864</v>
      </c>
      <c r="B642" s="49" t="s">
        <v>1304</v>
      </c>
      <c r="C642" s="51">
        <v>19.350000000000001</v>
      </c>
      <c r="D642" s="50"/>
      <c r="E642" s="50"/>
    </row>
    <row r="643" spans="1:5" x14ac:dyDescent="0.3">
      <c r="A643" s="53">
        <v>5315859</v>
      </c>
      <c r="B643" s="49" t="s">
        <v>1306</v>
      </c>
      <c r="C643" s="51">
        <v>24.62</v>
      </c>
      <c r="D643" s="50"/>
      <c r="E643" s="50"/>
    </row>
    <row r="644" spans="1:5" x14ac:dyDescent="0.3">
      <c r="A644" s="53">
        <v>5315918</v>
      </c>
      <c r="B644" s="49" t="s">
        <v>1307</v>
      </c>
      <c r="C644" s="51">
        <v>38.090000000000003</v>
      </c>
      <c r="D644" s="50"/>
      <c r="E644" s="50"/>
    </row>
    <row r="645" spans="1:5" x14ac:dyDescent="0.3">
      <c r="A645" s="53">
        <v>5315921</v>
      </c>
      <c r="B645" s="49" t="s">
        <v>1308</v>
      </c>
      <c r="C645" s="51">
        <v>56.15</v>
      </c>
      <c r="D645" s="50"/>
      <c r="E645" s="50"/>
    </row>
    <row r="646" spans="1:5" x14ac:dyDescent="0.3">
      <c r="A646" s="53">
        <v>6345843</v>
      </c>
      <c r="B646" s="49" t="s">
        <v>1309</v>
      </c>
      <c r="C646" s="51">
        <v>38.090000000000003</v>
      </c>
      <c r="D646" s="50"/>
      <c r="E646" s="50"/>
    </row>
    <row r="647" spans="1:5" x14ac:dyDescent="0.3">
      <c r="A647" s="53">
        <v>6345844</v>
      </c>
      <c r="B647" s="49" t="s">
        <v>1310</v>
      </c>
      <c r="C647" s="51">
        <v>58.94</v>
      </c>
      <c r="D647" s="50"/>
      <c r="E647" s="50"/>
    </row>
    <row r="648" spans="1:5" x14ac:dyDescent="0.3">
      <c r="A648" s="53">
        <v>5315857</v>
      </c>
      <c r="B648" s="49" t="s">
        <v>1313</v>
      </c>
      <c r="C648" s="51">
        <v>22.34</v>
      </c>
      <c r="D648" s="50"/>
      <c r="E648" s="50"/>
    </row>
    <row r="649" spans="1:5" x14ac:dyDescent="0.3">
      <c r="A649" s="53">
        <v>5222344</v>
      </c>
      <c r="B649" s="49" t="s">
        <v>1314</v>
      </c>
      <c r="C649" s="51">
        <v>68.75</v>
      </c>
      <c r="D649" s="50"/>
      <c r="E649" s="50"/>
    </row>
    <row r="650" spans="1:5" x14ac:dyDescent="0.3">
      <c r="A650" s="53">
        <v>6345862</v>
      </c>
      <c r="B650" s="49" t="s">
        <v>1315</v>
      </c>
      <c r="C650" s="51">
        <v>154.69999999999999</v>
      </c>
      <c r="D650" s="50"/>
      <c r="E650" s="50"/>
    </row>
    <row r="651" spans="1:5" x14ac:dyDescent="0.3">
      <c r="A651" s="53">
        <v>5222327</v>
      </c>
      <c r="B651" s="49" t="s">
        <v>644</v>
      </c>
      <c r="C651" s="51">
        <v>21.14</v>
      </c>
      <c r="D651" s="50"/>
      <c r="E651" s="50"/>
    </row>
    <row r="652" spans="1:5" x14ac:dyDescent="0.3">
      <c r="A652" s="53">
        <v>5222326</v>
      </c>
      <c r="B652" s="49" t="s">
        <v>645</v>
      </c>
      <c r="C652" s="51">
        <v>44.12</v>
      </c>
      <c r="D652" s="50"/>
      <c r="E652" s="50"/>
    </row>
    <row r="653" spans="1:5" x14ac:dyDescent="0.3">
      <c r="A653" s="53">
        <v>5222323</v>
      </c>
      <c r="B653" s="49" t="s">
        <v>646</v>
      </c>
      <c r="C653" s="51">
        <v>12.74</v>
      </c>
      <c r="D653" s="50"/>
      <c r="E653" s="50"/>
    </row>
    <row r="654" spans="1:5" x14ac:dyDescent="0.3">
      <c r="A654" s="53">
        <v>5222328</v>
      </c>
      <c r="B654" s="49" t="s">
        <v>647</v>
      </c>
      <c r="C654" s="51">
        <v>14.43</v>
      </c>
      <c r="D654" s="50"/>
      <c r="E654" s="50"/>
    </row>
    <row r="655" spans="1:5" x14ac:dyDescent="0.3">
      <c r="A655" s="53">
        <v>5222325</v>
      </c>
      <c r="B655" s="49" t="s">
        <v>648</v>
      </c>
      <c r="C655" s="51">
        <v>82.74</v>
      </c>
      <c r="D655" s="50"/>
      <c r="E655" s="50"/>
    </row>
    <row r="656" spans="1:5" x14ac:dyDescent="0.3">
      <c r="A656" s="53">
        <v>5222320</v>
      </c>
      <c r="B656" s="49" t="s">
        <v>649</v>
      </c>
      <c r="C656" s="51">
        <v>19.100000000000001</v>
      </c>
      <c r="D656" s="50"/>
      <c r="E656" s="50"/>
    </row>
    <row r="657" spans="1:5" x14ac:dyDescent="0.3">
      <c r="A657" s="53">
        <v>5222319</v>
      </c>
      <c r="B657" s="49" t="s">
        <v>650</v>
      </c>
      <c r="C657" s="51">
        <v>37.33</v>
      </c>
      <c r="D657" s="50"/>
      <c r="E657" s="50"/>
    </row>
    <row r="658" spans="1:5" x14ac:dyDescent="0.3">
      <c r="A658" s="53">
        <v>5222321</v>
      </c>
      <c r="B658" s="49" t="s">
        <v>651</v>
      </c>
      <c r="C658" s="51">
        <v>10.130000000000001</v>
      </c>
      <c r="D658" s="50"/>
      <c r="E658" s="50"/>
    </row>
    <row r="659" spans="1:5" x14ac:dyDescent="0.3">
      <c r="A659" s="53">
        <v>5222318</v>
      </c>
      <c r="B659" s="49" t="s">
        <v>652</v>
      </c>
      <c r="C659" s="51">
        <v>54.71</v>
      </c>
      <c r="D659" s="50"/>
      <c r="E659" s="50"/>
    </row>
    <row r="660" spans="1:5" x14ac:dyDescent="0.3">
      <c r="A660" s="53">
        <v>5222332</v>
      </c>
      <c r="B660" s="49" t="s">
        <v>653</v>
      </c>
      <c r="C660" s="51">
        <v>14.69</v>
      </c>
      <c r="D660" s="50"/>
      <c r="E660" s="50"/>
    </row>
    <row r="661" spans="1:5" x14ac:dyDescent="0.3">
      <c r="A661" s="53">
        <v>5222331</v>
      </c>
      <c r="B661" s="49" t="s">
        <v>654</v>
      </c>
      <c r="C661" s="51">
        <v>24.82</v>
      </c>
      <c r="D661" s="50"/>
      <c r="E661" s="50"/>
    </row>
    <row r="662" spans="1:5" x14ac:dyDescent="0.3">
      <c r="A662" s="53">
        <v>5222333</v>
      </c>
      <c r="B662" s="49" t="s">
        <v>655</v>
      </c>
      <c r="C662" s="51">
        <v>8.31</v>
      </c>
      <c r="D662" s="50"/>
      <c r="E662" s="50"/>
    </row>
    <row r="663" spans="1:5" x14ac:dyDescent="0.3">
      <c r="A663" s="53">
        <v>5222330</v>
      </c>
      <c r="B663" s="49" t="s">
        <v>656</v>
      </c>
      <c r="C663" s="51">
        <v>47.8</v>
      </c>
      <c r="D663" s="50"/>
      <c r="E663" s="50"/>
    </row>
    <row r="664" spans="1:5" x14ac:dyDescent="0.3">
      <c r="A664" s="53">
        <v>5222334</v>
      </c>
      <c r="B664" s="49" t="s">
        <v>657</v>
      </c>
      <c r="C664" s="51">
        <v>10.18</v>
      </c>
      <c r="D664" s="50"/>
      <c r="E664" s="50"/>
    </row>
    <row r="665" spans="1:5" x14ac:dyDescent="0.3">
      <c r="A665" s="53">
        <v>5330420</v>
      </c>
      <c r="B665" s="49" t="s">
        <v>427</v>
      </c>
      <c r="C665" s="51">
        <v>20.45</v>
      </c>
      <c r="D665" s="50"/>
      <c r="E665" s="50"/>
    </row>
    <row r="666" spans="1:5" x14ac:dyDescent="0.3">
      <c r="A666" s="53">
        <v>5330419</v>
      </c>
      <c r="B666" s="49" t="s">
        <v>428</v>
      </c>
      <c r="C666" s="51">
        <v>10.66</v>
      </c>
      <c r="D666" s="50"/>
      <c r="E666" s="50"/>
    </row>
    <row r="667" spans="1:5" x14ac:dyDescent="0.3">
      <c r="A667" s="53">
        <v>5092438</v>
      </c>
      <c r="B667" s="49" t="s">
        <v>776</v>
      </c>
      <c r="C667" s="51">
        <v>17.649999999999999</v>
      </c>
      <c r="D667" s="50"/>
      <c r="E667" s="50"/>
    </row>
    <row r="668" spans="1:5" x14ac:dyDescent="0.3">
      <c r="A668" s="53">
        <v>5092434</v>
      </c>
      <c r="B668" s="49" t="s">
        <v>777</v>
      </c>
      <c r="C668" s="51">
        <v>17.649999999999999</v>
      </c>
      <c r="D668" s="50"/>
      <c r="E668" s="50"/>
    </row>
    <row r="669" spans="1:5" x14ac:dyDescent="0.3">
      <c r="A669" s="53">
        <v>5092432</v>
      </c>
      <c r="B669" s="49" t="s">
        <v>6931</v>
      </c>
      <c r="C669" s="51">
        <v>18.14</v>
      </c>
      <c r="D669" s="50"/>
      <c r="E669" s="50"/>
    </row>
    <row r="670" spans="1:5" x14ac:dyDescent="0.3">
      <c r="A670" s="53">
        <v>5095343</v>
      </c>
      <c r="B670" s="49" t="s">
        <v>6932</v>
      </c>
      <c r="C670" s="51">
        <v>17.649999999999999</v>
      </c>
      <c r="D670" s="50"/>
      <c r="E670" s="50"/>
    </row>
    <row r="671" spans="1:5" x14ac:dyDescent="0.3">
      <c r="A671" s="53">
        <v>5330418</v>
      </c>
      <c r="B671" s="49" t="s">
        <v>426</v>
      </c>
      <c r="C671" s="51">
        <v>32.619999999999997</v>
      </c>
      <c r="D671" s="50"/>
      <c r="E671" s="50"/>
    </row>
    <row r="672" spans="1:5" x14ac:dyDescent="0.3">
      <c r="A672" s="53">
        <v>5074297</v>
      </c>
      <c r="B672" s="49" t="s">
        <v>1161</v>
      </c>
      <c r="C672" s="51">
        <v>18.78</v>
      </c>
      <c r="D672" s="50"/>
      <c r="E672" s="50"/>
    </row>
    <row r="673" spans="1:5" x14ac:dyDescent="0.3">
      <c r="A673" s="53">
        <v>5074298</v>
      </c>
      <c r="B673" s="49" t="s">
        <v>1162</v>
      </c>
      <c r="C673" s="51">
        <v>38.39</v>
      </c>
      <c r="D673" s="50"/>
      <c r="E673" s="50"/>
    </row>
    <row r="674" spans="1:5" x14ac:dyDescent="0.3">
      <c r="A674" s="53">
        <v>5025582</v>
      </c>
      <c r="B674" s="49" t="s">
        <v>1164</v>
      </c>
      <c r="C674" s="51">
        <v>39.549999999999997</v>
      </c>
      <c r="D674" s="50"/>
      <c r="E674" s="50"/>
    </row>
    <row r="675" spans="1:5" x14ac:dyDescent="0.3">
      <c r="A675" s="53">
        <v>5085900</v>
      </c>
      <c r="B675" s="49" t="s">
        <v>1165</v>
      </c>
      <c r="C675" s="51">
        <v>26.32</v>
      </c>
      <c r="D675" s="50"/>
      <c r="E675" s="50"/>
    </row>
    <row r="676" spans="1:5" x14ac:dyDescent="0.3">
      <c r="A676" s="53">
        <v>5085901</v>
      </c>
      <c r="B676" s="49" t="s">
        <v>1166</v>
      </c>
      <c r="C676" s="51">
        <v>53.82</v>
      </c>
      <c r="D676" s="50"/>
      <c r="E676" s="50"/>
    </row>
    <row r="677" spans="1:5" x14ac:dyDescent="0.3">
      <c r="A677" s="53">
        <v>5085902</v>
      </c>
      <c r="B677" s="49" t="s">
        <v>1167</v>
      </c>
      <c r="C677" s="51">
        <v>79.709999999999994</v>
      </c>
      <c r="D677" s="50"/>
      <c r="E677" s="50"/>
    </row>
    <row r="678" spans="1:5" x14ac:dyDescent="0.3">
      <c r="A678" s="53">
        <v>5085906</v>
      </c>
      <c r="B678" s="49" t="s">
        <v>1168</v>
      </c>
      <c r="C678" s="51">
        <v>27.65</v>
      </c>
      <c r="D678" s="50"/>
      <c r="E678" s="50"/>
    </row>
    <row r="679" spans="1:5" x14ac:dyDescent="0.3">
      <c r="A679" s="53">
        <v>5085907</v>
      </c>
      <c r="B679" s="49" t="s">
        <v>1169</v>
      </c>
      <c r="C679" s="51">
        <v>56.53</v>
      </c>
      <c r="D679" s="50"/>
      <c r="E679" s="50"/>
    </row>
    <row r="680" spans="1:5" x14ac:dyDescent="0.3">
      <c r="A680" s="53">
        <v>5085912</v>
      </c>
      <c r="B680" s="49" t="s">
        <v>1170</v>
      </c>
      <c r="C680" s="51">
        <v>53.82</v>
      </c>
      <c r="D680" s="50"/>
      <c r="E680" s="50"/>
    </row>
    <row r="681" spans="1:5" x14ac:dyDescent="0.3">
      <c r="A681" s="53">
        <v>5085918</v>
      </c>
      <c r="B681" s="49" t="s">
        <v>1171</v>
      </c>
      <c r="C681" s="51">
        <v>56.53</v>
      </c>
      <c r="D681" s="50"/>
      <c r="E681" s="50"/>
    </row>
    <row r="682" spans="1:5" x14ac:dyDescent="0.3">
      <c r="A682" s="53">
        <v>5085935</v>
      </c>
      <c r="B682" s="49" t="s">
        <v>1172</v>
      </c>
      <c r="C682" s="51">
        <v>27.65</v>
      </c>
      <c r="D682" s="50"/>
      <c r="E682" s="50"/>
    </row>
    <row r="683" spans="1:5" x14ac:dyDescent="0.3">
      <c r="A683" s="53">
        <v>5085936</v>
      </c>
      <c r="B683" s="49" t="s">
        <v>1173</v>
      </c>
      <c r="C683" s="51">
        <v>53.82</v>
      </c>
      <c r="D683" s="50"/>
      <c r="E683" s="50"/>
    </row>
    <row r="684" spans="1:5" x14ac:dyDescent="0.3">
      <c r="A684" s="53">
        <v>5085977</v>
      </c>
      <c r="B684" s="49" t="s">
        <v>1174</v>
      </c>
      <c r="C684" s="51">
        <v>56.53</v>
      </c>
      <c r="D684" s="50"/>
      <c r="E684" s="50"/>
    </row>
    <row r="685" spans="1:5" x14ac:dyDescent="0.3">
      <c r="A685" s="53">
        <v>5085897</v>
      </c>
      <c r="B685" s="49" t="s">
        <v>1175</v>
      </c>
      <c r="C685" s="51">
        <v>21.04</v>
      </c>
      <c r="D685" s="50"/>
      <c r="E685" s="50"/>
    </row>
    <row r="686" spans="1:5" x14ac:dyDescent="0.3">
      <c r="A686" s="53">
        <v>5085898</v>
      </c>
      <c r="B686" s="49" t="s">
        <v>1176</v>
      </c>
      <c r="C686" s="51">
        <v>43.04</v>
      </c>
      <c r="D686" s="50"/>
      <c r="E686" s="50"/>
    </row>
    <row r="687" spans="1:5" x14ac:dyDescent="0.3">
      <c r="A687" s="53">
        <v>5085899</v>
      </c>
      <c r="B687" s="49" t="s">
        <v>1177</v>
      </c>
      <c r="C687" s="51">
        <v>63.78</v>
      </c>
      <c r="D687" s="50"/>
      <c r="E687" s="50"/>
    </row>
    <row r="688" spans="1:5" x14ac:dyDescent="0.3">
      <c r="A688" s="53">
        <v>5085925</v>
      </c>
      <c r="B688" s="49" t="s">
        <v>1178</v>
      </c>
      <c r="C688" s="51">
        <v>43.04</v>
      </c>
      <c r="D688" s="50"/>
      <c r="E688" s="50"/>
    </row>
    <row r="689" spans="1:5" x14ac:dyDescent="0.3">
      <c r="A689" s="53">
        <v>5085940</v>
      </c>
      <c r="B689" s="49" t="s">
        <v>1179</v>
      </c>
      <c r="C689" s="51">
        <v>43.04</v>
      </c>
      <c r="D689" s="50"/>
      <c r="E689" s="50"/>
    </row>
    <row r="690" spans="1:5" x14ac:dyDescent="0.3">
      <c r="A690" s="53">
        <v>5085965</v>
      </c>
      <c r="B690" s="49" t="s">
        <v>1180</v>
      </c>
      <c r="C690" s="51">
        <v>22.11</v>
      </c>
      <c r="D690" s="50"/>
      <c r="E690" s="50"/>
    </row>
    <row r="691" spans="1:5" x14ac:dyDescent="0.3">
      <c r="A691" s="53">
        <v>5085966</v>
      </c>
      <c r="B691" s="49" t="s">
        <v>1181</v>
      </c>
      <c r="C691" s="51">
        <v>43.04</v>
      </c>
      <c r="D691" s="50"/>
      <c r="E691" s="50"/>
    </row>
    <row r="692" spans="1:5" x14ac:dyDescent="0.3">
      <c r="A692" s="53">
        <v>5086544</v>
      </c>
      <c r="B692" s="49" t="s">
        <v>1182</v>
      </c>
      <c r="C692" s="51">
        <v>69.34</v>
      </c>
      <c r="D692" s="50"/>
      <c r="E692" s="50"/>
    </row>
    <row r="693" spans="1:5" x14ac:dyDescent="0.3">
      <c r="A693" s="53">
        <v>5085748</v>
      </c>
      <c r="B693" s="49" t="s">
        <v>1183</v>
      </c>
      <c r="C693" s="51">
        <v>36.4</v>
      </c>
      <c r="D693" s="50"/>
      <c r="E693" s="50"/>
    </row>
    <row r="694" spans="1:5" x14ac:dyDescent="0.3">
      <c r="A694" s="53">
        <v>5085696</v>
      </c>
      <c r="B694" s="49" t="s">
        <v>629</v>
      </c>
      <c r="C694" s="51">
        <v>48.34</v>
      </c>
      <c r="D694" s="50"/>
      <c r="E694" s="50"/>
    </row>
    <row r="695" spans="1:5" x14ac:dyDescent="0.3">
      <c r="A695" s="53">
        <v>5119154</v>
      </c>
      <c r="B695" s="49" t="s">
        <v>630</v>
      </c>
      <c r="C695" s="51">
        <v>46.04</v>
      </c>
      <c r="D695" s="50"/>
      <c r="E695" s="50"/>
    </row>
    <row r="696" spans="1:5" x14ac:dyDescent="0.3">
      <c r="A696" s="53">
        <v>5086585</v>
      </c>
      <c r="B696" s="49" t="s">
        <v>1185</v>
      </c>
      <c r="C696" s="51">
        <v>62.38</v>
      </c>
      <c r="D696" s="50"/>
      <c r="E696" s="50"/>
    </row>
    <row r="697" spans="1:5" x14ac:dyDescent="0.3">
      <c r="A697" s="53">
        <v>5086048</v>
      </c>
      <c r="B697" s="49" t="s">
        <v>1186</v>
      </c>
      <c r="C697" s="51">
        <v>56.84</v>
      </c>
      <c r="D697" s="50"/>
      <c r="E697" s="50"/>
    </row>
    <row r="698" spans="1:5" x14ac:dyDescent="0.3">
      <c r="A698" s="53">
        <v>5060367</v>
      </c>
      <c r="B698" s="49" t="s">
        <v>1187</v>
      </c>
      <c r="C698" s="51">
        <v>45.15</v>
      </c>
      <c r="D698" s="50"/>
      <c r="E698" s="50"/>
    </row>
    <row r="699" spans="1:5" x14ac:dyDescent="0.3">
      <c r="A699" s="53">
        <v>6059081</v>
      </c>
      <c r="B699" s="49" t="s">
        <v>711</v>
      </c>
      <c r="C699" s="51">
        <v>11.96</v>
      </c>
      <c r="D699" s="50"/>
      <c r="E699" s="50"/>
    </row>
    <row r="700" spans="1:5" x14ac:dyDescent="0.3">
      <c r="A700" s="53">
        <v>6059063</v>
      </c>
      <c r="B700" s="49" t="s">
        <v>714</v>
      </c>
      <c r="C700" s="51">
        <v>7.9</v>
      </c>
      <c r="D700" s="50"/>
      <c r="E700" s="50"/>
    </row>
    <row r="701" spans="1:5" x14ac:dyDescent="0.3">
      <c r="A701" s="53">
        <v>5222429</v>
      </c>
      <c r="B701" s="49" t="s">
        <v>743</v>
      </c>
      <c r="C701" s="51">
        <v>8.76</v>
      </c>
      <c r="D701" s="50"/>
      <c r="E701" s="50"/>
    </row>
    <row r="702" spans="1:5" x14ac:dyDescent="0.3">
      <c r="A702" s="53">
        <v>6360765</v>
      </c>
      <c r="B702" s="49" t="s">
        <v>744</v>
      </c>
      <c r="C702" s="51">
        <v>18.59</v>
      </c>
      <c r="D702" s="50"/>
      <c r="E702" s="50"/>
    </row>
    <row r="703" spans="1:5" x14ac:dyDescent="0.3">
      <c r="A703" s="53">
        <v>6360791</v>
      </c>
      <c r="B703" s="49" t="s">
        <v>745</v>
      </c>
      <c r="C703" s="51">
        <v>36.39</v>
      </c>
      <c r="D703" s="50"/>
      <c r="E703" s="50"/>
    </row>
    <row r="704" spans="1:5" x14ac:dyDescent="0.3">
      <c r="A704" s="53">
        <v>6360784</v>
      </c>
      <c r="B704" s="49" t="s">
        <v>751</v>
      </c>
      <c r="C704" s="51">
        <v>35.53</v>
      </c>
      <c r="D704" s="50"/>
      <c r="E704" s="50"/>
    </row>
    <row r="705" spans="1:5" x14ac:dyDescent="0.3">
      <c r="A705" s="53">
        <v>6396957</v>
      </c>
      <c r="B705" s="49" t="s">
        <v>1076</v>
      </c>
      <c r="C705" s="51">
        <v>61.96</v>
      </c>
      <c r="D705" s="50"/>
      <c r="E705" s="50"/>
    </row>
    <row r="706" spans="1:5" x14ac:dyDescent="0.3">
      <c r="A706" s="53">
        <v>6396958</v>
      </c>
      <c r="B706" s="49" t="s">
        <v>1081</v>
      </c>
      <c r="C706" s="51">
        <v>25.11</v>
      </c>
      <c r="D706" s="50"/>
      <c r="E706" s="50"/>
    </row>
    <row r="707" spans="1:5" x14ac:dyDescent="0.3">
      <c r="A707" s="53">
        <v>6396941</v>
      </c>
      <c r="B707" s="49" t="s">
        <v>6933</v>
      </c>
      <c r="C707" s="51">
        <v>61.4</v>
      </c>
      <c r="D707" s="50"/>
      <c r="E707" s="50"/>
    </row>
    <row r="708" spans="1:5" x14ac:dyDescent="0.3">
      <c r="A708" s="53">
        <v>6396929</v>
      </c>
      <c r="B708" s="49" t="s">
        <v>6934</v>
      </c>
      <c r="C708" s="51">
        <v>20.82</v>
      </c>
      <c r="D708" s="50"/>
      <c r="E708" s="50"/>
    </row>
    <row r="709" spans="1:5" x14ac:dyDescent="0.3">
      <c r="A709" s="53">
        <v>6396928</v>
      </c>
      <c r="B709" s="49" t="s">
        <v>6935</v>
      </c>
      <c r="C709" s="51">
        <v>59.61</v>
      </c>
      <c r="D709" s="50"/>
      <c r="E709" s="50"/>
    </row>
    <row r="710" spans="1:5" x14ac:dyDescent="0.3">
      <c r="A710" s="53">
        <v>6396927</v>
      </c>
      <c r="B710" s="49" t="s">
        <v>6936</v>
      </c>
      <c r="C710" s="51">
        <v>20.82</v>
      </c>
      <c r="D710" s="50"/>
      <c r="E710" s="50"/>
    </row>
    <row r="711" spans="1:5" x14ac:dyDescent="0.3">
      <c r="A711" s="53">
        <v>6396946</v>
      </c>
      <c r="B711" s="49" t="s">
        <v>6937</v>
      </c>
      <c r="C711" s="51">
        <v>69.010000000000005</v>
      </c>
      <c r="D711" s="50"/>
      <c r="E711" s="50"/>
    </row>
    <row r="712" spans="1:5" x14ac:dyDescent="0.3">
      <c r="A712" s="53">
        <v>6396953</v>
      </c>
      <c r="B712" s="49" t="s">
        <v>6938</v>
      </c>
      <c r="C712" s="51">
        <v>25.14</v>
      </c>
      <c r="D712" s="50"/>
      <c r="E712" s="50"/>
    </row>
    <row r="713" spans="1:5" x14ac:dyDescent="0.3">
      <c r="A713" s="53">
        <v>6396942</v>
      </c>
      <c r="B713" s="49" t="s">
        <v>6939</v>
      </c>
      <c r="C713" s="51">
        <v>15.48</v>
      </c>
      <c r="D713" s="50"/>
      <c r="E713" s="50"/>
    </row>
    <row r="714" spans="1:5" x14ac:dyDescent="0.3">
      <c r="A714" s="53">
        <v>6396952</v>
      </c>
      <c r="B714" s="49" t="s">
        <v>6940</v>
      </c>
      <c r="C714" s="51">
        <v>15.48</v>
      </c>
      <c r="D714" s="50"/>
      <c r="E714" s="50"/>
    </row>
    <row r="715" spans="1:5" x14ac:dyDescent="0.3">
      <c r="A715" s="53">
        <v>6396945</v>
      </c>
      <c r="B715" s="49" t="s">
        <v>6941</v>
      </c>
      <c r="C715" s="51">
        <v>22.14</v>
      </c>
      <c r="D715" s="50"/>
      <c r="E715" s="50"/>
    </row>
    <row r="716" spans="1:5" x14ac:dyDescent="0.3">
      <c r="A716" s="53">
        <v>6396944</v>
      </c>
      <c r="B716" s="49" t="s">
        <v>6942</v>
      </c>
      <c r="C716" s="51">
        <v>61.4</v>
      </c>
      <c r="D716" s="50"/>
      <c r="E716" s="50"/>
    </row>
    <row r="717" spans="1:5" x14ac:dyDescent="0.3">
      <c r="A717" s="53">
        <v>6396943</v>
      </c>
      <c r="B717" s="49" t="s">
        <v>6943</v>
      </c>
      <c r="C717" s="51">
        <v>15.13</v>
      </c>
      <c r="D717" s="50"/>
      <c r="E717" s="50"/>
    </row>
    <row r="718" spans="1:5" x14ac:dyDescent="0.3">
      <c r="A718" s="53">
        <v>6410181</v>
      </c>
      <c r="B718" s="49" t="s">
        <v>6944</v>
      </c>
      <c r="C718" s="51">
        <v>7.2</v>
      </c>
      <c r="D718" s="50"/>
      <c r="E718" s="50"/>
    </row>
    <row r="719" spans="1:5" x14ac:dyDescent="0.3">
      <c r="A719" s="53">
        <v>6393688</v>
      </c>
      <c r="B719" s="49" t="s">
        <v>663</v>
      </c>
      <c r="C719" s="51">
        <v>6.54</v>
      </c>
      <c r="D719" s="50"/>
      <c r="E719" s="50"/>
    </row>
    <row r="720" spans="1:5" x14ac:dyDescent="0.3">
      <c r="A720" s="53">
        <v>6393689</v>
      </c>
      <c r="B720" s="49" t="s">
        <v>664</v>
      </c>
      <c r="C720" s="51">
        <v>8.5500000000000007</v>
      </c>
      <c r="D720" s="50"/>
      <c r="E720" s="50"/>
    </row>
    <row r="721" spans="1:5" x14ac:dyDescent="0.3">
      <c r="A721" s="53">
        <v>6027600</v>
      </c>
      <c r="B721" s="49" t="s">
        <v>665</v>
      </c>
      <c r="C721" s="51">
        <v>4.7300000000000004</v>
      </c>
      <c r="D721" s="50"/>
      <c r="E721" s="50"/>
    </row>
    <row r="722" spans="1:5" x14ac:dyDescent="0.3">
      <c r="A722" s="53">
        <v>6103930</v>
      </c>
      <c r="B722" s="49" t="s">
        <v>666</v>
      </c>
      <c r="C722" s="51">
        <v>6.53</v>
      </c>
      <c r="D722" s="50"/>
      <c r="E722" s="50"/>
    </row>
    <row r="723" spans="1:5" x14ac:dyDescent="0.3">
      <c r="A723" s="53">
        <v>6103935</v>
      </c>
      <c r="B723" s="49" t="s">
        <v>669</v>
      </c>
      <c r="C723" s="51">
        <v>6.54</v>
      </c>
      <c r="D723" s="50"/>
      <c r="E723" s="50"/>
    </row>
    <row r="724" spans="1:5" x14ac:dyDescent="0.3">
      <c r="A724" s="53">
        <v>6390793</v>
      </c>
      <c r="B724" s="49" t="s">
        <v>670</v>
      </c>
      <c r="C724" s="51">
        <v>8.2799999999999994</v>
      </c>
      <c r="D724" s="50"/>
      <c r="E724" s="50"/>
    </row>
    <row r="725" spans="1:5" x14ac:dyDescent="0.3">
      <c r="A725" s="53">
        <v>6103932</v>
      </c>
      <c r="B725" s="49" t="s">
        <v>671</v>
      </c>
      <c r="C725" s="51">
        <v>4.76</v>
      </c>
      <c r="D725" s="50"/>
      <c r="E725" s="50"/>
    </row>
    <row r="726" spans="1:5" x14ac:dyDescent="0.3">
      <c r="A726" s="53">
        <v>6103934</v>
      </c>
      <c r="B726" s="49" t="s">
        <v>672</v>
      </c>
      <c r="C726" s="51">
        <v>6.54</v>
      </c>
      <c r="D726" s="50"/>
      <c r="E726" s="50"/>
    </row>
    <row r="727" spans="1:5" x14ac:dyDescent="0.3">
      <c r="A727" s="53">
        <v>6196026</v>
      </c>
      <c r="B727" s="49" t="s">
        <v>673</v>
      </c>
      <c r="C727" s="51">
        <v>8.2899999999999991</v>
      </c>
      <c r="D727" s="50"/>
      <c r="E727" s="50"/>
    </row>
    <row r="728" spans="1:5" x14ac:dyDescent="0.3">
      <c r="A728" s="53">
        <v>6047741</v>
      </c>
      <c r="B728" s="49" t="s">
        <v>6945</v>
      </c>
      <c r="C728" s="51">
        <v>4.38</v>
      </c>
      <c r="D728" s="50"/>
      <c r="E728" s="50"/>
    </row>
    <row r="729" spans="1:5" x14ac:dyDescent="0.3">
      <c r="A729" s="53">
        <v>6033961</v>
      </c>
      <c r="B729" s="49" t="s">
        <v>6946</v>
      </c>
      <c r="C729" s="51">
        <v>5.46</v>
      </c>
      <c r="D729" s="50"/>
      <c r="E729" s="50"/>
    </row>
    <row r="730" spans="1:5" x14ac:dyDescent="0.3">
      <c r="A730" s="53">
        <v>6033962</v>
      </c>
      <c r="B730" s="49" t="s">
        <v>6947</v>
      </c>
      <c r="C730" s="51">
        <v>18.5</v>
      </c>
      <c r="D730" s="50"/>
      <c r="E730" s="50"/>
    </row>
    <row r="731" spans="1:5" x14ac:dyDescent="0.3">
      <c r="A731" s="53">
        <v>6033965</v>
      </c>
      <c r="B731" s="49" t="s">
        <v>6948</v>
      </c>
      <c r="C731" s="51">
        <v>25.45</v>
      </c>
      <c r="D731" s="50"/>
      <c r="E731" s="50"/>
    </row>
    <row r="732" spans="1:5" x14ac:dyDescent="0.3">
      <c r="A732" s="53">
        <v>6107326</v>
      </c>
      <c r="B732" s="49" t="s">
        <v>6949</v>
      </c>
      <c r="C732" s="51">
        <v>9.0399999999999991</v>
      </c>
      <c r="D732" s="50"/>
      <c r="E732" s="50"/>
    </row>
    <row r="733" spans="1:5" x14ac:dyDescent="0.3">
      <c r="A733" s="53">
        <v>6421398</v>
      </c>
      <c r="B733" s="49" t="s">
        <v>6950</v>
      </c>
      <c r="C733" s="51">
        <v>5.65</v>
      </c>
      <c r="D733" s="50"/>
      <c r="E733" s="50"/>
    </row>
    <row r="734" spans="1:5" x14ac:dyDescent="0.3">
      <c r="A734" s="53">
        <v>6421425</v>
      </c>
      <c r="B734" s="49" t="s">
        <v>763</v>
      </c>
      <c r="C734" s="51">
        <v>56.25</v>
      </c>
      <c r="D734" s="50"/>
      <c r="E734" s="50"/>
    </row>
    <row r="735" spans="1:5" x14ac:dyDescent="0.3">
      <c r="A735" s="53">
        <v>6421455</v>
      </c>
      <c r="B735" s="49" t="s">
        <v>761</v>
      </c>
      <c r="C735" s="51">
        <v>19</v>
      </c>
      <c r="D735" s="50"/>
      <c r="E735" s="50"/>
    </row>
    <row r="736" spans="1:5" x14ac:dyDescent="0.3">
      <c r="A736" s="53">
        <v>6421456</v>
      </c>
      <c r="B736" s="49" t="s">
        <v>1263</v>
      </c>
      <c r="C736" s="51">
        <v>4.08</v>
      </c>
      <c r="D736" s="50"/>
      <c r="E736" s="50"/>
    </row>
    <row r="737" spans="1:5" x14ac:dyDescent="0.3">
      <c r="A737" s="53">
        <v>6061768</v>
      </c>
      <c r="B737" s="49" t="s">
        <v>710</v>
      </c>
      <c r="C737" s="51">
        <v>29.78</v>
      </c>
      <c r="D737" s="50"/>
      <c r="E737" s="50"/>
    </row>
    <row r="738" spans="1:5" x14ac:dyDescent="0.3">
      <c r="A738" s="53">
        <v>6059114</v>
      </c>
      <c r="B738" s="49" t="s">
        <v>712</v>
      </c>
      <c r="C738" s="51">
        <v>88.22</v>
      </c>
      <c r="D738" s="50"/>
      <c r="E738" s="50"/>
    </row>
    <row r="739" spans="1:5" x14ac:dyDescent="0.3">
      <c r="A739" s="53">
        <v>6059116</v>
      </c>
      <c r="B739" s="49" t="s">
        <v>713</v>
      </c>
      <c r="C739" s="51">
        <v>80.05</v>
      </c>
      <c r="D739" s="50"/>
      <c r="E739" s="50"/>
    </row>
    <row r="740" spans="1:5" x14ac:dyDescent="0.3">
      <c r="A740" s="53">
        <v>6316977</v>
      </c>
      <c r="B740" s="49" t="s">
        <v>715</v>
      </c>
      <c r="C740" s="51">
        <v>9.74</v>
      </c>
      <c r="D740" s="50"/>
      <c r="E740" s="50"/>
    </row>
    <row r="741" spans="1:5" x14ac:dyDescent="0.3">
      <c r="A741" s="53">
        <v>6316974</v>
      </c>
      <c r="B741" s="49" t="s">
        <v>716</v>
      </c>
      <c r="C741" s="51">
        <v>3.61</v>
      </c>
      <c r="D741" s="50"/>
      <c r="E741" s="50"/>
    </row>
    <row r="742" spans="1:5" x14ac:dyDescent="0.3">
      <c r="A742" s="53">
        <v>6316997</v>
      </c>
      <c r="B742" s="49" t="s">
        <v>717</v>
      </c>
      <c r="C742" s="51">
        <v>3.12</v>
      </c>
      <c r="D742" s="50"/>
      <c r="E742" s="50"/>
    </row>
    <row r="743" spans="1:5" x14ac:dyDescent="0.3">
      <c r="A743" s="53">
        <v>6316966</v>
      </c>
      <c r="B743" s="49" t="s">
        <v>718</v>
      </c>
      <c r="C743" s="51">
        <v>2.63</v>
      </c>
      <c r="D743" s="50"/>
      <c r="E743" s="50"/>
    </row>
    <row r="744" spans="1:5" x14ac:dyDescent="0.3">
      <c r="A744" s="53">
        <v>6316993</v>
      </c>
      <c r="B744" s="49" t="s">
        <v>719</v>
      </c>
      <c r="C744" s="51">
        <v>4.8600000000000003</v>
      </c>
      <c r="D744" s="50"/>
      <c r="E744" s="50"/>
    </row>
    <row r="745" spans="1:5" x14ac:dyDescent="0.3">
      <c r="A745" s="53">
        <v>6316973</v>
      </c>
      <c r="B745" s="49" t="s">
        <v>720</v>
      </c>
      <c r="C745" s="51">
        <v>2.58</v>
      </c>
      <c r="D745" s="50"/>
      <c r="E745" s="50"/>
    </row>
    <row r="746" spans="1:5" x14ac:dyDescent="0.3">
      <c r="A746" s="53">
        <v>6365254</v>
      </c>
      <c r="B746" s="49" t="s">
        <v>6951</v>
      </c>
      <c r="C746" s="51">
        <v>3.13</v>
      </c>
      <c r="D746" s="50"/>
      <c r="E746" s="50"/>
    </row>
    <row r="747" spans="1:5" x14ac:dyDescent="0.3">
      <c r="A747" s="53">
        <v>6316839</v>
      </c>
      <c r="B747" s="49" t="s">
        <v>722</v>
      </c>
      <c r="C747" s="51">
        <v>5.8</v>
      </c>
      <c r="D747" s="50"/>
      <c r="E747" s="50"/>
    </row>
    <row r="748" spans="1:5" x14ac:dyDescent="0.3">
      <c r="A748" s="53">
        <v>6316840</v>
      </c>
      <c r="B748" s="49" t="s">
        <v>723</v>
      </c>
      <c r="C748" s="51">
        <v>11.15</v>
      </c>
      <c r="D748" s="50"/>
      <c r="E748" s="50"/>
    </row>
    <row r="749" spans="1:5" x14ac:dyDescent="0.3">
      <c r="A749" s="53">
        <v>6316965</v>
      </c>
      <c r="B749" s="49" t="s">
        <v>724</v>
      </c>
      <c r="C749" s="51">
        <v>3.93</v>
      </c>
      <c r="D749" s="50"/>
      <c r="E749" s="50"/>
    </row>
    <row r="750" spans="1:5" x14ac:dyDescent="0.3">
      <c r="A750" s="53">
        <v>6316838</v>
      </c>
      <c r="B750" s="49" t="s">
        <v>725</v>
      </c>
      <c r="C750" s="51">
        <v>9.4700000000000006</v>
      </c>
      <c r="D750" s="50"/>
      <c r="E750" s="50"/>
    </row>
    <row r="751" spans="1:5" x14ac:dyDescent="0.3">
      <c r="A751" s="53">
        <v>6344657</v>
      </c>
      <c r="B751" s="49" t="s">
        <v>6952</v>
      </c>
      <c r="C751" s="51">
        <v>19.05</v>
      </c>
      <c r="D751" s="50"/>
      <c r="E751" s="50"/>
    </row>
    <row r="752" spans="1:5" x14ac:dyDescent="0.3">
      <c r="A752" s="53">
        <v>6106492</v>
      </c>
      <c r="B752" s="49" t="s">
        <v>6953</v>
      </c>
      <c r="C752" s="51">
        <v>10.16</v>
      </c>
      <c r="D752" s="50"/>
      <c r="E752" s="50"/>
    </row>
    <row r="753" spans="1:5" x14ac:dyDescent="0.3">
      <c r="A753" s="53">
        <v>6059447</v>
      </c>
      <c r="B753" s="49" t="s">
        <v>742</v>
      </c>
      <c r="C753" s="51">
        <v>10.01</v>
      </c>
      <c r="D753" s="50"/>
      <c r="E753" s="50"/>
    </row>
    <row r="754" spans="1:5" x14ac:dyDescent="0.3">
      <c r="A754" s="53">
        <v>6365273</v>
      </c>
      <c r="B754" s="49" t="s">
        <v>755</v>
      </c>
      <c r="C754" s="51">
        <v>3.15</v>
      </c>
      <c r="D754" s="50"/>
      <c r="E754" s="50"/>
    </row>
    <row r="755" spans="1:5" x14ac:dyDescent="0.3">
      <c r="A755" s="53">
        <v>6125153</v>
      </c>
      <c r="B755" s="49" t="s">
        <v>756</v>
      </c>
      <c r="C755" s="51">
        <v>13.49</v>
      </c>
      <c r="D755" s="50"/>
      <c r="E755" s="50"/>
    </row>
    <row r="756" spans="1:5" x14ac:dyDescent="0.3">
      <c r="A756" s="53">
        <v>6383953</v>
      </c>
      <c r="B756" s="49" t="s">
        <v>757</v>
      </c>
      <c r="C756" s="51">
        <v>5.4</v>
      </c>
      <c r="D756" s="50"/>
      <c r="E756" s="50"/>
    </row>
    <row r="757" spans="1:5" x14ac:dyDescent="0.3">
      <c r="A757" s="53">
        <v>6383954</v>
      </c>
      <c r="B757" s="49" t="s">
        <v>758</v>
      </c>
      <c r="C757" s="51">
        <v>5.42</v>
      </c>
      <c r="D757" s="50"/>
      <c r="E757" s="50"/>
    </row>
    <row r="758" spans="1:5" x14ac:dyDescent="0.3">
      <c r="A758" s="53">
        <v>6383963</v>
      </c>
      <c r="B758" s="49" t="s">
        <v>759</v>
      </c>
      <c r="C758" s="51">
        <v>14.08</v>
      </c>
      <c r="D758" s="50"/>
      <c r="E758" s="50"/>
    </row>
    <row r="759" spans="1:5" x14ac:dyDescent="0.3">
      <c r="A759" s="53">
        <v>6383929</v>
      </c>
      <c r="B759" s="49" t="s">
        <v>760</v>
      </c>
      <c r="C759" s="51">
        <v>5.85</v>
      </c>
      <c r="D759" s="50"/>
      <c r="E759" s="50"/>
    </row>
    <row r="760" spans="1:5" x14ac:dyDescent="0.3">
      <c r="A760" s="53">
        <v>6107918</v>
      </c>
      <c r="B760" s="49" t="s">
        <v>915</v>
      </c>
      <c r="C760" s="51">
        <v>2.0499999999999998</v>
      </c>
      <c r="D760" s="50"/>
      <c r="E760" s="50"/>
    </row>
    <row r="761" spans="1:5" x14ac:dyDescent="0.3">
      <c r="A761" s="53">
        <v>5223032</v>
      </c>
      <c r="B761" s="49" t="s">
        <v>918</v>
      </c>
      <c r="C761" s="51">
        <v>1.37</v>
      </c>
      <c r="D761" s="50"/>
      <c r="E761" s="50"/>
    </row>
    <row r="762" spans="1:5" x14ac:dyDescent="0.3">
      <c r="A762" s="53">
        <v>6107267</v>
      </c>
      <c r="B762" s="49" t="s">
        <v>950</v>
      </c>
      <c r="C762" s="51">
        <v>9.69</v>
      </c>
      <c r="D762" s="50"/>
      <c r="E762" s="50"/>
    </row>
    <row r="763" spans="1:5" x14ac:dyDescent="0.3">
      <c r="A763" s="53">
        <v>6107260</v>
      </c>
      <c r="B763" s="49" t="s">
        <v>951</v>
      </c>
      <c r="C763" s="51">
        <v>6.75</v>
      </c>
      <c r="D763" s="50"/>
      <c r="E763" s="50"/>
    </row>
    <row r="764" spans="1:5" x14ac:dyDescent="0.3">
      <c r="A764" s="53">
        <v>6107266</v>
      </c>
      <c r="B764" s="49" t="s">
        <v>952</v>
      </c>
      <c r="C764" s="51">
        <v>6.9</v>
      </c>
      <c r="D764" s="50"/>
      <c r="E764" s="50"/>
    </row>
    <row r="765" spans="1:5" x14ac:dyDescent="0.3">
      <c r="A765" s="53">
        <v>6107300</v>
      </c>
      <c r="B765" s="49" t="s">
        <v>959</v>
      </c>
      <c r="C765" s="51">
        <v>16.41</v>
      </c>
      <c r="D765" s="50"/>
      <c r="E765" s="50"/>
    </row>
    <row r="766" spans="1:5" x14ac:dyDescent="0.3">
      <c r="A766" s="53">
        <v>6352887</v>
      </c>
      <c r="B766" s="49" t="s">
        <v>966</v>
      </c>
      <c r="C766" s="51">
        <v>35.51</v>
      </c>
      <c r="D766" s="50"/>
      <c r="E766" s="50"/>
    </row>
    <row r="767" spans="1:5" x14ac:dyDescent="0.3">
      <c r="A767" s="53">
        <v>6107277</v>
      </c>
      <c r="B767" s="49" t="s">
        <v>6954</v>
      </c>
      <c r="C767" s="51">
        <v>9.83</v>
      </c>
      <c r="D767" s="50"/>
      <c r="E767" s="50"/>
    </row>
    <row r="768" spans="1:5" x14ac:dyDescent="0.3">
      <c r="A768" s="53">
        <v>6107274</v>
      </c>
      <c r="B768" s="49" t="s">
        <v>6955</v>
      </c>
      <c r="C768" s="51">
        <v>9.91</v>
      </c>
      <c r="D768" s="50"/>
      <c r="E768" s="50"/>
    </row>
    <row r="769" spans="1:5" x14ac:dyDescent="0.3">
      <c r="A769" s="53">
        <v>5084920</v>
      </c>
      <c r="B769" s="49" t="s">
        <v>6956</v>
      </c>
      <c r="C769" s="51">
        <v>10.18</v>
      </c>
      <c r="D769" s="50"/>
      <c r="E769" s="50"/>
    </row>
    <row r="770" spans="1:5" x14ac:dyDescent="0.3">
      <c r="A770" s="53">
        <v>6365228</v>
      </c>
      <c r="B770" s="49" t="s">
        <v>1001</v>
      </c>
      <c r="C770" s="51">
        <v>3.86</v>
      </c>
      <c r="D770" s="50"/>
      <c r="E770" s="50"/>
    </row>
    <row r="771" spans="1:5" x14ac:dyDescent="0.3">
      <c r="A771" s="53">
        <v>6365251</v>
      </c>
      <c r="B771" s="49" t="s">
        <v>1002</v>
      </c>
      <c r="C771" s="51">
        <v>3.78</v>
      </c>
      <c r="D771" s="50"/>
      <c r="E771" s="50"/>
    </row>
    <row r="772" spans="1:5" x14ac:dyDescent="0.3">
      <c r="A772" s="53">
        <v>6392118</v>
      </c>
      <c r="B772" s="49" t="s">
        <v>6957</v>
      </c>
      <c r="C772" s="51">
        <v>7.14</v>
      </c>
      <c r="D772" s="50"/>
      <c r="E772" s="50"/>
    </row>
    <row r="773" spans="1:5" x14ac:dyDescent="0.3">
      <c r="A773" s="53">
        <v>6392107</v>
      </c>
      <c r="B773" s="49" t="s">
        <v>6958</v>
      </c>
      <c r="C773" s="51">
        <v>7.35</v>
      </c>
      <c r="D773" s="50"/>
      <c r="E773" s="50"/>
    </row>
    <row r="774" spans="1:5" x14ac:dyDescent="0.3">
      <c r="A774" s="53">
        <v>6392108</v>
      </c>
      <c r="B774" s="49" t="s">
        <v>6959</v>
      </c>
      <c r="C774" s="51">
        <v>7.35</v>
      </c>
      <c r="D774" s="50"/>
      <c r="E774" s="50"/>
    </row>
    <row r="775" spans="1:5" x14ac:dyDescent="0.3">
      <c r="A775" s="53">
        <v>6392205</v>
      </c>
      <c r="B775" s="49" t="s">
        <v>6960</v>
      </c>
      <c r="C775" s="51">
        <v>35.83</v>
      </c>
      <c r="D775" s="50"/>
      <c r="E775" s="50"/>
    </row>
    <row r="776" spans="1:5" x14ac:dyDescent="0.3">
      <c r="A776" s="53">
        <v>6365220</v>
      </c>
      <c r="B776" s="49" t="s">
        <v>6961</v>
      </c>
      <c r="C776" s="51">
        <v>6.34</v>
      </c>
      <c r="D776" s="50"/>
      <c r="E776" s="50"/>
    </row>
    <row r="777" spans="1:5" x14ac:dyDescent="0.3">
      <c r="A777" s="53">
        <v>6414042</v>
      </c>
      <c r="B777" s="49" t="s">
        <v>6962</v>
      </c>
      <c r="C777" s="51">
        <v>11.22</v>
      </c>
      <c r="D777" s="50"/>
      <c r="E777" s="50"/>
    </row>
    <row r="778" spans="1:5" x14ac:dyDescent="0.3">
      <c r="A778" s="53">
        <v>6414043</v>
      </c>
      <c r="B778" s="49" t="s">
        <v>6963</v>
      </c>
      <c r="C778" s="51">
        <v>11.22</v>
      </c>
      <c r="D778" s="50"/>
      <c r="E778" s="50"/>
    </row>
    <row r="779" spans="1:5" x14ac:dyDescent="0.3">
      <c r="A779" s="53">
        <v>6414008</v>
      </c>
      <c r="B779" s="49" t="s">
        <v>6964</v>
      </c>
      <c r="C779" s="51">
        <v>5.68</v>
      </c>
      <c r="D779" s="50"/>
      <c r="E779" s="50"/>
    </row>
    <row r="780" spans="1:5" x14ac:dyDescent="0.3">
      <c r="A780" s="53">
        <v>6414009</v>
      </c>
      <c r="B780" s="49" t="s">
        <v>6965</v>
      </c>
      <c r="C780" s="51">
        <v>5.83</v>
      </c>
      <c r="D780" s="50"/>
      <c r="E780" s="50"/>
    </row>
    <row r="781" spans="1:5" x14ac:dyDescent="0.3">
      <c r="A781" s="53">
        <v>6085108</v>
      </c>
      <c r="B781" s="49" t="s">
        <v>6966</v>
      </c>
      <c r="C781" s="51">
        <v>31.04</v>
      </c>
      <c r="D781" s="50"/>
      <c r="E781" s="50"/>
    </row>
    <row r="782" spans="1:5" x14ac:dyDescent="0.3">
      <c r="A782" s="53">
        <v>6392574</v>
      </c>
      <c r="B782" s="49" t="s">
        <v>1059</v>
      </c>
      <c r="C782" s="51">
        <v>32.65</v>
      </c>
      <c r="D782" s="50"/>
      <c r="E782" s="50"/>
    </row>
    <row r="783" spans="1:5" x14ac:dyDescent="0.3">
      <c r="A783" s="53">
        <v>6034107</v>
      </c>
      <c r="B783" s="49" t="s">
        <v>6967</v>
      </c>
      <c r="C783" s="51">
        <v>1.97</v>
      </c>
      <c r="D783" s="50"/>
      <c r="E783" s="50"/>
    </row>
    <row r="784" spans="1:5" x14ac:dyDescent="0.3">
      <c r="A784" s="53">
        <v>6396803</v>
      </c>
      <c r="B784" s="49" t="s">
        <v>6968</v>
      </c>
      <c r="C784" s="51">
        <v>7.34</v>
      </c>
      <c r="D784" s="50"/>
      <c r="E784" s="50"/>
    </row>
    <row r="785" spans="1:5" x14ac:dyDescent="0.3">
      <c r="A785" s="53">
        <v>6396799</v>
      </c>
      <c r="B785" s="49" t="s">
        <v>6969</v>
      </c>
      <c r="C785" s="51">
        <v>7.49</v>
      </c>
      <c r="D785" s="50"/>
      <c r="E785" s="50"/>
    </row>
    <row r="786" spans="1:5" x14ac:dyDescent="0.3">
      <c r="A786" s="53">
        <v>6430171</v>
      </c>
      <c r="B786" s="49" t="s">
        <v>1075</v>
      </c>
      <c r="C786" s="51">
        <v>7.13</v>
      </c>
      <c r="D786" s="50"/>
      <c r="E786" s="50"/>
    </row>
    <row r="787" spans="1:5" x14ac:dyDescent="0.3">
      <c r="A787" s="53">
        <v>5085009</v>
      </c>
      <c r="B787" s="49" t="s">
        <v>6970</v>
      </c>
      <c r="C787" s="51">
        <v>2.66</v>
      </c>
      <c r="D787" s="50"/>
      <c r="E787" s="50"/>
    </row>
    <row r="788" spans="1:5" x14ac:dyDescent="0.3">
      <c r="A788" s="53">
        <v>5085001</v>
      </c>
      <c r="B788" s="49" t="s">
        <v>6971</v>
      </c>
      <c r="C788" s="51">
        <v>20.2</v>
      </c>
      <c r="D788" s="50"/>
      <c r="E788" s="50"/>
    </row>
    <row r="789" spans="1:5" x14ac:dyDescent="0.3">
      <c r="A789" s="53">
        <v>5084998</v>
      </c>
      <c r="B789" s="49" t="s">
        <v>6972</v>
      </c>
      <c r="C789" s="51">
        <v>6.95</v>
      </c>
      <c r="D789" s="50"/>
      <c r="E789" s="50"/>
    </row>
    <row r="790" spans="1:5" x14ac:dyDescent="0.3">
      <c r="A790" s="53">
        <v>5085000</v>
      </c>
      <c r="B790" s="49" t="s">
        <v>6973</v>
      </c>
      <c r="C790" s="51">
        <v>11.55</v>
      </c>
      <c r="D790" s="50"/>
      <c r="E790" s="50"/>
    </row>
    <row r="791" spans="1:5" x14ac:dyDescent="0.3">
      <c r="A791" s="53">
        <v>5084999</v>
      </c>
      <c r="B791" s="49" t="s">
        <v>6974</v>
      </c>
      <c r="C791" s="51">
        <v>5.92</v>
      </c>
      <c r="D791" s="50"/>
      <c r="E791" s="50"/>
    </row>
    <row r="792" spans="1:5" x14ac:dyDescent="0.3">
      <c r="A792" s="53">
        <v>5093017</v>
      </c>
      <c r="B792" s="49" t="s">
        <v>6975</v>
      </c>
      <c r="C792" s="51">
        <v>5.63</v>
      </c>
      <c r="D792" s="50"/>
      <c r="E792" s="50"/>
    </row>
    <row r="793" spans="1:5" x14ac:dyDescent="0.3">
      <c r="A793" s="53">
        <v>5213422</v>
      </c>
      <c r="B793" s="49" t="s">
        <v>6976</v>
      </c>
      <c r="C793" s="51">
        <v>7.62</v>
      </c>
      <c r="D793" s="50"/>
      <c r="E793" s="50"/>
    </row>
    <row r="794" spans="1:5" x14ac:dyDescent="0.3">
      <c r="A794" s="53">
        <v>5085002</v>
      </c>
      <c r="B794" s="49" t="s">
        <v>6977</v>
      </c>
      <c r="C794" s="51">
        <v>7.53</v>
      </c>
      <c r="D794" s="50"/>
      <c r="E794" s="50"/>
    </row>
    <row r="795" spans="1:5" x14ac:dyDescent="0.3">
      <c r="A795" s="53">
        <v>5085003</v>
      </c>
      <c r="B795" s="49" t="s">
        <v>6978</v>
      </c>
      <c r="C795" s="51">
        <v>16.28</v>
      </c>
      <c r="D795" s="50"/>
      <c r="E795" s="50"/>
    </row>
    <row r="796" spans="1:5" x14ac:dyDescent="0.3">
      <c r="A796" s="53">
        <v>5093025</v>
      </c>
      <c r="B796" s="49" t="s">
        <v>1113</v>
      </c>
      <c r="C796" s="51">
        <v>10.43</v>
      </c>
      <c r="D796" s="50"/>
      <c r="E796" s="50"/>
    </row>
    <row r="797" spans="1:5" x14ac:dyDescent="0.3">
      <c r="A797" s="53">
        <v>5085006</v>
      </c>
      <c r="B797" s="49" t="s">
        <v>1114</v>
      </c>
      <c r="C797" s="51">
        <v>25.87</v>
      </c>
      <c r="D797" s="50"/>
      <c r="E797" s="50"/>
    </row>
    <row r="798" spans="1:5" x14ac:dyDescent="0.3">
      <c r="A798" s="53">
        <v>5085014</v>
      </c>
      <c r="B798" s="49" t="s">
        <v>6979</v>
      </c>
      <c r="C798" s="51">
        <v>8.6199999999999992</v>
      </c>
      <c r="D798" s="50"/>
      <c r="E798" s="50"/>
    </row>
    <row r="799" spans="1:5" x14ac:dyDescent="0.3">
      <c r="A799" s="53">
        <v>5085004</v>
      </c>
      <c r="B799" s="49" t="s">
        <v>6980</v>
      </c>
      <c r="C799" s="51">
        <v>3.6</v>
      </c>
      <c r="D799" s="50"/>
      <c r="E799" s="50"/>
    </row>
    <row r="800" spans="1:5" x14ac:dyDescent="0.3">
      <c r="A800" s="53">
        <v>6054202</v>
      </c>
      <c r="B800" s="49" t="s">
        <v>6981</v>
      </c>
      <c r="C800" s="51">
        <v>5.25</v>
      </c>
      <c r="D800" s="50"/>
      <c r="E800" s="50"/>
    </row>
    <row r="801" spans="1:5" x14ac:dyDescent="0.3">
      <c r="A801" s="53">
        <v>6054204</v>
      </c>
      <c r="B801" s="49" t="s">
        <v>6982</v>
      </c>
      <c r="C801" s="51">
        <v>4.2</v>
      </c>
      <c r="D801" s="50"/>
      <c r="E801" s="50"/>
    </row>
    <row r="802" spans="1:5" x14ac:dyDescent="0.3">
      <c r="A802" s="53">
        <v>6054177</v>
      </c>
      <c r="B802" s="49" t="s">
        <v>6983</v>
      </c>
      <c r="C802" s="51">
        <v>24.7</v>
      </c>
      <c r="D802" s="50"/>
      <c r="E802" s="50"/>
    </row>
    <row r="803" spans="1:5" x14ac:dyDescent="0.3">
      <c r="A803" s="53">
        <v>6054205</v>
      </c>
      <c r="B803" s="49" t="s">
        <v>6984</v>
      </c>
      <c r="C803" s="51">
        <v>14.89</v>
      </c>
      <c r="D803" s="50"/>
      <c r="E803" s="50"/>
    </row>
    <row r="804" spans="1:5" x14ac:dyDescent="0.3">
      <c r="A804" s="53">
        <v>6399759</v>
      </c>
      <c r="B804" s="49" t="s">
        <v>1192</v>
      </c>
      <c r="C804" s="51">
        <v>3.62</v>
      </c>
      <c r="D804" s="50"/>
      <c r="E804" s="50"/>
    </row>
    <row r="805" spans="1:5" x14ac:dyDescent="0.3">
      <c r="A805" s="53">
        <v>6053877</v>
      </c>
      <c r="B805" s="49" t="s">
        <v>1195</v>
      </c>
      <c r="C805" s="51">
        <v>5.17</v>
      </c>
      <c r="D805" s="50"/>
      <c r="E805" s="50"/>
    </row>
    <row r="806" spans="1:5" x14ac:dyDescent="0.3">
      <c r="A806" s="53">
        <v>6054160</v>
      </c>
      <c r="B806" s="49" t="s">
        <v>1196</v>
      </c>
      <c r="C806" s="51">
        <v>21.23</v>
      </c>
      <c r="D806" s="50"/>
      <c r="E806" s="50"/>
    </row>
    <row r="807" spans="1:5" x14ac:dyDescent="0.3">
      <c r="A807" s="53">
        <v>6053879</v>
      </c>
      <c r="B807" s="49" t="s">
        <v>1197</v>
      </c>
      <c r="C807" s="51">
        <v>13.45</v>
      </c>
      <c r="D807" s="50"/>
      <c r="E807" s="50"/>
    </row>
    <row r="808" spans="1:5" x14ac:dyDescent="0.3">
      <c r="A808" s="53">
        <v>6054161</v>
      </c>
      <c r="B808" s="49" t="s">
        <v>1198</v>
      </c>
      <c r="C808" s="51">
        <v>11.18</v>
      </c>
      <c r="D808" s="50"/>
      <c r="E808" s="50"/>
    </row>
    <row r="809" spans="1:5" x14ac:dyDescent="0.3">
      <c r="A809" s="53">
        <v>6054162</v>
      </c>
      <c r="B809" s="49" t="s">
        <v>1199</v>
      </c>
      <c r="C809" s="51">
        <v>24.39</v>
      </c>
      <c r="D809" s="50"/>
      <c r="E809" s="50"/>
    </row>
    <row r="810" spans="1:5" x14ac:dyDescent="0.3">
      <c r="A810" s="53">
        <v>6390519</v>
      </c>
      <c r="B810" s="49" t="s">
        <v>6985</v>
      </c>
      <c r="C810" s="51">
        <v>30.82</v>
      </c>
      <c r="D810" s="50"/>
      <c r="E810" s="50"/>
    </row>
    <row r="811" spans="1:5" x14ac:dyDescent="0.3">
      <c r="A811" s="53">
        <v>6390516</v>
      </c>
      <c r="B811" s="49" t="s">
        <v>6986</v>
      </c>
      <c r="C811" s="51">
        <v>16.32</v>
      </c>
      <c r="D811" s="50"/>
      <c r="E811" s="50"/>
    </row>
    <row r="812" spans="1:5" x14ac:dyDescent="0.3">
      <c r="A812" s="53">
        <v>6390514</v>
      </c>
      <c r="B812" s="49" t="s">
        <v>6987</v>
      </c>
      <c r="C812" s="51">
        <v>12.12</v>
      </c>
      <c r="D812" s="50"/>
      <c r="E812" s="50"/>
    </row>
    <row r="813" spans="1:5" x14ac:dyDescent="0.3">
      <c r="A813" s="53">
        <v>6390517</v>
      </c>
      <c r="B813" s="49" t="s">
        <v>6988</v>
      </c>
      <c r="C813" s="51">
        <v>12.98</v>
      </c>
      <c r="D813" s="50"/>
      <c r="E813" s="50"/>
    </row>
    <row r="814" spans="1:5" x14ac:dyDescent="0.3">
      <c r="A814" s="53">
        <v>6390518</v>
      </c>
      <c r="B814" s="49" t="s">
        <v>6989</v>
      </c>
      <c r="C814" s="51">
        <v>18.28</v>
      </c>
      <c r="D814" s="50"/>
      <c r="E814" s="50"/>
    </row>
    <row r="815" spans="1:5" x14ac:dyDescent="0.3">
      <c r="A815" s="53">
        <v>6390521</v>
      </c>
      <c r="B815" s="49" t="s">
        <v>6990</v>
      </c>
      <c r="C815" s="51">
        <v>10.62</v>
      </c>
      <c r="D815" s="50"/>
      <c r="E815" s="50"/>
    </row>
    <row r="816" spans="1:5" x14ac:dyDescent="0.3">
      <c r="A816" s="53">
        <v>6390522</v>
      </c>
      <c r="B816" s="49" t="s">
        <v>6991</v>
      </c>
      <c r="C816" s="51">
        <v>19.66</v>
      </c>
      <c r="D816" s="50"/>
      <c r="E816" s="50"/>
    </row>
    <row r="817" spans="1:5" x14ac:dyDescent="0.3">
      <c r="A817" s="53">
        <v>6390523</v>
      </c>
      <c r="B817" s="49" t="s">
        <v>6992</v>
      </c>
      <c r="C817" s="51">
        <v>5.79</v>
      </c>
      <c r="D817" s="50"/>
      <c r="E817" s="50"/>
    </row>
    <row r="818" spans="1:5" x14ac:dyDescent="0.3">
      <c r="A818" s="53">
        <v>6085111</v>
      </c>
      <c r="B818" s="49" t="s">
        <v>6993</v>
      </c>
      <c r="C818" s="51">
        <v>14.81</v>
      </c>
      <c r="D818" s="50"/>
      <c r="E818" s="50"/>
    </row>
    <row r="819" spans="1:5" x14ac:dyDescent="0.3">
      <c r="A819" s="53">
        <v>6394467</v>
      </c>
      <c r="B819" s="49" t="s">
        <v>1257</v>
      </c>
      <c r="C819" s="51">
        <v>8.82</v>
      </c>
      <c r="D819" s="50"/>
      <c r="E819" s="50"/>
    </row>
    <row r="820" spans="1:5" x14ac:dyDescent="0.3">
      <c r="A820" s="53">
        <v>6365257</v>
      </c>
      <c r="B820" s="49" t="s">
        <v>1258</v>
      </c>
      <c r="C820" s="51">
        <v>8.82</v>
      </c>
      <c r="D820" s="50"/>
      <c r="E820" s="50"/>
    </row>
    <row r="821" spans="1:5" x14ac:dyDescent="0.3">
      <c r="A821" s="53">
        <v>6401600</v>
      </c>
      <c r="B821" s="49" t="s">
        <v>1259</v>
      </c>
      <c r="C821" s="51">
        <v>9.7100000000000009</v>
      </c>
      <c r="D821" s="50"/>
      <c r="E821" s="50"/>
    </row>
    <row r="822" spans="1:5" x14ac:dyDescent="0.3">
      <c r="A822" s="53">
        <v>6107206</v>
      </c>
      <c r="B822" s="49" t="s">
        <v>1278</v>
      </c>
      <c r="C822" s="51">
        <v>15.97</v>
      </c>
      <c r="D822" s="50"/>
      <c r="E822" s="50"/>
    </row>
    <row r="823" spans="1:5" x14ac:dyDescent="0.3">
      <c r="A823" s="53">
        <v>6372916</v>
      </c>
      <c r="B823" s="49" t="s">
        <v>1305</v>
      </c>
      <c r="C823" s="51">
        <v>6.26</v>
      </c>
      <c r="D823" s="50"/>
      <c r="E823" s="50"/>
    </row>
    <row r="824" spans="1:5" x14ac:dyDescent="0.3">
      <c r="A824" s="53">
        <v>6372915</v>
      </c>
      <c r="B824" s="49" t="s">
        <v>1311</v>
      </c>
      <c r="C824" s="51">
        <v>12.71</v>
      </c>
      <c r="D824" s="50"/>
      <c r="E824" s="50"/>
    </row>
    <row r="825" spans="1:5" x14ac:dyDescent="0.3">
      <c r="A825" s="53">
        <v>6372926</v>
      </c>
      <c r="B825" s="49" t="s">
        <v>1312</v>
      </c>
      <c r="C825" s="51">
        <v>6.26</v>
      </c>
      <c r="D825" s="50"/>
      <c r="E825" s="50"/>
    </row>
    <row r="826" spans="1:5" x14ac:dyDescent="0.3">
      <c r="A826" s="53">
        <v>6183952</v>
      </c>
      <c r="B826" s="49" t="s">
        <v>680</v>
      </c>
      <c r="C826" s="51">
        <v>9.42</v>
      </c>
      <c r="D826" s="50"/>
      <c r="E826" s="50"/>
    </row>
    <row r="827" spans="1:5" x14ac:dyDescent="0.3">
      <c r="A827" s="53">
        <v>6183950</v>
      </c>
      <c r="B827" s="49" t="s">
        <v>681</v>
      </c>
      <c r="C827" s="51">
        <v>9.42</v>
      </c>
      <c r="D827" s="50"/>
      <c r="E827" s="50"/>
    </row>
    <row r="828" spans="1:5" x14ac:dyDescent="0.3">
      <c r="A828" s="53">
        <v>6183951</v>
      </c>
      <c r="B828" s="49" t="s">
        <v>682</v>
      </c>
      <c r="C828" s="51">
        <v>9.42</v>
      </c>
      <c r="D828" s="50"/>
      <c r="E828" s="50"/>
    </row>
    <row r="829" spans="1:5" x14ac:dyDescent="0.3">
      <c r="A829" s="53">
        <v>6183954</v>
      </c>
      <c r="B829" s="49" t="s">
        <v>684</v>
      </c>
      <c r="C829" s="51">
        <v>9.19</v>
      </c>
      <c r="D829" s="50"/>
      <c r="E829" s="50"/>
    </row>
    <row r="830" spans="1:5" x14ac:dyDescent="0.3">
      <c r="A830" s="53">
        <v>6183955</v>
      </c>
      <c r="B830" s="49" t="s">
        <v>685</v>
      </c>
      <c r="C830" s="51">
        <v>9.19</v>
      </c>
      <c r="D830" s="50"/>
      <c r="E830" s="50"/>
    </row>
    <row r="831" spans="1:5" x14ac:dyDescent="0.3">
      <c r="A831" s="53">
        <v>6183876</v>
      </c>
      <c r="B831" s="49" t="s">
        <v>686</v>
      </c>
      <c r="C831" s="51">
        <v>9.19</v>
      </c>
      <c r="D831" s="50"/>
      <c r="E831" s="50"/>
    </row>
    <row r="832" spans="1:5" x14ac:dyDescent="0.3">
      <c r="A832" s="53">
        <v>6183945</v>
      </c>
      <c r="B832" s="49" t="s">
        <v>6994</v>
      </c>
      <c r="C832" s="51">
        <v>3.26</v>
      </c>
      <c r="D832" s="50"/>
      <c r="E832" s="50"/>
    </row>
    <row r="833" spans="1:5" x14ac:dyDescent="0.3">
      <c r="A833" s="53">
        <v>6183947</v>
      </c>
      <c r="B833" s="49" t="s">
        <v>6995</v>
      </c>
      <c r="C833" s="51">
        <v>21.12</v>
      </c>
      <c r="D833" s="50"/>
      <c r="E833" s="50"/>
    </row>
    <row r="834" spans="1:5" x14ac:dyDescent="0.3">
      <c r="A834" s="53">
        <v>6183942</v>
      </c>
      <c r="B834" s="49" t="s">
        <v>6996</v>
      </c>
      <c r="C834" s="51">
        <v>6.91</v>
      </c>
      <c r="D834" s="50"/>
      <c r="E834" s="50"/>
    </row>
    <row r="835" spans="1:5" x14ac:dyDescent="0.3">
      <c r="A835" s="53">
        <v>6183943</v>
      </c>
      <c r="B835" s="49" t="s">
        <v>6997</v>
      </c>
      <c r="C835" s="51">
        <v>6.91</v>
      </c>
      <c r="D835" s="50"/>
      <c r="E835" s="50"/>
    </row>
    <row r="836" spans="1:5" x14ac:dyDescent="0.3">
      <c r="A836" s="53">
        <v>6183944</v>
      </c>
      <c r="B836" s="49" t="s">
        <v>6998</v>
      </c>
      <c r="C836" s="51">
        <v>6.52</v>
      </c>
      <c r="D836" s="50"/>
      <c r="E836" s="50"/>
    </row>
    <row r="837" spans="1:5" x14ac:dyDescent="0.3">
      <c r="A837" s="53">
        <v>6183946</v>
      </c>
      <c r="B837" s="49" t="s">
        <v>6999</v>
      </c>
      <c r="C837" s="51">
        <v>21.12</v>
      </c>
      <c r="D837" s="50"/>
      <c r="E837" s="50"/>
    </row>
    <row r="838" spans="1:5" x14ac:dyDescent="0.3">
      <c r="A838" s="53">
        <v>6383960</v>
      </c>
      <c r="B838" s="49" t="s">
        <v>7000</v>
      </c>
      <c r="C838" s="51">
        <v>3.44</v>
      </c>
      <c r="D838" s="50"/>
      <c r="E838" s="50"/>
    </row>
    <row r="839" spans="1:5" x14ac:dyDescent="0.3">
      <c r="A839" s="53">
        <v>6352943</v>
      </c>
      <c r="B839" s="49" t="s">
        <v>806</v>
      </c>
      <c r="C839" s="51">
        <v>27.08</v>
      </c>
      <c r="D839" s="50"/>
      <c r="E839" s="50"/>
    </row>
    <row r="840" spans="1:5" x14ac:dyDescent="0.3">
      <c r="A840" s="53">
        <v>6183898</v>
      </c>
      <c r="B840" s="49" t="s">
        <v>7001</v>
      </c>
      <c r="C840" s="51">
        <v>5.79</v>
      </c>
      <c r="D840" s="50"/>
      <c r="E840" s="50"/>
    </row>
    <row r="841" spans="1:5" x14ac:dyDescent="0.3">
      <c r="A841" s="53">
        <v>6188890</v>
      </c>
      <c r="B841" s="49" t="s">
        <v>7002</v>
      </c>
      <c r="C841" s="51">
        <v>1.74</v>
      </c>
      <c r="D841" s="50"/>
      <c r="E841" s="50"/>
    </row>
    <row r="842" spans="1:5" x14ac:dyDescent="0.3">
      <c r="A842" s="53">
        <v>6383955</v>
      </c>
      <c r="B842" s="49" t="s">
        <v>7003</v>
      </c>
      <c r="C842" s="51">
        <v>1.79</v>
      </c>
      <c r="D842" s="50"/>
      <c r="E842" s="50"/>
    </row>
    <row r="843" spans="1:5" x14ac:dyDescent="0.3">
      <c r="A843" s="53">
        <v>6188891</v>
      </c>
      <c r="B843" s="49" t="s">
        <v>7004</v>
      </c>
      <c r="C843" s="51">
        <v>1.1399999999999999</v>
      </c>
      <c r="D843" s="50"/>
      <c r="E843" s="50"/>
    </row>
    <row r="844" spans="1:5" x14ac:dyDescent="0.3">
      <c r="A844" s="53">
        <v>6188900</v>
      </c>
      <c r="B844" s="49" t="s">
        <v>7005</v>
      </c>
      <c r="C844" s="51">
        <v>0.79</v>
      </c>
      <c r="D844" s="50"/>
      <c r="E844" s="50"/>
    </row>
    <row r="845" spans="1:5" x14ac:dyDescent="0.3">
      <c r="A845" s="53">
        <v>6188899</v>
      </c>
      <c r="B845" s="49" t="s">
        <v>7006</v>
      </c>
      <c r="C845" s="51">
        <v>0.79</v>
      </c>
      <c r="D845" s="50"/>
      <c r="E845" s="50"/>
    </row>
    <row r="846" spans="1:5" x14ac:dyDescent="0.3">
      <c r="A846" s="53">
        <v>6188905</v>
      </c>
      <c r="B846" s="49" t="s">
        <v>7007</v>
      </c>
      <c r="C846" s="51">
        <v>2.15</v>
      </c>
      <c r="D846" s="50"/>
      <c r="E846" s="50"/>
    </row>
    <row r="847" spans="1:5" x14ac:dyDescent="0.3">
      <c r="A847" s="53">
        <v>6188906</v>
      </c>
      <c r="B847" s="49" t="s">
        <v>7008</v>
      </c>
      <c r="C847" s="51">
        <v>3.19</v>
      </c>
      <c r="D847" s="50"/>
      <c r="E847" s="50"/>
    </row>
    <row r="848" spans="1:5" x14ac:dyDescent="0.3">
      <c r="A848" s="53">
        <v>6188907</v>
      </c>
      <c r="B848" s="49" t="s">
        <v>7009</v>
      </c>
      <c r="C848" s="51">
        <v>3.99</v>
      </c>
      <c r="D848" s="50"/>
      <c r="E848" s="50"/>
    </row>
    <row r="849" spans="1:5" x14ac:dyDescent="0.3">
      <c r="A849" s="53">
        <v>6188901</v>
      </c>
      <c r="B849" s="49" t="s">
        <v>7010</v>
      </c>
      <c r="C849" s="51">
        <v>1.3</v>
      </c>
      <c r="D849" s="50"/>
      <c r="E849" s="50"/>
    </row>
    <row r="850" spans="1:5" x14ac:dyDescent="0.3">
      <c r="A850" s="53">
        <v>6188902</v>
      </c>
      <c r="B850" s="49" t="s">
        <v>7011</v>
      </c>
      <c r="C850" s="51">
        <v>1.97</v>
      </c>
      <c r="D850" s="50"/>
      <c r="E850" s="50"/>
    </row>
    <row r="851" spans="1:5" x14ac:dyDescent="0.3">
      <c r="A851" s="53">
        <v>6188903</v>
      </c>
      <c r="B851" s="49" t="s">
        <v>7012</v>
      </c>
      <c r="C851" s="51">
        <v>1.24</v>
      </c>
      <c r="D851" s="50"/>
      <c r="E851" s="50"/>
    </row>
    <row r="852" spans="1:5" x14ac:dyDescent="0.3">
      <c r="A852" s="53">
        <v>6188904</v>
      </c>
      <c r="B852" s="49" t="s">
        <v>7013</v>
      </c>
      <c r="C852" s="51">
        <v>3.35</v>
      </c>
      <c r="D852" s="50"/>
      <c r="E852" s="50"/>
    </row>
    <row r="853" spans="1:5" x14ac:dyDescent="0.3">
      <c r="A853" s="53">
        <v>6183865</v>
      </c>
      <c r="B853" s="49" t="s">
        <v>7014</v>
      </c>
      <c r="C853" s="51">
        <v>6.65</v>
      </c>
      <c r="D853" s="50"/>
      <c r="E853" s="50"/>
    </row>
    <row r="854" spans="1:5" x14ac:dyDescent="0.3">
      <c r="A854" s="53">
        <v>6183897</v>
      </c>
      <c r="B854" s="49" t="s">
        <v>7015</v>
      </c>
      <c r="C854" s="51">
        <v>4.58</v>
      </c>
      <c r="D854" s="50"/>
      <c r="E854" s="50"/>
    </row>
    <row r="855" spans="1:5" x14ac:dyDescent="0.3">
      <c r="A855" s="53">
        <v>6383959</v>
      </c>
      <c r="B855" s="49" t="s">
        <v>7016</v>
      </c>
      <c r="C855" s="51">
        <v>3.96</v>
      </c>
      <c r="D855" s="50"/>
      <c r="E855" s="50"/>
    </row>
    <row r="856" spans="1:5" x14ac:dyDescent="0.3">
      <c r="A856" s="53">
        <v>6395703</v>
      </c>
      <c r="B856" s="49" t="s">
        <v>7017</v>
      </c>
      <c r="C856" s="51">
        <v>4.12</v>
      </c>
      <c r="D856" s="50"/>
      <c r="E856" s="50"/>
    </row>
    <row r="857" spans="1:5" x14ac:dyDescent="0.3">
      <c r="A857" s="53">
        <v>6188935</v>
      </c>
      <c r="B857" s="49" t="s">
        <v>7018</v>
      </c>
      <c r="C857" s="51">
        <v>3.84</v>
      </c>
      <c r="D857" s="50"/>
      <c r="E857" s="50"/>
    </row>
    <row r="858" spans="1:5" x14ac:dyDescent="0.3">
      <c r="A858" s="53">
        <v>6383956</v>
      </c>
      <c r="B858" s="49" t="s">
        <v>7019</v>
      </c>
      <c r="C858" s="51">
        <v>2.16</v>
      </c>
      <c r="D858" s="50"/>
      <c r="E858" s="50"/>
    </row>
    <row r="859" spans="1:5" x14ac:dyDescent="0.3">
      <c r="A859" s="53">
        <v>6083792</v>
      </c>
      <c r="B859" s="49" t="s">
        <v>7020</v>
      </c>
      <c r="C859" s="51">
        <v>7.22</v>
      </c>
      <c r="D859" s="50"/>
      <c r="E859" s="50"/>
    </row>
    <row r="860" spans="1:5" x14ac:dyDescent="0.3">
      <c r="A860" s="53">
        <v>5223353</v>
      </c>
      <c r="B860" s="49" t="s">
        <v>7021</v>
      </c>
      <c r="C860" s="51">
        <v>1.79</v>
      </c>
      <c r="D860" s="50"/>
      <c r="E860" s="50"/>
    </row>
    <row r="861" spans="1:5" x14ac:dyDescent="0.3">
      <c r="A861" s="53">
        <v>6183899</v>
      </c>
      <c r="B861" s="49" t="s">
        <v>1250</v>
      </c>
      <c r="C861" s="51">
        <v>24.69</v>
      </c>
      <c r="D861" s="50"/>
      <c r="E861" s="50"/>
    </row>
    <row r="862" spans="1:5" x14ac:dyDescent="0.3">
      <c r="A862" s="53">
        <v>6107916</v>
      </c>
      <c r="B862" s="49" t="s">
        <v>7022</v>
      </c>
      <c r="C862" s="51">
        <v>16.93</v>
      </c>
      <c r="D862" s="50"/>
      <c r="E862" s="50"/>
    </row>
    <row r="863" spans="1:5" x14ac:dyDescent="0.3">
      <c r="A863" s="53">
        <v>6107925</v>
      </c>
      <c r="B863" s="49" t="s">
        <v>7023</v>
      </c>
      <c r="C863" s="51">
        <v>8.18</v>
      </c>
      <c r="D863" s="50"/>
      <c r="E863" s="50"/>
    </row>
    <row r="864" spans="1:5" x14ac:dyDescent="0.3">
      <c r="A864" s="53">
        <v>6392291</v>
      </c>
      <c r="B864" s="49" t="s">
        <v>2542</v>
      </c>
      <c r="C864" s="51">
        <v>9.61</v>
      </c>
      <c r="D864" s="50"/>
      <c r="E864" s="50"/>
    </row>
    <row r="865" spans="1:5" x14ac:dyDescent="0.3">
      <c r="A865" s="53">
        <v>6107900</v>
      </c>
      <c r="B865" s="49" t="s">
        <v>7024</v>
      </c>
      <c r="C865" s="51">
        <v>4.7300000000000004</v>
      </c>
      <c r="D865" s="50"/>
      <c r="E865" s="50"/>
    </row>
    <row r="866" spans="1:5" x14ac:dyDescent="0.3">
      <c r="A866" s="53">
        <v>6107902</v>
      </c>
      <c r="B866" s="49" t="s">
        <v>7025</v>
      </c>
      <c r="C866" s="51">
        <v>4.67</v>
      </c>
      <c r="D866" s="50"/>
      <c r="E866" s="50"/>
    </row>
    <row r="867" spans="1:5" x14ac:dyDescent="0.3">
      <c r="A867" s="53">
        <v>6107901</v>
      </c>
      <c r="B867" s="49" t="s">
        <v>7026</v>
      </c>
      <c r="C867" s="51">
        <v>24.91</v>
      </c>
      <c r="D867" s="50"/>
      <c r="E867" s="50"/>
    </row>
    <row r="868" spans="1:5" x14ac:dyDescent="0.3">
      <c r="A868" s="53">
        <v>6107909</v>
      </c>
      <c r="B868" s="49" t="s">
        <v>7027</v>
      </c>
      <c r="C868" s="51">
        <v>5.31</v>
      </c>
      <c r="D868" s="50"/>
      <c r="E868" s="50"/>
    </row>
    <row r="869" spans="1:5" x14ac:dyDescent="0.3">
      <c r="A869" s="53">
        <v>6394415</v>
      </c>
      <c r="B869" s="49" t="s">
        <v>1072</v>
      </c>
      <c r="C869" s="51">
        <v>3.18</v>
      </c>
      <c r="D869" s="50"/>
      <c r="E869" s="50"/>
    </row>
    <row r="870" spans="1:5" x14ac:dyDescent="0.3">
      <c r="A870" s="53">
        <v>6141007</v>
      </c>
      <c r="B870" s="49" t="s">
        <v>7028</v>
      </c>
      <c r="C870" s="51">
        <v>24.82</v>
      </c>
      <c r="D870" s="50"/>
      <c r="E870" s="50"/>
    </row>
    <row r="871" spans="1:5" x14ac:dyDescent="0.3">
      <c r="A871" s="53">
        <v>6107885</v>
      </c>
      <c r="B871" s="49" t="s">
        <v>1074</v>
      </c>
      <c r="C871" s="51">
        <v>7.2</v>
      </c>
      <c r="D871" s="50"/>
      <c r="E871" s="50"/>
    </row>
    <row r="872" spans="1:5" x14ac:dyDescent="0.3">
      <c r="A872" s="53">
        <v>6033895</v>
      </c>
      <c r="B872" s="49" t="s">
        <v>7029</v>
      </c>
      <c r="C872" s="51">
        <v>70.150000000000006</v>
      </c>
      <c r="D872" s="50"/>
      <c r="E872" s="50"/>
    </row>
    <row r="873" spans="1:5" x14ac:dyDescent="0.3">
      <c r="A873" s="53">
        <v>6033892</v>
      </c>
      <c r="B873" s="49" t="s">
        <v>7030</v>
      </c>
      <c r="C873" s="51">
        <v>21.08</v>
      </c>
      <c r="D873" s="50"/>
      <c r="E873" s="50"/>
    </row>
    <row r="874" spans="1:5" x14ac:dyDescent="0.3">
      <c r="A874" s="53">
        <v>6033896</v>
      </c>
      <c r="B874" s="49" t="s">
        <v>7031</v>
      </c>
      <c r="C874" s="51">
        <v>51.8</v>
      </c>
      <c r="D874" s="50"/>
      <c r="E874" s="50"/>
    </row>
    <row r="875" spans="1:5" x14ac:dyDescent="0.3">
      <c r="A875" s="53">
        <v>6033893</v>
      </c>
      <c r="B875" s="49" t="s">
        <v>7032</v>
      </c>
      <c r="C875" s="51">
        <v>17.59</v>
      </c>
      <c r="D875" s="50"/>
      <c r="E875" s="50"/>
    </row>
    <row r="876" spans="1:5" x14ac:dyDescent="0.3">
      <c r="A876" s="53">
        <v>6342500</v>
      </c>
      <c r="B876" s="49" t="s">
        <v>1121</v>
      </c>
      <c r="C876" s="51">
        <v>8.26</v>
      </c>
      <c r="D876" s="50"/>
      <c r="E876" s="50"/>
    </row>
    <row r="877" spans="1:5" x14ac:dyDescent="0.3">
      <c r="A877" s="53">
        <v>6342542</v>
      </c>
      <c r="B877" s="49" t="s">
        <v>7033</v>
      </c>
      <c r="C877" s="51">
        <v>7.07</v>
      </c>
      <c r="D877" s="50"/>
      <c r="E877" s="50"/>
    </row>
    <row r="878" spans="1:5" x14ac:dyDescent="0.3">
      <c r="A878" s="53">
        <v>6107980</v>
      </c>
      <c r="B878" s="49" t="s">
        <v>1144</v>
      </c>
      <c r="C878" s="51">
        <v>7.64</v>
      </c>
      <c r="D878" s="50"/>
      <c r="E878" s="50"/>
    </row>
    <row r="879" spans="1:5" x14ac:dyDescent="0.3">
      <c r="A879" s="53">
        <v>6085971</v>
      </c>
      <c r="B879" s="49" t="s">
        <v>1194</v>
      </c>
      <c r="C879" s="51">
        <v>3</v>
      </c>
      <c r="D879" s="50"/>
      <c r="E879" s="50"/>
    </row>
    <row r="880" spans="1:5" x14ac:dyDescent="0.3">
      <c r="A880" s="53">
        <v>6183904</v>
      </c>
      <c r="B880" s="49" t="s">
        <v>687</v>
      </c>
      <c r="C880" s="51">
        <v>13.76</v>
      </c>
      <c r="D880" s="50"/>
      <c r="E880" s="50"/>
    </row>
    <row r="881" spans="1:5" x14ac:dyDescent="0.3">
      <c r="A881" s="53">
        <v>6183905</v>
      </c>
      <c r="B881" s="49" t="s">
        <v>688</v>
      </c>
      <c r="C881" s="51">
        <v>11.1</v>
      </c>
      <c r="D881" s="50"/>
      <c r="E881" s="50"/>
    </row>
    <row r="882" spans="1:5" x14ac:dyDescent="0.3">
      <c r="A882" s="53">
        <v>6183964</v>
      </c>
      <c r="B882" s="49" t="s">
        <v>689</v>
      </c>
      <c r="C882" s="51">
        <v>4.45</v>
      </c>
      <c r="D882" s="50"/>
      <c r="E882" s="50"/>
    </row>
    <row r="883" spans="1:5" x14ac:dyDescent="0.3">
      <c r="A883" s="53">
        <v>6183931</v>
      </c>
      <c r="B883" s="49" t="s">
        <v>7034</v>
      </c>
      <c r="C883" s="51">
        <v>7.34</v>
      </c>
      <c r="D883" s="50"/>
      <c r="E883" s="50"/>
    </row>
    <row r="884" spans="1:5" x14ac:dyDescent="0.3">
      <c r="A884" s="53">
        <v>6183932</v>
      </c>
      <c r="B884" s="49" t="s">
        <v>7035</v>
      </c>
      <c r="C884" s="51">
        <v>7.57</v>
      </c>
      <c r="D884" s="50"/>
      <c r="E884" s="50"/>
    </row>
    <row r="885" spans="1:5" x14ac:dyDescent="0.3">
      <c r="A885" s="53">
        <v>6183933</v>
      </c>
      <c r="B885" s="49" t="s">
        <v>7036</v>
      </c>
      <c r="C885" s="51">
        <v>9.09</v>
      </c>
      <c r="D885" s="50"/>
      <c r="E885" s="50"/>
    </row>
    <row r="886" spans="1:5" x14ac:dyDescent="0.3">
      <c r="A886" s="53">
        <v>6183934</v>
      </c>
      <c r="B886" s="49" t="s">
        <v>7037</v>
      </c>
      <c r="C886" s="51">
        <v>10.26</v>
      </c>
      <c r="D886" s="50"/>
      <c r="E886" s="50"/>
    </row>
    <row r="887" spans="1:5" x14ac:dyDescent="0.3">
      <c r="A887" s="53">
        <v>6183937</v>
      </c>
      <c r="B887" s="49" t="s">
        <v>7038</v>
      </c>
      <c r="C887" s="51">
        <v>7.67</v>
      </c>
      <c r="D887" s="50"/>
      <c r="E887" s="50"/>
    </row>
    <row r="888" spans="1:5" x14ac:dyDescent="0.3">
      <c r="A888" s="53">
        <v>6183938</v>
      </c>
      <c r="B888" s="49" t="s">
        <v>7039</v>
      </c>
      <c r="C888" s="51">
        <v>8.44</v>
      </c>
      <c r="D888" s="50"/>
      <c r="E888" s="50"/>
    </row>
    <row r="889" spans="1:5" x14ac:dyDescent="0.3">
      <c r="A889" s="53">
        <v>6183910</v>
      </c>
      <c r="B889" s="49" t="s">
        <v>7040</v>
      </c>
      <c r="C889" s="51">
        <v>5.19</v>
      </c>
      <c r="D889" s="50"/>
      <c r="E889" s="50"/>
    </row>
    <row r="890" spans="1:5" x14ac:dyDescent="0.3">
      <c r="A890" s="53">
        <v>6183921</v>
      </c>
      <c r="B890" s="49" t="s">
        <v>7041</v>
      </c>
      <c r="C890" s="51">
        <v>4.45</v>
      </c>
      <c r="D890" s="50"/>
      <c r="E890" s="50"/>
    </row>
    <row r="891" spans="1:5" x14ac:dyDescent="0.3">
      <c r="A891" s="53">
        <v>6183906</v>
      </c>
      <c r="B891" s="49" t="s">
        <v>7042</v>
      </c>
      <c r="C891" s="51">
        <v>12.25</v>
      </c>
      <c r="D891" s="50"/>
      <c r="E891" s="50"/>
    </row>
    <row r="892" spans="1:5" x14ac:dyDescent="0.3">
      <c r="A892" s="53">
        <v>6183924</v>
      </c>
      <c r="B892" s="49" t="s">
        <v>7043</v>
      </c>
      <c r="C892" s="51">
        <v>6.75</v>
      </c>
      <c r="D892" s="50"/>
      <c r="E892" s="50"/>
    </row>
    <row r="893" spans="1:5" x14ac:dyDescent="0.3">
      <c r="A893" s="53">
        <v>6183903</v>
      </c>
      <c r="B893" s="49" t="s">
        <v>7044</v>
      </c>
      <c r="C893" s="51">
        <v>13.72</v>
      </c>
      <c r="D893" s="50"/>
      <c r="E893" s="50"/>
    </row>
    <row r="894" spans="1:5" x14ac:dyDescent="0.3">
      <c r="A894" s="53">
        <v>6183908</v>
      </c>
      <c r="B894" s="49" t="s">
        <v>7045</v>
      </c>
      <c r="C894" s="51">
        <v>3</v>
      </c>
      <c r="D894" s="50"/>
      <c r="E894" s="50"/>
    </row>
    <row r="895" spans="1:5" x14ac:dyDescent="0.3">
      <c r="A895" s="53">
        <v>6183907</v>
      </c>
      <c r="B895" s="49" t="s">
        <v>7046</v>
      </c>
      <c r="C895" s="51">
        <v>2.02</v>
      </c>
      <c r="D895" s="50"/>
      <c r="E895" s="50"/>
    </row>
    <row r="896" spans="1:5" x14ac:dyDescent="0.3">
      <c r="A896" s="53">
        <v>6183909</v>
      </c>
      <c r="B896" s="49" t="s">
        <v>7047</v>
      </c>
      <c r="C896" s="51">
        <v>7.92</v>
      </c>
      <c r="D896" s="50"/>
      <c r="E896" s="50"/>
    </row>
    <row r="897" spans="1:5" x14ac:dyDescent="0.3">
      <c r="A897" s="53">
        <v>6183941</v>
      </c>
      <c r="B897" s="49" t="s">
        <v>7048</v>
      </c>
      <c r="C897" s="51">
        <v>8.16</v>
      </c>
      <c r="D897" s="50"/>
      <c r="E897" s="50"/>
    </row>
    <row r="898" spans="1:5" x14ac:dyDescent="0.3">
      <c r="A898" s="53">
        <v>6183930</v>
      </c>
      <c r="B898" s="49" t="s">
        <v>7049</v>
      </c>
      <c r="C898" s="51">
        <v>5.99</v>
      </c>
      <c r="D898" s="50"/>
      <c r="E898" s="50"/>
    </row>
    <row r="899" spans="1:5" x14ac:dyDescent="0.3">
      <c r="A899" s="53">
        <v>6183901</v>
      </c>
      <c r="B899" s="49" t="s">
        <v>7050</v>
      </c>
      <c r="C899" s="51">
        <v>13.43</v>
      </c>
      <c r="D899" s="50"/>
      <c r="E899" s="50"/>
    </row>
    <row r="900" spans="1:5" x14ac:dyDescent="0.3">
      <c r="A900" s="53">
        <v>6183900</v>
      </c>
      <c r="B900" s="49" t="s">
        <v>7051</v>
      </c>
      <c r="C900" s="51">
        <v>10.56</v>
      </c>
      <c r="D900" s="50"/>
      <c r="E900" s="50"/>
    </row>
    <row r="901" spans="1:5" x14ac:dyDescent="0.3">
      <c r="A901" s="53">
        <v>6183902</v>
      </c>
      <c r="B901" s="49" t="s">
        <v>7052</v>
      </c>
      <c r="C901" s="51">
        <v>7.48</v>
      </c>
      <c r="D901" s="50"/>
      <c r="E901" s="50"/>
    </row>
    <row r="902" spans="1:5" x14ac:dyDescent="0.3">
      <c r="A902" s="53">
        <v>6383050</v>
      </c>
      <c r="B902" s="49" t="s">
        <v>7053</v>
      </c>
      <c r="C902" s="51">
        <v>5.48</v>
      </c>
      <c r="D902" s="50"/>
      <c r="E902" s="50"/>
    </row>
    <row r="903" spans="1:5" x14ac:dyDescent="0.3">
      <c r="A903" s="53">
        <v>6309562</v>
      </c>
      <c r="B903" s="49" t="s">
        <v>972</v>
      </c>
      <c r="C903" s="51">
        <v>8.48</v>
      </c>
      <c r="D903" s="50"/>
      <c r="E903" s="50"/>
    </row>
    <row r="904" spans="1:5" x14ac:dyDescent="0.3">
      <c r="A904" s="53">
        <v>6416425</v>
      </c>
      <c r="B904" s="49" t="s">
        <v>973</v>
      </c>
      <c r="C904" s="51">
        <v>25.9</v>
      </c>
      <c r="D904" s="50"/>
      <c r="E904" s="50"/>
    </row>
    <row r="905" spans="1:5" x14ac:dyDescent="0.3">
      <c r="A905" s="53">
        <v>6392304</v>
      </c>
      <c r="B905" s="49" t="s">
        <v>7054</v>
      </c>
      <c r="C905" s="51">
        <v>6.13</v>
      </c>
      <c r="D905" s="50"/>
      <c r="E905" s="50"/>
    </row>
    <row r="906" spans="1:5" x14ac:dyDescent="0.3">
      <c r="A906" s="53">
        <v>6392301</v>
      </c>
      <c r="B906" s="49" t="s">
        <v>7055</v>
      </c>
      <c r="C906" s="51">
        <v>5.05</v>
      </c>
      <c r="D906" s="50"/>
      <c r="E906" s="50"/>
    </row>
    <row r="907" spans="1:5" x14ac:dyDescent="0.3">
      <c r="A907" s="53">
        <v>6392303</v>
      </c>
      <c r="B907" s="49" t="s">
        <v>7056</v>
      </c>
      <c r="C907" s="51">
        <v>4.5599999999999996</v>
      </c>
      <c r="D907" s="50"/>
      <c r="E907" s="50"/>
    </row>
    <row r="908" spans="1:5" x14ac:dyDescent="0.3">
      <c r="A908" s="53">
        <v>6392200</v>
      </c>
      <c r="B908" s="49" t="s">
        <v>7057</v>
      </c>
      <c r="C908" s="51">
        <v>4.66</v>
      </c>
      <c r="D908" s="50"/>
      <c r="E908" s="50"/>
    </row>
    <row r="909" spans="1:5" x14ac:dyDescent="0.3">
      <c r="A909" s="53">
        <v>6392196</v>
      </c>
      <c r="B909" s="49" t="s">
        <v>7058</v>
      </c>
      <c r="C909" s="51">
        <v>2.83</v>
      </c>
      <c r="D909" s="50"/>
      <c r="E909" s="50"/>
    </row>
    <row r="910" spans="1:5" x14ac:dyDescent="0.3">
      <c r="A910" s="53">
        <v>6392199</v>
      </c>
      <c r="B910" s="49" t="s">
        <v>7059</v>
      </c>
      <c r="C910" s="51">
        <v>4.1100000000000003</v>
      </c>
      <c r="D910" s="50"/>
      <c r="E910" s="50"/>
    </row>
    <row r="911" spans="1:5" x14ac:dyDescent="0.3">
      <c r="A911" s="53">
        <v>6392195</v>
      </c>
      <c r="B911" s="49" t="s">
        <v>7060</v>
      </c>
      <c r="C911" s="51">
        <v>2.75</v>
      </c>
      <c r="D911" s="50"/>
      <c r="E911" s="50"/>
    </row>
    <row r="912" spans="1:5" x14ac:dyDescent="0.3">
      <c r="A912" s="53">
        <v>6392305</v>
      </c>
      <c r="B912" s="49" t="s">
        <v>7061</v>
      </c>
      <c r="C912" s="51">
        <v>7.36</v>
      </c>
      <c r="D912" s="50"/>
      <c r="E912" s="50"/>
    </row>
    <row r="913" spans="1:5" x14ac:dyDescent="0.3">
      <c r="A913" s="53">
        <v>6392302</v>
      </c>
      <c r="B913" s="49" t="s">
        <v>7062</v>
      </c>
      <c r="C913" s="51">
        <v>6.56</v>
      </c>
      <c r="D913" s="50"/>
      <c r="E913" s="50"/>
    </row>
    <row r="914" spans="1:5" x14ac:dyDescent="0.3">
      <c r="A914" s="53">
        <v>6392256</v>
      </c>
      <c r="B914" s="49" t="s">
        <v>7063</v>
      </c>
      <c r="C914" s="51">
        <v>2.86</v>
      </c>
      <c r="D914" s="50"/>
      <c r="E914" s="50"/>
    </row>
    <row r="915" spans="1:5" x14ac:dyDescent="0.3">
      <c r="A915" s="53">
        <v>6392257</v>
      </c>
      <c r="B915" s="49" t="s">
        <v>7064</v>
      </c>
      <c r="C915" s="51">
        <v>3.19</v>
      </c>
      <c r="D915" s="50"/>
      <c r="E915" s="50"/>
    </row>
    <row r="916" spans="1:5" x14ac:dyDescent="0.3">
      <c r="A916" s="53">
        <v>6383049</v>
      </c>
      <c r="B916" s="49" t="s">
        <v>7065</v>
      </c>
      <c r="C916" s="51">
        <v>5.48</v>
      </c>
      <c r="D916" s="50"/>
      <c r="E916" s="50"/>
    </row>
    <row r="917" spans="1:5" x14ac:dyDescent="0.3">
      <c r="A917" s="53">
        <v>6378039</v>
      </c>
      <c r="B917" s="49" t="s">
        <v>1100</v>
      </c>
      <c r="C917" s="51">
        <v>16.5</v>
      </c>
      <c r="D917" s="50"/>
      <c r="E917" s="50"/>
    </row>
    <row r="918" spans="1:5" x14ac:dyDescent="0.3">
      <c r="A918" s="53">
        <v>6380604</v>
      </c>
      <c r="B918" s="49" t="s">
        <v>1120</v>
      </c>
      <c r="C918" s="51">
        <v>3.95</v>
      </c>
      <c r="D918" s="50"/>
      <c r="E918" s="50"/>
    </row>
    <row r="919" spans="1:5" x14ac:dyDescent="0.3">
      <c r="A919" s="53">
        <v>6190524</v>
      </c>
      <c r="B919" s="49" t="s">
        <v>1122</v>
      </c>
      <c r="C919" s="51">
        <v>13.15</v>
      </c>
      <c r="D919" s="50"/>
      <c r="E919" s="50"/>
    </row>
    <row r="920" spans="1:5" x14ac:dyDescent="0.3">
      <c r="A920" s="53">
        <v>6108022</v>
      </c>
      <c r="B920" s="49" t="s">
        <v>1124</v>
      </c>
      <c r="C920" s="51">
        <v>5.04</v>
      </c>
      <c r="D920" s="50"/>
      <c r="E920" s="50"/>
    </row>
    <row r="921" spans="1:5" x14ac:dyDescent="0.3">
      <c r="A921" s="53">
        <v>6107987</v>
      </c>
      <c r="B921" s="49" t="s">
        <v>7066</v>
      </c>
      <c r="C921" s="51">
        <v>9.51</v>
      </c>
      <c r="D921" s="50"/>
      <c r="E921" s="50"/>
    </row>
    <row r="922" spans="1:5" x14ac:dyDescent="0.3">
      <c r="A922" s="53">
        <v>6107976</v>
      </c>
      <c r="B922" s="49" t="s">
        <v>7067</v>
      </c>
      <c r="C922" s="51">
        <v>6.49</v>
      </c>
      <c r="D922" s="50"/>
      <c r="E922" s="50"/>
    </row>
    <row r="923" spans="1:5" x14ac:dyDescent="0.3">
      <c r="A923" s="53">
        <v>6107978</v>
      </c>
      <c r="B923" s="49" t="s">
        <v>1127</v>
      </c>
      <c r="C923" s="51">
        <v>9.65</v>
      </c>
      <c r="D923" s="50"/>
      <c r="E923" s="50"/>
    </row>
    <row r="924" spans="1:5" x14ac:dyDescent="0.3">
      <c r="A924" s="53">
        <v>6306043</v>
      </c>
      <c r="B924" s="49" t="s">
        <v>1128</v>
      </c>
      <c r="C924" s="51">
        <v>3.95</v>
      </c>
      <c r="D924" s="50"/>
      <c r="E924" s="50"/>
    </row>
    <row r="925" spans="1:5" x14ac:dyDescent="0.3">
      <c r="A925" s="53">
        <v>6107984</v>
      </c>
      <c r="B925" s="49" t="s">
        <v>1129</v>
      </c>
      <c r="C925" s="51">
        <v>6.94</v>
      </c>
      <c r="D925" s="50"/>
      <c r="E925" s="50"/>
    </row>
    <row r="926" spans="1:5" x14ac:dyDescent="0.3">
      <c r="A926" s="53">
        <v>6107952</v>
      </c>
      <c r="B926" s="49" t="s">
        <v>1130</v>
      </c>
      <c r="C926" s="51">
        <v>20.97</v>
      </c>
      <c r="D926" s="50"/>
      <c r="E926" s="50"/>
    </row>
    <row r="927" spans="1:5" x14ac:dyDescent="0.3">
      <c r="A927" s="53">
        <v>6107955</v>
      </c>
      <c r="B927" s="49" t="s">
        <v>1131</v>
      </c>
      <c r="C927" s="51">
        <v>10.49</v>
      </c>
      <c r="D927" s="50"/>
      <c r="E927" s="50"/>
    </row>
    <row r="928" spans="1:5" x14ac:dyDescent="0.3">
      <c r="A928" s="53">
        <v>6107954</v>
      </c>
      <c r="B928" s="49" t="s">
        <v>1132</v>
      </c>
      <c r="C928" s="51">
        <v>10.31</v>
      </c>
      <c r="D928" s="50"/>
      <c r="E928" s="50"/>
    </row>
    <row r="929" spans="1:5" x14ac:dyDescent="0.3">
      <c r="A929" s="53">
        <v>6107956</v>
      </c>
      <c r="B929" s="49" t="s">
        <v>1133</v>
      </c>
      <c r="C929" s="51">
        <v>11.99</v>
      </c>
      <c r="D929" s="50"/>
      <c r="E929" s="50"/>
    </row>
    <row r="930" spans="1:5" x14ac:dyDescent="0.3">
      <c r="A930" s="53">
        <v>6107957</v>
      </c>
      <c r="B930" s="49" t="s">
        <v>1134</v>
      </c>
      <c r="C930" s="51">
        <v>17.79</v>
      </c>
      <c r="D930" s="50"/>
      <c r="E930" s="50"/>
    </row>
    <row r="931" spans="1:5" x14ac:dyDescent="0.3">
      <c r="A931" s="53">
        <v>6107964</v>
      </c>
      <c r="B931" s="49" t="s">
        <v>1135</v>
      </c>
      <c r="C931" s="51">
        <v>24.19</v>
      </c>
      <c r="D931" s="50"/>
      <c r="E931" s="50"/>
    </row>
    <row r="932" spans="1:5" x14ac:dyDescent="0.3">
      <c r="A932" s="53">
        <v>6108019</v>
      </c>
      <c r="B932" s="49" t="s">
        <v>1136</v>
      </c>
      <c r="C932" s="51">
        <v>20.36</v>
      </c>
      <c r="D932" s="50"/>
      <c r="E932" s="50"/>
    </row>
    <row r="933" spans="1:5" x14ac:dyDescent="0.3">
      <c r="A933" s="53">
        <v>6142695</v>
      </c>
      <c r="B933" s="49" t="s">
        <v>1137</v>
      </c>
      <c r="C933" s="51">
        <v>17.399999999999999</v>
      </c>
      <c r="D933" s="50"/>
      <c r="E933" s="50"/>
    </row>
    <row r="934" spans="1:5" x14ac:dyDescent="0.3">
      <c r="A934" s="53">
        <v>6142696</v>
      </c>
      <c r="B934" s="49" t="s">
        <v>1138</v>
      </c>
      <c r="C934" s="51">
        <v>18.55</v>
      </c>
      <c r="D934" s="50"/>
      <c r="E934" s="50"/>
    </row>
    <row r="935" spans="1:5" x14ac:dyDescent="0.3">
      <c r="A935" s="53">
        <v>6142663</v>
      </c>
      <c r="B935" s="49" t="s">
        <v>1139</v>
      </c>
      <c r="C935" s="51">
        <v>24.99</v>
      </c>
      <c r="D935" s="50"/>
      <c r="E935" s="50"/>
    </row>
    <row r="936" spans="1:5" x14ac:dyDescent="0.3">
      <c r="A936" s="53">
        <v>6107968</v>
      </c>
      <c r="B936" s="49" t="s">
        <v>1140</v>
      </c>
      <c r="C936" s="51">
        <v>12.06</v>
      </c>
      <c r="D936" s="50"/>
      <c r="E936" s="50"/>
    </row>
    <row r="937" spans="1:5" x14ac:dyDescent="0.3">
      <c r="A937" s="53">
        <v>6107969</v>
      </c>
      <c r="B937" s="49" t="s">
        <v>1141</v>
      </c>
      <c r="C937" s="51">
        <v>11.94</v>
      </c>
      <c r="D937" s="50"/>
      <c r="E937" s="50"/>
    </row>
    <row r="938" spans="1:5" x14ac:dyDescent="0.3">
      <c r="A938" s="53">
        <v>6107970</v>
      </c>
      <c r="B938" s="49" t="s">
        <v>1142</v>
      </c>
      <c r="C938" s="51">
        <v>20.18</v>
      </c>
      <c r="D938" s="50"/>
      <c r="E938" s="50"/>
    </row>
    <row r="939" spans="1:5" x14ac:dyDescent="0.3">
      <c r="A939" s="53">
        <v>6142665</v>
      </c>
      <c r="B939" s="49" t="s">
        <v>1143</v>
      </c>
      <c r="C939" s="51">
        <v>9.44</v>
      </c>
      <c r="D939" s="50"/>
      <c r="E939" s="50"/>
    </row>
    <row r="940" spans="1:5" x14ac:dyDescent="0.3">
      <c r="A940" s="53">
        <v>6108024</v>
      </c>
      <c r="B940" s="49" t="s">
        <v>1145</v>
      </c>
      <c r="C940" s="51">
        <v>4.79</v>
      </c>
      <c r="D940" s="50"/>
      <c r="E940" s="50"/>
    </row>
    <row r="941" spans="1:5" x14ac:dyDescent="0.3">
      <c r="A941" s="53">
        <v>6107977</v>
      </c>
      <c r="B941" s="49" t="s">
        <v>7068</v>
      </c>
      <c r="C941" s="51">
        <v>5.52</v>
      </c>
      <c r="D941" s="50"/>
      <c r="E941" s="50"/>
    </row>
    <row r="942" spans="1:5" x14ac:dyDescent="0.3">
      <c r="A942" s="53">
        <v>6395683</v>
      </c>
      <c r="B942" s="49" t="s">
        <v>7069</v>
      </c>
      <c r="C942" s="51">
        <v>13.67</v>
      </c>
      <c r="D942" s="50"/>
      <c r="E942" s="50"/>
    </row>
    <row r="943" spans="1:5" x14ac:dyDescent="0.3">
      <c r="A943" s="53">
        <v>6107961</v>
      </c>
      <c r="B943" s="49" t="s">
        <v>1147</v>
      </c>
      <c r="C943" s="51">
        <v>11.44</v>
      </c>
      <c r="D943" s="50"/>
      <c r="E943" s="50"/>
    </row>
    <row r="944" spans="1:5" x14ac:dyDescent="0.3">
      <c r="A944" s="53">
        <v>6107966</v>
      </c>
      <c r="B944" s="49" t="s">
        <v>1148</v>
      </c>
      <c r="C944" s="51">
        <v>9.6999999999999993</v>
      </c>
      <c r="D944" s="50"/>
      <c r="E944" s="50"/>
    </row>
    <row r="945" spans="1:5" x14ac:dyDescent="0.3">
      <c r="A945" s="53">
        <v>6107962</v>
      </c>
      <c r="B945" s="49" t="s">
        <v>1149</v>
      </c>
      <c r="C945" s="51">
        <v>13.33</v>
      </c>
      <c r="D945" s="50"/>
      <c r="E945" s="50"/>
    </row>
    <row r="946" spans="1:5" x14ac:dyDescent="0.3">
      <c r="A946" s="53">
        <v>6107950</v>
      </c>
      <c r="B946" s="49" t="s">
        <v>1150</v>
      </c>
      <c r="C946" s="51">
        <v>10.85</v>
      </c>
      <c r="D946" s="50"/>
      <c r="E946" s="50"/>
    </row>
    <row r="947" spans="1:5" x14ac:dyDescent="0.3">
      <c r="A947" s="53">
        <v>6188881</v>
      </c>
      <c r="B947" s="49" t="s">
        <v>7070</v>
      </c>
      <c r="C947" s="51">
        <v>6.48</v>
      </c>
      <c r="D947" s="50"/>
      <c r="E947" s="50"/>
    </row>
    <row r="948" spans="1:5" x14ac:dyDescent="0.3">
      <c r="A948" s="53">
        <v>6188875</v>
      </c>
      <c r="B948" s="49" t="s">
        <v>7071</v>
      </c>
      <c r="C948" s="51">
        <v>13.46</v>
      </c>
      <c r="D948" s="50"/>
      <c r="E948" s="50"/>
    </row>
    <row r="949" spans="1:5" x14ac:dyDescent="0.3">
      <c r="A949" s="53">
        <v>6188882</v>
      </c>
      <c r="B949" s="49" t="s">
        <v>7072</v>
      </c>
      <c r="C949" s="51">
        <v>18.62</v>
      </c>
      <c r="D949" s="50"/>
      <c r="E949" s="50"/>
    </row>
    <row r="950" spans="1:5" x14ac:dyDescent="0.3">
      <c r="A950" s="53">
        <v>6183829</v>
      </c>
      <c r="B950" s="49" t="s">
        <v>699</v>
      </c>
      <c r="C950" s="51">
        <v>13.11</v>
      </c>
      <c r="D950" s="50"/>
      <c r="E950" s="50"/>
    </row>
    <row r="951" spans="1:5" x14ac:dyDescent="0.3">
      <c r="A951" s="53">
        <v>6183828</v>
      </c>
      <c r="B951" s="49" t="s">
        <v>700</v>
      </c>
      <c r="C951" s="51">
        <v>10.23</v>
      </c>
      <c r="D951" s="50"/>
      <c r="E951" s="50"/>
    </row>
    <row r="952" spans="1:5" x14ac:dyDescent="0.3">
      <c r="A952" s="53">
        <v>6188883</v>
      </c>
      <c r="B952" s="49" t="s">
        <v>7073</v>
      </c>
      <c r="C952" s="51">
        <v>9.68</v>
      </c>
      <c r="D952" s="50"/>
      <c r="E952" s="50"/>
    </row>
    <row r="953" spans="1:5" x14ac:dyDescent="0.3">
      <c r="A953" s="53">
        <v>6183891</v>
      </c>
      <c r="B953" s="49" t="s">
        <v>7074</v>
      </c>
      <c r="C953" s="51">
        <v>7.8</v>
      </c>
      <c r="D953" s="50"/>
      <c r="E953" s="50"/>
    </row>
    <row r="954" spans="1:5" x14ac:dyDescent="0.3">
      <c r="A954" s="53">
        <v>6440680</v>
      </c>
      <c r="B954" s="49" t="s">
        <v>7075</v>
      </c>
      <c r="C954" s="51">
        <v>11.12</v>
      </c>
      <c r="D954" s="50"/>
      <c r="E954" s="50"/>
    </row>
    <row r="955" spans="1:5" x14ac:dyDescent="0.3">
      <c r="A955" s="53">
        <v>6183858</v>
      </c>
      <c r="B955" s="49" t="s">
        <v>7076</v>
      </c>
      <c r="C955" s="51">
        <v>4.17</v>
      </c>
      <c r="D955" s="50"/>
      <c r="E955" s="50"/>
    </row>
    <row r="956" spans="1:5" x14ac:dyDescent="0.3">
      <c r="A956" s="53">
        <v>6188835</v>
      </c>
      <c r="B956" s="49" t="s">
        <v>7077</v>
      </c>
      <c r="C956" s="51">
        <v>2.19</v>
      </c>
      <c r="D956" s="50"/>
      <c r="E956" s="50"/>
    </row>
    <row r="957" spans="1:5" x14ac:dyDescent="0.3">
      <c r="A957" s="53">
        <v>6188839</v>
      </c>
      <c r="B957" s="49" t="s">
        <v>7078</v>
      </c>
      <c r="C957" s="51">
        <v>0.51</v>
      </c>
      <c r="D957" s="50"/>
      <c r="E957" s="50"/>
    </row>
    <row r="958" spans="1:5" x14ac:dyDescent="0.3">
      <c r="A958" s="53">
        <v>6188836</v>
      </c>
      <c r="B958" s="49" t="s">
        <v>7079</v>
      </c>
      <c r="C958" s="51">
        <v>2.56</v>
      </c>
      <c r="D958" s="50"/>
      <c r="E958" s="50"/>
    </row>
    <row r="959" spans="1:5" x14ac:dyDescent="0.3">
      <c r="A959" s="53">
        <v>6188841</v>
      </c>
      <c r="B959" s="49" t="s">
        <v>7080</v>
      </c>
      <c r="C959" s="51">
        <v>0.75</v>
      </c>
      <c r="D959" s="50"/>
      <c r="E959" s="50"/>
    </row>
    <row r="960" spans="1:5" x14ac:dyDescent="0.3">
      <c r="A960" s="53">
        <v>6188838</v>
      </c>
      <c r="B960" s="49" t="s">
        <v>7081</v>
      </c>
      <c r="C960" s="51">
        <v>4.66</v>
      </c>
      <c r="D960" s="50"/>
      <c r="E960" s="50"/>
    </row>
    <row r="961" spans="1:5" x14ac:dyDescent="0.3">
      <c r="A961" s="53">
        <v>6188843</v>
      </c>
      <c r="B961" s="49" t="s">
        <v>7082</v>
      </c>
      <c r="C961" s="51">
        <v>1.63</v>
      </c>
      <c r="D961" s="50"/>
      <c r="E961" s="50"/>
    </row>
    <row r="962" spans="1:5" x14ac:dyDescent="0.3">
      <c r="A962" s="53">
        <v>6188849</v>
      </c>
      <c r="B962" s="49" t="s">
        <v>7083</v>
      </c>
      <c r="C962" s="51">
        <v>1.93</v>
      </c>
      <c r="D962" s="50"/>
      <c r="E962" s="50"/>
    </row>
    <row r="963" spans="1:5" x14ac:dyDescent="0.3">
      <c r="A963" s="53">
        <v>6188851</v>
      </c>
      <c r="B963" s="49" t="s">
        <v>7084</v>
      </c>
      <c r="C963" s="51">
        <v>3.65</v>
      </c>
      <c r="D963" s="50"/>
      <c r="E963" s="50"/>
    </row>
    <row r="964" spans="1:5" x14ac:dyDescent="0.3">
      <c r="A964" s="53">
        <v>6188860</v>
      </c>
      <c r="B964" s="49" t="s">
        <v>7085</v>
      </c>
      <c r="C964" s="51">
        <v>5.8</v>
      </c>
      <c r="D964" s="50"/>
      <c r="E964" s="50"/>
    </row>
    <row r="965" spans="1:5" x14ac:dyDescent="0.3">
      <c r="A965" s="53">
        <v>6188861</v>
      </c>
      <c r="B965" s="49" t="s">
        <v>7086</v>
      </c>
      <c r="C965" s="51">
        <v>12.79</v>
      </c>
      <c r="D965" s="50"/>
      <c r="E965" s="50"/>
    </row>
    <row r="966" spans="1:5" x14ac:dyDescent="0.3">
      <c r="A966" s="53">
        <v>6188859</v>
      </c>
      <c r="B966" s="49" t="s">
        <v>7087</v>
      </c>
      <c r="C966" s="51">
        <v>3.61</v>
      </c>
      <c r="D966" s="50"/>
      <c r="E966" s="50"/>
    </row>
    <row r="967" spans="1:5" x14ac:dyDescent="0.3">
      <c r="A967" s="53">
        <v>6183851</v>
      </c>
      <c r="B967" s="49" t="s">
        <v>7088</v>
      </c>
      <c r="C967" s="51">
        <v>4.55</v>
      </c>
      <c r="D967" s="50"/>
      <c r="E967" s="50"/>
    </row>
    <row r="968" spans="1:5" x14ac:dyDescent="0.3">
      <c r="A968" s="53">
        <v>6183852</v>
      </c>
      <c r="B968" s="49" t="s">
        <v>7089</v>
      </c>
      <c r="C968" s="51">
        <v>1.05</v>
      </c>
      <c r="D968" s="50"/>
      <c r="E968" s="50"/>
    </row>
    <row r="969" spans="1:5" x14ac:dyDescent="0.3">
      <c r="A969" s="53">
        <v>6183839</v>
      </c>
      <c r="B969" s="49" t="s">
        <v>7090</v>
      </c>
      <c r="C969" s="51">
        <v>7.64</v>
      </c>
      <c r="D969" s="50"/>
      <c r="E969" s="50"/>
    </row>
    <row r="970" spans="1:5" x14ac:dyDescent="0.3">
      <c r="A970" s="53">
        <v>6183840</v>
      </c>
      <c r="B970" s="49" t="s">
        <v>7091</v>
      </c>
      <c r="C970" s="51">
        <v>2.36</v>
      </c>
      <c r="D970" s="50"/>
      <c r="E970" s="50"/>
    </row>
    <row r="971" spans="1:5" x14ac:dyDescent="0.3">
      <c r="A971" s="53">
        <v>6183838</v>
      </c>
      <c r="B971" s="49" t="s">
        <v>7092</v>
      </c>
      <c r="C971" s="51">
        <v>4.3499999999999996</v>
      </c>
      <c r="D971" s="50"/>
      <c r="E971" s="50"/>
    </row>
    <row r="972" spans="1:5" x14ac:dyDescent="0.3">
      <c r="A972" s="53">
        <v>6183837</v>
      </c>
      <c r="B972" s="49" t="s">
        <v>7093</v>
      </c>
      <c r="C972" s="51">
        <v>6.73</v>
      </c>
      <c r="D972" s="50"/>
      <c r="E972" s="50"/>
    </row>
    <row r="973" spans="1:5" x14ac:dyDescent="0.3">
      <c r="A973" s="53">
        <v>6183836</v>
      </c>
      <c r="B973" s="49" t="s">
        <v>7094</v>
      </c>
      <c r="C973" s="51">
        <v>17.71</v>
      </c>
      <c r="D973" s="50"/>
      <c r="E973" s="50"/>
    </row>
    <row r="974" spans="1:5" x14ac:dyDescent="0.3">
      <c r="A974" s="53">
        <v>6317438</v>
      </c>
      <c r="B974" s="49" t="s">
        <v>7095</v>
      </c>
      <c r="C974" s="51">
        <v>4.2300000000000004</v>
      </c>
      <c r="D974" s="50"/>
      <c r="E974" s="50"/>
    </row>
    <row r="975" spans="1:5" x14ac:dyDescent="0.3">
      <c r="A975" s="53">
        <v>6317504</v>
      </c>
      <c r="B975" s="49" t="s">
        <v>7096</v>
      </c>
      <c r="C975" s="51">
        <v>1.55</v>
      </c>
      <c r="D975" s="50"/>
      <c r="E975" s="50"/>
    </row>
    <row r="976" spans="1:5" x14ac:dyDescent="0.3">
      <c r="A976" s="53">
        <v>6317505</v>
      </c>
      <c r="B976" s="49" t="s">
        <v>7097</v>
      </c>
      <c r="C976" s="51">
        <v>2.2200000000000002</v>
      </c>
      <c r="D976" s="50"/>
      <c r="E976" s="50"/>
    </row>
    <row r="977" spans="1:5" x14ac:dyDescent="0.3">
      <c r="A977" s="53">
        <v>6342575</v>
      </c>
      <c r="B977" s="49" t="s">
        <v>7098</v>
      </c>
      <c r="C977" s="51">
        <v>8.23</v>
      </c>
      <c r="D977" s="50"/>
      <c r="E977" s="50"/>
    </row>
    <row r="978" spans="1:5" x14ac:dyDescent="0.3">
      <c r="A978" s="53">
        <v>6188759</v>
      </c>
      <c r="B978" s="49" t="s">
        <v>7099</v>
      </c>
      <c r="C978" s="51">
        <v>3.48</v>
      </c>
      <c r="D978" s="50"/>
      <c r="E978" s="50"/>
    </row>
    <row r="979" spans="1:5" x14ac:dyDescent="0.3">
      <c r="A979" s="53">
        <v>6188760</v>
      </c>
      <c r="B979" s="49" t="s">
        <v>7100</v>
      </c>
      <c r="C979" s="51">
        <v>3.62</v>
      </c>
      <c r="D979" s="50"/>
      <c r="E979" s="50"/>
    </row>
    <row r="980" spans="1:5" x14ac:dyDescent="0.3">
      <c r="A980" s="53">
        <v>6188831</v>
      </c>
      <c r="B980" s="49" t="s">
        <v>7101</v>
      </c>
      <c r="C980" s="51">
        <v>4.3499999999999996</v>
      </c>
      <c r="D980" s="50"/>
      <c r="E980" s="50"/>
    </row>
    <row r="981" spans="1:5" x14ac:dyDescent="0.3">
      <c r="A981" s="53">
        <v>6183861</v>
      </c>
      <c r="B981" s="49" t="s">
        <v>7102</v>
      </c>
      <c r="C981" s="51">
        <v>6.21</v>
      </c>
      <c r="D981" s="50"/>
      <c r="E981" s="50"/>
    </row>
    <row r="982" spans="1:5" x14ac:dyDescent="0.3">
      <c r="A982" s="53">
        <v>6183860</v>
      </c>
      <c r="B982" s="49" t="s">
        <v>7103</v>
      </c>
      <c r="C982" s="51">
        <v>10.19</v>
      </c>
      <c r="D982" s="50"/>
      <c r="E982" s="50"/>
    </row>
    <row r="983" spans="1:5" x14ac:dyDescent="0.3">
      <c r="A983" s="53">
        <v>6188868</v>
      </c>
      <c r="B983" s="49" t="s">
        <v>7104</v>
      </c>
      <c r="C983" s="51">
        <v>3.94</v>
      </c>
      <c r="D983" s="50"/>
      <c r="E983" s="50"/>
    </row>
    <row r="984" spans="1:5" x14ac:dyDescent="0.3">
      <c r="A984" s="53">
        <v>6183869</v>
      </c>
      <c r="B984" s="49" t="s">
        <v>7105</v>
      </c>
      <c r="C984" s="51">
        <v>1.17</v>
      </c>
      <c r="D984" s="50"/>
      <c r="E984" s="50"/>
    </row>
    <row r="985" spans="1:5" x14ac:dyDescent="0.3">
      <c r="A985" s="53">
        <v>6188869</v>
      </c>
      <c r="B985" s="49" t="s">
        <v>7106</v>
      </c>
      <c r="C985" s="51">
        <v>3.93</v>
      </c>
      <c r="D985" s="50"/>
      <c r="E985" s="50"/>
    </row>
    <row r="986" spans="1:5" x14ac:dyDescent="0.3">
      <c r="A986" s="53">
        <v>6188877</v>
      </c>
      <c r="B986" s="49" t="s">
        <v>7107</v>
      </c>
      <c r="C986" s="51">
        <v>10.99</v>
      </c>
      <c r="D986" s="50"/>
      <c r="E986" s="50"/>
    </row>
    <row r="987" spans="1:5" x14ac:dyDescent="0.3">
      <c r="A987" s="53">
        <v>6188878</v>
      </c>
      <c r="B987" s="49" t="s">
        <v>7108</v>
      </c>
      <c r="C987" s="51">
        <v>3.28</v>
      </c>
      <c r="D987" s="50"/>
      <c r="E987" s="50"/>
    </row>
    <row r="988" spans="1:5" x14ac:dyDescent="0.3">
      <c r="A988" s="53">
        <v>6188858</v>
      </c>
      <c r="B988" s="49" t="s">
        <v>7109</v>
      </c>
      <c r="C988" s="51">
        <v>8.57</v>
      </c>
      <c r="D988" s="50"/>
      <c r="E988" s="50"/>
    </row>
    <row r="989" spans="1:5" x14ac:dyDescent="0.3">
      <c r="A989" s="53">
        <v>6188854</v>
      </c>
      <c r="B989" s="49" t="s">
        <v>7110</v>
      </c>
      <c r="C989" s="51">
        <v>6.73</v>
      </c>
      <c r="D989" s="50"/>
      <c r="E989" s="50"/>
    </row>
    <row r="990" spans="1:5" x14ac:dyDescent="0.3">
      <c r="A990" s="53">
        <v>6188871</v>
      </c>
      <c r="B990" s="49" t="s">
        <v>7111</v>
      </c>
      <c r="C990" s="51">
        <v>17.41</v>
      </c>
      <c r="D990" s="50"/>
      <c r="E990" s="50"/>
    </row>
    <row r="991" spans="1:5" x14ac:dyDescent="0.3">
      <c r="A991" s="53">
        <v>6188870</v>
      </c>
      <c r="B991" s="49" t="s">
        <v>7112</v>
      </c>
      <c r="C991" s="51">
        <v>13.3</v>
      </c>
      <c r="D991" s="50"/>
      <c r="E991" s="50"/>
    </row>
    <row r="992" spans="1:5" x14ac:dyDescent="0.3">
      <c r="A992" s="53">
        <v>6183893</v>
      </c>
      <c r="B992" s="49" t="s">
        <v>7113</v>
      </c>
      <c r="C992" s="51">
        <v>11.43</v>
      </c>
      <c r="D992" s="50"/>
      <c r="E992" s="50"/>
    </row>
    <row r="993" spans="1:5" x14ac:dyDescent="0.3">
      <c r="A993" s="53">
        <v>6183894</v>
      </c>
      <c r="B993" s="49" t="s">
        <v>7114</v>
      </c>
      <c r="C993" s="51">
        <v>12.29</v>
      </c>
      <c r="D993" s="50"/>
      <c r="E993" s="50"/>
    </row>
    <row r="994" spans="1:5" x14ac:dyDescent="0.3">
      <c r="A994" s="53">
        <v>6188885</v>
      </c>
      <c r="B994" s="49" t="s">
        <v>7115</v>
      </c>
      <c r="C994" s="51">
        <v>3.99</v>
      </c>
      <c r="D994" s="50"/>
      <c r="E994" s="50"/>
    </row>
    <row r="995" spans="1:5" x14ac:dyDescent="0.3">
      <c r="A995" s="53">
        <v>6183892</v>
      </c>
      <c r="B995" s="49" t="s">
        <v>7116</v>
      </c>
      <c r="C995" s="51">
        <v>7.23</v>
      </c>
      <c r="D995" s="50"/>
      <c r="E995" s="50"/>
    </row>
    <row r="996" spans="1:5" x14ac:dyDescent="0.3">
      <c r="A996" s="53">
        <v>6188872</v>
      </c>
      <c r="B996" s="49" t="s">
        <v>7117</v>
      </c>
      <c r="C996" s="51">
        <v>7.58</v>
      </c>
      <c r="D996" s="50"/>
      <c r="E996" s="50"/>
    </row>
    <row r="997" spans="1:5" x14ac:dyDescent="0.3">
      <c r="A997" s="53">
        <v>6188873</v>
      </c>
      <c r="B997" s="49" t="s">
        <v>7118</v>
      </c>
      <c r="C997" s="51">
        <v>2.2000000000000002</v>
      </c>
      <c r="D997" s="50"/>
      <c r="E997" s="50"/>
    </row>
    <row r="998" spans="1:5" x14ac:dyDescent="0.3">
      <c r="A998" s="53">
        <v>6188874</v>
      </c>
      <c r="B998" s="49" t="s">
        <v>7119</v>
      </c>
      <c r="C998" s="51">
        <v>4.2</v>
      </c>
      <c r="D998" s="50"/>
      <c r="E998" s="50"/>
    </row>
    <row r="999" spans="1:5" x14ac:dyDescent="0.3">
      <c r="A999" s="53">
        <v>6188864</v>
      </c>
      <c r="B999" s="49" t="s">
        <v>7120</v>
      </c>
      <c r="C999" s="51">
        <v>2.61</v>
      </c>
      <c r="D999" s="50"/>
      <c r="E999" s="50"/>
    </row>
    <row r="1000" spans="1:5" x14ac:dyDescent="0.3">
      <c r="A1000" s="53">
        <v>6183875</v>
      </c>
      <c r="B1000" s="49" t="s">
        <v>7121</v>
      </c>
      <c r="C1000" s="51">
        <v>11.65</v>
      </c>
      <c r="D1000" s="50"/>
      <c r="E1000" s="50"/>
    </row>
    <row r="1001" spans="1:5" x14ac:dyDescent="0.3">
      <c r="A1001" s="53">
        <v>6183826</v>
      </c>
      <c r="B1001" s="49" t="s">
        <v>7122</v>
      </c>
      <c r="C1001" s="51">
        <v>3.45</v>
      </c>
      <c r="D1001" s="50"/>
      <c r="E1001" s="50"/>
    </row>
    <row r="1002" spans="1:5" x14ac:dyDescent="0.3">
      <c r="A1002" s="53">
        <v>6183864</v>
      </c>
      <c r="B1002" s="49" t="s">
        <v>7123</v>
      </c>
      <c r="C1002" s="51">
        <v>1.44</v>
      </c>
      <c r="D1002" s="50"/>
      <c r="E1002" s="50"/>
    </row>
    <row r="1003" spans="1:5" x14ac:dyDescent="0.3">
      <c r="A1003" s="53">
        <v>6183854</v>
      </c>
      <c r="B1003" s="49" t="s">
        <v>7124</v>
      </c>
      <c r="C1003" s="51">
        <v>4.07</v>
      </c>
      <c r="D1003" s="50"/>
      <c r="E1003" s="50"/>
    </row>
    <row r="1004" spans="1:5" x14ac:dyDescent="0.3">
      <c r="A1004" s="53">
        <v>6183873</v>
      </c>
      <c r="B1004" s="49" t="s">
        <v>7125</v>
      </c>
      <c r="C1004" s="51">
        <v>5.32</v>
      </c>
      <c r="D1004" s="50"/>
      <c r="E1004" s="50"/>
    </row>
    <row r="1005" spans="1:5" x14ac:dyDescent="0.3">
      <c r="A1005" s="53">
        <v>6183871</v>
      </c>
      <c r="B1005" s="49" t="s">
        <v>7126</v>
      </c>
      <c r="C1005" s="51">
        <v>10.45</v>
      </c>
      <c r="D1005" s="50"/>
      <c r="E1005" s="50"/>
    </row>
    <row r="1006" spans="1:5" x14ac:dyDescent="0.3">
      <c r="A1006" s="53">
        <v>6188820</v>
      </c>
      <c r="B1006" s="49" t="s">
        <v>7127</v>
      </c>
      <c r="C1006" s="51">
        <v>8.3800000000000008</v>
      </c>
      <c r="D1006" s="50"/>
      <c r="E1006" s="50"/>
    </row>
    <row r="1007" spans="1:5" x14ac:dyDescent="0.3">
      <c r="A1007" s="53">
        <v>6188819</v>
      </c>
      <c r="B1007" s="49" t="s">
        <v>7128</v>
      </c>
      <c r="C1007" s="51">
        <v>5.78</v>
      </c>
      <c r="D1007" s="50"/>
      <c r="E1007" s="50"/>
    </row>
    <row r="1008" spans="1:5" x14ac:dyDescent="0.3">
      <c r="A1008" s="53">
        <v>6183827</v>
      </c>
      <c r="B1008" s="49" t="s">
        <v>7129</v>
      </c>
      <c r="C1008" s="51">
        <v>10.89</v>
      </c>
      <c r="D1008" s="50"/>
      <c r="E1008" s="50"/>
    </row>
    <row r="1009" spans="1:5" x14ac:dyDescent="0.3">
      <c r="A1009" s="53">
        <v>6183868</v>
      </c>
      <c r="B1009" s="49" t="s">
        <v>7130</v>
      </c>
      <c r="C1009" s="51">
        <v>2.58</v>
      </c>
      <c r="D1009" s="50"/>
      <c r="E1009" s="50"/>
    </row>
    <row r="1010" spans="1:5" x14ac:dyDescent="0.3">
      <c r="A1010" s="53">
        <v>6183948</v>
      </c>
      <c r="B1010" s="49" t="s">
        <v>7131</v>
      </c>
      <c r="C1010" s="51">
        <v>3.22</v>
      </c>
      <c r="D1010" s="50"/>
      <c r="E1010" s="50"/>
    </row>
    <row r="1011" spans="1:5" x14ac:dyDescent="0.3">
      <c r="A1011" s="53">
        <v>6183866</v>
      </c>
      <c r="B1011" s="49" t="s">
        <v>7132</v>
      </c>
      <c r="C1011" s="51">
        <v>2.09</v>
      </c>
      <c r="D1011" s="50"/>
      <c r="E1011" s="50"/>
    </row>
    <row r="1012" spans="1:5" x14ac:dyDescent="0.3">
      <c r="A1012" s="53">
        <v>6188847</v>
      </c>
      <c r="B1012" s="49" t="s">
        <v>7133</v>
      </c>
      <c r="C1012" s="51">
        <v>10.42</v>
      </c>
      <c r="D1012" s="50"/>
      <c r="E1012" s="50"/>
    </row>
    <row r="1013" spans="1:5" x14ac:dyDescent="0.3">
      <c r="A1013" s="53">
        <v>6188866</v>
      </c>
      <c r="B1013" s="49" t="s">
        <v>7134</v>
      </c>
      <c r="C1013" s="51">
        <v>10.18</v>
      </c>
      <c r="D1013" s="50"/>
      <c r="E1013" s="50"/>
    </row>
    <row r="1014" spans="1:5" x14ac:dyDescent="0.3">
      <c r="A1014" s="53">
        <v>6188865</v>
      </c>
      <c r="B1014" s="49" t="s">
        <v>7135</v>
      </c>
      <c r="C1014" s="51">
        <v>2.11</v>
      </c>
      <c r="D1014" s="50"/>
      <c r="E1014" s="50"/>
    </row>
    <row r="1015" spans="1:5" x14ac:dyDescent="0.3">
      <c r="A1015" s="53">
        <v>6183874</v>
      </c>
      <c r="B1015" s="49" t="s">
        <v>7136</v>
      </c>
      <c r="C1015" s="51">
        <v>4.97</v>
      </c>
      <c r="D1015" s="50"/>
      <c r="E1015" s="50"/>
    </row>
    <row r="1016" spans="1:5" x14ac:dyDescent="0.3">
      <c r="A1016" s="53">
        <v>6188818</v>
      </c>
      <c r="B1016" s="49" t="s">
        <v>7137</v>
      </c>
      <c r="C1016" s="51">
        <v>5.41</v>
      </c>
      <c r="D1016" s="50"/>
      <c r="E1016" s="50"/>
    </row>
    <row r="1017" spans="1:5" x14ac:dyDescent="0.3">
      <c r="A1017" s="53">
        <v>6183867</v>
      </c>
      <c r="B1017" s="49" t="s">
        <v>7138</v>
      </c>
      <c r="C1017" s="51">
        <v>5.3</v>
      </c>
      <c r="D1017" s="50"/>
      <c r="E1017" s="50"/>
    </row>
    <row r="1018" spans="1:5" x14ac:dyDescent="0.3">
      <c r="A1018" s="53">
        <v>6183859</v>
      </c>
      <c r="B1018" s="49" t="s">
        <v>7139</v>
      </c>
      <c r="C1018" s="51">
        <v>5.16</v>
      </c>
      <c r="D1018" s="50"/>
      <c r="E1018" s="50"/>
    </row>
    <row r="1019" spans="1:5" x14ac:dyDescent="0.3">
      <c r="A1019" s="53">
        <v>6183862</v>
      </c>
      <c r="B1019" s="49" t="s">
        <v>7140</v>
      </c>
      <c r="C1019" s="51">
        <v>2.14</v>
      </c>
      <c r="D1019" s="50"/>
      <c r="E1019" s="50"/>
    </row>
    <row r="1020" spans="1:5" x14ac:dyDescent="0.3">
      <c r="A1020" s="53">
        <v>6188833</v>
      </c>
      <c r="B1020" s="49" t="s">
        <v>7141</v>
      </c>
      <c r="C1020" s="51">
        <v>10.46</v>
      </c>
      <c r="D1020" s="50"/>
      <c r="E1020" s="50"/>
    </row>
    <row r="1021" spans="1:5" x14ac:dyDescent="0.3">
      <c r="A1021" s="53">
        <v>6188834</v>
      </c>
      <c r="B1021" s="49" t="s">
        <v>7142</v>
      </c>
      <c r="C1021" s="51">
        <v>8.9</v>
      </c>
      <c r="D1021" s="50"/>
      <c r="E1021" s="50"/>
    </row>
    <row r="1022" spans="1:5" x14ac:dyDescent="0.3">
      <c r="A1022" s="53">
        <v>6317435</v>
      </c>
      <c r="B1022" s="49" t="s">
        <v>7143</v>
      </c>
      <c r="C1022" s="51">
        <v>3.11</v>
      </c>
      <c r="D1022" s="50"/>
      <c r="E1022" s="50"/>
    </row>
    <row r="1023" spans="1:5" x14ac:dyDescent="0.3">
      <c r="A1023" s="53">
        <v>6317436</v>
      </c>
      <c r="B1023" s="49" t="s">
        <v>7144</v>
      </c>
      <c r="C1023" s="51">
        <v>4.88</v>
      </c>
      <c r="D1023" s="50"/>
      <c r="E1023" s="50"/>
    </row>
    <row r="1024" spans="1:5" x14ac:dyDescent="0.3">
      <c r="A1024" s="53">
        <v>6317437</v>
      </c>
      <c r="B1024" s="49" t="s">
        <v>7145</v>
      </c>
      <c r="C1024" s="51">
        <v>8.92</v>
      </c>
      <c r="D1024" s="50"/>
      <c r="E1024" s="50"/>
    </row>
    <row r="1025" spans="1:5" x14ac:dyDescent="0.3">
      <c r="A1025" s="53">
        <v>6361908</v>
      </c>
      <c r="B1025" s="49" t="s">
        <v>7146</v>
      </c>
      <c r="C1025" s="51">
        <v>21.51</v>
      </c>
      <c r="D1025" s="50"/>
      <c r="E1025" s="50"/>
    </row>
    <row r="1026" spans="1:5" x14ac:dyDescent="0.3">
      <c r="A1026" s="53">
        <v>6452058</v>
      </c>
      <c r="B1026" s="49" t="s">
        <v>7147</v>
      </c>
      <c r="C1026" s="51">
        <v>1.75</v>
      </c>
      <c r="D1026" s="50"/>
      <c r="E1026" s="50"/>
    </row>
    <row r="1027" spans="1:5" x14ac:dyDescent="0.3">
      <c r="A1027" s="53">
        <v>6452059</v>
      </c>
      <c r="B1027" s="49" t="s">
        <v>7148</v>
      </c>
      <c r="C1027" s="51">
        <v>2.44</v>
      </c>
      <c r="D1027" s="50"/>
      <c r="E1027" s="50"/>
    </row>
    <row r="1028" spans="1:5" x14ac:dyDescent="0.3">
      <c r="A1028" s="53">
        <v>6452131</v>
      </c>
      <c r="B1028" s="49" t="s">
        <v>7149</v>
      </c>
      <c r="C1028" s="51">
        <v>5.41</v>
      </c>
      <c r="D1028" s="50"/>
      <c r="E1028" s="50"/>
    </row>
    <row r="1029" spans="1:5" x14ac:dyDescent="0.3">
      <c r="A1029" s="53">
        <v>6317316</v>
      </c>
      <c r="B1029" s="49" t="s">
        <v>939</v>
      </c>
      <c r="C1029" s="51">
        <v>866.25</v>
      </c>
      <c r="D1029" s="50"/>
      <c r="E1029" s="50"/>
    </row>
    <row r="1030" spans="1:5" x14ac:dyDescent="0.3">
      <c r="A1030" s="53">
        <v>6316456</v>
      </c>
      <c r="B1030" s="49" t="s">
        <v>2565</v>
      </c>
      <c r="C1030" s="51">
        <v>1249.99</v>
      </c>
      <c r="D1030" s="50"/>
      <c r="E1030" s="50"/>
    </row>
    <row r="1031" spans="1:5" x14ac:dyDescent="0.3">
      <c r="A1031" s="53">
        <v>6317538</v>
      </c>
      <c r="B1031" s="49" t="s">
        <v>919</v>
      </c>
      <c r="C1031" s="51">
        <v>1808.73</v>
      </c>
      <c r="D1031" s="50"/>
      <c r="E1031" s="50"/>
    </row>
    <row r="1032" spans="1:5" x14ac:dyDescent="0.3">
      <c r="A1032" s="53">
        <v>6317315</v>
      </c>
      <c r="B1032" s="49" t="s">
        <v>929</v>
      </c>
      <c r="C1032" s="51">
        <v>945</v>
      </c>
      <c r="D1032" s="50"/>
      <c r="E1032" s="50"/>
    </row>
    <row r="1033" spans="1:5" x14ac:dyDescent="0.3">
      <c r="A1033" s="53">
        <v>6362650</v>
      </c>
      <c r="B1033" s="49" t="s">
        <v>931</v>
      </c>
      <c r="C1033" s="51">
        <v>1482.89</v>
      </c>
      <c r="D1033" s="50"/>
      <c r="E1033" s="50"/>
    </row>
    <row r="1034" spans="1:5" x14ac:dyDescent="0.3">
      <c r="A1034" s="53">
        <v>6362674</v>
      </c>
      <c r="B1034" s="49" t="s">
        <v>932</v>
      </c>
      <c r="C1034" s="51">
        <v>1452.48</v>
      </c>
      <c r="D1034" s="50"/>
      <c r="E1034" s="50"/>
    </row>
    <row r="1035" spans="1:5" x14ac:dyDescent="0.3">
      <c r="A1035" s="53">
        <v>6391320</v>
      </c>
      <c r="B1035" s="49" t="s">
        <v>937</v>
      </c>
      <c r="C1035" s="51">
        <v>5248.24</v>
      </c>
      <c r="D1035" s="50"/>
      <c r="E1035" s="50"/>
    </row>
    <row r="1036" spans="1:5" x14ac:dyDescent="0.3">
      <c r="A1036" s="53">
        <v>6390790</v>
      </c>
      <c r="B1036" s="49" t="s">
        <v>943</v>
      </c>
      <c r="C1036" s="51">
        <v>2327.54</v>
      </c>
      <c r="D1036" s="50"/>
      <c r="E1036" s="50"/>
    </row>
    <row r="1037" spans="1:5" x14ac:dyDescent="0.3">
      <c r="A1037" s="53">
        <v>6315731</v>
      </c>
      <c r="B1037" s="49" t="s">
        <v>945</v>
      </c>
      <c r="C1037" s="51">
        <v>585.9</v>
      </c>
      <c r="D1037" s="50"/>
      <c r="E1037" s="50"/>
    </row>
    <row r="1038" spans="1:5" x14ac:dyDescent="0.3">
      <c r="A1038" s="53">
        <v>6315732</v>
      </c>
      <c r="B1038" s="49" t="s">
        <v>946</v>
      </c>
      <c r="C1038" s="51">
        <v>725.76</v>
      </c>
      <c r="D1038" s="50"/>
      <c r="E1038" s="50"/>
    </row>
    <row r="1039" spans="1:5" x14ac:dyDescent="0.3">
      <c r="A1039" s="53">
        <v>6183769</v>
      </c>
      <c r="B1039" s="49" t="s">
        <v>1041</v>
      </c>
      <c r="C1039" s="51">
        <v>504.35</v>
      </c>
      <c r="D1039" s="50"/>
      <c r="E1039" s="50"/>
    </row>
    <row r="1040" spans="1:5" x14ac:dyDescent="0.3">
      <c r="A1040" s="53">
        <v>6389325</v>
      </c>
      <c r="B1040" s="49" t="s">
        <v>7150</v>
      </c>
      <c r="C1040" s="51">
        <v>618</v>
      </c>
      <c r="D1040" s="50"/>
      <c r="E1040" s="50"/>
    </row>
    <row r="1041" spans="1:5" x14ac:dyDescent="0.3">
      <c r="A1041" s="53">
        <v>6389310</v>
      </c>
      <c r="B1041" s="49" t="s">
        <v>7151</v>
      </c>
      <c r="C1041" s="51">
        <v>737.1</v>
      </c>
      <c r="D1041" s="50"/>
      <c r="E1041" s="50"/>
    </row>
    <row r="1042" spans="1:5" x14ac:dyDescent="0.3">
      <c r="A1042" s="53">
        <v>6389331</v>
      </c>
      <c r="B1042" s="49" t="s">
        <v>7152</v>
      </c>
      <c r="C1042" s="51">
        <v>960</v>
      </c>
      <c r="D1042" s="50"/>
      <c r="E1042" s="50"/>
    </row>
    <row r="1043" spans="1:5" x14ac:dyDescent="0.3">
      <c r="A1043" s="53">
        <v>6389536</v>
      </c>
      <c r="B1043" s="49" t="s">
        <v>7153</v>
      </c>
      <c r="C1043" s="51">
        <v>910.8</v>
      </c>
      <c r="D1043" s="50"/>
      <c r="E1043" s="50"/>
    </row>
    <row r="1044" spans="1:5" x14ac:dyDescent="0.3">
      <c r="A1044" s="53">
        <v>6107876</v>
      </c>
      <c r="B1044" s="49" t="s">
        <v>1260</v>
      </c>
      <c r="C1044" s="51">
        <v>1501.67</v>
      </c>
      <c r="D1044" s="50"/>
      <c r="E1044" s="50"/>
    </row>
    <row r="1045" spans="1:5" x14ac:dyDescent="0.3">
      <c r="A1045" s="53">
        <v>6040542</v>
      </c>
      <c r="B1045" s="49" t="s">
        <v>921</v>
      </c>
      <c r="C1045" s="51">
        <v>6.24</v>
      </c>
      <c r="D1045" s="50"/>
      <c r="E1045" s="50"/>
    </row>
    <row r="1046" spans="1:5" x14ac:dyDescent="0.3">
      <c r="A1046" s="53">
        <v>6314183</v>
      </c>
      <c r="B1046" s="49" t="s">
        <v>922</v>
      </c>
      <c r="C1046" s="51">
        <v>25.61</v>
      </c>
      <c r="D1046" s="50"/>
      <c r="E1046" s="50"/>
    </row>
    <row r="1047" spans="1:5" x14ac:dyDescent="0.3">
      <c r="A1047" s="53">
        <v>6316096</v>
      </c>
      <c r="B1047" s="49" t="s">
        <v>923</v>
      </c>
      <c r="C1047" s="51">
        <v>26.72</v>
      </c>
      <c r="D1047" s="50"/>
      <c r="E1047" s="50"/>
    </row>
    <row r="1048" spans="1:5" x14ac:dyDescent="0.3">
      <c r="A1048" s="53">
        <v>6316201</v>
      </c>
      <c r="B1048" s="49" t="s">
        <v>924</v>
      </c>
      <c r="C1048" s="51">
        <v>25.62</v>
      </c>
      <c r="D1048" s="50"/>
      <c r="E1048" s="50"/>
    </row>
    <row r="1049" spans="1:5" x14ac:dyDescent="0.3">
      <c r="A1049" s="53">
        <v>6394052</v>
      </c>
      <c r="B1049" s="49" t="s">
        <v>7154</v>
      </c>
      <c r="C1049" s="51">
        <v>26.71</v>
      </c>
      <c r="D1049" s="50"/>
      <c r="E1049" s="50"/>
    </row>
    <row r="1050" spans="1:5" x14ac:dyDescent="0.3">
      <c r="A1050" s="53">
        <v>6364869</v>
      </c>
      <c r="B1050" s="49" t="s">
        <v>7155</v>
      </c>
      <c r="C1050" s="51">
        <v>24.86</v>
      </c>
      <c r="D1050" s="50"/>
      <c r="E1050" s="50"/>
    </row>
    <row r="1051" spans="1:5" x14ac:dyDescent="0.3">
      <c r="A1051" s="53">
        <v>6360902</v>
      </c>
      <c r="B1051" s="49" t="s">
        <v>7156</v>
      </c>
      <c r="C1051" s="51">
        <v>26.72</v>
      </c>
      <c r="D1051" s="50"/>
      <c r="E1051" s="50"/>
    </row>
    <row r="1052" spans="1:5" x14ac:dyDescent="0.3">
      <c r="A1052" s="53">
        <v>6391535</v>
      </c>
      <c r="B1052" s="49" t="s">
        <v>926</v>
      </c>
      <c r="C1052" s="51">
        <v>26.79</v>
      </c>
      <c r="D1052" s="50"/>
      <c r="E1052" s="50"/>
    </row>
    <row r="1053" spans="1:5" x14ac:dyDescent="0.3">
      <c r="A1053" s="53">
        <v>6391543</v>
      </c>
      <c r="B1053" s="49" t="s">
        <v>927</v>
      </c>
      <c r="C1053" s="51">
        <v>26.79</v>
      </c>
      <c r="D1053" s="50"/>
      <c r="E1053" s="50"/>
    </row>
    <row r="1054" spans="1:5" x14ac:dyDescent="0.3">
      <c r="A1054" s="53">
        <v>6391500</v>
      </c>
      <c r="B1054" s="49" t="s">
        <v>928</v>
      </c>
      <c r="C1054" s="51">
        <v>26.79</v>
      </c>
      <c r="D1054" s="50"/>
      <c r="E1054" s="50"/>
    </row>
    <row r="1055" spans="1:5" x14ac:dyDescent="0.3">
      <c r="A1055" s="53">
        <v>6391536</v>
      </c>
      <c r="B1055" s="49" t="s">
        <v>933</v>
      </c>
      <c r="C1055" s="51">
        <v>26.79</v>
      </c>
      <c r="D1055" s="50"/>
      <c r="E1055" s="50"/>
    </row>
    <row r="1056" spans="1:5" x14ac:dyDescent="0.3">
      <c r="A1056" s="53">
        <v>6391551</v>
      </c>
      <c r="B1056" s="49" t="s">
        <v>934</v>
      </c>
      <c r="C1056" s="51">
        <v>26.79</v>
      </c>
      <c r="D1056" s="50"/>
      <c r="E1056" s="50"/>
    </row>
    <row r="1057" spans="1:5" x14ac:dyDescent="0.3">
      <c r="A1057" s="53">
        <v>6046970</v>
      </c>
      <c r="B1057" s="49" t="s">
        <v>7157</v>
      </c>
      <c r="C1057" s="51">
        <v>17.07</v>
      </c>
      <c r="D1057" s="50"/>
      <c r="E1057" s="50"/>
    </row>
    <row r="1058" spans="1:5" x14ac:dyDescent="0.3">
      <c r="A1058" s="53">
        <v>6046969</v>
      </c>
      <c r="B1058" s="49" t="s">
        <v>7158</v>
      </c>
      <c r="C1058" s="51">
        <v>17.07</v>
      </c>
      <c r="D1058" s="50"/>
      <c r="E1058" s="50"/>
    </row>
    <row r="1059" spans="1:5" x14ac:dyDescent="0.3">
      <c r="A1059" s="53">
        <v>6391541</v>
      </c>
      <c r="B1059" s="49" t="s">
        <v>938</v>
      </c>
      <c r="C1059" s="51">
        <v>254.89</v>
      </c>
      <c r="D1059" s="50"/>
      <c r="E1059" s="50"/>
    </row>
    <row r="1060" spans="1:5" x14ac:dyDescent="0.3">
      <c r="A1060" s="53">
        <v>6391534</v>
      </c>
      <c r="B1060" s="49" t="s">
        <v>940</v>
      </c>
      <c r="C1060" s="51">
        <v>107.3</v>
      </c>
      <c r="D1060" s="50"/>
      <c r="E1060" s="50"/>
    </row>
    <row r="1061" spans="1:5" x14ac:dyDescent="0.3">
      <c r="A1061" s="53">
        <v>6046971</v>
      </c>
      <c r="B1061" s="49" t="s">
        <v>941</v>
      </c>
      <c r="C1061" s="51">
        <v>20.420000000000002</v>
      </c>
      <c r="D1061" s="50"/>
      <c r="E1061" s="50"/>
    </row>
    <row r="1062" spans="1:5" x14ac:dyDescent="0.3">
      <c r="A1062" s="53">
        <v>6040302</v>
      </c>
      <c r="B1062" s="49" t="s">
        <v>7159</v>
      </c>
      <c r="C1062" s="51">
        <v>27.89</v>
      </c>
      <c r="D1062" s="50"/>
      <c r="E1062" s="50"/>
    </row>
    <row r="1063" spans="1:5" x14ac:dyDescent="0.3">
      <c r="A1063" s="53">
        <v>6040274</v>
      </c>
      <c r="B1063" s="49" t="s">
        <v>7160</v>
      </c>
      <c r="C1063" s="51">
        <v>11.66</v>
      </c>
      <c r="D1063" s="50"/>
      <c r="E1063" s="50"/>
    </row>
    <row r="1064" spans="1:5" x14ac:dyDescent="0.3">
      <c r="A1064" s="53">
        <v>6038910</v>
      </c>
      <c r="B1064" s="49" t="s">
        <v>7161</v>
      </c>
      <c r="C1064" s="51">
        <v>14.9</v>
      </c>
      <c r="D1064" s="50"/>
      <c r="E1064" s="50"/>
    </row>
    <row r="1065" spans="1:5" x14ac:dyDescent="0.3">
      <c r="A1065" s="53">
        <v>6038889</v>
      </c>
      <c r="B1065" s="49" t="s">
        <v>7162</v>
      </c>
      <c r="C1065" s="51">
        <v>14.9</v>
      </c>
      <c r="D1065" s="50"/>
      <c r="E1065" s="50"/>
    </row>
    <row r="1066" spans="1:5" x14ac:dyDescent="0.3">
      <c r="A1066" s="53">
        <v>6038911</v>
      </c>
      <c r="B1066" s="49" t="s">
        <v>7163</v>
      </c>
      <c r="C1066" s="51">
        <v>14.9</v>
      </c>
      <c r="D1066" s="50"/>
      <c r="E1066" s="50"/>
    </row>
    <row r="1067" spans="1:5" x14ac:dyDescent="0.3">
      <c r="A1067" s="53">
        <v>6020476</v>
      </c>
      <c r="B1067" s="49" t="s">
        <v>7164</v>
      </c>
      <c r="C1067" s="51">
        <v>42.69</v>
      </c>
      <c r="D1067" s="50"/>
      <c r="E1067" s="50"/>
    </row>
    <row r="1068" spans="1:5" x14ac:dyDescent="0.3">
      <c r="A1068" s="53">
        <v>6020457</v>
      </c>
      <c r="B1068" s="49" t="s">
        <v>7165</v>
      </c>
      <c r="C1068" s="51">
        <v>43.98</v>
      </c>
      <c r="D1068" s="50"/>
      <c r="E1068" s="50"/>
    </row>
    <row r="1069" spans="1:5" x14ac:dyDescent="0.3">
      <c r="A1069" s="53">
        <v>6020477</v>
      </c>
      <c r="B1069" s="49" t="s">
        <v>7166</v>
      </c>
      <c r="C1069" s="51">
        <v>43.98</v>
      </c>
      <c r="D1069" s="50"/>
      <c r="E1069" s="50"/>
    </row>
    <row r="1070" spans="1:5" x14ac:dyDescent="0.3">
      <c r="A1070" s="53">
        <v>6059434</v>
      </c>
      <c r="B1070" s="49" t="s">
        <v>7167</v>
      </c>
      <c r="C1070" s="51">
        <v>11.76</v>
      </c>
      <c r="D1070" s="50"/>
      <c r="E1070" s="50"/>
    </row>
    <row r="1071" spans="1:5" x14ac:dyDescent="0.3">
      <c r="A1071" s="53">
        <v>6059429</v>
      </c>
      <c r="B1071" s="49" t="s">
        <v>7168</v>
      </c>
      <c r="C1071" s="51">
        <v>12.11</v>
      </c>
      <c r="D1071" s="50"/>
      <c r="E1071" s="50"/>
    </row>
    <row r="1072" spans="1:5" x14ac:dyDescent="0.3">
      <c r="A1072" s="53">
        <v>6059435</v>
      </c>
      <c r="B1072" s="49" t="s">
        <v>7169</v>
      </c>
      <c r="C1072" s="51">
        <v>11.76</v>
      </c>
      <c r="D1072" s="50"/>
      <c r="E1072" s="50"/>
    </row>
    <row r="1073" spans="1:5" x14ac:dyDescent="0.3">
      <c r="A1073" s="53">
        <v>6093278</v>
      </c>
      <c r="B1073" s="49" t="s">
        <v>7170</v>
      </c>
      <c r="C1073" s="51">
        <v>30.52</v>
      </c>
      <c r="D1073" s="50"/>
      <c r="E1073" s="50"/>
    </row>
    <row r="1074" spans="1:5" x14ac:dyDescent="0.3">
      <c r="A1074" s="53">
        <v>6091934</v>
      </c>
      <c r="B1074" s="49" t="s">
        <v>7171</v>
      </c>
      <c r="C1074" s="51">
        <v>30.17</v>
      </c>
      <c r="D1074" s="50"/>
      <c r="E1074" s="50"/>
    </row>
    <row r="1075" spans="1:5" x14ac:dyDescent="0.3">
      <c r="A1075" s="53">
        <v>6391561</v>
      </c>
      <c r="B1075" s="49" t="s">
        <v>7172</v>
      </c>
      <c r="C1075" s="51">
        <v>21.95</v>
      </c>
      <c r="D1075" s="50"/>
      <c r="E1075" s="50"/>
    </row>
    <row r="1076" spans="1:5" x14ac:dyDescent="0.3">
      <c r="A1076" s="53">
        <v>6391545</v>
      </c>
      <c r="B1076" s="49" t="s">
        <v>7173</v>
      </c>
      <c r="C1076" s="51">
        <v>134.38</v>
      </c>
      <c r="D1076" s="50"/>
      <c r="E1076" s="50"/>
    </row>
    <row r="1077" spans="1:5" x14ac:dyDescent="0.3">
      <c r="A1077" s="53">
        <v>6373274</v>
      </c>
      <c r="B1077" s="49" t="s">
        <v>1271</v>
      </c>
      <c r="C1077" s="51">
        <v>80.989999999999995</v>
      </c>
      <c r="D1077" s="50"/>
      <c r="E1077" s="50"/>
    </row>
    <row r="1078" spans="1:5" x14ac:dyDescent="0.3">
      <c r="A1078" s="53">
        <v>6373242</v>
      </c>
      <c r="B1078" s="49" t="s">
        <v>1272</v>
      </c>
      <c r="C1078" s="51">
        <v>68.72</v>
      </c>
      <c r="D1078" s="50"/>
      <c r="E1078" s="50"/>
    </row>
    <row r="1079" spans="1:5" x14ac:dyDescent="0.3">
      <c r="A1079" s="53">
        <v>6373251</v>
      </c>
      <c r="B1079" s="49" t="s">
        <v>1273</v>
      </c>
      <c r="C1079" s="51">
        <v>78.8</v>
      </c>
      <c r="D1079" s="50"/>
      <c r="E1079" s="50"/>
    </row>
    <row r="1080" spans="1:5" x14ac:dyDescent="0.3">
      <c r="A1080" s="53">
        <v>6384971</v>
      </c>
      <c r="B1080" s="49" t="s">
        <v>1274</v>
      </c>
      <c r="C1080" s="51">
        <v>94.09</v>
      </c>
      <c r="D1080" s="50"/>
      <c r="E1080" s="50"/>
    </row>
    <row r="1081" spans="1:5" x14ac:dyDescent="0.3">
      <c r="A1081" s="53">
        <v>6373135</v>
      </c>
      <c r="B1081" s="49" t="s">
        <v>1275</v>
      </c>
      <c r="C1081" s="51">
        <v>40.03</v>
      </c>
      <c r="D1081" s="50"/>
      <c r="E1081" s="50"/>
    </row>
    <row r="1082" spans="1:5" x14ac:dyDescent="0.3">
      <c r="A1082" s="53">
        <v>5232513</v>
      </c>
      <c r="B1082" s="49" t="s">
        <v>1276</v>
      </c>
      <c r="C1082" s="51">
        <v>31.72</v>
      </c>
      <c r="D1082" s="50"/>
      <c r="E1082" s="50"/>
    </row>
    <row r="1083" spans="1:5" x14ac:dyDescent="0.3">
      <c r="A1083" s="53">
        <v>6389155</v>
      </c>
      <c r="B1083" s="49" t="s">
        <v>1277</v>
      </c>
      <c r="C1083" s="51">
        <v>29.46</v>
      </c>
      <c r="D1083" s="50"/>
      <c r="E1083" s="50"/>
    </row>
    <row r="1084" spans="1:5" x14ac:dyDescent="0.3">
      <c r="A1084" s="53">
        <v>6107813</v>
      </c>
      <c r="B1084" s="49" t="s">
        <v>948</v>
      </c>
      <c r="C1084" s="51">
        <v>24.97</v>
      </c>
      <c r="D1084" s="50"/>
      <c r="E1084" s="50"/>
    </row>
    <row r="1085" spans="1:5" x14ac:dyDescent="0.3">
      <c r="A1085" s="53">
        <v>6107296</v>
      </c>
      <c r="B1085" s="49" t="s">
        <v>949</v>
      </c>
      <c r="C1085" s="51">
        <v>28.13</v>
      </c>
      <c r="D1085" s="50"/>
      <c r="E1085" s="50"/>
    </row>
    <row r="1086" spans="1:5" x14ac:dyDescent="0.3">
      <c r="A1086" s="53">
        <v>6107254</v>
      </c>
      <c r="B1086" s="49" t="s">
        <v>954</v>
      </c>
      <c r="C1086" s="51">
        <v>24.68</v>
      </c>
      <c r="D1086" s="50"/>
      <c r="E1086" s="50"/>
    </row>
    <row r="1087" spans="1:5" x14ac:dyDescent="0.3">
      <c r="A1087" s="53">
        <v>6107289</v>
      </c>
      <c r="B1087" s="49" t="s">
        <v>956</v>
      </c>
      <c r="C1087" s="51">
        <v>19.52</v>
      </c>
      <c r="D1087" s="50"/>
      <c r="E1087" s="50"/>
    </row>
    <row r="1088" spans="1:5" x14ac:dyDescent="0.3">
      <c r="A1088" s="53">
        <v>6395772</v>
      </c>
      <c r="B1088" s="49" t="s">
        <v>958</v>
      </c>
      <c r="C1088" s="51">
        <v>6.14</v>
      </c>
      <c r="D1088" s="50"/>
      <c r="E1088" s="50"/>
    </row>
    <row r="1089" spans="1:5" x14ac:dyDescent="0.3">
      <c r="A1089" s="53">
        <v>6395773</v>
      </c>
      <c r="B1089" s="49" t="s">
        <v>960</v>
      </c>
      <c r="C1089" s="51">
        <v>7.83</v>
      </c>
      <c r="D1089" s="50"/>
      <c r="E1089" s="50"/>
    </row>
    <row r="1090" spans="1:5" x14ac:dyDescent="0.3">
      <c r="A1090" s="53">
        <v>6107268</v>
      </c>
      <c r="B1090" s="49" t="s">
        <v>962</v>
      </c>
      <c r="C1090" s="51">
        <v>12.57</v>
      </c>
      <c r="D1090" s="50"/>
      <c r="E1090" s="50"/>
    </row>
    <row r="1091" spans="1:5" x14ac:dyDescent="0.3">
      <c r="A1091" s="53">
        <v>6390806</v>
      </c>
      <c r="B1091" s="49" t="s">
        <v>7174</v>
      </c>
      <c r="C1091" s="51">
        <v>10.119999999999999</v>
      </c>
      <c r="D1091" s="50"/>
      <c r="E1091" s="50"/>
    </row>
    <row r="1092" spans="1:5" x14ac:dyDescent="0.3">
      <c r="A1092" s="53">
        <v>5222655</v>
      </c>
      <c r="B1092" s="49" t="s">
        <v>964</v>
      </c>
      <c r="C1092" s="51">
        <v>32.53</v>
      </c>
      <c r="D1092" s="50"/>
      <c r="E1092" s="50"/>
    </row>
    <row r="1093" spans="1:5" x14ac:dyDescent="0.3">
      <c r="A1093" s="53">
        <v>6107276</v>
      </c>
      <c r="B1093" s="49" t="s">
        <v>965</v>
      </c>
      <c r="C1093" s="51">
        <v>7.98</v>
      </c>
      <c r="D1093" s="50"/>
      <c r="E1093" s="50"/>
    </row>
    <row r="1094" spans="1:5" x14ac:dyDescent="0.3">
      <c r="A1094" s="53">
        <v>5222629</v>
      </c>
      <c r="B1094" s="49" t="s">
        <v>967</v>
      </c>
      <c r="C1094" s="51">
        <v>25.76</v>
      </c>
      <c r="D1094" s="50"/>
      <c r="E1094" s="50"/>
    </row>
    <row r="1095" spans="1:5" x14ac:dyDescent="0.3">
      <c r="A1095" s="53">
        <v>5222622</v>
      </c>
      <c r="B1095" s="49" t="s">
        <v>7175</v>
      </c>
      <c r="C1095" s="51">
        <v>29.65</v>
      </c>
      <c r="D1095" s="50"/>
      <c r="E1095" s="50"/>
    </row>
    <row r="1096" spans="1:5" x14ac:dyDescent="0.3">
      <c r="A1096" s="53">
        <v>6386673</v>
      </c>
      <c r="B1096" s="49" t="s">
        <v>631</v>
      </c>
      <c r="C1096" s="51">
        <v>4.2</v>
      </c>
      <c r="D1096" s="50"/>
      <c r="E1096" s="50"/>
    </row>
    <row r="1097" spans="1:5" x14ac:dyDescent="0.3">
      <c r="A1097" s="53">
        <v>6386665</v>
      </c>
      <c r="B1097" s="49" t="s">
        <v>632</v>
      </c>
      <c r="C1097" s="51">
        <v>43.05</v>
      </c>
      <c r="D1097" s="50"/>
      <c r="E1097" s="50"/>
    </row>
    <row r="1098" spans="1:5" x14ac:dyDescent="0.3">
      <c r="A1098" s="53">
        <v>6404056</v>
      </c>
      <c r="B1098" s="49" t="s">
        <v>636</v>
      </c>
      <c r="C1098" s="51">
        <v>35.5</v>
      </c>
      <c r="D1098" s="50"/>
      <c r="E1098" s="50"/>
    </row>
    <row r="1099" spans="1:5" x14ac:dyDescent="0.3">
      <c r="A1099" s="53">
        <v>6389623</v>
      </c>
      <c r="B1099" s="49" t="s">
        <v>637</v>
      </c>
      <c r="C1099" s="51">
        <v>47.03</v>
      </c>
      <c r="D1099" s="50"/>
      <c r="E1099" s="50"/>
    </row>
    <row r="1100" spans="1:5" x14ac:dyDescent="0.3">
      <c r="A1100" s="53">
        <v>6386669</v>
      </c>
      <c r="B1100" s="49" t="s">
        <v>639</v>
      </c>
      <c r="C1100" s="51">
        <v>12.35</v>
      </c>
      <c r="D1100" s="50"/>
      <c r="E1100" s="50"/>
    </row>
    <row r="1101" spans="1:5" x14ac:dyDescent="0.3">
      <c r="A1101" s="53">
        <v>6386670</v>
      </c>
      <c r="B1101" s="49" t="s">
        <v>640</v>
      </c>
      <c r="C1101" s="51">
        <v>22.61</v>
      </c>
      <c r="D1101" s="50"/>
      <c r="E1101" s="50"/>
    </row>
    <row r="1102" spans="1:5" x14ac:dyDescent="0.3">
      <c r="A1102" s="53">
        <v>6386672</v>
      </c>
      <c r="B1102" s="49" t="s">
        <v>2567</v>
      </c>
      <c r="C1102" s="51">
        <v>10.94</v>
      </c>
      <c r="D1102" s="50"/>
      <c r="E1102" s="50"/>
    </row>
    <row r="1103" spans="1:5" x14ac:dyDescent="0.3">
      <c r="A1103" s="53">
        <v>6107494</v>
      </c>
      <c r="B1103" s="49" t="s">
        <v>7176</v>
      </c>
      <c r="C1103" s="51">
        <v>23.51</v>
      </c>
      <c r="D1103" s="50"/>
      <c r="E1103" s="50"/>
    </row>
    <row r="1104" spans="1:5" x14ac:dyDescent="0.3">
      <c r="A1104" s="53">
        <v>5583720</v>
      </c>
      <c r="B1104" s="49" t="s">
        <v>909</v>
      </c>
      <c r="C1104" s="51">
        <v>17.46</v>
      </c>
      <c r="D1104" s="50"/>
      <c r="E1104" s="50"/>
    </row>
    <row r="1105" spans="1:5" x14ac:dyDescent="0.3">
      <c r="A1105" s="53">
        <v>5583723</v>
      </c>
      <c r="B1105" s="49" t="s">
        <v>910</v>
      </c>
      <c r="C1105" s="51">
        <v>17.46</v>
      </c>
      <c r="D1105" s="50"/>
      <c r="E1105" s="50"/>
    </row>
    <row r="1106" spans="1:5" x14ac:dyDescent="0.3">
      <c r="A1106" s="53">
        <v>6403469</v>
      </c>
      <c r="B1106" s="49" t="s">
        <v>674</v>
      </c>
      <c r="C1106" s="51">
        <v>28.55</v>
      </c>
      <c r="D1106" s="50"/>
      <c r="E1106" s="50"/>
    </row>
    <row r="1107" spans="1:5" x14ac:dyDescent="0.3">
      <c r="A1107" s="53">
        <v>6403744</v>
      </c>
      <c r="B1107" s="49" t="s">
        <v>675</v>
      </c>
      <c r="C1107" s="51">
        <v>21.55</v>
      </c>
      <c r="D1107" s="50"/>
      <c r="E1107" s="50"/>
    </row>
    <row r="1108" spans="1:5" x14ac:dyDescent="0.3">
      <c r="A1108" s="53">
        <v>6403727</v>
      </c>
      <c r="B1108" s="49" t="s">
        <v>676</v>
      </c>
      <c r="C1108" s="51">
        <v>21.55</v>
      </c>
      <c r="D1108" s="50"/>
      <c r="E1108" s="50"/>
    </row>
    <row r="1109" spans="1:5" x14ac:dyDescent="0.3">
      <c r="A1109" s="53">
        <v>6403738</v>
      </c>
      <c r="B1109" s="49" t="s">
        <v>677</v>
      </c>
      <c r="C1109" s="51">
        <v>21.55</v>
      </c>
      <c r="D1109" s="50"/>
      <c r="E1109" s="50"/>
    </row>
    <row r="1110" spans="1:5" x14ac:dyDescent="0.3">
      <c r="A1110" s="53">
        <v>6403730</v>
      </c>
      <c r="B1110" s="49" t="s">
        <v>678</v>
      </c>
      <c r="C1110" s="51">
        <v>21.55</v>
      </c>
      <c r="D1110" s="50"/>
      <c r="E1110" s="50"/>
    </row>
    <row r="1111" spans="1:5" x14ac:dyDescent="0.3">
      <c r="A1111" s="53">
        <v>6403851</v>
      </c>
      <c r="B1111" s="49" t="s">
        <v>5142</v>
      </c>
      <c r="C1111" s="51">
        <v>22.72</v>
      </c>
      <c r="D1111" s="50"/>
      <c r="E1111" s="50"/>
    </row>
    <row r="1112" spans="1:5" x14ac:dyDescent="0.3">
      <c r="A1112" s="53">
        <v>6403854</v>
      </c>
      <c r="B1112" s="49" t="s">
        <v>5144</v>
      </c>
      <c r="C1112" s="51">
        <v>22.72</v>
      </c>
      <c r="D1112" s="50"/>
      <c r="E1112" s="50"/>
    </row>
    <row r="1113" spans="1:5" x14ac:dyDescent="0.3">
      <c r="A1113" s="53">
        <v>6403566</v>
      </c>
      <c r="B1113" s="49" t="s">
        <v>912</v>
      </c>
      <c r="C1113" s="51">
        <v>26.22</v>
      </c>
      <c r="D1113" s="50"/>
      <c r="E1113" s="50"/>
    </row>
    <row r="1114" spans="1:5" x14ac:dyDescent="0.3">
      <c r="A1114" s="53">
        <v>6403583</v>
      </c>
      <c r="B1114" s="49" t="s">
        <v>913</v>
      </c>
      <c r="C1114" s="51">
        <v>26.22</v>
      </c>
      <c r="D1114" s="50"/>
      <c r="E1114" s="50"/>
    </row>
    <row r="1115" spans="1:5" x14ac:dyDescent="0.3">
      <c r="A1115" s="53">
        <v>6403630</v>
      </c>
      <c r="B1115" s="49" t="s">
        <v>1163</v>
      </c>
      <c r="C1115" s="51">
        <v>22.13</v>
      </c>
      <c r="D1115" s="50"/>
      <c r="E1115" s="50"/>
    </row>
    <row r="1116" spans="1:5" x14ac:dyDescent="0.3">
      <c r="A1116" s="53">
        <v>6403712</v>
      </c>
      <c r="B1116" s="49" t="s">
        <v>1188</v>
      </c>
      <c r="C1116" s="51">
        <v>22.13</v>
      </c>
      <c r="D1116" s="50"/>
      <c r="E1116" s="50"/>
    </row>
    <row r="1117" spans="1:5" x14ac:dyDescent="0.3">
      <c r="A1117" s="53">
        <v>6403715</v>
      </c>
      <c r="B1117" s="49" t="s">
        <v>1189</v>
      </c>
      <c r="C1117" s="51">
        <v>22.13</v>
      </c>
      <c r="D1117" s="50"/>
      <c r="E1117" s="50"/>
    </row>
    <row r="1118" spans="1:5" x14ac:dyDescent="0.3">
      <c r="A1118" s="53">
        <v>6403637</v>
      </c>
      <c r="B1118" s="49" t="s">
        <v>1264</v>
      </c>
      <c r="C1118" s="51">
        <v>29.13</v>
      </c>
      <c r="D1118" s="50"/>
      <c r="E1118" s="50"/>
    </row>
    <row r="1119" spans="1:5" x14ac:dyDescent="0.3">
      <c r="A1119" s="53">
        <v>6403654</v>
      </c>
      <c r="B1119" s="49" t="s">
        <v>1265</v>
      </c>
      <c r="C1119" s="51">
        <v>29.13</v>
      </c>
      <c r="D1119" s="50"/>
      <c r="E1119" s="50"/>
    </row>
    <row r="1120" spans="1:5" x14ac:dyDescent="0.3">
      <c r="A1120" s="53">
        <v>6403648</v>
      </c>
      <c r="B1120" s="49" t="s">
        <v>1266</v>
      </c>
      <c r="C1120" s="51">
        <v>29.13</v>
      </c>
      <c r="D1120" s="50"/>
      <c r="E1120" s="50"/>
    </row>
    <row r="1121" spans="1:5" x14ac:dyDescent="0.3">
      <c r="A1121" s="53">
        <v>6108960</v>
      </c>
      <c r="B1121" s="49" t="s">
        <v>658</v>
      </c>
      <c r="C1121" s="51">
        <v>6.27</v>
      </c>
      <c r="D1121" s="50"/>
      <c r="E1121" s="50"/>
    </row>
    <row r="1122" spans="1:5" x14ac:dyDescent="0.3">
      <c r="A1122" s="53">
        <v>6108982</v>
      </c>
      <c r="B1122" s="49" t="s">
        <v>659</v>
      </c>
      <c r="C1122" s="51">
        <v>6</v>
      </c>
      <c r="D1122" s="50"/>
      <c r="E1122" s="50"/>
    </row>
    <row r="1123" spans="1:5" x14ac:dyDescent="0.3">
      <c r="A1123" s="53">
        <v>6108983</v>
      </c>
      <c r="B1123" s="49" t="s">
        <v>660</v>
      </c>
      <c r="C1123" s="51">
        <v>5.68</v>
      </c>
      <c r="D1123" s="50"/>
      <c r="E1123" s="50"/>
    </row>
    <row r="1124" spans="1:5" x14ac:dyDescent="0.3">
      <c r="A1124" s="53">
        <v>6108953</v>
      </c>
      <c r="B1124" s="49" t="s">
        <v>661</v>
      </c>
      <c r="C1124" s="51">
        <v>6.27</v>
      </c>
      <c r="D1124" s="50"/>
      <c r="E1124" s="50"/>
    </row>
    <row r="1125" spans="1:5" x14ac:dyDescent="0.3">
      <c r="A1125" s="53">
        <v>6108955</v>
      </c>
      <c r="B1125" s="49" t="s">
        <v>662</v>
      </c>
      <c r="C1125" s="51">
        <v>6.27</v>
      </c>
      <c r="D1125" s="50"/>
      <c r="E1125" s="50"/>
    </row>
    <row r="1126" spans="1:5" x14ac:dyDescent="0.3">
      <c r="A1126" s="53">
        <v>6108961</v>
      </c>
      <c r="B1126" s="49" t="s">
        <v>679</v>
      </c>
      <c r="C1126" s="51">
        <v>7.58</v>
      </c>
      <c r="D1126" s="50"/>
      <c r="E1126" s="50"/>
    </row>
    <row r="1127" spans="1:5" x14ac:dyDescent="0.3">
      <c r="A1127" s="53">
        <v>6189800</v>
      </c>
      <c r="B1127" s="49" t="s">
        <v>7177</v>
      </c>
      <c r="C1127" s="51">
        <v>3.14</v>
      </c>
      <c r="D1127" s="50"/>
      <c r="E1127" s="50"/>
    </row>
    <row r="1128" spans="1:5" x14ac:dyDescent="0.3">
      <c r="A1128" s="53">
        <v>6189841</v>
      </c>
      <c r="B1128" s="49" t="s">
        <v>7178</v>
      </c>
      <c r="C1128" s="51">
        <v>9.8800000000000008</v>
      </c>
      <c r="D1128" s="50"/>
      <c r="E1128" s="50"/>
    </row>
    <row r="1129" spans="1:5" x14ac:dyDescent="0.3">
      <c r="A1129" s="53">
        <v>6189826</v>
      </c>
      <c r="B1129" s="49" t="s">
        <v>7179</v>
      </c>
      <c r="C1129" s="51">
        <v>3.49</v>
      </c>
      <c r="D1129" s="50"/>
      <c r="E1129" s="50"/>
    </row>
    <row r="1130" spans="1:5" x14ac:dyDescent="0.3">
      <c r="A1130" s="53">
        <v>6189831</v>
      </c>
      <c r="B1130" s="49" t="s">
        <v>7180</v>
      </c>
      <c r="C1130" s="51">
        <v>3.84</v>
      </c>
      <c r="D1130" s="50"/>
      <c r="E1130" s="50"/>
    </row>
    <row r="1131" spans="1:5" x14ac:dyDescent="0.3">
      <c r="A1131" s="53">
        <v>6189799</v>
      </c>
      <c r="B1131" s="49" t="s">
        <v>7181</v>
      </c>
      <c r="C1131" s="51">
        <v>4.32</v>
      </c>
      <c r="D1131" s="50"/>
      <c r="E1131" s="50"/>
    </row>
    <row r="1132" spans="1:5" x14ac:dyDescent="0.3">
      <c r="A1132" s="53">
        <v>6189788</v>
      </c>
      <c r="B1132" s="49" t="s">
        <v>7182</v>
      </c>
      <c r="C1132" s="51">
        <v>8.23</v>
      </c>
      <c r="D1132" s="50"/>
      <c r="E1132" s="50"/>
    </row>
    <row r="1133" spans="1:5" x14ac:dyDescent="0.3">
      <c r="A1133" s="53">
        <v>6189789</v>
      </c>
      <c r="B1133" s="49" t="s">
        <v>7183</v>
      </c>
      <c r="C1133" s="51">
        <v>7.41</v>
      </c>
      <c r="D1133" s="50"/>
      <c r="E1133" s="50"/>
    </row>
    <row r="1134" spans="1:5" x14ac:dyDescent="0.3">
      <c r="A1134" s="53">
        <v>6189829</v>
      </c>
      <c r="B1134" s="49" t="s">
        <v>7184</v>
      </c>
      <c r="C1134" s="51">
        <v>4.58</v>
      </c>
      <c r="D1134" s="50"/>
      <c r="E1134" s="50"/>
    </row>
    <row r="1135" spans="1:5" x14ac:dyDescent="0.3">
      <c r="A1135" s="53">
        <v>6140633</v>
      </c>
      <c r="B1135" s="49" t="s">
        <v>1267</v>
      </c>
      <c r="C1135" s="51">
        <v>17.07</v>
      </c>
      <c r="D1135" s="50"/>
      <c r="E1135" s="50"/>
    </row>
    <row r="1136" spans="1:5" x14ac:dyDescent="0.3">
      <c r="A1136" s="53">
        <v>6140630</v>
      </c>
      <c r="B1136" s="49" t="s">
        <v>1269</v>
      </c>
      <c r="C1136" s="51">
        <v>13.31</v>
      </c>
      <c r="D1136" s="50"/>
      <c r="E1136" s="50"/>
    </row>
    <row r="1137" spans="1:5" x14ac:dyDescent="0.3">
      <c r="A1137" s="53">
        <v>6140629</v>
      </c>
      <c r="B1137" s="49" t="s">
        <v>1270</v>
      </c>
      <c r="C1137" s="51">
        <v>38</v>
      </c>
      <c r="D1137" s="50"/>
      <c r="E1137" s="50"/>
    </row>
    <row r="1138" spans="1:5" x14ac:dyDescent="0.3">
      <c r="A1138" s="53">
        <v>6090339</v>
      </c>
      <c r="B1138" s="49" t="s">
        <v>1158</v>
      </c>
      <c r="C1138" s="51">
        <v>8.9700000000000006</v>
      </c>
      <c r="D1138" s="50"/>
      <c r="E1138" s="50"/>
    </row>
    <row r="1139" spans="1:5" x14ac:dyDescent="0.3">
      <c r="A1139" s="53">
        <v>6188829</v>
      </c>
      <c r="B1139" s="49" t="s">
        <v>1159</v>
      </c>
      <c r="C1139" s="51">
        <v>17.77</v>
      </c>
      <c r="D1139" s="50"/>
      <c r="E1139" s="50"/>
    </row>
    <row r="1140" spans="1:5" x14ac:dyDescent="0.3">
      <c r="A1140" s="53">
        <v>6188976</v>
      </c>
      <c r="B1140" s="49" t="s">
        <v>1160</v>
      </c>
      <c r="C1140" s="51">
        <v>11.17</v>
      </c>
      <c r="D1140" s="50"/>
      <c r="E1140" s="5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B37C-B365-433D-B3BF-0DD5EEF5B110}">
  <dimension ref="A1:C1747"/>
  <sheetViews>
    <sheetView topLeftCell="A277" workbookViewId="0">
      <selection activeCell="E306" sqref="E306"/>
    </sheetView>
  </sheetViews>
  <sheetFormatPr defaultRowHeight="14.4" x14ac:dyDescent="0.3"/>
  <cols>
    <col min="2" max="2" width="56.21875" bestFit="1" customWidth="1"/>
  </cols>
  <sheetData>
    <row r="1" spans="1:3" x14ac:dyDescent="0.3">
      <c r="A1" s="27" t="s">
        <v>2993</v>
      </c>
      <c r="B1" s="27" t="s">
        <v>2994</v>
      </c>
      <c r="C1" s="28" t="s">
        <v>22</v>
      </c>
    </row>
    <row r="2" spans="1:3" x14ac:dyDescent="0.3">
      <c r="A2" s="15" t="s">
        <v>2995</v>
      </c>
      <c r="B2" s="15" t="s">
        <v>1164</v>
      </c>
      <c r="C2" s="7">
        <v>34.21</v>
      </c>
    </row>
    <row r="3" spans="1:3" x14ac:dyDescent="0.3">
      <c r="A3" s="15" t="s">
        <v>2996</v>
      </c>
      <c r="B3" s="15" t="s">
        <v>2997</v>
      </c>
      <c r="C3" s="7">
        <v>61.99</v>
      </c>
    </row>
    <row r="4" spans="1:3" x14ac:dyDescent="0.3">
      <c r="A4" s="15" t="s">
        <v>2998</v>
      </c>
      <c r="B4" s="15" t="s">
        <v>1187</v>
      </c>
      <c r="C4" s="7">
        <v>41.08</v>
      </c>
    </row>
    <row r="5" spans="1:3" x14ac:dyDescent="0.3">
      <c r="A5" s="15" t="s">
        <v>2999</v>
      </c>
      <c r="B5" s="15" t="s">
        <v>1161</v>
      </c>
      <c r="C5" s="7">
        <v>17.989999999999998</v>
      </c>
    </row>
    <row r="6" spans="1:3" x14ac:dyDescent="0.3">
      <c r="A6" s="15" t="s">
        <v>3000</v>
      </c>
      <c r="B6" s="15" t="s">
        <v>1162</v>
      </c>
      <c r="C6" s="7">
        <v>36.92</v>
      </c>
    </row>
    <row r="7" spans="1:3" x14ac:dyDescent="0.3">
      <c r="A7" s="15" t="s">
        <v>3001</v>
      </c>
      <c r="B7" s="15" t="s">
        <v>1117</v>
      </c>
      <c r="C7" s="7">
        <v>15.61</v>
      </c>
    </row>
    <row r="8" spans="1:3" x14ac:dyDescent="0.3">
      <c r="A8" s="15" t="s">
        <v>3002</v>
      </c>
      <c r="B8" s="15" t="s">
        <v>1118</v>
      </c>
      <c r="C8" s="7">
        <v>32.69</v>
      </c>
    </row>
    <row r="9" spans="1:3" x14ac:dyDescent="0.3">
      <c r="A9" s="15" t="s">
        <v>3003</v>
      </c>
      <c r="B9" s="15" t="s">
        <v>557</v>
      </c>
      <c r="C9" s="7">
        <v>22.06</v>
      </c>
    </row>
    <row r="10" spans="1:3" x14ac:dyDescent="0.3">
      <c r="A10" s="15" t="s">
        <v>3004</v>
      </c>
      <c r="B10" s="15" t="s">
        <v>558</v>
      </c>
      <c r="C10" s="7">
        <v>39.96</v>
      </c>
    </row>
    <row r="11" spans="1:3" x14ac:dyDescent="0.3">
      <c r="A11" s="15" t="s">
        <v>3005</v>
      </c>
      <c r="B11" s="15" t="s">
        <v>563</v>
      </c>
      <c r="C11" s="7">
        <v>28.76</v>
      </c>
    </row>
    <row r="12" spans="1:3" x14ac:dyDescent="0.3">
      <c r="A12" s="15" t="s">
        <v>3006</v>
      </c>
      <c r="B12" s="15" t="s">
        <v>547</v>
      </c>
      <c r="C12" s="7">
        <v>15.48</v>
      </c>
    </row>
    <row r="13" spans="1:3" x14ac:dyDescent="0.3">
      <c r="A13" s="15" t="s">
        <v>3007</v>
      </c>
      <c r="B13" s="15" t="s">
        <v>548</v>
      </c>
      <c r="C13" s="7">
        <v>33.630000000000003</v>
      </c>
    </row>
    <row r="14" spans="1:3" x14ac:dyDescent="0.3">
      <c r="A14" s="15" t="s">
        <v>3008</v>
      </c>
      <c r="B14" s="15" t="s">
        <v>541</v>
      </c>
      <c r="C14" s="7">
        <v>15.48</v>
      </c>
    </row>
    <row r="15" spans="1:3" x14ac:dyDescent="0.3">
      <c r="A15" s="15" t="s">
        <v>3009</v>
      </c>
      <c r="B15" s="15" t="s">
        <v>542</v>
      </c>
      <c r="C15" s="7">
        <v>33.630000000000003</v>
      </c>
    </row>
    <row r="16" spans="1:3" x14ac:dyDescent="0.3">
      <c r="A16" s="15" t="s">
        <v>3010</v>
      </c>
      <c r="B16" s="15" t="s">
        <v>570</v>
      </c>
      <c r="C16" s="7">
        <v>62.03</v>
      </c>
    </row>
    <row r="17" spans="1:3" x14ac:dyDescent="0.3">
      <c r="A17" s="15" t="s">
        <v>3011</v>
      </c>
      <c r="B17" s="15" t="s">
        <v>568</v>
      </c>
      <c r="C17" s="7">
        <v>39.409999999999997</v>
      </c>
    </row>
    <row r="18" spans="1:3" x14ac:dyDescent="0.3">
      <c r="A18" s="15" t="s">
        <v>3012</v>
      </c>
      <c r="B18" s="15" t="s">
        <v>484</v>
      </c>
      <c r="C18" s="7">
        <v>23.61</v>
      </c>
    </row>
    <row r="19" spans="1:3" x14ac:dyDescent="0.3">
      <c r="A19" s="15" t="s">
        <v>3013</v>
      </c>
      <c r="B19" s="15" t="s">
        <v>119</v>
      </c>
      <c r="C19" s="7">
        <v>24.67</v>
      </c>
    </row>
    <row r="20" spans="1:3" x14ac:dyDescent="0.3">
      <c r="A20" s="15" t="s">
        <v>3014</v>
      </c>
      <c r="B20" s="15" t="s">
        <v>218</v>
      </c>
      <c r="C20" s="7">
        <v>23.38</v>
      </c>
    </row>
    <row r="21" spans="1:3" x14ac:dyDescent="0.3">
      <c r="A21" s="15" t="s">
        <v>3015</v>
      </c>
      <c r="B21" s="15" t="s">
        <v>50</v>
      </c>
      <c r="C21" s="7">
        <v>21.24</v>
      </c>
    </row>
    <row r="22" spans="1:3" x14ac:dyDescent="0.3">
      <c r="A22" s="15" t="s">
        <v>3016</v>
      </c>
      <c r="B22" s="15" t="s">
        <v>51</v>
      </c>
      <c r="C22" s="7">
        <v>31.788329999999998</v>
      </c>
    </row>
    <row r="23" spans="1:3" x14ac:dyDescent="0.3">
      <c r="A23" s="15" t="s">
        <v>3017</v>
      </c>
      <c r="B23" s="15" t="s">
        <v>216</v>
      </c>
      <c r="C23" s="7">
        <v>19.66</v>
      </c>
    </row>
    <row r="24" spans="1:3" x14ac:dyDescent="0.3">
      <c r="A24" s="15" t="s">
        <v>3018</v>
      </c>
      <c r="B24" s="15" t="s">
        <v>581</v>
      </c>
      <c r="C24" s="7">
        <v>49.18</v>
      </c>
    </row>
    <row r="25" spans="1:3" x14ac:dyDescent="0.3">
      <c r="A25" s="15" t="s">
        <v>3019</v>
      </c>
      <c r="B25" s="15" t="s">
        <v>556</v>
      </c>
      <c r="C25" s="7">
        <v>11.25</v>
      </c>
    </row>
    <row r="26" spans="1:3" x14ac:dyDescent="0.3">
      <c r="A26" s="15" t="s">
        <v>3020</v>
      </c>
      <c r="B26" s="15" t="s">
        <v>464</v>
      </c>
      <c r="C26" s="7">
        <v>47.12</v>
      </c>
    </row>
    <row r="27" spans="1:3" x14ac:dyDescent="0.3">
      <c r="A27" s="15" t="s">
        <v>3021</v>
      </c>
      <c r="B27" s="15" t="s">
        <v>467</v>
      </c>
      <c r="C27" s="7">
        <v>47.12</v>
      </c>
    </row>
    <row r="28" spans="1:3" x14ac:dyDescent="0.3">
      <c r="A28" s="15" t="s">
        <v>3022</v>
      </c>
      <c r="B28" s="15" t="s">
        <v>235</v>
      </c>
      <c r="C28" s="7">
        <v>29.74</v>
      </c>
    </row>
    <row r="29" spans="1:3" x14ac:dyDescent="0.3">
      <c r="A29" s="15" t="s">
        <v>3023</v>
      </c>
      <c r="B29" s="15" t="s">
        <v>110</v>
      </c>
      <c r="C29" s="7">
        <v>8.7200000000000006</v>
      </c>
    </row>
    <row r="30" spans="1:3" x14ac:dyDescent="0.3">
      <c r="A30" s="15" t="s">
        <v>3024</v>
      </c>
      <c r="B30" s="15" t="s">
        <v>111</v>
      </c>
      <c r="C30" s="7">
        <v>15.89</v>
      </c>
    </row>
    <row r="31" spans="1:3" x14ac:dyDescent="0.3">
      <c r="A31" s="15" t="s">
        <v>3025</v>
      </c>
      <c r="B31" s="15" t="s">
        <v>583</v>
      </c>
      <c r="C31" s="7">
        <v>27.31</v>
      </c>
    </row>
    <row r="32" spans="1:3" x14ac:dyDescent="0.3">
      <c r="A32" s="15" t="s">
        <v>3026</v>
      </c>
      <c r="B32" s="15" t="s">
        <v>582</v>
      </c>
      <c r="C32" s="7">
        <v>16.350000000000001</v>
      </c>
    </row>
    <row r="33" spans="1:3" x14ac:dyDescent="0.3">
      <c r="A33" s="15" t="s">
        <v>3027</v>
      </c>
      <c r="B33" s="15" t="s">
        <v>463</v>
      </c>
      <c r="C33" s="7">
        <v>24.11</v>
      </c>
    </row>
    <row r="34" spans="1:3" x14ac:dyDescent="0.3">
      <c r="A34" s="15" t="s">
        <v>3028</v>
      </c>
      <c r="B34" s="15" t="s">
        <v>466</v>
      </c>
      <c r="C34" s="7">
        <v>24.11</v>
      </c>
    </row>
    <row r="35" spans="1:3" x14ac:dyDescent="0.3">
      <c r="A35" s="15" t="s">
        <v>3029</v>
      </c>
      <c r="B35" s="15" t="s">
        <v>309</v>
      </c>
      <c r="C35" s="7">
        <v>2.77</v>
      </c>
    </row>
    <row r="36" spans="1:3" x14ac:dyDescent="0.3">
      <c r="A36" s="15" t="s">
        <v>3030</v>
      </c>
      <c r="B36" s="15" t="s">
        <v>331</v>
      </c>
      <c r="C36" s="7">
        <v>9.5500000000000007</v>
      </c>
    </row>
    <row r="37" spans="1:3" x14ac:dyDescent="0.3">
      <c r="A37" s="15" t="s">
        <v>3031</v>
      </c>
      <c r="B37" s="15" t="s">
        <v>324</v>
      </c>
      <c r="C37" s="7">
        <v>18.41</v>
      </c>
    </row>
    <row r="38" spans="1:3" x14ac:dyDescent="0.3">
      <c r="A38" s="15" t="s">
        <v>3032</v>
      </c>
      <c r="B38" s="15" t="s">
        <v>320</v>
      </c>
      <c r="C38" s="7">
        <v>18.41</v>
      </c>
    </row>
    <row r="39" spans="1:3" x14ac:dyDescent="0.3">
      <c r="A39" s="15" t="s">
        <v>3033</v>
      </c>
      <c r="B39" s="15" t="s">
        <v>3034</v>
      </c>
      <c r="C39" s="7">
        <v>10.45</v>
      </c>
    </row>
    <row r="40" spans="1:3" x14ac:dyDescent="0.3">
      <c r="A40" s="15" t="s">
        <v>3035</v>
      </c>
      <c r="B40" s="15" t="s">
        <v>344</v>
      </c>
      <c r="C40" s="7">
        <v>16.52</v>
      </c>
    </row>
    <row r="41" spans="1:3" x14ac:dyDescent="0.3">
      <c r="A41" s="15" t="s">
        <v>3036</v>
      </c>
      <c r="B41" s="15" t="s">
        <v>357</v>
      </c>
      <c r="C41" s="7">
        <v>8.26</v>
      </c>
    </row>
    <row r="42" spans="1:3" x14ac:dyDescent="0.3">
      <c r="A42" s="15" t="s">
        <v>3037</v>
      </c>
      <c r="B42" s="15" t="s">
        <v>358</v>
      </c>
      <c r="C42" s="7">
        <v>16.52</v>
      </c>
    </row>
    <row r="43" spans="1:3" x14ac:dyDescent="0.3">
      <c r="A43" s="15" t="s">
        <v>3038</v>
      </c>
      <c r="B43" s="15" t="s">
        <v>362</v>
      </c>
      <c r="C43" s="7">
        <v>8.26</v>
      </c>
    </row>
    <row r="44" spans="1:3" x14ac:dyDescent="0.3">
      <c r="A44" s="15" t="s">
        <v>3039</v>
      </c>
      <c r="B44" s="15" t="s">
        <v>375</v>
      </c>
      <c r="C44" s="7">
        <v>8.26</v>
      </c>
    </row>
    <row r="45" spans="1:3" x14ac:dyDescent="0.3">
      <c r="A45" s="15" t="s">
        <v>3040</v>
      </c>
      <c r="B45" s="15" t="s">
        <v>376</v>
      </c>
      <c r="C45" s="7">
        <v>16.52</v>
      </c>
    </row>
    <row r="46" spans="1:3" x14ac:dyDescent="0.3">
      <c r="A46" s="15" t="s">
        <v>3041</v>
      </c>
      <c r="B46" s="15" t="s">
        <v>377</v>
      </c>
      <c r="C46" s="7">
        <v>8.26</v>
      </c>
    </row>
    <row r="47" spans="1:3" x14ac:dyDescent="0.3">
      <c r="A47" s="15" t="s">
        <v>3042</v>
      </c>
      <c r="B47" s="15" t="s">
        <v>397</v>
      </c>
      <c r="C47" s="7">
        <v>8.26</v>
      </c>
    </row>
    <row r="48" spans="1:3" x14ac:dyDescent="0.3">
      <c r="A48" s="15" t="s">
        <v>3043</v>
      </c>
      <c r="B48" s="15" t="s">
        <v>398</v>
      </c>
      <c r="C48" s="7">
        <v>16.52</v>
      </c>
    </row>
    <row r="49" spans="1:3" x14ac:dyDescent="0.3">
      <c r="A49" s="15" t="s">
        <v>3044</v>
      </c>
      <c r="B49" s="15" t="s">
        <v>3045</v>
      </c>
      <c r="C49" s="7">
        <v>18.09</v>
      </c>
    </row>
    <row r="50" spans="1:3" x14ac:dyDescent="0.3">
      <c r="A50" s="15" t="s">
        <v>3046</v>
      </c>
      <c r="B50" s="15" t="s">
        <v>3047</v>
      </c>
      <c r="C50" s="7">
        <v>18.98</v>
      </c>
    </row>
    <row r="51" spans="1:3" x14ac:dyDescent="0.3">
      <c r="A51" s="15" t="s">
        <v>3048</v>
      </c>
      <c r="B51" s="15" t="s">
        <v>425</v>
      </c>
      <c r="C51" s="7">
        <v>37.53</v>
      </c>
    </row>
    <row r="52" spans="1:3" x14ac:dyDescent="0.3">
      <c r="A52" s="15" t="s">
        <v>3049</v>
      </c>
      <c r="B52" s="15" t="s">
        <v>444</v>
      </c>
      <c r="C52" s="7">
        <v>57.61</v>
      </c>
    </row>
    <row r="53" spans="1:3" x14ac:dyDescent="0.3">
      <c r="A53" s="15" t="s">
        <v>3050</v>
      </c>
      <c r="B53" s="15" t="s">
        <v>494</v>
      </c>
      <c r="C53" s="7">
        <v>74.900000000000006</v>
      </c>
    </row>
    <row r="54" spans="1:3" x14ac:dyDescent="0.3">
      <c r="A54" s="15" t="s">
        <v>3051</v>
      </c>
      <c r="B54" s="15" t="s">
        <v>493</v>
      </c>
      <c r="C54" s="7">
        <v>74.900000000000006</v>
      </c>
    </row>
    <row r="55" spans="1:3" x14ac:dyDescent="0.3">
      <c r="A55" s="15" t="s">
        <v>3052</v>
      </c>
      <c r="B55" s="15" t="s">
        <v>592</v>
      </c>
      <c r="C55" s="7">
        <v>14.04</v>
      </c>
    </row>
    <row r="56" spans="1:3" x14ac:dyDescent="0.3">
      <c r="A56" s="15" t="s">
        <v>3053</v>
      </c>
      <c r="B56" s="15" t="s">
        <v>989</v>
      </c>
      <c r="C56" s="7">
        <v>9.6300000000000008</v>
      </c>
    </row>
    <row r="57" spans="1:3" x14ac:dyDescent="0.3">
      <c r="A57" s="15" t="s">
        <v>3054</v>
      </c>
      <c r="B57" s="15" t="s">
        <v>3055</v>
      </c>
      <c r="C57" s="7">
        <v>40.049999999999997</v>
      </c>
    </row>
    <row r="58" spans="1:3" x14ac:dyDescent="0.3">
      <c r="A58" s="15" t="s">
        <v>3056</v>
      </c>
      <c r="B58" s="15" t="s">
        <v>986</v>
      </c>
      <c r="C58" s="7">
        <v>50.08</v>
      </c>
    </row>
    <row r="59" spans="1:3" x14ac:dyDescent="0.3">
      <c r="A59" s="15" t="s">
        <v>3057</v>
      </c>
      <c r="B59" s="15" t="s">
        <v>987</v>
      </c>
      <c r="C59" s="7">
        <v>77.48</v>
      </c>
    </row>
    <row r="60" spans="1:3" x14ac:dyDescent="0.3">
      <c r="A60" s="15" t="s">
        <v>3058</v>
      </c>
      <c r="B60" s="15" t="s">
        <v>978</v>
      </c>
      <c r="C60" s="7">
        <v>7.55</v>
      </c>
    </row>
    <row r="61" spans="1:3" x14ac:dyDescent="0.3">
      <c r="A61" s="15" t="s">
        <v>3059</v>
      </c>
      <c r="B61" s="15" t="s">
        <v>977</v>
      </c>
      <c r="C61" s="7">
        <v>50.08</v>
      </c>
    </row>
    <row r="62" spans="1:3" x14ac:dyDescent="0.3">
      <c r="A62" s="15" t="s">
        <v>3060</v>
      </c>
      <c r="B62" s="15" t="s">
        <v>979</v>
      </c>
      <c r="C62" s="7">
        <v>77.48</v>
      </c>
    </row>
    <row r="63" spans="1:3" x14ac:dyDescent="0.3">
      <c r="A63" s="15" t="s">
        <v>3061</v>
      </c>
      <c r="B63" s="15" t="s">
        <v>990</v>
      </c>
      <c r="C63" s="7">
        <v>77.48</v>
      </c>
    </row>
    <row r="64" spans="1:3" x14ac:dyDescent="0.3">
      <c r="A64" s="15" t="s">
        <v>3062</v>
      </c>
      <c r="B64" s="15" t="s">
        <v>983</v>
      </c>
      <c r="C64" s="7">
        <v>50.08</v>
      </c>
    </row>
    <row r="65" spans="1:3" x14ac:dyDescent="0.3">
      <c r="A65" s="15" t="s">
        <v>3063</v>
      </c>
      <c r="B65" s="15" t="s">
        <v>984</v>
      </c>
      <c r="C65" s="7">
        <v>77.48</v>
      </c>
    </row>
    <row r="66" spans="1:3" x14ac:dyDescent="0.3">
      <c r="A66" s="15" t="s">
        <v>3064</v>
      </c>
      <c r="B66" s="15" t="s">
        <v>976</v>
      </c>
      <c r="C66" s="7">
        <v>11.2</v>
      </c>
    </row>
    <row r="67" spans="1:3" x14ac:dyDescent="0.3">
      <c r="A67" s="15" t="s">
        <v>3065</v>
      </c>
      <c r="B67" s="15" t="s">
        <v>992</v>
      </c>
      <c r="C67" s="7">
        <v>13.6</v>
      </c>
    </row>
    <row r="68" spans="1:3" x14ac:dyDescent="0.3">
      <c r="A68" s="15" t="s">
        <v>3066</v>
      </c>
      <c r="B68" s="15" t="s">
        <v>1104</v>
      </c>
      <c r="C68" s="7">
        <v>6.22</v>
      </c>
    </row>
    <row r="69" spans="1:3" x14ac:dyDescent="0.3">
      <c r="A69" s="15" t="s">
        <v>3067</v>
      </c>
      <c r="B69" s="15" t="s">
        <v>1106</v>
      </c>
      <c r="C69" s="7">
        <v>6.58</v>
      </c>
    </row>
    <row r="70" spans="1:3" x14ac:dyDescent="0.3">
      <c r="A70" s="15" t="s">
        <v>3068</v>
      </c>
      <c r="B70" s="15" t="s">
        <v>1105</v>
      </c>
      <c r="C70" s="7">
        <v>12.24</v>
      </c>
    </row>
    <row r="71" spans="1:3" x14ac:dyDescent="0.3">
      <c r="A71" s="15" t="s">
        <v>3069</v>
      </c>
      <c r="B71" s="15" t="s">
        <v>1103</v>
      </c>
      <c r="C71" s="7">
        <v>20.96</v>
      </c>
    </row>
    <row r="72" spans="1:3" x14ac:dyDescent="0.3">
      <c r="A72" s="15" t="s">
        <v>3070</v>
      </c>
      <c r="B72" s="15" t="s">
        <v>1111</v>
      </c>
      <c r="C72" s="7">
        <v>6.27</v>
      </c>
    </row>
    <row r="73" spans="1:3" x14ac:dyDescent="0.3">
      <c r="A73" s="15" t="s">
        <v>3071</v>
      </c>
      <c r="B73" s="15" t="s">
        <v>1112</v>
      </c>
      <c r="C73" s="7">
        <v>12.15</v>
      </c>
    </row>
    <row r="74" spans="1:3" x14ac:dyDescent="0.3">
      <c r="A74" s="15" t="s">
        <v>3072</v>
      </c>
      <c r="B74" s="15" t="s">
        <v>1116</v>
      </c>
      <c r="C74" s="7">
        <v>3.54</v>
      </c>
    </row>
    <row r="75" spans="1:3" x14ac:dyDescent="0.3">
      <c r="A75" s="15" t="s">
        <v>3073</v>
      </c>
      <c r="B75" s="15" t="s">
        <v>1114</v>
      </c>
      <c r="C75" s="7">
        <v>22.69</v>
      </c>
    </row>
    <row r="76" spans="1:3" x14ac:dyDescent="0.3">
      <c r="A76" s="15" t="s">
        <v>3074</v>
      </c>
      <c r="B76" s="15" t="s">
        <v>1102</v>
      </c>
      <c r="C76" s="7">
        <v>2.42</v>
      </c>
    </row>
    <row r="77" spans="1:3" x14ac:dyDescent="0.3">
      <c r="A77" s="15" t="s">
        <v>3075</v>
      </c>
      <c r="B77" s="15" t="s">
        <v>1115</v>
      </c>
      <c r="C77" s="7">
        <v>8.11</v>
      </c>
    </row>
    <row r="78" spans="1:3" x14ac:dyDescent="0.3">
      <c r="A78" s="15" t="s">
        <v>3076</v>
      </c>
      <c r="B78" s="15" t="s">
        <v>629</v>
      </c>
      <c r="C78" s="7">
        <v>38.770000000000003</v>
      </c>
    </row>
    <row r="79" spans="1:3" x14ac:dyDescent="0.3">
      <c r="A79" s="15" t="s">
        <v>3077</v>
      </c>
      <c r="B79" s="15" t="s">
        <v>1183</v>
      </c>
      <c r="C79" s="7">
        <v>33.51</v>
      </c>
    </row>
    <row r="80" spans="1:3" x14ac:dyDescent="0.3">
      <c r="A80" s="15" t="s">
        <v>3078</v>
      </c>
      <c r="B80" s="15" t="s">
        <v>3079</v>
      </c>
      <c r="C80" s="7">
        <v>16.89</v>
      </c>
    </row>
    <row r="81" spans="1:3" x14ac:dyDescent="0.3">
      <c r="A81" s="15" t="s">
        <v>3080</v>
      </c>
      <c r="B81" s="15" t="s">
        <v>3081</v>
      </c>
      <c r="C81" s="7">
        <v>30.51</v>
      </c>
    </row>
    <row r="82" spans="1:3" x14ac:dyDescent="0.3">
      <c r="A82" s="15" t="s">
        <v>3082</v>
      </c>
      <c r="B82" s="15" t="s">
        <v>3083</v>
      </c>
      <c r="C82" s="7">
        <v>30.51</v>
      </c>
    </row>
    <row r="83" spans="1:3" x14ac:dyDescent="0.3">
      <c r="A83" s="15" t="s">
        <v>3084</v>
      </c>
      <c r="B83" s="15" t="s">
        <v>3085</v>
      </c>
      <c r="C83" s="7">
        <v>16.89</v>
      </c>
    </row>
    <row r="84" spans="1:3" x14ac:dyDescent="0.3">
      <c r="A84" s="15" t="s">
        <v>3086</v>
      </c>
      <c r="B84" s="15" t="s">
        <v>3087</v>
      </c>
      <c r="C84" s="7">
        <v>16.89</v>
      </c>
    </row>
    <row r="85" spans="1:3" x14ac:dyDescent="0.3">
      <c r="A85" s="15" t="s">
        <v>3088</v>
      </c>
      <c r="B85" s="15" t="s">
        <v>3089</v>
      </c>
      <c r="C85" s="7">
        <v>30.51</v>
      </c>
    </row>
    <row r="86" spans="1:3" x14ac:dyDescent="0.3">
      <c r="A86" s="15" t="s">
        <v>3090</v>
      </c>
      <c r="B86" s="15" t="s">
        <v>1175</v>
      </c>
      <c r="C86" s="7">
        <v>18.34</v>
      </c>
    </row>
    <row r="87" spans="1:3" x14ac:dyDescent="0.3">
      <c r="A87" s="15" t="s">
        <v>3091</v>
      </c>
      <c r="B87" s="15" t="s">
        <v>1176</v>
      </c>
      <c r="C87" s="7">
        <v>39.03</v>
      </c>
    </row>
    <row r="88" spans="1:3" x14ac:dyDescent="0.3">
      <c r="A88" s="15" t="s">
        <v>3092</v>
      </c>
      <c r="B88" s="15" t="s">
        <v>1177</v>
      </c>
      <c r="C88" s="7">
        <v>63.24</v>
      </c>
    </row>
    <row r="89" spans="1:3" x14ac:dyDescent="0.3">
      <c r="A89" s="15" t="s">
        <v>3093</v>
      </c>
      <c r="B89" s="15" t="s">
        <v>1165</v>
      </c>
      <c r="C89" s="7">
        <v>26.24</v>
      </c>
    </row>
    <row r="90" spans="1:3" x14ac:dyDescent="0.3">
      <c r="A90" s="15" t="s">
        <v>3094</v>
      </c>
      <c r="B90" s="15" t="s">
        <v>1166</v>
      </c>
      <c r="C90" s="7">
        <v>49.11</v>
      </c>
    </row>
    <row r="91" spans="1:3" x14ac:dyDescent="0.3">
      <c r="A91" s="15" t="s">
        <v>3095</v>
      </c>
      <c r="B91" s="15" t="s">
        <v>1167</v>
      </c>
      <c r="C91" s="7">
        <v>76.2</v>
      </c>
    </row>
    <row r="92" spans="1:3" x14ac:dyDescent="0.3">
      <c r="A92" s="15" t="s">
        <v>3096</v>
      </c>
      <c r="B92" s="15" t="s">
        <v>1168</v>
      </c>
      <c r="C92" s="7">
        <v>26.24</v>
      </c>
    </row>
    <row r="93" spans="1:3" x14ac:dyDescent="0.3">
      <c r="A93" s="15" t="s">
        <v>3097</v>
      </c>
      <c r="B93" s="15" t="s">
        <v>1169</v>
      </c>
      <c r="C93" s="7">
        <v>49.11</v>
      </c>
    </row>
    <row r="94" spans="1:3" x14ac:dyDescent="0.3">
      <c r="A94" s="15" t="s">
        <v>3098</v>
      </c>
      <c r="B94" s="15" t="s">
        <v>1170</v>
      </c>
      <c r="C94" s="7">
        <v>49.11</v>
      </c>
    </row>
    <row r="95" spans="1:3" x14ac:dyDescent="0.3">
      <c r="A95" s="15" t="s">
        <v>3099</v>
      </c>
      <c r="B95" s="15" t="s">
        <v>1171</v>
      </c>
      <c r="C95" s="7">
        <v>49.11</v>
      </c>
    </row>
    <row r="96" spans="1:3" x14ac:dyDescent="0.3">
      <c r="A96" s="15" t="s">
        <v>3100</v>
      </c>
      <c r="B96" s="15" t="s">
        <v>1178</v>
      </c>
      <c r="C96" s="7">
        <v>39.03</v>
      </c>
    </row>
    <row r="97" spans="1:3" x14ac:dyDescent="0.3">
      <c r="A97" s="15" t="s">
        <v>3101</v>
      </c>
      <c r="B97" s="15" t="s">
        <v>1172</v>
      </c>
      <c r="C97" s="7">
        <v>26.24</v>
      </c>
    </row>
    <row r="98" spans="1:3" x14ac:dyDescent="0.3">
      <c r="A98" s="15" t="s">
        <v>3102</v>
      </c>
      <c r="B98" s="15" t="s">
        <v>1173</v>
      </c>
      <c r="C98" s="7">
        <v>49.11</v>
      </c>
    </row>
    <row r="99" spans="1:3" x14ac:dyDescent="0.3">
      <c r="A99" s="15" t="s">
        <v>3103</v>
      </c>
      <c r="B99" s="15" t="s">
        <v>1179</v>
      </c>
      <c r="C99" s="7">
        <v>39.03</v>
      </c>
    </row>
    <row r="100" spans="1:3" x14ac:dyDescent="0.3">
      <c r="A100" s="15" t="s">
        <v>3104</v>
      </c>
      <c r="B100" s="15" t="s">
        <v>1180</v>
      </c>
      <c r="C100" s="7">
        <v>18.34</v>
      </c>
    </row>
    <row r="101" spans="1:3" x14ac:dyDescent="0.3">
      <c r="A101" s="15" t="s">
        <v>3105</v>
      </c>
      <c r="B101" s="15" t="s">
        <v>1181</v>
      </c>
      <c r="C101" s="7">
        <v>39.03</v>
      </c>
    </row>
    <row r="102" spans="1:3" x14ac:dyDescent="0.3">
      <c r="A102" s="15" t="s">
        <v>3106</v>
      </c>
      <c r="B102" s="15" t="s">
        <v>1174</v>
      </c>
      <c r="C102" s="7">
        <v>49.11</v>
      </c>
    </row>
    <row r="103" spans="1:3" x14ac:dyDescent="0.3">
      <c r="A103" s="15" t="s">
        <v>3107</v>
      </c>
      <c r="B103" s="15" t="s">
        <v>1186</v>
      </c>
      <c r="C103" s="7">
        <v>54.67</v>
      </c>
    </row>
    <row r="104" spans="1:3" x14ac:dyDescent="0.3">
      <c r="A104" s="15" t="s">
        <v>3108</v>
      </c>
      <c r="B104" s="15" t="s">
        <v>1182</v>
      </c>
      <c r="C104" s="7">
        <v>69.569999999999993</v>
      </c>
    </row>
    <row r="105" spans="1:3" x14ac:dyDescent="0.3">
      <c r="A105" s="15" t="s">
        <v>3109</v>
      </c>
      <c r="B105" s="15" t="s">
        <v>1185</v>
      </c>
      <c r="C105" s="7">
        <v>59.09</v>
      </c>
    </row>
    <row r="106" spans="1:3" x14ac:dyDescent="0.3">
      <c r="A106" s="15" t="s">
        <v>3110</v>
      </c>
      <c r="B106" s="15" t="s">
        <v>3111</v>
      </c>
      <c r="C106" s="7">
        <v>53.128999999999998</v>
      </c>
    </row>
    <row r="107" spans="1:3" x14ac:dyDescent="0.3">
      <c r="A107" s="15" t="s">
        <v>3112</v>
      </c>
      <c r="B107" s="15" t="s">
        <v>3113</v>
      </c>
      <c r="C107" s="7">
        <v>61.72</v>
      </c>
    </row>
    <row r="108" spans="1:3" x14ac:dyDescent="0.3">
      <c r="A108" s="15" t="s">
        <v>3114</v>
      </c>
      <c r="B108" s="15" t="s">
        <v>3115</v>
      </c>
      <c r="C108" s="7">
        <v>17.63</v>
      </c>
    </row>
    <row r="109" spans="1:3" x14ac:dyDescent="0.3">
      <c r="A109" s="15" t="s">
        <v>3116</v>
      </c>
      <c r="B109" s="15" t="s">
        <v>3117</v>
      </c>
      <c r="C109" s="7">
        <v>24.53</v>
      </c>
    </row>
    <row r="110" spans="1:3" x14ac:dyDescent="0.3">
      <c r="A110" s="15" t="s">
        <v>3118</v>
      </c>
      <c r="B110" s="15" t="s">
        <v>3119</v>
      </c>
      <c r="C110" s="7">
        <v>45.95</v>
      </c>
    </row>
    <row r="111" spans="1:3" x14ac:dyDescent="0.3">
      <c r="A111" s="15" t="s">
        <v>3120</v>
      </c>
      <c r="B111" s="15" t="s">
        <v>3121</v>
      </c>
      <c r="C111" s="7">
        <v>38.26</v>
      </c>
    </row>
    <row r="112" spans="1:3" x14ac:dyDescent="0.3">
      <c r="A112" s="15" t="s">
        <v>3122</v>
      </c>
      <c r="B112" s="15" t="s">
        <v>3123</v>
      </c>
      <c r="C112" s="7">
        <v>19.62</v>
      </c>
    </row>
    <row r="113" spans="1:3" x14ac:dyDescent="0.3">
      <c r="A113" s="15" t="s">
        <v>3124</v>
      </c>
      <c r="B113" s="15" t="s">
        <v>3125</v>
      </c>
      <c r="C113" s="7">
        <v>11.93</v>
      </c>
    </row>
    <row r="114" spans="1:3" x14ac:dyDescent="0.3">
      <c r="A114" s="15" t="s">
        <v>3126</v>
      </c>
      <c r="B114" s="15" t="s">
        <v>3127</v>
      </c>
      <c r="C114" s="7">
        <v>11.93</v>
      </c>
    </row>
    <row r="115" spans="1:3" x14ac:dyDescent="0.3">
      <c r="A115" s="15" t="s">
        <v>3128</v>
      </c>
      <c r="B115" s="15" t="s">
        <v>3129</v>
      </c>
      <c r="C115" s="7">
        <v>19.87</v>
      </c>
    </row>
    <row r="116" spans="1:3" x14ac:dyDescent="0.3">
      <c r="A116" s="15" t="s">
        <v>3130</v>
      </c>
      <c r="B116" s="15" t="s">
        <v>433</v>
      </c>
      <c r="C116" s="7">
        <v>19.87</v>
      </c>
    </row>
    <row r="117" spans="1:3" x14ac:dyDescent="0.3">
      <c r="A117" s="15" t="s">
        <v>3131</v>
      </c>
      <c r="B117" s="15" t="s">
        <v>236</v>
      </c>
      <c r="C117" s="7">
        <v>43.45</v>
      </c>
    </row>
    <row r="118" spans="1:3" x14ac:dyDescent="0.3">
      <c r="A118" s="15" t="s">
        <v>3132</v>
      </c>
      <c r="B118" s="15" t="s">
        <v>116</v>
      </c>
      <c r="C118" s="7">
        <v>8.52</v>
      </c>
    </row>
    <row r="119" spans="1:3" x14ac:dyDescent="0.3">
      <c r="A119" s="15" t="s">
        <v>3133</v>
      </c>
      <c r="B119" s="15" t="s">
        <v>117</v>
      </c>
      <c r="C119" s="7">
        <v>14</v>
      </c>
    </row>
    <row r="120" spans="1:3" x14ac:dyDescent="0.3">
      <c r="A120" s="15" t="s">
        <v>3134</v>
      </c>
      <c r="B120" s="15" t="s">
        <v>430</v>
      </c>
      <c r="C120" s="7">
        <v>148.13</v>
      </c>
    </row>
    <row r="121" spans="1:3" x14ac:dyDescent="0.3">
      <c r="A121" s="15" t="s">
        <v>3135</v>
      </c>
      <c r="B121" s="15" t="s">
        <v>3136</v>
      </c>
      <c r="C121" s="7">
        <v>14.744999999999999</v>
      </c>
    </row>
    <row r="122" spans="1:3" x14ac:dyDescent="0.3">
      <c r="A122" s="15" t="s">
        <v>3137</v>
      </c>
      <c r="B122" s="15" t="s">
        <v>3138</v>
      </c>
      <c r="C122" s="7">
        <v>29.74</v>
      </c>
    </row>
    <row r="123" spans="1:3" x14ac:dyDescent="0.3">
      <c r="A123" s="15" t="s">
        <v>3139</v>
      </c>
      <c r="B123" s="15" t="s">
        <v>163</v>
      </c>
      <c r="C123" s="7">
        <v>34.909999999999997</v>
      </c>
    </row>
    <row r="124" spans="1:3" x14ac:dyDescent="0.3">
      <c r="A124" s="15" t="s">
        <v>3140</v>
      </c>
      <c r="B124" s="15" t="s">
        <v>48</v>
      </c>
      <c r="C124" s="7">
        <v>56.06</v>
      </c>
    </row>
    <row r="125" spans="1:3" x14ac:dyDescent="0.3">
      <c r="A125" s="15" t="s">
        <v>3141</v>
      </c>
      <c r="B125" s="15" t="s">
        <v>482</v>
      </c>
      <c r="C125" s="7">
        <v>24.01</v>
      </c>
    </row>
    <row r="126" spans="1:3" x14ac:dyDescent="0.3">
      <c r="A126" s="15" t="s">
        <v>3142</v>
      </c>
      <c r="B126" s="15" t="s">
        <v>483</v>
      </c>
      <c r="C126" s="7">
        <v>37.58</v>
      </c>
    </row>
    <row r="127" spans="1:3" x14ac:dyDescent="0.3">
      <c r="A127" s="15" t="s">
        <v>3143</v>
      </c>
      <c r="B127" s="15" t="s">
        <v>447</v>
      </c>
      <c r="C127" s="7">
        <v>32.04</v>
      </c>
    </row>
    <row r="128" spans="1:3" x14ac:dyDescent="0.3">
      <c r="A128" s="15" t="s">
        <v>3144</v>
      </c>
      <c r="B128" s="15" t="s">
        <v>448</v>
      </c>
      <c r="C128" s="7">
        <v>59.67</v>
      </c>
    </row>
    <row r="129" spans="1:3" x14ac:dyDescent="0.3">
      <c r="A129" s="15" t="s">
        <v>3145</v>
      </c>
      <c r="B129" s="15" t="s">
        <v>113</v>
      </c>
      <c r="C129" s="7">
        <v>11.2</v>
      </c>
    </row>
    <row r="130" spans="1:3" x14ac:dyDescent="0.3">
      <c r="A130" s="15" t="s">
        <v>3146</v>
      </c>
      <c r="B130" s="15" t="s">
        <v>114</v>
      </c>
      <c r="C130" s="7">
        <v>22.3</v>
      </c>
    </row>
    <row r="131" spans="1:3" x14ac:dyDescent="0.3">
      <c r="A131" s="15" t="s">
        <v>3147</v>
      </c>
      <c r="B131" s="15" t="s">
        <v>115</v>
      </c>
      <c r="C131" s="7">
        <v>37.33</v>
      </c>
    </row>
    <row r="132" spans="1:3" x14ac:dyDescent="0.3">
      <c r="A132" s="15" t="s">
        <v>3148</v>
      </c>
      <c r="B132" s="15" t="s">
        <v>141</v>
      </c>
      <c r="C132" s="7">
        <v>14.43</v>
      </c>
    </row>
    <row r="133" spans="1:3" x14ac:dyDescent="0.3">
      <c r="A133" s="15" t="s">
        <v>3149</v>
      </c>
      <c r="B133" s="15" t="s">
        <v>142</v>
      </c>
      <c r="C133" s="7">
        <v>28.7</v>
      </c>
    </row>
    <row r="134" spans="1:3" x14ac:dyDescent="0.3">
      <c r="A134" s="15" t="s">
        <v>3150</v>
      </c>
      <c r="B134" s="15" t="s">
        <v>143</v>
      </c>
      <c r="C134" s="7">
        <v>46.16</v>
      </c>
    </row>
    <row r="135" spans="1:3" x14ac:dyDescent="0.3">
      <c r="A135" s="15" t="s">
        <v>3151</v>
      </c>
      <c r="B135" s="15" t="s">
        <v>190</v>
      </c>
      <c r="C135" s="7">
        <v>16.739999999999998</v>
      </c>
    </row>
    <row r="136" spans="1:3" x14ac:dyDescent="0.3">
      <c r="A136" s="15" t="s">
        <v>3152</v>
      </c>
      <c r="B136" s="15" t="s">
        <v>191</v>
      </c>
      <c r="C136" s="7">
        <v>34.130000000000003</v>
      </c>
    </row>
    <row r="137" spans="1:3" x14ac:dyDescent="0.3">
      <c r="A137" s="15" t="s">
        <v>3153</v>
      </c>
      <c r="B137" s="15" t="s">
        <v>192</v>
      </c>
      <c r="C137" s="7">
        <v>55.37</v>
      </c>
    </row>
    <row r="138" spans="1:3" x14ac:dyDescent="0.3">
      <c r="A138" s="15" t="s">
        <v>3154</v>
      </c>
      <c r="B138" s="15" t="s">
        <v>536</v>
      </c>
      <c r="C138" s="7">
        <v>16.98</v>
      </c>
    </row>
    <row r="139" spans="1:3" x14ac:dyDescent="0.3">
      <c r="A139" s="15" t="s">
        <v>3155</v>
      </c>
      <c r="B139" s="15" t="s">
        <v>537</v>
      </c>
      <c r="C139" s="7">
        <v>31.87</v>
      </c>
    </row>
    <row r="140" spans="1:3" x14ac:dyDescent="0.3">
      <c r="A140" s="15" t="s">
        <v>3156</v>
      </c>
      <c r="B140" s="15" t="s">
        <v>538</v>
      </c>
      <c r="C140" s="7">
        <v>55.2</v>
      </c>
    </row>
    <row r="141" spans="1:3" x14ac:dyDescent="0.3">
      <c r="A141" s="15" t="s">
        <v>3157</v>
      </c>
      <c r="B141" s="15" t="s">
        <v>199</v>
      </c>
      <c r="C141" s="7">
        <v>18.59</v>
      </c>
    </row>
    <row r="142" spans="1:3" x14ac:dyDescent="0.3">
      <c r="A142" s="15" t="s">
        <v>3158</v>
      </c>
      <c r="B142" s="15" t="s">
        <v>200</v>
      </c>
      <c r="C142" s="7">
        <v>33.78</v>
      </c>
    </row>
    <row r="143" spans="1:3" x14ac:dyDescent="0.3">
      <c r="A143" s="15" t="s">
        <v>3159</v>
      </c>
      <c r="B143" s="15" t="s">
        <v>201</v>
      </c>
      <c r="C143" s="7">
        <v>55.37</v>
      </c>
    </row>
    <row r="144" spans="1:3" x14ac:dyDescent="0.3">
      <c r="A144" s="15" t="s">
        <v>3160</v>
      </c>
      <c r="B144" s="15" t="s">
        <v>569</v>
      </c>
      <c r="C144" s="7">
        <v>73.59</v>
      </c>
    </row>
    <row r="145" spans="1:3" x14ac:dyDescent="0.3">
      <c r="A145" s="15" t="s">
        <v>3161</v>
      </c>
      <c r="B145" s="15" t="s">
        <v>497</v>
      </c>
      <c r="C145" s="7">
        <v>18.690000000000001</v>
      </c>
    </row>
    <row r="146" spans="1:3" x14ac:dyDescent="0.3">
      <c r="A146" s="15" t="s">
        <v>3162</v>
      </c>
      <c r="B146" s="15" t="s">
        <v>498</v>
      </c>
      <c r="C146" s="7">
        <v>41.11</v>
      </c>
    </row>
    <row r="147" spans="1:3" x14ac:dyDescent="0.3">
      <c r="A147" s="15" t="s">
        <v>3163</v>
      </c>
      <c r="B147" s="15" t="s">
        <v>499</v>
      </c>
      <c r="C147" s="7">
        <v>63.18</v>
      </c>
    </row>
    <row r="148" spans="1:3" x14ac:dyDescent="0.3">
      <c r="A148" s="15" t="s">
        <v>3164</v>
      </c>
      <c r="B148" s="15" t="s">
        <v>481</v>
      </c>
      <c r="C148" s="7">
        <v>40.98</v>
      </c>
    </row>
    <row r="149" spans="1:3" x14ac:dyDescent="0.3">
      <c r="A149" s="15" t="s">
        <v>3165</v>
      </c>
      <c r="B149" s="15" t="s">
        <v>63</v>
      </c>
      <c r="C149" s="7">
        <v>30.76</v>
      </c>
    </row>
    <row r="150" spans="1:3" x14ac:dyDescent="0.3">
      <c r="A150" s="15" t="s">
        <v>3166</v>
      </c>
      <c r="B150" s="15" t="s">
        <v>64</v>
      </c>
      <c r="C150" s="7">
        <v>30.76</v>
      </c>
    </row>
    <row r="151" spans="1:3" x14ac:dyDescent="0.3">
      <c r="A151" s="15" t="s">
        <v>3167</v>
      </c>
      <c r="B151" s="15" t="s">
        <v>474</v>
      </c>
      <c r="C151" s="7">
        <v>31</v>
      </c>
    </row>
    <row r="152" spans="1:3" x14ac:dyDescent="0.3">
      <c r="A152" s="15" t="s">
        <v>3168</v>
      </c>
      <c r="B152" s="15" t="s">
        <v>475</v>
      </c>
      <c r="C152" s="7">
        <v>31</v>
      </c>
    </row>
    <row r="153" spans="1:3" x14ac:dyDescent="0.3">
      <c r="A153" s="15" t="s">
        <v>3169</v>
      </c>
      <c r="B153" s="15" t="s">
        <v>476</v>
      </c>
      <c r="C153" s="7">
        <v>44.6</v>
      </c>
    </row>
    <row r="154" spans="1:3" x14ac:dyDescent="0.3">
      <c r="A154" s="15" t="s">
        <v>3170</v>
      </c>
      <c r="B154" s="15" t="s">
        <v>151</v>
      </c>
      <c r="C154" s="7">
        <v>11.62</v>
      </c>
    </row>
    <row r="155" spans="1:3" x14ac:dyDescent="0.3">
      <c r="A155" s="15" t="s">
        <v>3171</v>
      </c>
      <c r="B155" s="15" t="s">
        <v>152</v>
      </c>
      <c r="C155" s="7">
        <v>23.79</v>
      </c>
    </row>
    <row r="156" spans="1:3" x14ac:dyDescent="0.3">
      <c r="A156" s="15" t="s">
        <v>3172</v>
      </c>
      <c r="B156" s="15" t="s">
        <v>153</v>
      </c>
      <c r="C156" s="7">
        <v>39.65</v>
      </c>
    </row>
    <row r="157" spans="1:3" x14ac:dyDescent="0.3">
      <c r="A157" s="15" t="s">
        <v>3173</v>
      </c>
      <c r="B157" s="15" t="s">
        <v>585</v>
      </c>
      <c r="C157" s="7">
        <v>11.34</v>
      </c>
    </row>
    <row r="158" spans="1:3" x14ac:dyDescent="0.3">
      <c r="A158" s="15" t="s">
        <v>3174</v>
      </c>
      <c r="B158" s="15" t="s">
        <v>586</v>
      </c>
      <c r="C158" s="7">
        <v>22.65</v>
      </c>
    </row>
    <row r="159" spans="1:3" x14ac:dyDescent="0.3">
      <c r="A159" s="15" t="s">
        <v>3175</v>
      </c>
      <c r="B159" s="15" t="s">
        <v>587</v>
      </c>
      <c r="C159" s="7">
        <v>37.770000000000003</v>
      </c>
    </row>
    <row r="160" spans="1:3" x14ac:dyDescent="0.3">
      <c r="A160" s="15" t="s">
        <v>3176</v>
      </c>
      <c r="B160" s="15" t="s">
        <v>584</v>
      </c>
      <c r="C160" s="7">
        <v>68.17</v>
      </c>
    </row>
    <row r="161" spans="1:3" x14ac:dyDescent="0.3">
      <c r="A161" s="15" t="s">
        <v>3177</v>
      </c>
      <c r="B161" s="15" t="s">
        <v>57</v>
      </c>
      <c r="C161" s="7">
        <v>48.22</v>
      </c>
    </row>
    <row r="162" spans="1:3" x14ac:dyDescent="0.3">
      <c r="A162" s="15" t="s">
        <v>3178</v>
      </c>
      <c r="B162" s="15" t="s">
        <v>70</v>
      </c>
      <c r="C162" s="7">
        <v>39.1</v>
      </c>
    </row>
    <row r="163" spans="1:3" x14ac:dyDescent="0.3">
      <c r="A163" s="15" t="s">
        <v>3179</v>
      </c>
      <c r="B163" s="15" t="s">
        <v>544</v>
      </c>
      <c r="C163" s="7">
        <v>15.48</v>
      </c>
    </row>
    <row r="164" spans="1:3" x14ac:dyDescent="0.3">
      <c r="A164" s="15" t="s">
        <v>3180</v>
      </c>
      <c r="B164" s="15" t="s">
        <v>545</v>
      </c>
      <c r="C164" s="7">
        <v>33.630000000000003</v>
      </c>
    </row>
    <row r="165" spans="1:3" x14ac:dyDescent="0.3">
      <c r="A165" s="15" t="s">
        <v>3181</v>
      </c>
      <c r="B165" s="15" t="s">
        <v>546</v>
      </c>
      <c r="C165" s="7">
        <v>64.45</v>
      </c>
    </row>
    <row r="166" spans="1:3" x14ac:dyDescent="0.3">
      <c r="A166" s="15" t="s">
        <v>3182</v>
      </c>
      <c r="B166" s="15" t="s">
        <v>559</v>
      </c>
      <c r="C166" s="7">
        <v>15.61</v>
      </c>
    </row>
    <row r="167" spans="1:3" x14ac:dyDescent="0.3">
      <c r="A167" s="15" t="s">
        <v>3183</v>
      </c>
      <c r="B167" s="15" t="s">
        <v>560</v>
      </c>
      <c r="C167" s="7">
        <v>36.42</v>
      </c>
    </row>
    <row r="168" spans="1:3" x14ac:dyDescent="0.3">
      <c r="A168" s="15" t="s">
        <v>3184</v>
      </c>
      <c r="B168" s="15" t="s">
        <v>561</v>
      </c>
      <c r="C168" s="7">
        <v>67.84</v>
      </c>
    </row>
    <row r="169" spans="1:3" x14ac:dyDescent="0.3">
      <c r="A169" s="15" t="s">
        <v>3185</v>
      </c>
      <c r="B169" s="15" t="s">
        <v>469</v>
      </c>
      <c r="C169" s="7">
        <v>26.15</v>
      </c>
    </row>
    <row r="170" spans="1:3" x14ac:dyDescent="0.3">
      <c r="A170" s="15" t="s">
        <v>3186</v>
      </c>
      <c r="B170" s="15" t="s">
        <v>470</v>
      </c>
      <c r="C170" s="7">
        <v>50.58</v>
      </c>
    </row>
    <row r="171" spans="1:3" x14ac:dyDescent="0.3">
      <c r="A171" s="15" t="s">
        <v>3187</v>
      </c>
      <c r="B171" s="15" t="s">
        <v>233</v>
      </c>
      <c r="C171" s="7">
        <v>21.66</v>
      </c>
    </row>
    <row r="172" spans="1:3" x14ac:dyDescent="0.3">
      <c r="A172" s="15" t="s">
        <v>3188</v>
      </c>
      <c r="B172" s="15" t="s">
        <v>234</v>
      </c>
      <c r="C172" s="7">
        <v>43.35</v>
      </c>
    </row>
    <row r="173" spans="1:3" x14ac:dyDescent="0.3">
      <c r="A173" s="15" t="s">
        <v>3189</v>
      </c>
      <c r="B173" s="15" t="s">
        <v>445</v>
      </c>
      <c r="C173" s="7">
        <v>53.53</v>
      </c>
    </row>
    <row r="174" spans="1:3" x14ac:dyDescent="0.3">
      <c r="A174" s="15" t="s">
        <v>3190</v>
      </c>
      <c r="B174" s="15" t="s">
        <v>3191</v>
      </c>
      <c r="C174" s="7">
        <v>62.83</v>
      </c>
    </row>
    <row r="175" spans="1:3" x14ac:dyDescent="0.3">
      <c r="A175" s="15" t="s">
        <v>3192</v>
      </c>
      <c r="B175" s="15" t="s">
        <v>3193</v>
      </c>
      <c r="C175" s="7">
        <v>79.5</v>
      </c>
    </row>
    <row r="176" spans="1:3" x14ac:dyDescent="0.3">
      <c r="A176" s="15" t="s">
        <v>3194</v>
      </c>
      <c r="B176" s="15" t="s">
        <v>76</v>
      </c>
      <c r="C176" s="7">
        <v>27.68</v>
      </c>
    </row>
    <row r="177" spans="1:3" x14ac:dyDescent="0.3">
      <c r="A177" s="15" t="s">
        <v>3195</v>
      </c>
      <c r="B177" s="15" t="s">
        <v>75</v>
      </c>
      <c r="C177" s="7">
        <v>35.840000000000003</v>
      </c>
    </row>
    <row r="178" spans="1:3" x14ac:dyDescent="0.3">
      <c r="A178" s="15" t="s">
        <v>3196</v>
      </c>
      <c r="B178" s="15" t="s">
        <v>204</v>
      </c>
      <c r="C178" s="7">
        <v>38.630000000000003</v>
      </c>
    </row>
    <row r="179" spans="1:3" x14ac:dyDescent="0.3">
      <c r="A179" s="15" t="s">
        <v>3197</v>
      </c>
      <c r="B179" s="15" t="s">
        <v>567</v>
      </c>
      <c r="C179" s="7">
        <v>63.75</v>
      </c>
    </row>
    <row r="180" spans="1:3" x14ac:dyDescent="0.3">
      <c r="A180" s="15" t="s">
        <v>3198</v>
      </c>
      <c r="B180" s="15" t="s">
        <v>175</v>
      </c>
      <c r="C180" s="7">
        <v>25.73</v>
      </c>
    </row>
    <row r="181" spans="1:3" x14ac:dyDescent="0.3">
      <c r="A181" s="15" t="s">
        <v>3199</v>
      </c>
      <c r="B181" s="15" t="s">
        <v>176</v>
      </c>
      <c r="C181" s="7">
        <v>16.5</v>
      </c>
    </row>
    <row r="182" spans="1:3" x14ac:dyDescent="0.3">
      <c r="A182" s="15" t="s">
        <v>3200</v>
      </c>
      <c r="B182" s="15" t="s">
        <v>177</v>
      </c>
      <c r="C182" s="7">
        <v>25.73</v>
      </c>
    </row>
    <row r="183" spans="1:3" x14ac:dyDescent="0.3">
      <c r="A183" s="15" t="s">
        <v>3201</v>
      </c>
      <c r="B183" s="15" t="s">
        <v>174</v>
      </c>
      <c r="C183" s="7">
        <v>52.88</v>
      </c>
    </row>
    <row r="184" spans="1:3" x14ac:dyDescent="0.3">
      <c r="A184" s="15" t="s">
        <v>3202</v>
      </c>
      <c r="B184" s="15" t="s">
        <v>202</v>
      </c>
      <c r="C184" s="7">
        <v>30.27</v>
      </c>
    </row>
    <row r="185" spans="1:3" x14ac:dyDescent="0.3">
      <c r="A185" s="15" t="s">
        <v>3203</v>
      </c>
      <c r="B185" s="15" t="s">
        <v>219</v>
      </c>
      <c r="C185" s="7">
        <v>19.11</v>
      </c>
    </row>
    <row r="186" spans="1:3" x14ac:dyDescent="0.3">
      <c r="A186" s="15" t="s">
        <v>3204</v>
      </c>
      <c r="B186" s="15" t="s">
        <v>220</v>
      </c>
      <c r="C186" s="7">
        <v>28.69</v>
      </c>
    </row>
    <row r="187" spans="1:3" x14ac:dyDescent="0.3">
      <c r="A187" s="15" t="s">
        <v>3205</v>
      </c>
      <c r="B187" s="15" t="s">
        <v>217</v>
      </c>
      <c r="C187" s="7">
        <v>54.81</v>
      </c>
    </row>
    <row r="188" spans="1:3" x14ac:dyDescent="0.3">
      <c r="A188" s="15" t="s">
        <v>3206</v>
      </c>
      <c r="B188" s="15" t="s">
        <v>52</v>
      </c>
      <c r="C188" s="7">
        <v>11.65</v>
      </c>
    </row>
    <row r="189" spans="1:3" x14ac:dyDescent="0.3">
      <c r="A189" s="15" t="s">
        <v>3207</v>
      </c>
      <c r="B189" s="15" t="s">
        <v>53</v>
      </c>
      <c r="C189" s="7">
        <v>21.24</v>
      </c>
    </row>
    <row r="190" spans="1:3" x14ac:dyDescent="0.3">
      <c r="A190" s="15" t="s">
        <v>3208</v>
      </c>
      <c r="B190" s="15" t="s">
        <v>54</v>
      </c>
      <c r="C190" s="7">
        <v>35.090000000000003</v>
      </c>
    </row>
    <row r="191" spans="1:3" x14ac:dyDescent="0.3">
      <c r="A191" s="15" t="s">
        <v>3209</v>
      </c>
      <c r="B191" s="15" t="s">
        <v>460</v>
      </c>
      <c r="C191" s="7">
        <v>2.99</v>
      </c>
    </row>
    <row r="192" spans="1:3" x14ac:dyDescent="0.3">
      <c r="A192" s="15" t="s">
        <v>3210</v>
      </c>
      <c r="B192" s="15" t="s">
        <v>564</v>
      </c>
      <c r="C192" s="7">
        <v>11.78</v>
      </c>
    </row>
    <row r="193" spans="1:3" x14ac:dyDescent="0.3">
      <c r="A193" s="15" t="s">
        <v>3211</v>
      </c>
      <c r="B193" s="15" t="s">
        <v>565</v>
      </c>
      <c r="C193" s="7">
        <v>24.39</v>
      </c>
    </row>
    <row r="194" spans="1:3" x14ac:dyDescent="0.3">
      <c r="A194" s="15" t="s">
        <v>3212</v>
      </c>
      <c r="B194" s="15" t="s">
        <v>566</v>
      </c>
      <c r="C194" s="7">
        <v>38.75</v>
      </c>
    </row>
    <row r="195" spans="1:3" x14ac:dyDescent="0.3">
      <c r="A195" s="15" t="s">
        <v>3213</v>
      </c>
      <c r="B195" s="15" t="s">
        <v>3214</v>
      </c>
      <c r="C195" s="7">
        <v>18.82</v>
      </c>
    </row>
    <row r="196" spans="1:3" x14ac:dyDescent="0.3">
      <c r="A196" s="15" t="s">
        <v>3215</v>
      </c>
      <c r="B196" s="15" t="s">
        <v>3216</v>
      </c>
      <c r="C196" s="7">
        <v>38.26</v>
      </c>
    </row>
    <row r="197" spans="1:3" x14ac:dyDescent="0.3">
      <c r="A197" s="15" t="s">
        <v>3217</v>
      </c>
      <c r="B197" s="15" t="s">
        <v>3218</v>
      </c>
      <c r="C197" s="7">
        <v>17.95</v>
      </c>
    </row>
    <row r="198" spans="1:3" x14ac:dyDescent="0.3">
      <c r="A198" s="15" t="s">
        <v>3219</v>
      </c>
      <c r="B198" s="15" t="s">
        <v>555</v>
      </c>
      <c r="C198" s="7">
        <v>15.16</v>
      </c>
    </row>
    <row r="199" spans="1:3" x14ac:dyDescent="0.3">
      <c r="A199" s="15" t="s">
        <v>3220</v>
      </c>
      <c r="B199" s="15" t="s">
        <v>550</v>
      </c>
      <c r="C199" s="7">
        <v>26.89</v>
      </c>
    </row>
    <row r="200" spans="1:3" x14ac:dyDescent="0.3">
      <c r="A200" s="15" t="s">
        <v>3221</v>
      </c>
      <c r="B200" s="15" t="s">
        <v>434</v>
      </c>
      <c r="C200" s="7">
        <v>17.95</v>
      </c>
    </row>
    <row r="201" spans="1:3" x14ac:dyDescent="0.3">
      <c r="A201" s="15" t="s">
        <v>3222</v>
      </c>
      <c r="B201" s="15" t="s">
        <v>492</v>
      </c>
      <c r="C201" s="7">
        <v>42.67</v>
      </c>
    </row>
    <row r="202" spans="1:3" x14ac:dyDescent="0.3">
      <c r="A202" s="15" t="s">
        <v>3223</v>
      </c>
      <c r="B202" s="15" t="s">
        <v>491</v>
      </c>
      <c r="C202" s="7">
        <v>42.67</v>
      </c>
    </row>
    <row r="203" spans="1:3" x14ac:dyDescent="0.3">
      <c r="A203" s="15" t="s">
        <v>3224</v>
      </c>
      <c r="B203" s="15" t="s">
        <v>490</v>
      </c>
      <c r="C203" s="7">
        <v>75.05</v>
      </c>
    </row>
    <row r="204" spans="1:3" x14ac:dyDescent="0.3">
      <c r="A204" s="15" t="s">
        <v>3225</v>
      </c>
      <c r="B204" s="15" t="s">
        <v>432</v>
      </c>
      <c r="C204" s="7">
        <v>83.49</v>
      </c>
    </row>
    <row r="205" spans="1:3" x14ac:dyDescent="0.3">
      <c r="A205" s="15" t="s">
        <v>3226</v>
      </c>
      <c r="B205" s="15" t="s">
        <v>431</v>
      </c>
      <c r="C205" s="7">
        <v>22.52</v>
      </c>
    </row>
    <row r="206" spans="1:3" x14ac:dyDescent="0.3">
      <c r="A206" s="15" t="s">
        <v>3227</v>
      </c>
      <c r="B206" s="15" t="s">
        <v>578</v>
      </c>
      <c r="C206" s="7">
        <v>21.73</v>
      </c>
    </row>
    <row r="207" spans="1:3" x14ac:dyDescent="0.3">
      <c r="A207" s="15" t="s">
        <v>3228</v>
      </c>
      <c r="B207" s="15" t="s">
        <v>577</v>
      </c>
      <c r="C207" s="7">
        <v>5.25</v>
      </c>
    </row>
    <row r="208" spans="1:3" x14ac:dyDescent="0.3">
      <c r="A208" s="15" t="s">
        <v>3229</v>
      </c>
      <c r="B208" s="15" t="s">
        <v>514</v>
      </c>
      <c r="C208" s="7">
        <v>11.3</v>
      </c>
    </row>
    <row r="209" spans="1:3" x14ac:dyDescent="0.3">
      <c r="A209" s="15" t="s">
        <v>3230</v>
      </c>
      <c r="B209" s="15" t="s">
        <v>457</v>
      </c>
      <c r="C209" s="7">
        <v>13.91</v>
      </c>
    </row>
    <row r="210" spans="1:3" x14ac:dyDescent="0.3">
      <c r="A210" s="15" t="s">
        <v>3231</v>
      </c>
      <c r="B210" s="15" t="s">
        <v>458</v>
      </c>
      <c r="C210" s="7">
        <v>32.07</v>
      </c>
    </row>
    <row r="211" spans="1:3" x14ac:dyDescent="0.3">
      <c r="A211" s="15" t="s">
        <v>3232</v>
      </c>
      <c r="B211" s="15" t="s">
        <v>3233</v>
      </c>
      <c r="C211" s="7">
        <v>32.07</v>
      </c>
    </row>
    <row r="212" spans="1:3" x14ac:dyDescent="0.3">
      <c r="A212" s="15" t="s">
        <v>3234</v>
      </c>
      <c r="B212" s="15" t="s">
        <v>118</v>
      </c>
      <c r="C212" s="7">
        <v>23.38</v>
      </c>
    </row>
    <row r="213" spans="1:3" x14ac:dyDescent="0.3">
      <c r="A213" s="15" t="s">
        <v>3235</v>
      </c>
      <c r="B213" s="15" t="s">
        <v>112</v>
      </c>
      <c r="C213" s="7">
        <v>25.83</v>
      </c>
    </row>
    <row r="214" spans="1:3" x14ac:dyDescent="0.3">
      <c r="A214" s="15" t="s">
        <v>3236</v>
      </c>
      <c r="B214" s="15" t="s">
        <v>471</v>
      </c>
      <c r="C214" s="7">
        <v>114.74</v>
      </c>
    </row>
    <row r="215" spans="1:3" x14ac:dyDescent="0.3">
      <c r="A215" s="15" t="s">
        <v>3237</v>
      </c>
      <c r="B215" s="15" t="s">
        <v>3238</v>
      </c>
      <c r="C215" s="7">
        <v>72.430000000000007</v>
      </c>
    </row>
    <row r="216" spans="1:3" x14ac:dyDescent="0.3">
      <c r="A216" s="15" t="s">
        <v>3239</v>
      </c>
      <c r="B216" s="15" t="s">
        <v>435</v>
      </c>
      <c r="C216" s="7">
        <v>13.52</v>
      </c>
    </row>
    <row r="217" spans="1:3" x14ac:dyDescent="0.3">
      <c r="A217" s="15" t="s">
        <v>3240</v>
      </c>
      <c r="B217" s="15" t="s">
        <v>591</v>
      </c>
      <c r="C217" s="7">
        <v>13.01</v>
      </c>
    </row>
    <row r="218" spans="1:3" x14ac:dyDescent="0.3">
      <c r="A218" s="15" t="s">
        <v>3241</v>
      </c>
      <c r="B218" s="15" t="s">
        <v>56</v>
      </c>
      <c r="C218" s="7">
        <v>28.63</v>
      </c>
    </row>
    <row r="219" spans="1:3" x14ac:dyDescent="0.3">
      <c r="A219" s="15" t="s">
        <v>3242</v>
      </c>
      <c r="B219" s="15" t="s">
        <v>590</v>
      </c>
      <c r="C219" s="7">
        <v>15.27</v>
      </c>
    </row>
    <row r="220" spans="1:3" x14ac:dyDescent="0.3">
      <c r="A220" s="15" t="s">
        <v>3243</v>
      </c>
      <c r="B220" s="15" t="s">
        <v>3244</v>
      </c>
      <c r="C220" s="7">
        <v>33.64</v>
      </c>
    </row>
    <row r="221" spans="1:3" x14ac:dyDescent="0.3">
      <c r="A221" s="15" t="s">
        <v>3245</v>
      </c>
      <c r="B221" s="15" t="s">
        <v>3246</v>
      </c>
      <c r="C221" s="7">
        <v>29.88</v>
      </c>
    </row>
    <row r="222" spans="1:3" x14ac:dyDescent="0.3">
      <c r="A222" s="15" t="s">
        <v>3247</v>
      </c>
      <c r="B222" s="15" t="s">
        <v>71</v>
      </c>
      <c r="C222" s="7">
        <v>30.37</v>
      </c>
    </row>
    <row r="223" spans="1:3" x14ac:dyDescent="0.3">
      <c r="A223" s="15" t="s">
        <v>3248</v>
      </c>
      <c r="B223" s="15" t="s">
        <v>69</v>
      </c>
      <c r="C223" s="7">
        <v>30.37</v>
      </c>
    </row>
    <row r="224" spans="1:3" x14ac:dyDescent="0.3">
      <c r="A224" s="15" t="s">
        <v>3249</v>
      </c>
      <c r="B224" s="15" t="s">
        <v>549</v>
      </c>
      <c r="C224" s="7">
        <v>64.45</v>
      </c>
    </row>
    <row r="225" spans="1:3" x14ac:dyDescent="0.3">
      <c r="A225" s="15" t="s">
        <v>3250</v>
      </c>
      <c r="B225" s="15" t="s">
        <v>543</v>
      </c>
      <c r="C225" s="7">
        <v>64.45</v>
      </c>
    </row>
    <row r="226" spans="1:3" x14ac:dyDescent="0.3">
      <c r="A226" s="15" t="s">
        <v>3251</v>
      </c>
      <c r="B226" s="15" t="s">
        <v>465</v>
      </c>
      <c r="C226" s="7">
        <v>85.27</v>
      </c>
    </row>
    <row r="227" spans="1:3" x14ac:dyDescent="0.3">
      <c r="A227" s="15" t="s">
        <v>3252</v>
      </c>
      <c r="B227" s="15" t="s">
        <v>468</v>
      </c>
      <c r="C227" s="7">
        <v>85.27</v>
      </c>
    </row>
    <row r="228" spans="1:3" x14ac:dyDescent="0.3">
      <c r="A228" s="15" t="s">
        <v>3253</v>
      </c>
      <c r="B228" s="15" t="s">
        <v>593</v>
      </c>
      <c r="C228" s="7">
        <v>37.549999999999997</v>
      </c>
    </row>
    <row r="229" spans="1:3" x14ac:dyDescent="0.3">
      <c r="A229" s="15" t="s">
        <v>3254</v>
      </c>
      <c r="B229" s="15" t="s">
        <v>516</v>
      </c>
      <c r="C229" s="7">
        <v>41.72</v>
      </c>
    </row>
    <row r="230" spans="1:3" x14ac:dyDescent="0.3">
      <c r="A230" s="15" t="s">
        <v>3255</v>
      </c>
      <c r="B230" s="15" t="s">
        <v>515</v>
      </c>
      <c r="C230" s="7">
        <v>56.51</v>
      </c>
    </row>
    <row r="231" spans="1:3" x14ac:dyDescent="0.3">
      <c r="A231" s="15" t="s">
        <v>3256</v>
      </c>
      <c r="B231" s="15" t="s">
        <v>562</v>
      </c>
      <c r="C231" s="7">
        <v>28.76</v>
      </c>
    </row>
    <row r="232" spans="1:3" x14ac:dyDescent="0.3">
      <c r="A232" s="15" t="s">
        <v>3257</v>
      </c>
      <c r="B232" s="15" t="s">
        <v>589</v>
      </c>
      <c r="C232" s="7">
        <v>25.36</v>
      </c>
    </row>
    <row r="233" spans="1:3" x14ac:dyDescent="0.3">
      <c r="A233" s="15" t="s">
        <v>3258</v>
      </c>
      <c r="B233" s="15" t="s">
        <v>588</v>
      </c>
      <c r="C233" s="7">
        <v>44.34</v>
      </c>
    </row>
    <row r="234" spans="1:3" x14ac:dyDescent="0.3">
      <c r="A234" s="15" t="s">
        <v>3259</v>
      </c>
      <c r="B234" s="15" t="s">
        <v>580</v>
      </c>
      <c r="C234" s="7">
        <v>27.31</v>
      </c>
    </row>
    <row r="235" spans="1:3" x14ac:dyDescent="0.3">
      <c r="A235" s="15" t="s">
        <v>3260</v>
      </c>
      <c r="B235" s="15" t="s">
        <v>579</v>
      </c>
      <c r="C235" s="7">
        <v>49.18</v>
      </c>
    </row>
    <row r="236" spans="1:3" x14ac:dyDescent="0.3">
      <c r="A236" s="15" t="s">
        <v>3261</v>
      </c>
      <c r="B236" s="15" t="s">
        <v>179</v>
      </c>
      <c r="C236" s="7">
        <v>13.32</v>
      </c>
    </row>
    <row r="237" spans="1:3" x14ac:dyDescent="0.3">
      <c r="A237" s="15" t="s">
        <v>3262</v>
      </c>
      <c r="B237" s="15" t="s">
        <v>180</v>
      </c>
      <c r="C237" s="7">
        <v>19.41</v>
      </c>
    </row>
    <row r="238" spans="1:3" x14ac:dyDescent="0.3">
      <c r="A238" s="15" t="s">
        <v>3263</v>
      </c>
      <c r="B238" s="15" t="s">
        <v>178</v>
      </c>
      <c r="C238" s="7">
        <v>42.42</v>
      </c>
    </row>
    <row r="239" spans="1:3" x14ac:dyDescent="0.3">
      <c r="A239" s="15" t="s">
        <v>3264</v>
      </c>
      <c r="B239" s="15" t="s">
        <v>157</v>
      </c>
      <c r="C239" s="7">
        <v>17.91</v>
      </c>
    </row>
    <row r="240" spans="1:3" x14ac:dyDescent="0.3">
      <c r="A240" s="15" t="s">
        <v>3265</v>
      </c>
      <c r="B240" s="15" t="s">
        <v>158</v>
      </c>
      <c r="C240" s="7">
        <v>27.14</v>
      </c>
    </row>
    <row r="241" spans="1:3" x14ac:dyDescent="0.3">
      <c r="A241" s="15" t="s">
        <v>3266</v>
      </c>
      <c r="B241" s="15" t="s">
        <v>165</v>
      </c>
      <c r="C241" s="7">
        <v>14.76</v>
      </c>
    </row>
    <row r="242" spans="1:3" x14ac:dyDescent="0.3">
      <c r="A242" s="15" t="s">
        <v>3267</v>
      </c>
      <c r="B242" s="15" t="s">
        <v>166</v>
      </c>
      <c r="C242" s="7">
        <v>19.73</v>
      </c>
    </row>
    <row r="243" spans="1:3" x14ac:dyDescent="0.3">
      <c r="A243" s="15" t="s">
        <v>3268</v>
      </c>
      <c r="B243" s="15" t="s">
        <v>164</v>
      </c>
      <c r="C243" s="7">
        <v>36.450000000000003</v>
      </c>
    </row>
    <row r="244" spans="1:3" x14ac:dyDescent="0.3">
      <c r="A244" s="15" t="s">
        <v>3269</v>
      </c>
      <c r="B244" s="15" t="s">
        <v>160</v>
      </c>
      <c r="C244" s="7">
        <v>29.11</v>
      </c>
    </row>
    <row r="245" spans="1:3" x14ac:dyDescent="0.3">
      <c r="A245" s="15" t="s">
        <v>3270</v>
      </c>
      <c r="B245" s="15" t="s">
        <v>78</v>
      </c>
      <c r="C245" s="7">
        <v>17.559999999999999</v>
      </c>
    </row>
    <row r="246" spans="1:3" x14ac:dyDescent="0.3">
      <c r="A246" s="15" t="s">
        <v>3271</v>
      </c>
      <c r="B246" s="15" t="s">
        <v>67</v>
      </c>
      <c r="C246" s="7">
        <v>30.37</v>
      </c>
    </row>
    <row r="247" spans="1:3" x14ac:dyDescent="0.3">
      <c r="A247" s="15" t="s">
        <v>3272</v>
      </c>
      <c r="B247" s="15" t="s">
        <v>74</v>
      </c>
      <c r="C247" s="7">
        <v>15.96</v>
      </c>
    </row>
    <row r="248" spans="1:3" x14ac:dyDescent="0.3">
      <c r="A248" s="15" t="s">
        <v>3273</v>
      </c>
      <c r="B248" s="15" t="s">
        <v>73</v>
      </c>
      <c r="C248" s="7">
        <v>30.37</v>
      </c>
    </row>
    <row r="249" spans="1:3" x14ac:dyDescent="0.3">
      <c r="A249" s="15" t="s">
        <v>3274</v>
      </c>
      <c r="B249" s="15" t="s">
        <v>72</v>
      </c>
      <c r="C249" s="7">
        <v>30.37</v>
      </c>
    </row>
    <row r="250" spans="1:3" x14ac:dyDescent="0.3">
      <c r="A250" s="15" t="s">
        <v>3275</v>
      </c>
      <c r="B250" s="15" t="s">
        <v>3276</v>
      </c>
      <c r="C250" s="7">
        <v>22.779</v>
      </c>
    </row>
    <row r="251" spans="1:3" x14ac:dyDescent="0.3">
      <c r="A251" s="15" t="s">
        <v>3277</v>
      </c>
      <c r="B251" s="15" t="s">
        <v>206</v>
      </c>
      <c r="C251" s="7">
        <v>20.74</v>
      </c>
    </row>
    <row r="252" spans="1:3" x14ac:dyDescent="0.3">
      <c r="A252" s="15" t="s">
        <v>3278</v>
      </c>
      <c r="B252" s="15" t="s">
        <v>212</v>
      </c>
      <c r="C252" s="7">
        <v>19.12</v>
      </c>
    </row>
    <row r="253" spans="1:3" x14ac:dyDescent="0.3">
      <c r="A253" s="15" t="s">
        <v>3279</v>
      </c>
      <c r="B253" s="15" t="s">
        <v>207</v>
      </c>
      <c r="C253" s="7">
        <v>20.74</v>
      </c>
    </row>
    <row r="254" spans="1:3" x14ac:dyDescent="0.3">
      <c r="A254" s="15" t="s">
        <v>3280</v>
      </c>
      <c r="B254" s="15" t="s">
        <v>209</v>
      </c>
      <c r="C254" s="7">
        <v>23.69</v>
      </c>
    </row>
    <row r="255" spans="1:3" x14ac:dyDescent="0.3">
      <c r="A255" s="15" t="s">
        <v>3281</v>
      </c>
      <c r="B255" s="15" t="s">
        <v>203</v>
      </c>
      <c r="C255" s="7">
        <v>25.04</v>
      </c>
    </row>
    <row r="256" spans="1:3" x14ac:dyDescent="0.3">
      <c r="A256" s="15" t="s">
        <v>3282</v>
      </c>
      <c r="B256" s="15" t="s">
        <v>510</v>
      </c>
      <c r="C256" s="7">
        <v>23.09</v>
      </c>
    </row>
    <row r="257" spans="1:3" x14ac:dyDescent="0.3">
      <c r="A257" s="15" t="s">
        <v>3283</v>
      </c>
      <c r="B257" s="15" t="s">
        <v>551</v>
      </c>
      <c r="C257" s="7">
        <v>15.36</v>
      </c>
    </row>
    <row r="258" spans="1:3" x14ac:dyDescent="0.3">
      <c r="A258" s="15" t="s">
        <v>3284</v>
      </c>
      <c r="B258" s="15" t="s">
        <v>552</v>
      </c>
      <c r="C258" s="7">
        <v>30.12</v>
      </c>
    </row>
    <row r="259" spans="1:3" x14ac:dyDescent="0.3">
      <c r="A259" s="15" t="s">
        <v>3285</v>
      </c>
      <c r="B259" s="15" t="s">
        <v>553</v>
      </c>
      <c r="C259" s="7">
        <v>15.36</v>
      </c>
    </row>
    <row r="260" spans="1:3" x14ac:dyDescent="0.3">
      <c r="A260" s="15" t="s">
        <v>3286</v>
      </c>
      <c r="B260" s="15" t="s">
        <v>554</v>
      </c>
      <c r="C260" s="7">
        <v>30.12</v>
      </c>
    </row>
    <row r="261" spans="1:3" x14ac:dyDescent="0.3">
      <c r="A261" s="15" t="s">
        <v>3287</v>
      </c>
      <c r="B261" s="15" t="s">
        <v>49</v>
      </c>
      <c r="C261" s="7">
        <v>24.44</v>
      </c>
    </row>
    <row r="262" spans="1:3" x14ac:dyDescent="0.3">
      <c r="A262" s="15" t="s">
        <v>3288</v>
      </c>
      <c r="B262" s="15" t="s">
        <v>778</v>
      </c>
      <c r="C262" s="7">
        <v>16.96</v>
      </c>
    </row>
    <row r="263" spans="1:3" x14ac:dyDescent="0.3">
      <c r="A263" s="15" t="s">
        <v>3289</v>
      </c>
      <c r="B263" s="15" t="s">
        <v>777</v>
      </c>
      <c r="C263" s="7">
        <v>16.96</v>
      </c>
    </row>
    <row r="264" spans="1:3" x14ac:dyDescent="0.3">
      <c r="A264" s="15" t="s">
        <v>3290</v>
      </c>
      <c r="B264" s="15" t="s">
        <v>776</v>
      </c>
      <c r="C264" s="7">
        <v>16.96</v>
      </c>
    </row>
    <row r="265" spans="1:3" x14ac:dyDescent="0.3">
      <c r="A265" s="15" t="s">
        <v>3291</v>
      </c>
      <c r="B265" s="15" t="s">
        <v>306</v>
      </c>
      <c r="C265" s="7">
        <v>5.9</v>
      </c>
    </row>
    <row r="266" spans="1:3" x14ac:dyDescent="0.3">
      <c r="A266" s="15" t="s">
        <v>3292</v>
      </c>
      <c r="B266" s="15" t="s">
        <v>307</v>
      </c>
      <c r="C266" s="7">
        <v>5.9</v>
      </c>
    </row>
    <row r="267" spans="1:3" x14ac:dyDescent="0.3">
      <c r="A267" s="15" t="s">
        <v>3293</v>
      </c>
      <c r="B267" s="15" t="s">
        <v>308</v>
      </c>
      <c r="C267" s="7">
        <v>5.9</v>
      </c>
    </row>
    <row r="268" spans="1:3" x14ac:dyDescent="0.3">
      <c r="A268" s="15" t="s">
        <v>3294</v>
      </c>
      <c r="B268" s="15" t="s">
        <v>311</v>
      </c>
      <c r="C268" s="7">
        <v>2.77</v>
      </c>
    </row>
    <row r="269" spans="1:3" x14ac:dyDescent="0.3">
      <c r="A269" s="15" t="s">
        <v>3295</v>
      </c>
      <c r="B269" s="15" t="s">
        <v>414</v>
      </c>
      <c r="C269" s="7">
        <v>7.27</v>
      </c>
    </row>
    <row r="270" spans="1:3" x14ac:dyDescent="0.3">
      <c r="A270" s="15" t="s">
        <v>3296</v>
      </c>
      <c r="B270" s="15" t="s">
        <v>415</v>
      </c>
      <c r="C270" s="7">
        <v>6.64</v>
      </c>
    </row>
    <row r="271" spans="1:3" x14ac:dyDescent="0.3">
      <c r="A271" s="15" t="s">
        <v>3297</v>
      </c>
      <c r="B271" s="15" t="s">
        <v>416</v>
      </c>
      <c r="C271" s="7">
        <v>8.68</v>
      </c>
    </row>
    <row r="272" spans="1:3" x14ac:dyDescent="0.3">
      <c r="A272" s="15" t="s">
        <v>3298</v>
      </c>
      <c r="B272" s="15" t="s">
        <v>417</v>
      </c>
      <c r="C272" s="7">
        <v>11.93</v>
      </c>
    </row>
    <row r="273" spans="1:3" x14ac:dyDescent="0.3">
      <c r="A273" s="15" t="s">
        <v>3299</v>
      </c>
      <c r="B273" s="15" t="s">
        <v>418</v>
      </c>
      <c r="C273" s="7">
        <v>6.64</v>
      </c>
    </row>
    <row r="274" spans="1:3" x14ac:dyDescent="0.3">
      <c r="A274" s="15" t="s">
        <v>3300</v>
      </c>
      <c r="B274" s="15" t="s">
        <v>419</v>
      </c>
      <c r="C274" s="7">
        <v>8.68</v>
      </c>
    </row>
    <row r="275" spans="1:3" x14ac:dyDescent="0.3">
      <c r="A275" s="15" t="s">
        <v>3301</v>
      </c>
      <c r="B275" s="15" t="s">
        <v>420</v>
      </c>
      <c r="C275" s="7">
        <v>11.93</v>
      </c>
    </row>
    <row r="276" spans="1:3" x14ac:dyDescent="0.3">
      <c r="A276" s="15" t="s">
        <v>3302</v>
      </c>
      <c r="B276" s="15" t="s">
        <v>310</v>
      </c>
      <c r="C276" s="7">
        <v>6.18</v>
      </c>
    </row>
    <row r="277" spans="1:3" x14ac:dyDescent="0.3">
      <c r="A277" s="15" t="s">
        <v>3303</v>
      </c>
      <c r="B277" s="15" t="s">
        <v>345</v>
      </c>
      <c r="C277" s="7">
        <v>27.53</v>
      </c>
    </row>
    <row r="278" spans="1:3" x14ac:dyDescent="0.3">
      <c r="A278" s="15" t="s">
        <v>3304</v>
      </c>
      <c r="B278" s="15" t="s">
        <v>382</v>
      </c>
      <c r="C278" s="7">
        <v>8.26</v>
      </c>
    </row>
    <row r="279" spans="1:3" x14ac:dyDescent="0.3">
      <c r="A279" s="15" t="s">
        <v>3305</v>
      </c>
      <c r="B279" s="15" t="s">
        <v>359</v>
      </c>
      <c r="C279" s="7">
        <v>27.53</v>
      </c>
    </row>
    <row r="280" spans="1:3" x14ac:dyDescent="0.3">
      <c r="A280" s="15" t="s">
        <v>3306</v>
      </c>
      <c r="B280" s="15" t="s">
        <v>363</v>
      </c>
      <c r="C280" s="7">
        <v>16.52</v>
      </c>
    </row>
    <row r="281" spans="1:3" x14ac:dyDescent="0.3">
      <c r="A281" s="15" t="s">
        <v>3307</v>
      </c>
      <c r="B281" s="15" t="s">
        <v>389</v>
      </c>
      <c r="C281" s="7">
        <v>8.26</v>
      </c>
    </row>
    <row r="282" spans="1:3" x14ac:dyDescent="0.3">
      <c r="A282" s="15" t="s">
        <v>3308</v>
      </c>
      <c r="B282" s="15" t="s">
        <v>378</v>
      </c>
      <c r="C282" s="7">
        <v>16.52</v>
      </c>
    </row>
    <row r="283" spans="1:3" x14ac:dyDescent="0.3">
      <c r="A283" s="15" t="s">
        <v>3309</v>
      </c>
      <c r="B283" s="15" t="s">
        <v>379</v>
      </c>
      <c r="C283" s="7">
        <v>27.53</v>
      </c>
    </row>
    <row r="284" spans="1:3" x14ac:dyDescent="0.3">
      <c r="A284" s="15" t="s">
        <v>3310</v>
      </c>
      <c r="B284" s="15" t="s">
        <v>399</v>
      </c>
      <c r="C284" s="7">
        <v>27.53</v>
      </c>
    </row>
    <row r="285" spans="1:3" x14ac:dyDescent="0.3">
      <c r="A285" s="15" t="s">
        <v>3311</v>
      </c>
      <c r="B285" s="15" t="s">
        <v>339</v>
      </c>
      <c r="C285" s="7">
        <v>8.26</v>
      </c>
    </row>
    <row r="286" spans="1:3" x14ac:dyDescent="0.3">
      <c r="A286" s="15" t="s">
        <v>3312</v>
      </c>
      <c r="B286" s="15" t="s">
        <v>340</v>
      </c>
      <c r="C286" s="7">
        <v>16.52</v>
      </c>
    </row>
    <row r="287" spans="1:3" x14ac:dyDescent="0.3">
      <c r="A287" s="15" t="s">
        <v>3313</v>
      </c>
      <c r="B287" s="15" t="s">
        <v>341</v>
      </c>
      <c r="C287" s="7">
        <v>27.53</v>
      </c>
    </row>
    <row r="288" spans="1:3" x14ac:dyDescent="0.3">
      <c r="A288" s="15" t="s">
        <v>3314</v>
      </c>
      <c r="B288" s="15" t="s">
        <v>3315</v>
      </c>
      <c r="C288" s="7">
        <v>10.45</v>
      </c>
    </row>
    <row r="289" spans="1:3" x14ac:dyDescent="0.3">
      <c r="A289" s="15" t="s">
        <v>3316</v>
      </c>
      <c r="B289" s="15" t="s">
        <v>3317</v>
      </c>
      <c r="C289" s="7">
        <v>20.93</v>
      </c>
    </row>
    <row r="290" spans="1:3" x14ac:dyDescent="0.3">
      <c r="A290" s="15" t="s">
        <v>3318</v>
      </c>
      <c r="B290" s="15" t="s">
        <v>3319</v>
      </c>
      <c r="C290" s="7">
        <v>16.52</v>
      </c>
    </row>
    <row r="291" spans="1:3" x14ac:dyDescent="0.3">
      <c r="A291" s="15" t="s">
        <v>3320</v>
      </c>
      <c r="B291" s="15" t="s">
        <v>3321</v>
      </c>
      <c r="C291" s="7">
        <v>10.45</v>
      </c>
    </row>
    <row r="292" spans="1:3" x14ac:dyDescent="0.3">
      <c r="A292" s="15" t="s">
        <v>3322</v>
      </c>
      <c r="B292" s="15" t="s">
        <v>3323</v>
      </c>
      <c r="C292" s="7">
        <v>8.26</v>
      </c>
    </row>
    <row r="293" spans="1:3" x14ac:dyDescent="0.3">
      <c r="A293" s="15" t="s">
        <v>3324</v>
      </c>
      <c r="B293" s="15" t="s">
        <v>371</v>
      </c>
      <c r="C293" s="7">
        <v>8.26</v>
      </c>
    </row>
    <row r="294" spans="1:3" x14ac:dyDescent="0.3">
      <c r="A294" s="15" t="s">
        <v>3325</v>
      </c>
      <c r="B294" s="15" t="s">
        <v>372</v>
      </c>
      <c r="C294" s="7">
        <v>16.52</v>
      </c>
    </row>
    <row r="295" spans="1:3" x14ac:dyDescent="0.3">
      <c r="A295" s="15" t="s">
        <v>3326</v>
      </c>
      <c r="B295" s="15" t="s">
        <v>369</v>
      </c>
      <c r="C295" s="7">
        <v>16.52</v>
      </c>
    </row>
    <row r="296" spans="1:3" x14ac:dyDescent="0.3">
      <c r="A296" s="15" t="s">
        <v>3327</v>
      </c>
      <c r="B296" s="15" t="s">
        <v>349</v>
      </c>
      <c r="C296" s="7">
        <v>8.26</v>
      </c>
    </row>
    <row r="297" spans="1:3" x14ac:dyDescent="0.3">
      <c r="A297" s="15" t="s">
        <v>3328</v>
      </c>
      <c r="B297" s="15" t="s">
        <v>350</v>
      </c>
      <c r="C297" s="7">
        <v>16.52</v>
      </c>
    </row>
    <row r="298" spans="1:3" x14ac:dyDescent="0.3">
      <c r="A298" s="15" t="s">
        <v>3329</v>
      </c>
      <c r="B298" s="15" t="s">
        <v>351</v>
      </c>
      <c r="C298" s="7">
        <v>27.53</v>
      </c>
    </row>
    <row r="299" spans="1:3" x14ac:dyDescent="0.3">
      <c r="A299" s="15" t="s">
        <v>3330</v>
      </c>
      <c r="B299" s="15" t="s">
        <v>394</v>
      </c>
      <c r="C299" s="7">
        <v>8.26</v>
      </c>
    </row>
    <row r="300" spans="1:3" x14ac:dyDescent="0.3">
      <c r="A300" s="15" t="s">
        <v>3331</v>
      </c>
      <c r="B300" s="15" t="s">
        <v>395</v>
      </c>
      <c r="C300" s="7">
        <v>16.52</v>
      </c>
    </row>
    <row r="301" spans="1:3" x14ac:dyDescent="0.3">
      <c r="A301" s="15" t="s">
        <v>3332</v>
      </c>
      <c r="B301" s="15" t="s">
        <v>396</v>
      </c>
      <c r="C301" s="7">
        <v>27.53</v>
      </c>
    </row>
    <row r="302" spans="1:3" x14ac:dyDescent="0.3">
      <c r="A302" s="15" t="s">
        <v>3333</v>
      </c>
      <c r="B302" s="15" t="s">
        <v>343</v>
      </c>
      <c r="C302" s="7">
        <v>8.26</v>
      </c>
    </row>
    <row r="303" spans="1:3" x14ac:dyDescent="0.3">
      <c r="A303" s="15" t="s">
        <v>3334</v>
      </c>
      <c r="B303" s="15" t="s">
        <v>353</v>
      </c>
      <c r="C303" s="7">
        <v>16.52</v>
      </c>
    </row>
    <row r="304" spans="1:3" x14ac:dyDescent="0.3">
      <c r="A304" s="15" t="s">
        <v>3335</v>
      </c>
      <c r="B304" s="15" t="s">
        <v>380</v>
      </c>
      <c r="C304" s="7">
        <v>8.26</v>
      </c>
    </row>
    <row r="305" spans="1:3" x14ac:dyDescent="0.3">
      <c r="A305" s="15" t="s">
        <v>3336</v>
      </c>
      <c r="B305" s="15" t="s">
        <v>381</v>
      </c>
      <c r="C305" s="7">
        <v>16.52</v>
      </c>
    </row>
    <row r="306" spans="1:3" x14ac:dyDescent="0.3">
      <c r="A306" s="15" t="s">
        <v>3337</v>
      </c>
      <c r="B306" s="15" t="s">
        <v>3338</v>
      </c>
      <c r="C306" s="7">
        <v>34.880000000000003</v>
      </c>
    </row>
    <row r="307" spans="1:3" x14ac:dyDescent="0.3">
      <c r="A307" s="15" t="s">
        <v>3339</v>
      </c>
      <c r="B307" s="15" t="s">
        <v>366</v>
      </c>
      <c r="C307" s="7">
        <v>8.26</v>
      </c>
    </row>
    <row r="308" spans="1:3" x14ac:dyDescent="0.3">
      <c r="A308" s="15" t="s">
        <v>3340</v>
      </c>
      <c r="B308" s="15" t="s">
        <v>367</v>
      </c>
      <c r="C308" s="7">
        <v>16.52</v>
      </c>
    </row>
    <row r="309" spans="1:3" x14ac:dyDescent="0.3">
      <c r="A309" s="15" t="s">
        <v>3341</v>
      </c>
      <c r="B309" s="15" t="s">
        <v>368</v>
      </c>
      <c r="C309" s="7">
        <v>27.53</v>
      </c>
    </row>
    <row r="310" spans="1:3" x14ac:dyDescent="0.3">
      <c r="A310" s="15" t="s">
        <v>3342</v>
      </c>
      <c r="B310" s="15" t="s">
        <v>315</v>
      </c>
      <c r="C310" s="7">
        <v>18.41</v>
      </c>
    </row>
    <row r="311" spans="1:3" x14ac:dyDescent="0.3">
      <c r="A311" s="15" t="s">
        <v>3343</v>
      </c>
      <c r="B311" s="15" t="s">
        <v>316</v>
      </c>
      <c r="C311" s="7">
        <v>18.41</v>
      </c>
    </row>
    <row r="312" spans="1:3" x14ac:dyDescent="0.3">
      <c r="A312" s="15" t="s">
        <v>3344</v>
      </c>
      <c r="B312" s="15" t="s">
        <v>319</v>
      </c>
      <c r="C312" s="7">
        <v>18.41</v>
      </c>
    </row>
    <row r="313" spans="1:3" x14ac:dyDescent="0.3">
      <c r="A313" s="15" t="s">
        <v>3345</v>
      </c>
      <c r="B313" s="15" t="s">
        <v>321</v>
      </c>
      <c r="C313" s="7">
        <v>18.41</v>
      </c>
    </row>
    <row r="314" spans="1:3" x14ac:dyDescent="0.3">
      <c r="A314" s="15" t="s">
        <v>3346</v>
      </c>
      <c r="B314" s="15" t="s">
        <v>401</v>
      </c>
      <c r="C314" s="7">
        <v>35.85</v>
      </c>
    </row>
    <row r="315" spans="1:3" x14ac:dyDescent="0.3">
      <c r="A315" s="15" t="s">
        <v>3347</v>
      </c>
      <c r="B315" s="15" t="s">
        <v>400</v>
      </c>
      <c r="C315" s="7">
        <v>35.85</v>
      </c>
    </row>
    <row r="316" spans="1:3" x14ac:dyDescent="0.3">
      <c r="A316" s="15" t="s">
        <v>3348</v>
      </c>
      <c r="B316" s="15" t="s">
        <v>403</v>
      </c>
      <c r="C316" s="7">
        <v>35.85</v>
      </c>
    </row>
    <row r="317" spans="1:3" x14ac:dyDescent="0.3">
      <c r="A317" s="15" t="s">
        <v>3349</v>
      </c>
      <c r="B317" s="15" t="s">
        <v>404</v>
      </c>
      <c r="C317" s="7">
        <v>39.44</v>
      </c>
    </row>
    <row r="318" spans="1:3" x14ac:dyDescent="0.3">
      <c r="A318" s="15" t="s">
        <v>3350</v>
      </c>
      <c r="B318" s="15" t="s">
        <v>402</v>
      </c>
      <c r="C318" s="7">
        <v>35.85</v>
      </c>
    </row>
    <row r="319" spans="1:3" x14ac:dyDescent="0.3">
      <c r="A319" s="15" t="s">
        <v>3351</v>
      </c>
      <c r="B319" s="15" t="s">
        <v>405</v>
      </c>
      <c r="C319" s="7">
        <v>35.85</v>
      </c>
    </row>
    <row r="320" spans="1:3" x14ac:dyDescent="0.3">
      <c r="A320" s="15" t="s">
        <v>3352</v>
      </c>
      <c r="B320" s="15" t="s">
        <v>985</v>
      </c>
      <c r="C320" s="7">
        <v>17.579999999999998</v>
      </c>
    </row>
    <row r="321" spans="1:3" x14ac:dyDescent="0.3">
      <c r="A321" s="15" t="s">
        <v>3353</v>
      </c>
      <c r="B321" s="15" t="s">
        <v>982</v>
      </c>
      <c r="C321" s="7">
        <v>17.579999999999998</v>
      </c>
    </row>
    <row r="322" spans="1:3" x14ac:dyDescent="0.3">
      <c r="A322" s="15" t="s">
        <v>3354</v>
      </c>
      <c r="B322" s="15" t="s">
        <v>975</v>
      </c>
      <c r="C322" s="7">
        <v>11.2</v>
      </c>
    </row>
    <row r="323" spans="1:3" x14ac:dyDescent="0.3">
      <c r="A323" s="15" t="s">
        <v>3355</v>
      </c>
      <c r="B323" s="15" t="s">
        <v>3356</v>
      </c>
      <c r="C323" s="7">
        <v>106.62</v>
      </c>
    </row>
    <row r="324" spans="1:3" x14ac:dyDescent="0.3">
      <c r="A324" s="15" t="s">
        <v>3357</v>
      </c>
      <c r="B324" s="15" t="s">
        <v>988</v>
      </c>
      <c r="C324" s="7">
        <v>17.579999999999998</v>
      </c>
    </row>
    <row r="325" spans="1:3" x14ac:dyDescent="0.3">
      <c r="A325" s="15" t="s">
        <v>3358</v>
      </c>
      <c r="B325" s="15" t="s">
        <v>981</v>
      </c>
      <c r="C325" s="7">
        <v>9.6300000000000008</v>
      </c>
    </row>
    <row r="326" spans="1:3" x14ac:dyDescent="0.3">
      <c r="A326" s="15" t="s">
        <v>3359</v>
      </c>
      <c r="B326" s="15" t="s">
        <v>980</v>
      </c>
      <c r="C326" s="7">
        <v>17.579999999999998</v>
      </c>
    </row>
    <row r="327" spans="1:3" x14ac:dyDescent="0.3">
      <c r="A327" s="15" t="s">
        <v>3360</v>
      </c>
      <c r="B327" s="15" t="s">
        <v>1107</v>
      </c>
      <c r="C327" s="7">
        <v>5.94</v>
      </c>
    </row>
    <row r="328" spans="1:3" x14ac:dyDescent="0.3">
      <c r="A328" s="15" t="s">
        <v>3361</v>
      </c>
      <c r="B328" s="15" t="s">
        <v>1119</v>
      </c>
      <c r="C328" s="7">
        <v>11.03</v>
      </c>
    </row>
    <row r="329" spans="1:3" x14ac:dyDescent="0.3">
      <c r="A329" s="15" t="s">
        <v>3362</v>
      </c>
      <c r="B329" s="15" t="s">
        <v>1113</v>
      </c>
      <c r="C329" s="7">
        <v>9.2100000000000009</v>
      </c>
    </row>
    <row r="330" spans="1:3" x14ac:dyDescent="0.3">
      <c r="A330" s="15" t="s">
        <v>3363</v>
      </c>
      <c r="B330" s="15" t="s">
        <v>3364</v>
      </c>
      <c r="C330" s="7">
        <v>23.14</v>
      </c>
    </row>
    <row r="331" spans="1:3" x14ac:dyDescent="0.3">
      <c r="A331" s="15" t="s">
        <v>3365</v>
      </c>
      <c r="B331" s="15" t="s">
        <v>1110</v>
      </c>
      <c r="C331" s="7">
        <v>6.01</v>
      </c>
    </row>
    <row r="332" spans="1:3" x14ac:dyDescent="0.3">
      <c r="A332" s="15" t="s">
        <v>3366</v>
      </c>
      <c r="B332" s="15" t="s">
        <v>1109</v>
      </c>
      <c r="C332" s="7">
        <v>3.4</v>
      </c>
    </row>
    <row r="333" spans="1:3" x14ac:dyDescent="0.3">
      <c r="A333" s="15" t="s">
        <v>3367</v>
      </c>
      <c r="B333" s="15" t="s">
        <v>3368</v>
      </c>
      <c r="C333" s="7">
        <v>29.74</v>
      </c>
    </row>
    <row r="334" spans="1:3" x14ac:dyDescent="0.3">
      <c r="A334" s="15" t="s">
        <v>3369</v>
      </c>
      <c r="B334" s="15" t="s">
        <v>3370</v>
      </c>
      <c r="C334" s="7">
        <v>53.84</v>
      </c>
    </row>
    <row r="335" spans="1:3" x14ac:dyDescent="0.3">
      <c r="A335" s="15" t="s">
        <v>3371</v>
      </c>
      <c r="B335" s="15" t="s">
        <v>162</v>
      </c>
      <c r="C335" s="7">
        <v>28.14</v>
      </c>
    </row>
    <row r="336" spans="1:3" x14ac:dyDescent="0.3">
      <c r="A336" s="15" t="s">
        <v>3372</v>
      </c>
      <c r="B336" s="15" t="s">
        <v>47</v>
      </c>
      <c r="C336" s="7">
        <v>34.89</v>
      </c>
    </row>
    <row r="337" spans="1:3" x14ac:dyDescent="0.3">
      <c r="A337" s="15" t="s">
        <v>3373</v>
      </c>
      <c r="B337" s="15" t="s">
        <v>3374</v>
      </c>
      <c r="C337" s="7">
        <v>35.090000000000003</v>
      </c>
    </row>
    <row r="338" spans="1:3" x14ac:dyDescent="0.3">
      <c r="A338" s="15" t="s">
        <v>3375</v>
      </c>
      <c r="B338" s="15" t="s">
        <v>779</v>
      </c>
      <c r="C338" s="7">
        <v>16.96</v>
      </c>
    </row>
    <row r="339" spans="1:3" x14ac:dyDescent="0.3">
      <c r="A339" s="15" t="s">
        <v>3376</v>
      </c>
      <c r="B339" s="15" t="s">
        <v>334</v>
      </c>
      <c r="C339" s="7">
        <v>19.46</v>
      </c>
    </row>
    <row r="340" spans="1:3" x14ac:dyDescent="0.3">
      <c r="A340" s="15" t="s">
        <v>3377</v>
      </c>
      <c r="B340" s="15" t="s">
        <v>335</v>
      </c>
      <c r="C340" s="7">
        <v>19.46</v>
      </c>
    </row>
    <row r="341" spans="1:3" x14ac:dyDescent="0.3">
      <c r="A341" s="15" t="s">
        <v>3378</v>
      </c>
      <c r="B341" s="15" t="s">
        <v>3379</v>
      </c>
      <c r="C341" s="7">
        <v>11.95</v>
      </c>
    </row>
    <row r="342" spans="1:3" x14ac:dyDescent="0.3">
      <c r="A342" s="15" t="s">
        <v>3380</v>
      </c>
      <c r="B342" s="15" t="s">
        <v>3381</v>
      </c>
      <c r="C342" s="7">
        <v>12.03</v>
      </c>
    </row>
    <row r="343" spans="1:3" x14ac:dyDescent="0.3">
      <c r="A343" s="15" t="s">
        <v>3382</v>
      </c>
      <c r="B343" s="15" t="s">
        <v>336</v>
      </c>
      <c r="C343" s="7">
        <v>19.46</v>
      </c>
    </row>
    <row r="344" spans="1:3" x14ac:dyDescent="0.3">
      <c r="A344" s="15" t="s">
        <v>3383</v>
      </c>
      <c r="B344" s="15" t="s">
        <v>3384</v>
      </c>
      <c r="C344" s="7">
        <v>84.28</v>
      </c>
    </row>
    <row r="345" spans="1:3" x14ac:dyDescent="0.3">
      <c r="A345" s="15" t="s">
        <v>3385</v>
      </c>
      <c r="B345" s="15" t="s">
        <v>3386</v>
      </c>
      <c r="C345" s="7">
        <v>11.95</v>
      </c>
    </row>
    <row r="346" spans="1:3" x14ac:dyDescent="0.3">
      <c r="A346" s="15" t="s">
        <v>3387</v>
      </c>
      <c r="B346" s="15" t="s">
        <v>337</v>
      </c>
      <c r="C346" s="7">
        <v>19.46</v>
      </c>
    </row>
    <row r="347" spans="1:3" x14ac:dyDescent="0.3">
      <c r="A347" s="15" t="s">
        <v>3388</v>
      </c>
      <c r="B347" s="15" t="s">
        <v>3389</v>
      </c>
      <c r="C347" s="7">
        <v>84.28</v>
      </c>
    </row>
    <row r="348" spans="1:3" x14ac:dyDescent="0.3">
      <c r="A348" s="15" t="s">
        <v>3390</v>
      </c>
      <c r="B348" s="15" t="s">
        <v>338</v>
      </c>
      <c r="C348" s="7">
        <v>19.46</v>
      </c>
    </row>
    <row r="349" spans="1:3" x14ac:dyDescent="0.3">
      <c r="A349" s="15" t="s">
        <v>3391</v>
      </c>
      <c r="B349" s="15" t="s">
        <v>3392</v>
      </c>
      <c r="C349" s="7">
        <v>14.66</v>
      </c>
    </row>
    <row r="350" spans="1:3" x14ac:dyDescent="0.3">
      <c r="A350" s="15" t="s">
        <v>3393</v>
      </c>
      <c r="B350" s="15" t="s">
        <v>3394</v>
      </c>
      <c r="C350" s="7">
        <v>13.91</v>
      </c>
    </row>
    <row r="351" spans="1:3" x14ac:dyDescent="0.3">
      <c r="A351" s="15" t="s">
        <v>3395</v>
      </c>
      <c r="B351" s="15" t="s">
        <v>455</v>
      </c>
      <c r="C351" s="7">
        <v>32.07</v>
      </c>
    </row>
    <row r="352" spans="1:3" x14ac:dyDescent="0.3">
      <c r="A352" s="15" t="s">
        <v>3396</v>
      </c>
      <c r="B352" s="15" t="s">
        <v>452</v>
      </c>
      <c r="C352" s="7">
        <v>13.91</v>
      </c>
    </row>
    <row r="353" spans="1:3" x14ac:dyDescent="0.3">
      <c r="A353" s="15" t="s">
        <v>3397</v>
      </c>
      <c r="B353" s="15" t="s">
        <v>446</v>
      </c>
      <c r="C353" s="7">
        <v>13.84</v>
      </c>
    </row>
    <row r="354" spans="1:3" x14ac:dyDescent="0.3">
      <c r="A354" s="15" t="s">
        <v>3398</v>
      </c>
      <c r="B354" s="15" t="s">
        <v>312</v>
      </c>
      <c r="C354" s="7">
        <v>28.18</v>
      </c>
    </row>
    <row r="355" spans="1:3" x14ac:dyDescent="0.3">
      <c r="A355" s="15" t="s">
        <v>3399</v>
      </c>
      <c r="B355" s="15" t="s">
        <v>313</v>
      </c>
      <c r="C355" s="7">
        <v>28.18</v>
      </c>
    </row>
    <row r="356" spans="1:3" x14ac:dyDescent="0.3">
      <c r="A356" s="15" t="s">
        <v>3400</v>
      </c>
      <c r="B356" s="15" t="s">
        <v>505</v>
      </c>
      <c r="C356" s="7">
        <v>37.369999999999997</v>
      </c>
    </row>
    <row r="357" spans="1:3" x14ac:dyDescent="0.3">
      <c r="A357" s="15" t="s">
        <v>3401</v>
      </c>
      <c r="B357" s="15" t="s">
        <v>506</v>
      </c>
      <c r="C357" s="7">
        <v>63.18</v>
      </c>
    </row>
    <row r="358" spans="1:3" x14ac:dyDescent="0.3">
      <c r="A358" s="15" t="s">
        <v>3402</v>
      </c>
      <c r="B358" s="15" t="s">
        <v>617</v>
      </c>
      <c r="C358" s="7">
        <v>14.66</v>
      </c>
    </row>
    <row r="359" spans="1:3" x14ac:dyDescent="0.3">
      <c r="A359" s="15" t="s">
        <v>3403</v>
      </c>
      <c r="B359" s="15" t="s">
        <v>618</v>
      </c>
      <c r="C359" s="7">
        <v>35.4</v>
      </c>
    </row>
    <row r="360" spans="1:3" x14ac:dyDescent="0.3">
      <c r="A360" s="15" t="s">
        <v>3404</v>
      </c>
      <c r="B360" s="15" t="s">
        <v>619</v>
      </c>
      <c r="C360" s="7">
        <v>61.05</v>
      </c>
    </row>
    <row r="361" spans="1:3" x14ac:dyDescent="0.3">
      <c r="A361" s="15" t="s">
        <v>3405</v>
      </c>
      <c r="B361" s="15" t="s">
        <v>599</v>
      </c>
      <c r="C361" s="7">
        <v>16.29</v>
      </c>
    </row>
    <row r="362" spans="1:3" x14ac:dyDescent="0.3">
      <c r="A362" s="15" t="s">
        <v>3406</v>
      </c>
      <c r="B362" s="15" t="s">
        <v>600</v>
      </c>
      <c r="C362" s="7">
        <v>35.4</v>
      </c>
    </row>
    <row r="363" spans="1:3" x14ac:dyDescent="0.3">
      <c r="A363" s="15" t="s">
        <v>3407</v>
      </c>
      <c r="B363" s="15" t="s">
        <v>601</v>
      </c>
      <c r="C363" s="7">
        <v>50.94</v>
      </c>
    </row>
    <row r="364" spans="1:3" x14ac:dyDescent="0.3">
      <c r="A364" s="15" t="s">
        <v>3408</v>
      </c>
      <c r="B364" s="15" t="s">
        <v>1184</v>
      </c>
      <c r="C364" s="7">
        <v>36.92</v>
      </c>
    </row>
    <row r="365" spans="1:3" x14ac:dyDescent="0.3">
      <c r="A365" s="15" t="s">
        <v>3409</v>
      </c>
      <c r="B365" s="15" t="s">
        <v>55</v>
      </c>
      <c r="C365" s="7">
        <v>34.97</v>
      </c>
    </row>
    <row r="366" spans="1:3" x14ac:dyDescent="0.3">
      <c r="A366" s="15" t="s">
        <v>3410</v>
      </c>
      <c r="B366" s="15" t="s">
        <v>3411</v>
      </c>
      <c r="C366" s="7">
        <v>28.743749999999999</v>
      </c>
    </row>
    <row r="367" spans="1:3" x14ac:dyDescent="0.3">
      <c r="A367" s="15" t="s">
        <v>3412</v>
      </c>
      <c r="B367" s="15" t="s">
        <v>3413</v>
      </c>
      <c r="C367" s="7">
        <v>46.42</v>
      </c>
    </row>
    <row r="368" spans="1:3" x14ac:dyDescent="0.3">
      <c r="A368" s="15" t="s">
        <v>3414</v>
      </c>
      <c r="B368" s="15" t="s">
        <v>594</v>
      </c>
      <c r="C368" s="7">
        <v>16.309999999999999</v>
      </c>
    </row>
    <row r="369" spans="1:3" x14ac:dyDescent="0.3">
      <c r="A369" s="15" t="s">
        <v>3415</v>
      </c>
      <c r="B369" s="15" t="s">
        <v>595</v>
      </c>
      <c r="C369" s="7">
        <v>31.17</v>
      </c>
    </row>
    <row r="370" spans="1:3" x14ac:dyDescent="0.3">
      <c r="A370" s="15" t="s">
        <v>3416</v>
      </c>
      <c r="B370" s="15" t="s">
        <v>3417</v>
      </c>
      <c r="C370" s="7">
        <v>17.38</v>
      </c>
    </row>
    <row r="371" spans="1:3" x14ac:dyDescent="0.3">
      <c r="A371" s="15" t="s">
        <v>3418</v>
      </c>
      <c r="B371" s="15" t="s">
        <v>3419</v>
      </c>
      <c r="C371" s="7">
        <v>17.38</v>
      </c>
    </row>
    <row r="372" spans="1:3" x14ac:dyDescent="0.3">
      <c r="A372" s="15" t="s">
        <v>3420</v>
      </c>
      <c r="B372" s="15" t="s">
        <v>630</v>
      </c>
      <c r="C372" s="7">
        <v>34.35</v>
      </c>
    </row>
    <row r="373" spans="1:3" x14ac:dyDescent="0.3">
      <c r="A373" s="15" t="s">
        <v>3421</v>
      </c>
      <c r="B373" s="15" t="s">
        <v>3422</v>
      </c>
      <c r="C373" s="7">
        <v>13.91</v>
      </c>
    </row>
    <row r="374" spans="1:3" x14ac:dyDescent="0.3">
      <c r="A374" s="15" t="s">
        <v>3423</v>
      </c>
      <c r="B374" s="15" t="s">
        <v>387</v>
      </c>
      <c r="C374" s="7">
        <v>8.26</v>
      </c>
    </row>
    <row r="375" spans="1:3" x14ac:dyDescent="0.3">
      <c r="A375" s="15" t="s">
        <v>3424</v>
      </c>
      <c r="B375" s="15" t="s">
        <v>346</v>
      </c>
      <c r="C375" s="7">
        <v>8.26</v>
      </c>
    </row>
    <row r="376" spans="1:3" x14ac:dyDescent="0.3">
      <c r="A376" s="15" t="s">
        <v>3425</v>
      </c>
      <c r="B376" s="15" t="s">
        <v>384</v>
      </c>
      <c r="C376" s="7">
        <v>8.26</v>
      </c>
    </row>
    <row r="377" spans="1:3" x14ac:dyDescent="0.3">
      <c r="A377" s="15" t="s">
        <v>3426</v>
      </c>
      <c r="B377" s="15" t="s">
        <v>364</v>
      </c>
      <c r="C377" s="7">
        <v>8.26</v>
      </c>
    </row>
    <row r="378" spans="1:3" x14ac:dyDescent="0.3">
      <c r="A378" s="15" t="s">
        <v>3427</v>
      </c>
      <c r="B378" s="15" t="s">
        <v>3428</v>
      </c>
      <c r="C378" s="7">
        <v>20.93</v>
      </c>
    </row>
    <row r="379" spans="1:3" x14ac:dyDescent="0.3">
      <c r="A379" s="15" t="s">
        <v>3429</v>
      </c>
      <c r="B379" s="15" t="s">
        <v>3430</v>
      </c>
      <c r="C379" s="7">
        <v>16.52</v>
      </c>
    </row>
    <row r="380" spans="1:3" x14ac:dyDescent="0.3">
      <c r="A380" s="15" t="s">
        <v>3431</v>
      </c>
      <c r="B380" s="15" t="s">
        <v>347</v>
      </c>
      <c r="C380" s="7">
        <v>16.52</v>
      </c>
    </row>
    <row r="381" spans="1:3" x14ac:dyDescent="0.3">
      <c r="A381" s="15" t="s">
        <v>3432</v>
      </c>
      <c r="B381" s="15" t="s">
        <v>385</v>
      </c>
      <c r="C381" s="7">
        <v>16.52</v>
      </c>
    </row>
    <row r="382" spans="1:3" x14ac:dyDescent="0.3">
      <c r="A382" s="15" t="s">
        <v>3433</v>
      </c>
      <c r="B382" s="15" t="s">
        <v>365</v>
      </c>
      <c r="C382" s="7">
        <v>16.52</v>
      </c>
    </row>
    <row r="383" spans="1:3" x14ac:dyDescent="0.3">
      <c r="A383" s="15" t="s">
        <v>3434</v>
      </c>
      <c r="B383" s="15" t="s">
        <v>373</v>
      </c>
      <c r="C383" s="7">
        <v>27.53</v>
      </c>
    </row>
    <row r="384" spans="1:3" x14ac:dyDescent="0.3">
      <c r="A384" s="15" t="s">
        <v>3435</v>
      </c>
      <c r="B384" s="15" t="s">
        <v>317</v>
      </c>
      <c r="C384" s="7">
        <v>18.41</v>
      </c>
    </row>
    <row r="385" spans="1:3" x14ac:dyDescent="0.3">
      <c r="A385" s="15" t="s">
        <v>3436</v>
      </c>
      <c r="B385" s="15" t="s">
        <v>322</v>
      </c>
      <c r="C385" s="7">
        <v>18.41</v>
      </c>
    </row>
    <row r="386" spans="1:3" x14ac:dyDescent="0.3">
      <c r="A386" s="15" t="s">
        <v>3437</v>
      </c>
      <c r="B386" s="15" t="s">
        <v>323</v>
      </c>
      <c r="C386" s="7">
        <v>18.41</v>
      </c>
    </row>
    <row r="387" spans="1:3" x14ac:dyDescent="0.3">
      <c r="A387" s="15" t="s">
        <v>3438</v>
      </c>
      <c r="B387" s="15" t="s">
        <v>318</v>
      </c>
      <c r="C387" s="7">
        <v>18.41</v>
      </c>
    </row>
    <row r="388" spans="1:3" x14ac:dyDescent="0.3">
      <c r="A388" s="15" t="s">
        <v>3439</v>
      </c>
      <c r="B388" s="15" t="s">
        <v>314</v>
      </c>
      <c r="C388" s="7">
        <v>28.18</v>
      </c>
    </row>
    <row r="389" spans="1:3" x14ac:dyDescent="0.3">
      <c r="A389" s="15" t="s">
        <v>3440</v>
      </c>
      <c r="B389" s="15" t="s">
        <v>423</v>
      </c>
      <c r="C389" s="7">
        <v>16.86</v>
      </c>
    </row>
    <row r="390" spans="1:3" x14ac:dyDescent="0.3">
      <c r="A390" s="15" t="s">
        <v>3441</v>
      </c>
      <c r="B390" s="15" t="s">
        <v>424</v>
      </c>
      <c r="C390" s="7">
        <v>16.86</v>
      </c>
    </row>
    <row r="391" spans="1:3" x14ac:dyDescent="0.3">
      <c r="A391" s="15" t="s">
        <v>3442</v>
      </c>
      <c r="B391" s="15" t="s">
        <v>3443</v>
      </c>
      <c r="C391" s="7">
        <v>17.02</v>
      </c>
    </row>
    <row r="392" spans="1:3" x14ac:dyDescent="0.3">
      <c r="A392" s="15" t="s">
        <v>3444</v>
      </c>
      <c r="B392" s="15" t="s">
        <v>3445</v>
      </c>
      <c r="C392" s="7">
        <v>16.86</v>
      </c>
    </row>
    <row r="393" spans="1:3" x14ac:dyDescent="0.3">
      <c r="A393" s="15" t="s">
        <v>3446</v>
      </c>
      <c r="B393" s="15" t="s">
        <v>3447</v>
      </c>
      <c r="C393" s="7">
        <v>17.02</v>
      </c>
    </row>
    <row r="394" spans="1:3" x14ac:dyDescent="0.3">
      <c r="A394" s="15" t="s">
        <v>3448</v>
      </c>
      <c r="B394" s="15" t="s">
        <v>3449</v>
      </c>
      <c r="C394" s="7">
        <v>16.86</v>
      </c>
    </row>
    <row r="395" spans="1:3" x14ac:dyDescent="0.3">
      <c r="A395" s="15" t="s">
        <v>3450</v>
      </c>
      <c r="B395" s="15" t="s">
        <v>422</v>
      </c>
      <c r="C395" s="7">
        <v>28.18</v>
      </c>
    </row>
    <row r="396" spans="1:3" x14ac:dyDescent="0.3">
      <c r="A396" s="15" t="s">
        <v>3451</v>
      </c>
      <c r="B396" s="15" t="s">
        <v>421</v>
      </c>
      <c r="C396" s="7">
        <v>28.18</v>
      </c>
    </row>
    <row r="397" spans="1:3" x14ac:dyDescent="0.3">
      <c r="A397" s="15" t="s">
        <v>3452</v>
      </c>
      <c r="B397" s="15" t="s">
        <v>3453</v>
      </c>
      <c r="C397" s="7">
        <v>28.45</v>
      </c>
    </row>
    <row r="398" spans="1:3" x14ac:dyDescent="0.3">
      <c r="A398" s="15" t="s">
        <v>3454</v>
      </c>
      <c r="B398" s="15" t="s">
        <v>3455</v>
      </c>
      <c r="C398" s="7">
        <v>28.18</v>
      </c>
    </row>
    <row r="399" spans="1:3" x14ac:dyDescent="0.3">
      <c r="A399" s="15" t="s">
        <v>3456</v>
      </c>
      <c r="B399" s="15" t="s">
        <v>3457</v>
      </c>
      <c r="C399" s="7">
        <v>28.45</v>
      </c>
    </row>
    <row r="400" spans="1:3" x14ac:dyDescent="0.3">
      <c r="A400" s="15" t="s">
        <v>3458</v>
      </c>
      <c r="B400" s="15" t="s">
        <v>3459</v>
      </c>
      <c r="C400" s="7">
        <v>28.18</v>
      </c>
    </row>
    <row r="401" spans="1:3" x14ac:dyDescent="0.3">
      <c r="A401" s="15" t="s">
        <v>3460</v>
      </c>
      <c r="B401" s="15" t="s">
        <v>61</v>
      </c>
      <c r="C401" s="7">
        <v>21.476669999999999</v>
      </c>
    </row>
    <row r="402" spans="1:3" x14ac:dyDescent="0.3">
      <c r="A402" s="15" t="s">
        <v>3461</v>
      </c>
      <c r="B402" s="15" t="s">
        <v>171</v>
      </c>
      <c r="C402" s="7">
        <v>14.76</v>
      </c>
    </row>
    <row r="403" spans="1:3" x14ac:dyDescent="0.3">
      <c r="A403" s="15" t="s">
        <v>3462</v>
      </c>
      <c r="B403" s="15" t="s">
        <v>172</v>
      </c>
      <c r="C403" s="7">
        <v>19.73</v>
      </c>
    </row>
    <row r="404" spans="1:3" x14ac:dyDescent="0.3">
      <c r="A404" s="15" t="s">
        <v>3463</v>
      </c>
      <c r="B404" s="15" t="s">
        <v>170</v>
      </c>
      <c r="C404" s="7">
        <v>36.450000000000003</v>
      </c>
    </row>
    <row r="405" spans="1:3" x14ac:dyDescent="0.3">
      <c r="A405" s="15" t="s">
        <v>3464</v>
      </c>
      <c r="B405" s="15" t="s">
        <v>3465</v>
      </c>
      <c r="C405" s="7">
        <v>66.680000000000007</v>
      </c>
    </row>
    <row r="406" spans="1:3" x14ac:dyDescent="0.3">
      <c r="A406" s="15" t="s">
        <v>3466</v>
      </c>
      <c r="B406" s="15" t="s">
        <v>3467</v>
      </c>
      <c r="C406" s="7">
        <v>60.75</v>
      </c>
    </row>
    <row r="407" spans="1:3" x14ac:dyDescent="0.3">
      <c r="A407" s="15" t="s">
        <v>3468</v>
      </c>
      <c r="B407" s="15" t="s">
        <v>3469</v>
      </c>
      <c r="C407" s="7">
        <v>61.88</v>
      </c>
    </row>
    <row r="408" spans="1:3" x14ac:dyDescent="0.3">
      <c r="A408" s="15" t="s">
        <v>3470</v>
      </c>
      <c r="B408" s="15" t="s">
        <v>3471</v>
      </c>
      <c r="C408" s="7">
        <v>51.25</v>
      </c>
    </row>
    <row r="409" spans="1:3" x14ac:dyDescent="0.3">
      <c r="A409" s="15" t="s">
        <v>3472</v>
      </c>
      <c r="B409" s="15" t="s">
        <v>3473</v>
      </c>
      <c r="C409" s="7">
        <v>62.86</v>
      </c>
    </row>
    <row r="410" spans="1:3" x14ac:dyDescent="0.3">
      <c r="A410" s="15" t="s">
        <v>3474</v>
      </c>
      <c r="B410" s="15" t="s">
        <v>3475</v>
      </c>
      <c r="C410" s="7">
        <v>58.06</v>
      </c>
    </row>
    <row r="411" spans="1:3" x14ac:dyDescent="0.3">
      <c r="A411" s="15" t="s">
        <v>3476</v>
      </c>
      <c r="B411" s="15" t="s">
        <v>386</v>
      </c>
      <c r="C411" s="7">
        <v>8.26</v>
      </c>
    </row>
    <row r="412" spans="1:3" x14ac:dyDescent="0.3">
      <c r="A412" s="15" t="s">
        <v>3477</v>
      </c>
      <c r="B412" s="15" t="s">
        <v>342</v>
      </c>
      <c r="C412" s="7">
        <v>8.26</v>
      </c>
    </row>
    <row r="413" spans="1:3" x14ac:dyDescent="0.3">
      <c r="A413" s="15" t="s">
        <v>3478</v>
      </c>
      <c r="B413" s="15" t="s">
        <v>388</v>
      </c>
      <c r="C413" s="7">
        <v>8.26</v>
      </c>
    </row>
    <row r="414" spans="1:3" x14ac:dyDescent="0.3">
      <c r="A414" s="15" t="s">
        <v>3479</v>
      </c>
      <c r="B414" s="15" t="s">
        <v>392</v>
      </c>
      <c r="C414" s="7">
        <v>16.52</v>
      </c>
    </row>
    <row r="415" spans="1:3" x14ac:dyDescent="0.3">
      <c r="A415" s="15" t="s">
        <v>3480</v>
      </c>
      <c r="B415" s="15" t="s">
        <v>393</v>
      </c>
      <c r="C415" s="7">
        <v>16.52</v>
      </c>
    </row>
    <row r="416" spans="1:3" x14ac:dyDescent="0.3">
      <c r="A416" s="15" t="s">
        <v>3481</v>
      </c>
      <c r="B416" s="15" t="s">
        <v>184</v>
      </c>
      <c r="C416" s="7">
        <v>19.82</v>
      </c>
    </row>
    <row r="417" spans="1:3" x14ac:dyDescent="0.3">
      <c r="A417" s="15" t="s">
        <v>3482</v>
      </c>
      <c r="B417" s="15" t="s">
        <v>187</v>
      </c>
      <c r="C417" s="7">
        <v>12.84</v>
      </c>
    </row>
    <row r="418" spans="1:3" x14ac:dyDescent="0.3">
      <c r="A418" s="15" t="s">
        <v>3483</v>
      </c>
      <c r="B418" s="15" t="s">
        <v>193</v>
      </c>
      <c r="C418" s="7">
        <v>12.89</v>
      </c>
    </row>
    <row r="419" spans="1:3" x14ac:dyDescent="0.3">
      <c r="A419" s="15" t="s">
        <v>3484</v>
      </c>
      <c r="B419" s="15" t="s">
        <v>196</v>
      </c>
      <c r="C419" s="7">
        <v>18.59</v>
      </c>
    </row>
    <row r="420" spans="1:3" x14ac:dyDescent="0.3">
      <c r="A420" s="15" t="s">
        <v>3485</v>
      </c>
      <c r="B420" s="15" t="s">
        <v>185</v>
      </c>
      <c r="C420" s="7">
        <v>34.130000000000003</v>
      </c>
    </row>
    <row r="421" spans="1:3" x14ac:dyDescent="0.3">
      <c r="A421" s="15" t="s">
        <v>3486</v>
      </c>
      <c r="B421" s="15" t="s">
        <v>188</v>
      </c>
      <c r="C421" s="7">
        <v>21.11</v>
      </c>
    </row>
    <row r="422" spans="1:3" x14ac:dyDescent="0.3">
      <c r="A422" s="15" t="s">
        <v>3487</v>
      </c>
      <c r="B422" s="15" t="s">
        <v>194</v>
      </c>
      <c r="C422" s="7">
        <v>20.68</v>
      </c>
    </row>
    <row r="423" spans="1:3" x14ac:dyDescent="0.3">
      <c r="A423" s="15" t="s">
        <v>3488</v>
      </c>
      <c r="B423" s="15" t="s">
        <v>197</v>
      </c>
      <c r="C423" s="7">
        <v>27.02</v>
      </c>
    </row>
    <row r="424" spans="1:3" x14ac:dyDescent="0.3">
      <c r="A424" s="15" t="s">
        <v>3489</v>
      </c>
      <c r="B424" s="15" t="s">
        <v>186</v>
      </c>
      <c r="C424" s="7">
        <v>54.09</v>
      </c>
    </row>
    <row r="425" spans="1:3" x14ac:dyDescent="0.3">
      <c r="A425" s="15" t="s">
        <v>3490</v>
      </c>
      <c r="B425" s="15" t="s">
        <v>189</v>
      </c>
      <c r="C425" s="7">
        <v>35.159999999999997</v>
      </c>
    </row>
    <row r="426" spans="1:3" x14ac:dyDescent="0.3">
      <c r="A426" s="15" t="s">
        <v>3491</v>
      </c>
      <c r="B426" s="15" t="s">
        <v>195</v>
      </c>
      <c r="C426" s="7">
        <v>38.32</v>
      </c>
    </row>
    <row r="427" spans="1:3" x14ac:dyDescent="0.3">
      <c r="A427" s="15" t="s">
        <v>3492</v>
      </c>
      <c r="B427" s="15" t="s">
        <v>198</v>
      </c>
      <c r="C427" s="7">
        <v>45.04</v>
      </c>
    </row>
    <row r="428" spans="1:3" x14ac:dyDescent="0.3">
      <c r="A428" s="15" t="s">
        <v>3493</v>
      </c>
      <c r="B428" s="15" t="s">
        <v>518</v>
      </c>
      <c r="C428" s="7">
        <v>15.15</v>
      </c>
    </row>
    <row r="429" spans="1:3" x14ac:dyDescent="0.3">
      <c r="A429" s="15" t="s">
        <v>3494</v>
      </c>
      <c r="B429" s="15" t="s">
        <v>522</v>
      </c>
      <c r="C429" s="7">
        <v>15.15</v>
      </c>
    </row>
    <row r="430" spans="1:3" x14ac:dyDescent="0.3">
      <c r="A430" s="15" t="s">
        <v>3495</v>
      </c>
      <c r="B430" s="15" t="s">
        <v>623</v>
      </c>
      <c r="C430" s="7">
        <v>18.23</v>
      </c>
    </row>
    <row r="431" spans="1:3" x14ac:dyDescent="0.3">
      <c r="A431" s="15" t="s">
        <v>3496</v>
      </c>
      <c r="B431" s="15" t="s">
        <v>624</v>
      </c>
      <c r="C431" s="7">
        <v>34.200000000000003</v>
      </c>
    </row>
    <row r="432" spans="1:3" x14ac:dyDescent="0.3">
      <c r="A432" s="15" t="s">
        <v>3497</v>
      </c>
      <c r="B432" s="15" t="s">
        <v>521</v>
      </c>
      <c r="C432" s="7">
        <v>29.67</v>
      </c>
    </row>
    <row r="433" spans="1:3" x14ac:dyDescent="0.3">
      <c r="A433" s="15" t="s">
        <v>3498</v>
      </c>
      <c r="B433" s="15" t="s">
        <v>519</v>
      </c>
      <c r="C433" s="7">
        <v>29.67</v>
      </c>
    </row>
    <row r="434" spans="1:3" x14ac:dyDescent="0.3">
      <c r="A434" s="15" t="s">
        <v>3499</v>
      </c>
      <c r="B434" s="15" t="s">
        <v>523</v>
      </c>
      <c r="C434" s="7">
        <v>29.67</v>
      </c>
    </row>
    <row r="435" spans="1:3" x14ac:dyDescent="0.3">
      <c r="A435" s="15" t="s">
        <v>3500</v>
      </c>
      <c r="B435" s="15" t="s">
        <v>524</v>
      </c>
      <c r="C435" s="7">
        <v>53.91</v>
      </c>
    </row>
    <row r="436" spans="1:3" x14ac:dyDescent="0.3">
      <c r="A436" s="15" t="s">
        <v>3501</v>
      </c>
      <c r="B436" s="15" t="s">
        <v>520</v>
      </c>
      <c r="C436" s="7">
        <v>53.91</v>
      </c>
    </row>
    <row r="437" spans="1:3" x14ac:dyDescent="0.3">
      <c r="A437" s="15" t="s">
        <v>3502</v>
      </c>
      <c r="B437" s="15" t="s">
        <v>326</v>
      </c>
      <c r="C437" s="7">
        <v>35.4</v>
      </c>
    </row>
    <row r="438" spans="1:3" x14ac:dyDescent="0.3">
      <c r="A438" s="15" t="s">
        <v>3503</v>
      </c>
      <c r="B438" s="15" t="s">
        <v>325</v>
      </c>
      <c r="C438" s="7">
        <v>35.4</v>
      </c>
    </row>
    <row r="439" spans="1:3" x14ac:dyDescent="0.3">
      <c r="A439" s="15" t="s">
        <v>3504</v>
      </c>
      <c r="B439" s="15" t="s">
        <v>327</v>
      </c>
      <c r="C439" s="7">
        <v>35.4</v>
      </c>
    </row>
    <row r="440" spans="1:3" x14ac:dyDescent="0.3">
      <c r="A440" s="15" t="s">
        <v>3505</v>
      </c>
      <c r="B440" s="15" t="s">
        <v>328</v>
      </c>
      <c r="C440" s="7">
        <v>35.4</v>
      </c>
    </row>
    <row r="441" spans="1:3" x14ac:dyDescent="0.3">
      <c r="A441" s="15" t="s">
        <v>3506</v>
      </c>
      <c r="B441" s="15" t="s">
        <v>329</v>
      </c>
      <c r="C441" s="7">
        <v>35.4</v>
      </c>
    </row>
    <row r="442" spans="1:3" x14ac:dyDescent="0.3">
      <c r="A442" s="15" t="s">
        <v>3507</v>
      </c>
      <c r="B442" s="15" t="s">
        <v>330</v>
      </c>
      <c r="C442" s="7">
        <v>35.4</v>
      </c>
    </row>
    <row r="443" spans="1:3" x14ac:dyDescent="0.3">
      <c r="A443" s="15" t="s">
        <v>3508</v>
      </c>
      <c r="B443" s="15" t="s">
        <v>461</v>
      </c>
      <c r="C443" s="7">
        <v>14.85</v>
      </c>
    </row>
    <row r="444" spans="1:3" x14ac:dyDescent="0.3">
      <c r="A444" s="15" t="s">
        <v>3509</v>
      </c>
      <c r="B444" s="15" t="s">
        <v>525</v>
      </c>
      <c r="C444" s="7">
        <v>15.29</v>
      </c>
    </row>
    <row r="445" spans="1:3" x14ac:dyDescent="0.3">
      <c r="A445" s="15" t="s">
        <v>3510</v>
      </c>
      <c r="B445" s="15" t="s">
        <v>528</v>
      </c>
      <c r="C445" s="7">
        <v>15.29</v>
      </c>
    </row>
    <row r="446" spans="1:3" x14ac:dyDescent="0.3">
      <c r="A446" s="15" t="s">
        <v>3511</v>
      </c>
      <c r="B446" s="15" t="s">
        <v>531</v>
      </c>
      <c r="C446" s="7">
        <v>15.29</v>
      </c>
    </row>
    <row r="447" spans="1:3" x14ac:dyDescent="0.3">
      <c r="A447" s="15" t="s">
        <v>3512</v>
      </c>
      <c r="B447" s="15" t="s">
        <v>533</v>
      </c>
      <c r="C447" s="7">
        <v>15.29</v>
      </c>
    </row>
    <row r="448" spans="1:3" x14ac:dyDescent="0.3">
      <c r="A448" s="15" t="s">
        <v>3513</v>
      </c>
      <c r="B448" s="15" t="s">
        <v>539</v>
      </c>
      <c r="C448" s="7">
        <v>15.29</v>
      </c>
    </row>
    <row r="449" spans="1:3" x14ac:dyDescent="0.3">
      <c r="A449" s="15" t="s">
        <v>3514</v>
      </c>
      <c r="B449" s="15" t="s">
        <v>596</v>
      </c>
      <c r="C449" s="7">
        <v>16.29</v>
      </c>
    </row>
    <row r="450" spans="1:3" x14ac:dyDescent="0.3">
      <c r="A450" s="15" t="s">
        <v>3515</v>
      </c>
      <c r="B450" s="15" t="s">
        <v>602</v>
      </c>
      <c r="C450" s="7">
        <v>16.29</v>
      </c>
    </row>
    <row r="451" spans="1:3" x14ac:dyDescent="0.3">
      <c r="A451" s="15" t="s">
        <v>3516</v>
      </c>
      <c r="B451" s="15" t="s">
        <v>462</v>
      </c>
      <c r="C451" s="7">
        <v>30.51</v>
      </c>
    </row>
    <row r="452" spans="1:3" x14ac:dyDescent="0.3">
      <c r="A452" s="15" t="s">
        <v>3517</v>
      </c>
      <c r="B452" s="15" t="s">
        <v>526</v>
      </c>
      <c r="C452" s="7">
        <v>29.23</v>
      </c>
    </row>
    <row r="453" spans="1:3" x14ac:dyDescent="0.3">
      <c r="A453" s="15" t="s">
        <v>3518</v>
      </c>
      <c r="B453" s="15" t="s">
        <v>529</v>
      </c>
      <c r="C453" s="7">
        <v>29.23</v>
      </c>
    </row>
    <row r="454" spans="1:3" x14ac:dyDescent="0.3">
      <c r="A454" s="15" t="s">
        <v>3519</v>
      </c>
      <c r="B454" s="15" t="s">
        <v>532</v>
      </c>
      <c r="C454" s="7">
        <v>29.23</v>
      </c>
    </row>
    <row r="455" spans="1:3" x14ac:dyDescent="0.3">
      <c r="A455" s="15" t="s">
        <v>3520</v>
      </c>
      <c r="B455" s="15" t="s">
        <v>534</v>
      </c>
      <c r="C455" s="7">
        <v>29.23</v>
      </c>
    </row>
    <row r="456" spans="1:3" x14ac:dyDescent="0.3">
      <c r="A456" s="15" t="s">
        <v>3521</v>
      </c>
      <c r="B456" s="15" t="s">
        <v>540</v>
      </c>
      <c r="C456" s="7">
        <v>29.23</v>
      </c>
    </row>
    <row r="457" spans="1:3" x14ac:dyDescent="0.3">
      <c r="A457" s="15" t="s">
        <v>3522</v>
      </c>
      <c r="B457" s="15" t="s">
        <v>597</v>
      </c>
      <c r="C457" s="7">
        <v>35.4</v>
      </c>
    </row>
    <row r="458" spans="1:3" x14ac:dyDescent="0.3">
      <c r="A458" s="15" t="s">
        <v>3523</v>
      </c>
      <c r="B458" s="15" t="s">
        <v>603</v>
      </c>
      <c r="C458" s="7">
        <v>35.4</v>
      </c>
    </row>
    <row r="459" spans="1:3" x14ac:dyDescent="0.3">
      <c r="A459" s="15" t="s">
        <v>3524</v>
      </c>
      <c r="B459" s="15" t="s">
        <v>604</v>
      </c>
      <c r="C459" s="7">
        <v>67.84</v>
      </c>
    </row>
    <row r="460" spans="1:3" x14ac:dyDescent="0.3">
      <c r="A460" s="15" t="s">
        <v>3525</v>
      </c>
      <c r="B460" s="15" t="s">
        <v>607</v>
      </c>
      <c r="C460" s="7">
        <v>61.05</v>
      </c>
    </row>
    <row r="461" spans="1:3" x14ac:dyDescent="0.3">
      <c r="A461" s="15" t="s">
        <v>3526</v>
      </c>
      <c r="B461" s="15" t="s">
        <v>610</v>
      </c>
      <c r="C461" s="7">
        <v>61.05</v>
      </c>
    </row>
    <row r="462" spans="1:3" x14ac:dyDescent="0.3">
      <c r="A462" s="15" t="s">
        <v>3527</v>
      </c>
      <c r="B462" s="15" t="s">
        <v>613</v>
      </c>
      <c r="C462" s="7">
        <v>61.05</v>
      </c>
    </row>
    <row r="463" spans="1:3" x14ac:dyDescent="0.3">
      <c r="A463" s="15" t="s">
        <v>3528</v>
      </c>
      <c r="B463" s="15" t="s">
        <v>616</v>
      </c>
      <c r="C463" s="7">
        <v>61.05</v>
      </c>
    </row>
    <row r="464" spans="1:3" x14ac:dyDescent="0.3">
      <c r="A464" s="15" t="s">
        <v>3529</v>
      </c>
      <c r="B464" s="15" t="s">
        <v>622</v>
      </c>
      <c r="C464" s="7">
        <v>61.05</v>
      </c>
    </row>
    <row r="465" spans="1:3" x14ac:dyDescent="0.3">
      <c r="A465" s="15" t="s">
        <v>3530</v>
      </c>
      <c r="B465" s="15" t="s">
        <v>598</v>
      </c>
      <c r="C465" s="7">
        <v>67.84</v>
      </c>
    </row>
    <row r="466" spans="1:3" x14ac:dyDescent="0.3">
      <c r="A466" s="15" t="s">
        <v>3531</v>
      </c>
      <c r="B466" s="15" t="s">
        <v>527</v>
      </c>
      <c r="C466" s="7">
        <v>50.17</v>
      </c>
    </row>
    <row r="467" spans="1:3" x14ac:dyDescent="0.3">
      <c r="A467" s="15" t="s">
        <v>3532</v>
      </c>
      <c r="B467" s="15" t="s">
        <v>530</v>
      </c>
      <c r="C467" s="7">
        <v>50.17</v>
      </c>
    </row>
    <row r="468" spans="1:3" x14ac:dyDescent="0.3">
      <c r="A468" s="15" t="s">
        <v>3533</v>
      </c>
      <c r="B468" s="15" t="s">
        <v>3534</v>
      </c>
      <c r="C468" s="7">
        <v>55.94</v>
      </c>
    </row>
    <row r="469" spans="1:3" x14ac:dyDescent="0.3">
      <c r="A469" s="15" t="s">
        <v>3535</v>
      </c>
      <c r="B469" s="15" t="s">
        <v>3536</v>
      </c>
      <c r="C469" s="7">
        <v>50.17</v>
      </c>
    </row>
    <row r="470" spans="1:3" x14ac:dyDescent="0.3">
      <c r="A470" s="15" t="s">
        <v>3537</v>
      </c>
      <c r="B470" s="15" t="s">
        <v>535</v>
      </c>
      <c r="C470" s="7">
        <v>50.17</v>
      </c>
    </row>
    <row r="471" spans="1:3" x14ac:dyDescent="0.3">
      <c r="A471" s="15" t="s">
        <v>3538</v>
      </c>
      <c r="B471" s="15" t="s">
        <v>3539</v>
      </c>
      <c r="C471" s="7">
        <v>55.94</v>
      </c>
    </row>
    <row r="472" spans="1:3" x14ac:dyDescent="0.3">
      <c r="A472" s="15" t="s">
        <v>3540</v>
      </c>
      <c r="B472" s="15" t="s">
        <v>3541</v>
      </c>
      <c r="C472" s="7">
        <v>50.17</v>
      </c>
    </row>
    <row r="473" spans="1:3" x14ac:dyDescent="0.3">
      <c r="A473" s="15" t="s">
        <v>3542</v>
      </c>
      <c r="B473" s="15" t="s">
        <v>3543</v>
      </c>
      <c r="C473" s="7">
        <v>33.380000000000003</v>
      </c>
    </row>
    <row r="474" spans="1:3" x14ac:dyDescent="0.3">
      <c r="A474" s="15" t="s">
        <v>3544</v>
      </c>
      <c r="B474" s="15" t="s">
        <v>3545</v>
      </c>
      <c r="C474" s="7">
        <v>38.912500000000001</v>
      </c>
    </row>
    <row r="475" spans="1:3" x14ac:dyDescent="0.3">
      <c r="A475" s="15" t="s">
        <v>3546</v>
      </c>
      <c r="B475" s="15" t="s">
        <v>3547</v>
      </c>
      <c r="C475" s="7">
        <v>30.74</v>
      </c>
    </row>
    <row r="476" spans="1:3" x14ac:dyDescent="0.3">
      <c r="A476" s="15" t="s">
        <v>3548</v>
      </c>
      <c r="B476" s="15" t="s">
        <v>182</v>
      </c>
      <c r="C476" s="7">
        <v>39.35</v>
      </c>
    </row>
    <row r="477" spans="1:3" x14ac:dyDescent="0.3">
      <c r="A477" s="15" t="s">
        <v>3549</v>
      </c>
      <c r="B477" s="15" t="s">
        <v>183</v>
      </c>
      <c r="C477" s="7">
        <v>30.74</v>
      </c>
    </row>
    <row r="478" spans="1:3" x14ac:dyDescent="0.3">
      <c r="A478" s="15" t="s">
        <v>3550</v>
      </c>
      <c r="B478" s="15" t="s">
        <v>500</v>
      </c>
      <c r="C478" s="7">
        <v>18.690000000000001</v>
      </c>
    </row>
    <row r="479" spans="1:3" x14ac:dyDescent="0.3">
      <c r="A479" s="15" t="s">
        <v>3551</v>
      </c>
      <c r="B479" s="15" t="s">
        <v>107</v>
      </c>
      <c r="C479" s="7">
        <v>11.64</v>
      </c>
    </row>
    <row r="480" spans="1:3" x14ac:dyDescent="0.3">
      <c r="A480" s="15" t="s">
        <v>3552</v>
      </c>
      <c r="B480" s="15" t="s">
        <v>147</v>
      </c>
      <c r="C480" s="7">
        <v>10.32</v>
      </c>
    </row>
    <row r="481" spans="1:3" x14ac:dyDescent="0.3">
      <c r="A481" s="15" t="s">
        <v>3553</v>
      </c>
      <c r="B481" s="15" t="s">
        <v>511</v>
      </c>
      <c r="C481" s="7">
        <v>18.690000000000001</v>
      </c>
    </row>
    <row r="482" spans="1:3" x14ac:dyDescent="0.3">
      <c r="A482" s="15" t="s">
        <v>3554</v>
      </c>
      <c r="B482" s="15" t="s">
        <v>496</v>
      </c>
      <c r="C482" s="7">
        <v>18.690000000000001</v>
      </c>
    </row>
    <row r="483" spans="1:3" x14ac:dyDescent="0.3">
      <c r="A483" s="15" t="s">
        <v>3555</v>
      </c>
      <c r="B483" s="15" t="s">
        <v>441</v>
      </c>
      <c r="C483" s="7">
        <v>14.67</v>
      </c>
    </row>
    <row r="484" spans="1:3" x14ac:dyDescent="0.3">
      <c r="A484" s="15" t="s">
        <v>3556</v>
      </c>
      <c r="B484" s="15" t="s">
        <v>437</v>
      </c>
      <c r="C484" s="7">
        <v>15.8</v>
      </c>
    </row>
    <row r="485" spans="1:3" x14ac:dyDescent="0.3">
      <c r="A485" s="15" t="s">
        <v>3557</v>
      </c>
      <c r="B485" s="15" t="s">
        <v>442</v>
      </c>
      <c r="C485" s="7">
        <v>29.12</v>
      </c>
    </row>
    <row r="486" spans="1:3" x14ac:dyDescent="0.3">
      <c r="A486" s="15" t="s">
        <v>3558</v>
      </c>
      <c r="B486" s="15" t="s">
        <v>626</v>
      </c>
      <c r="C486" s="7">
        <v>12.4</v>
      </c>
    </row>
    <row r="487" spans="1:3" x14ac:dyDescent="0.3">
      <c r="A487" s="15" t="s">
        <v>3559</v>
      </c>
      <c r="B487" s="15" t="s">
        <v>138</v>
      </c>
      <c r="C487" s="7">
        <v>11</v>
      </c>
    </row>
    <row r="488" spans="1:3" x14ac:dyDescent="0.3">
      <c r="A488" s="15" t="s">
        <v>3560</v>
      </c>
      <c r="B488" s="15" t="s">
        <v>154</v>
      </c>
      <c r="C488" s="7">
        <v>7.55</v>
      </c>
    </row>
    <row r="489" spans="1:3" x14ac:dyDescent="0.3">
      <c r="A489" s="15" t="s">
        <v>3561</v>
      </c>
      <c r="B489" s="15" t="s">
        <v>144</v>
      </c>
      <c r="C489" s="7">
        <v>8.8699999999999992</v>
      </c>
    </row>
    <row r="490" spans="1:3" x14ac:dyDescent="0.3">
      <c r="A490" s="15" t="s">
        <v>3562</v>
      </c>
      <c r="B490" s="15" t="s">
        <v>571</v>
      </c>
      <c r="C490" s="7">
        <v>17.690000000000001</v>
      </c>
    </row>
    <row r="491" spans="1:3" x14ac:dyDescent="0.3">
      <c r="A491" s="15" t="s">
        <v>3563</v>
      </c>
      <c r="B491" s="15" t="s">
        <v>574</v>
      </c>
      <c r="C491" s="7">
        <v>14.11</v>
      </c>
    </row>
    <row r="492" spans="1:3" x14ac:dyDescent="0.3">
      <c r="A492" s="15" t="s">
        <v>3564</v>
      </c>
      <c r="B492" s="15" t="s">
        <v>439</v>
      </c>
      <c r="C492" s="7">
        <v>28.28</v>
      </c>
    </row>
    <row r="493" spans="1:3" x14ac:dyDescent="0.3">
      <c r="A493" s="15" t="s">
        <v>3565</v>
      </c>
      <c r="B493" s="15" t="s">
        <v>477</v>
      </c>
      <c r="C493" s="7">
        <v>19.12</v>
      </c>
    </row>
    <row r="494" spans="1:3" x14ac:dyDescent="0.3">
      <c r="A494" s="15" t="s">
        <v>3566</v>
      </c>
      <c r="B494" s="15" t="s">
        <v>472</v>
      </c>
      <c r="C494" s="7">
        <v>22.72</v>
      </c>
    </row>
    <row r="495" spans="1:3" x14ac:dyDescent="0.3">
      <c r="A495" s="15" t="s">
        <v>3567</v>
      </c>
      <c r="B495" s="15" t="s">
        <v>108</v>
      </c>
      <c r="C495" s="7">
        <v>23.31</v>
      </c>
    </row>
    <row r="496" spans="1:3" x14ac:dyDescent="0.3">
      <c r="A496" s="15" t="s">
        <v>3568</v>
      </c>
      <c r="B496" s="15" t="s">
        <v>148</v>
      </c>
      <c r="C496" s="7">
        <v>16.87</v>
      </c>
    </row>
    <row r="497" spans="1:3" x14ac:dyDescent="0.3">
      <c r="A497" s="15" t="s">
        <v>3569</v>
      </c>
      <c r="B497" s="15" t="s">
        <v>605</v>
      </c>
      <c r="C497" s="7">
        <v>14.66</v>
      </c>
    </row>
    <row r="498" spans="1:3" x14ac:dyDescent="0.3">
      <c r="A498" s="15" t="s">
        <v>3570</v>
      </c>
      <c r="B498" s="15" t="s">
        <v>608</v>
      </c>
      <c r="C498" s="7">
        <v>14.66</v>
      </c>
    </row>
    <row r="499" spans="1:3" x14ac:dyDescent="0.3">
      <c r="A499" s="15" t="s">
        <v>3571</v>
      </c>
      <c r="B499" s="15" t="s">
        <v>611</v>
      </c>
      <c r="C499" s="7">
        <v>14.66</v>
      </c>
    </row>
    <row r="500" spans="1:3" x14ac:dyDescent="0.3">
      <c r="A500" s="15" t="s">
        <v>3572</v>
      </c>
      <c r="B500" s="15" t="s">
        <v>501</v>
      </c>
      <c r="C500" s="7">
        <v>41.11</v>
      </c>
    </row>
    <row r="501" spans="1:3" x14ac:dyDescent="0.3">
      <c r="A501" s="15" t="s">
        <v>3573</v>
      </c>
      <c r="B501" s="15" t="s">
        <v>512</v>
      </c>
      <c r="C501" s="7">
        <v>41.11</v>
      </c>
    </row>
    <row r="502" spans="1:3" x14ac:dyDescent="0.3">
      <c r="A502" s="15" t="s">
        <v>3574</v>
      </c>
      <c r="B502" s="15" t="s">
        <v>438</v>
      </c>
      <c r="C502" s="7">
        <v>29.36</v>
      </c>
    </row>
    <row r="503" spans="1:3" x14ac:dyDescent="0.3">
      <c r="A503" s="15" t="s">
        <v>3575</v>
      </c>
      <c r="B503" s="15" t="s">
        <v>572</v>
      </c>
      <c r="C503" s="7">
        <v>29.98</v>
      </c>
    </row>
    <row r="504" spans="1:3" x14ac:dyDescent="0.3">
      <c r="A504" s="15" t="s">
        <v>3576</v>
      </c>
      <c r="B504" s="15" t="s">
        <v>139</v>
      </c>
      <c r="C504" s="7">
        <v>19.97</v>
      </c>
    </row>
    <row r="505" spans="1:3" x14ac:dyDescent="0.3">
      <c r="A505" s="15" t="s">
        <v>3577</v>
      </c>
      <c r="B505" s="15" t="s">
        <v>155</v>
      </c>
      <c r="C505" s="7">
        <v>14.02</v>
      </c>
    </row>
    <row r="506" spans="1:3" x14ac:dyDescent="0.3">
      <c r="A506" s="15" t="s">
        <v>3578</v>
      </c>
      <c r="B506" s="15" t="s">
        <v>145</v>
      </c>
      <c r="C506" s="7">
        <v>16.3</v>
      </c>
    </row>
    <row r="507" spans="1:3" x14ac:dyDescent="0.3">
      <c r="A507" s="15" t="s">
        <v>3579</v>
      </c>
      <c r="B507" s="15" t="s">
        <v>627</v>
      </c>
      <c r="C507" s="7">
        <v>25.61</v>
      </c>
    </row>
    <row r="508" spans="1:3" x14ac:dyDescent="0.3">
      <c r="A508" s="15" t="s">
        <v>3580</v>
      </c>
      <c r="B508" s="15" t="s">
        <v>575</v>
      </c>
      <c r="C508" s="7">
        <v>29.98</v>
      </c>
    </row>
    <row r="509" spans="1:3" x14ac:dyDescent="0.3">
      <c r="A509" s="15" t="s">
        <v>3581</v>
      </c>
      <c r="B509" s="15" t="s">
        <v>614</v>
      </c>
      <c r="C509" s="7">
        <v>14.66</v>
      </c>
    </row>
    <row r="510" spans="1:3" x14ac:dyDescent="0.3">
      <c r="A510" s="15" t="s">
        <v>3582</v>
      </c>
      <c r="B510" s="15" t="s">
        <v>620</v>
      </c>
      <c r="C510" s="7">
        <v>14.66</v>
      </c>
    </row>
    <row r="511" spans="1:3" x14ac:dyDescent="0.3">
      <c r="A511" s="15" t="s">
        <v>3583</v>
      </c>
      <c r="B511" s="15" t="s">
        <v>606</v>
      </c>
      <c r="C511" s="7">
        <v>35.4</v>
      </c>
    </row>
    <row r="512" spans="1:3" x14ac:dyDescent="0.3">
      <c r="A512" s="15" t="s">
        <v>3584</v>
      </c>
      <c r="B512" s="15" t="s">
        <v>609</v>
      </c>
      <c r="C512" s="7">
        <v>35.4</v>
      </c>
    </row>
    <row r="513" spans="1:3" x14ac:dyDescent="0.3">
      <c r="A513" s="15" t="s">
        <v>3585</v>
      </c>
      <c r="B513" s="15" t="s">
        <v>612</v>
      </c>
      <c r="C513" s="7">
        <v>35.4</v>
      </c>
    </row>
    <row r="514" spans="1:3" x14ac:dyDescent="0.3">
      <c r="A514" s="15" t="s">
        <v>3586</v>
      </c>
      <c r="B514" s="15" t="s">
        <v>615</v>
      </c>
      <c r="C514" s="7">
        <v>35.4</v>
      </c>
    </row>
    <row r="515" spans="1:3" x14ac:dyDescent="0.3">
      <c r="A515" s="15" t="s">
        <v>3587</v>
      </c>
      <c r="B515" s="15" t="s">
        <v>621</v>
      </c>
      <c r="C515" s="7">
        <v>35.4</v>
      </c>
    </row>
    <row r="516" spans="1:3" x14ac:dyDescent="0.3">
      <c r="A516" s="15" t="s">
        <v>3588</v>
      </c>
      <c r="B516" s="15" t="s">
        <v>440</v>
      </c>
      <c r="C516" s="7">
        <v>47.11</v>
      </c>
    </row>
    <row r="517" spans="1:3" x14ac:dyDescent="0.3">
      <c r="A517" s="15" t="s">
        <v>3589</v>
      </c>
      <c r="B517" s="15" t="s">
        <v>502</v>
      </c>
      <c r="C517" s="7">
        <v>63.18</v>
      </c>
    </row>
    <row r="518" spans="1:3" x14ac:dyDescent="0.3">
      <c r="A518" s="15" t="s">
        <v>3590</v>
      </c>
      <c r="B518" s="15" t="s">
        <v>513</v>
      </c>
      <c r="C518" s="7">
        <v>63.185000000000002</v>
      </c>
    </row>
    <row r="519" spans="1:3" x14ac:dyDescent="0.3">
      <c r="A519" s="15" t="s">
        <v>3591</v>
      </c>
      <c r="B519" s="15" t="s">
        <v>443</v>
      </c>
      <c r="C519" s="7">
        <v>52.32</v>
      </c>
    </row>
    <row r="520" spans="1:3" x14ac:dyDescent="0.3">
      <c r="A520" s="15" t="s">
        <v>3592</v>
      </c>
      <c r="B520" s="15" t="s">
        <v>576</v>
      </c>
      <c r="C520" s="7">
        <v>53.11</v>
      </c>
    </row>
    <row r="521" spans="1:3" x14ac:dyDescent="0.3">
      <c r="A521" s="15" t="s">
        <v>3593</v>
      </c>
      <c r="B521" s="15" t="s">
        <v>573</v>
      </c>
      <c r="C521" s="7">
        <v>55.45</v>
      </c>
    </row>
    <row r="522" spans="1:3" x14ac:dyDescent="0.3">
      <c r="A522" s="15" t="s">
        <v>3594</v>
      </c>
      <c r="B522" s="15" t="s">
        <v>495</v>
      </c>
      <c r="C522" s="7">
        <v>18.690000000000001</v>
      </c>
    </row>
    <row r="523" spans="1:3" x14ac:dyDescent="0.3">
      <c r="A523" s="15" t="s">
        <v>3595</v>
      </c>
      <c r="B523" s="15" t="s">
        <v>3596</v>
      </c>
      <c r="C523" s="7">
        <v>45.07</v>
      </c>
    </row>
    <row r="524" spans="1:3" x14ac:dyDescent="0.3">
      <c r="A524" s="15" t="s">
        <v>3597</v>
      </c>
      <c r="B524" s="15" t="s">
        <v>146</v>
      </c>
      <c r="C524" s="7">
        <v>26.85</v>
      </c>
    </row>
    <row r="525" spans="1:3" x14ac:dyDescent="0.3">
      <c r="A525" s="15" t="s">
        <v>3598</v>
      </c>
      <c r="B525" s="15" t="s">
        <v>3599</v>
      </c>
      <c r="C525" s="7">
        <v>18.61</v>
      </c>
    </row>
    <row r="526" spans="1:3" x14ac:dyDescent="0.3">
      <c r="A526" s="15" t="s">
        <v>3600</v>
      </c>
      <c r="B526" s="15" t="s">
        <v>3601</v>
      </c>
      <c r="C526" s="7">
        <v>28.62</v>
      </c>
    </row>
    <row r="527" spans="1:3" x14ac:dyDescent="0.3">
      <c r="A527" s="15" t="s">
        <v>3602</v>
      </c>
      <c r="B527" s="15" t="s">
        <v>156</v>
      </c>
      <c r="C527" s="7">
        <v>26.85</v>
      </c>
    </row>
    <row r="528" spans="1:3" x14ac:dyDescent="0.3">
      <c r="A528" s="15" t="s">
        <v>3603</v>
      </c>
      <c r="B528" s="15" t="s">
        <v>140</v>
      </c>
      <c r="C528" s="7">
        <v>33.1</v>
      </c>
    </row>
    <row r="529" spans="1:3" x14ac:dyDescent="0.3">
      <c r="A529" s="15" t="s">
        <v>3604</v>
      </c>
      <c r="B529" s="15" t="s">
        <v>628</v>
      </c>
      <c r="C529" s="7">
        <v>41.3</v>
      </c>
    </row>
    <row r="530" spans="1:3" x14ac:dyDescent="0.3">
      <c r="A530" s="15" t="s">
        <v>3605</v>
      </c>
      <c r="B530" s="15" t="s">
        <v>149</v>
      </c>
      <c r="C530" s="7">
        <v>28.11</v>
      </c>
    </row>
    <row r="531" spans="1:3" x14ac:dyDescent="0.3">
      <c r="A531" s="15" t="s">
        <v>3606</v>
      </c>
      <c r="B531" s="15" t="s">
        <v>473</v>
      </c>
      <c r="C531" s="7">
        <v>36.22</v>
      </c>
    </row>
    <row r="532" spans="1:3" x14ac:dyDescent="0.3">
      <c r="A532" s="15" t="s">
        <v>3607</v>
      </c>
      <c r="B532" s="15" t="s">
        <v>478</v>
      </c>
      <c r="C532" s="7">
        <v>33.130000000000003</v>
      </c>
    </row>
    <row r="533" spans="1:3" x14ac:dyDescent="0.3">
      <c r="A533" s="15" t="s">
        <v>3608</v>
      </c>
      <c r="B533" s="15" t="s">
        <v>109</v>
      </c>
      <c r="C533" s="7">
        <v>38.85</v>
      </c>
    </row>
    <row r="534" spans="1:3" x14ac:dyDescent="0.3">
      <c r="A534" s="15" t="s">
        <v>3609</v>
      </c>
      <c r="B534" s="15" t="s">
        <v>480</v>
      </c>
      <c r="C534" s="7">
        <v>40.98</v>
      </c>
    </row>
    <row r="535" spans="1:3" x14ac:dyDescent="0.3">
      <c r="A535" s="15" t="s">
        <v>3610</v>
      </c>
      <c r="B535" s="15" t="s">
        <v>503</v>
      </c>
      <c r="C535" s="7">
        <v>41.11</v>
      </c>
    </row>
    <row r="536" spans="1:3" x14ac:dyDescent="0.3">
      <c r="A536" s="15" t="s">
        <v>3611</v>
      </c>
      <c r="B536" s="15" t="s">
        <v>504</v>
      </c>
      <c r="C536" s="7">
        <v>63.18</v>
      </c>
    </row>
    <row r="537" spans="1:3" x14ac:dyDescent="0.3">
      <c r="A537" s="15" t="s">
        <v>3612</v>
      </c>
      <c r="B537" s="15" t="s">
        <v>507</v>
      </c>
      <c r="C537" s="7">
        <v>63.18</v>
      </c>
    </row>
    <row r="538" spans="1:3" x14ac:dyDescent="0.3">
      <c r="A538" s="15" t="s">
        <v>3613</v>
      </c>
      <c r="B538" s="15" t="s">
        <v>3614</v>
      </c>
      <c r="C538" s="7">
        <v>16.98</v>
      </c>
    </row>
    <row r="539" spans="1:3" x14ac:dyDescent="0.3">
      <c r="A539" s="15" t="s">
        <v>3615</v>
      </c>
      <c r="B539" s="15" t="s">
        <v>3616</v>
      </c>
      <c r="C539" s="7">
        <v>31.87</v>
      </c>
    </row>
    <row r="540" spans="1:3" x14ac:dyDescent="0.3">
      <c r="A540" s="15" t="s">
        <v>3617</v>
      </c>
      <c r="B540" s="15" t="s">
        <v>3618</v>
      </c>
      <c r="C540" s="7">
        <v>31.87</v>
      </c>
    </row>
    <row r="541" spans="1:3" x14ac:dyDescent="0.3">
      <c r="A541" s="15" t="s">
        <v>3619</v>
      </c>
      <c r="B541" s="15" t="s">
        <v>3620</v>
      </c>
      <c r="C541" s="7">
        <v>50.7</v>
      </c>
    </row>
    <row r="542" spans="1:3" x14ac:dyDescent="0.3">
      <c r="A542" s="15" t="s">
        <v>3621</v>
      </c>
      <c r="B542" s="15" t="s">
        <v>3622</v>
      </c>
      <c r="C542" s="7">
        <v>43.69</v>
      </c>
    </row>
    <row r="543" spans="1:3" x14ac:dyDescent="0.3">
      <c r="A543" s="15" t="s">
        <v>3623</v>
      </c>
      <c r="B543" s="15" t="s">
        <v>60</v>
      </c>
      <c r="C543" s="7">
        <v>13.26</v>
      </c>
    </row>
    <row r="544" spans="1:3" x14ac:dyDescent="0.3">
      <c r="A544" s="15" t="s">
        <v>3624</v>
      </c>
      <c r="B544" s="15" t="s">
        <v>58</v>
      </c>
      <c r="C544" s="7">
        <v>21.32</v>
      </c>
    </row>
    <row r="545" spans="1:3" x14ac:dyDescent="0.3">
      <c r="A545" s="15" t="s">
        <v>3625</v>
      </c>
      <c r="B545" s="15" t="s">
        <v>3626</v>
      </c>
      <c r="C545" s="7">
        <v>34.659999999999997</v>
      </c>
    </row>
    <row r="546" spans="1:3" x14ac:dyDescent="0.3">
      <c r="A546" s="15" t="s">
        <v>3627</v>
      </c>
      <c r="B546" s="15" t="s">
        <v>3628</v>
      </c>
      <c r="C546" s="7">
        <v>45.44</v>
      </c>
    </row>
    <row r="547" spans="1:3" x14ac:dyDescent="0.3">
      <c r="A547" s="15" t="s">
        <v>3629</v>
      </c>
      <c r="B547" s="15" t="s">
        <v>3630</v>
      </c>
      <c r="C547" s="7">
        <v>71.09</v>
      </c>
    </row>
    <row r="548" spans="1:3" x14ac:dyDescent="0.3">
      <c r="A548" s="15" t="s">
        <v>3631</v>
      </c>
      <c r="B548" s="15" t="s">
        <v>429</v>
      </c>
      <c r="C548" s="7">
        <v>36.06</v>
      </c>
    </row>
    <row r="549" spans="1:3" x14ac:dyDescent="0.3">
      <c r="A549" s="15" t="s">
        <v>3632</v>
      </c>
      <c r="B549" s="15" t="s">
        <v>68</v>
      </c>
      <c r="C549" s="7">
        <v>34.409999999999997</v>
      </c>
    </row>
    <row r="550" spans="1:3" x14ac:dyDescent="0.3">
      <c r="A550" s="15" t="s">
        <v>3633</v>
      </c>
      <c r="B550" s="15" t="s">
        <v>3634</v>
      </c>
      <c r="C550" s="7">
        <v>25.31</v>
      </c>
    </row>
    <row r="551" spans="1:3" x14ac:dyDescent="0.3">
      <c r="A551" s="15" t="s">
        <v>3635</v>
      </c>
      <c r="B551" s="15" t="s">
        <v>3636</v>
      </c>
      <c r="C551" s="7">
        <v>25.31</v>
      </c>
    </row>
    <row r="552" spans="1:3" x14ac:dyDescent="0.3">
      <c r="A552" s="15" t="s">
        <v>3637</v>
      </c>
      <c r="B552" s="15" t="s">
        <v>3638</v>
      </c>
      <c r="C552" s="7">
        <v>25.31</v>
      </c>
    </row>
    <row r="553" spans="1:3" x14ac:dyDescent="0.3">
      <c r="A553" s="15" t="s">
        <v>3639</v>
      </c>
      <c r="B553" s="15" t="s">
        <v>3640</v>
      </c>
      <c r="C553" s="7">
        <v>25.31</v>
      </c>
    </row>
    <row r="554" spans="1:3" x14ac:dyDescent="0.3">
      <c r="A554" s="15" t="s">
        <v>3641</v>
      </c>
      <c r="B554" s="15" t="s">
        <v>3642</v>
      </c>
      <c r="C554" s="7">
        <v>25.31</v>
      </c>
    </row>
    <row r="555" spans="1:3" x14ac:dyDescent="0.3">
      <c r="A555" s="15" t="s">
        <v>3643</v>
      </c>
      <c r="B555" s="15" t="s">
        <v>3644</v>
      </c>
      <c r="C555" s="7">
        <v>25.31</v>
      </c>
    </row>
    <row r="556" spans="1:3" x14ac:dyDescent="0.3">
      <c r="A556" s="15" t="s">
        <v>3645</v>
      </c>
      <c r="B556" s="15" t="s">
        <v>3646</v>
      </c>
      <c r="C556" s="7">
        <v>4.54</v>
      </c>
    </row>
    <row r="557" spans="1:3" x14ac:dyDescent="0.3">
      <c r="A557" s="15" t="s">
        <v>3647</v>
      </c>
      <c r="B557" s="15" t="s">
        <v>406</v>
      </c>
      <c r="C557" s="7">
        <v>24.59</v>
      </c>
    </row>
    <row r="558" spans="1:3" x14ac:dyDescent="0.3">
      <c r="A558" s="15" t="s">
        <v>3648</v>
      </c>
      <c r="B558" s="15" t="s">
        <v>407</v>
      </c>
      <c r="C558" s="7">
        <v>35.14</v>
      </c>
    </row>
    <row r="559" spans="1:3" x14ac:dyDescent="0.3">
      <c r="A559" s="15" t="s">
        <v>3649</v>
      </c>
      <c r="B559" s="15" t="s">
        <v>1108</v>
      </c>
      <c r="C559" s="7">
        <v>7.55</v>
      </c>
    </row>
    <row r="560" spans="1:3" x14ac:dyDescent="0.3">
      <c r="A560" s="15" t="s">
        <v>3650</v>
      </c>
      <c r="B560" s="15" t="s">
        <v>275</v>
      </c>
      <c r="C560" s="7">
        <v>4.76</v>
      </c>
    </row>
    <row r="561" spans="1:3" x14ac:dyDescent="0.3">
      <c r="A561" s="15" t="s">
        <v>3651</v>
      </c>
      <c r="B561" s="15" t="s">
        <v>276</v>
      </c>
      <c r="C561" s="7">
        <v>9.5299999999999994</v>
      </c>
    </row>
    <row r="562" spans="1:3" x14ac:dyDescent="0.3">
      <c r="A562" s="15" t="s">
        <v>3652</v>
      </c>
      <c r="B562" s="15" t="s">
        <v>277</v>
      </c>
      <c r="C562" s="7">
        <v>15.86</v>
      </c>
    </row>
    <row r="563" spans="1:3" x14ac:dyDescent="0.3">
      <c r="A563" s="15" t="s">
        <v>3653</v>
      </c>
      <c r="B563" s="15" t="s">
        <v>240</v>
      </c>
      <c r="C563" s="7">
        <v>43.89</v>
      </c>
    </row>
    <row r="564" spans="1:3" x14ac:dyDescent="0.3">
      <c r="A564" s="15" t="s">
        <v>3654</v>
      </c>
      <c r="B564" s="15" t="s">
        <v>241</v>
      </c>
      <c r="C564" s="7">
        <v>40.85</v>
      </c>
    </row>
    <row r="565" spans="1:3" x14ac:dyDescent="0.3">
      <c r="A565" s="15" t="s">
        <v>3655</v>
      </c>
      <c r="B565" s="15" t="s">
        <v>242</v>
      </c>
      <c r="C565" s="7">
        <v>43.89</v>
      </c>
    </row>
    <row r="566" spans="1:3" x14ac:dyDescent="0.3">
      <c r="A566" s="15" t="s">
        <v>3656</v>
      </c>
      <c r="B566" s="15" t="s">
        <v>243</v>
      </c>
      <c r="C566" s="7">
        <v>39.5</v>
      </c>
    </row>
    <row r="567" spans="1:3" x14ac:dyDescent="0.3">
      <c r="A567" s="15" t="s">
        <v>3657</v>
      </c>
      <c r="B567" s="15" t="s">
        <v>244</v>
      </c>
      <c r="C567" s="7">
        <v>43.89</v>
      </c>
    </row>
    <row r="568" spans="1:3" x14ac:dyDescent="0.3">
      <c r="A568" s="15" t="s">
        <v>3658</v>
      </c>
      <c r="B568" s="15" t="s">
        <v>239</v>
      </c>
      <c r="C568" s="7">
        <v>18.09</v>
      </c>
    </row>
    <row r="569" spans="1:3" x14ac:dyDescent="0.3">
      <c r="A569" s="15" t="s">
        <v>3659</v>
      </c>
      <c r="B569" s="15" t="s">
        <v>79</v>
      </c>
      <c r="C569" s="7">
        <v>13.52</v>
      </c>
    </row>
    <row r="570" spans="1:3" x14ac:dyDescent="0.3">
      <c r="A570" s="15" t="s">
        <v>3660</v>
      </c>
      <c r="B570" s="15" t="s">
        <v>80</v>
      </c>
      <c r="C570" s="7">
        <v>13.52</v>
      </c>
    </row>
    <row r="571" spans="1:3" x14ac:dyDescent="0.3">
      <c r="A571" s="15" t="s">
        <v>3661</v>
      </c>
      <c r="B571" s="15" t="s">
        <v>81</v>
      </c>
      <c r="C571" s="7">
        <v>26.2</v>
      </c>
    </row>
    <row r="572" spans="1:3" x14ac:dyDescent="0.3">
      <c r="A572" s="15" t="s">
        <v>3662</v>
      </c>
      <c r="B572" s="15" t="s">
        <v>83</v>
      </c>
      <c r="C572" s="7">
        <v>13.04</v>
      </c>
    </row>
    <row r="573" spans="1:3" x14ac:dyDescent="0.3">
      <c r="A573" s="15" t="s">
        <v>3663</v>
      </c>
      <c r="B573" s="15" t="s">
        <v>84</v>
      </c>
      <c r="C573" s="7">
        <v>19.760000000000002</v>
      </c>
    </row>
    <row r="574" spans="1:3" x14ac:dyDescent="0.3">
      <c r="A574" s="15" t="s">
        <v>3664</v>
      </c>
      <c r="B574" s="15" t="s">
        <v>245</v>
      </c>
      <c r="C574" s="7">
        <v>18.11</v>
      </c>
    </row>
    <row r="575" spans="1:3" x14ac:dyDescent="0.3">
      <c r="A575" s="15" t="s">
        <v>3665</v>
      </c>
      <c r="B575" s="15" t="s">
        <v>3666</v>
      </c>
      <c r="C575" s="7">
        <v>25.58</v>
      </c>
    </row>
    <row r="576" spans="1:3" x14ac:dyDescent="0.3">
      <c r="A576" s="15" t="s">
        <v>3667</v>
      </c>
      <c r="B576" s="15" t="s">
        <v>3668</v>
      </c>
      <c r="C576" s="7">
        <v>18.11</v>
      </c>
    </row>
    <row r="577" spans="1:3" x14ac:dyDescent="0.3">
      <c r="A577" s="15" t="s">
        <v>3669</v>
      </c>
      <c r="B577" s="15" t="s">
        <v>34</v>
      </c>
      <c r="C577" s="7">
        <v>18.559999999999999</v>
      </c>
    </row>
    <row r="578" spans="1:3" x14ac:dyDescent="0.3">
      <c r="A578" s="15" t="s">
        <v>3670</v>
      </c>
      <c r="B578" s="15" t="s">
        <v>36</v>
      </c>
      <c r="C578" s="7">
        <v>12.62</v>
      </c>
    </row>
    <row r="579" spans="1:3" x14ac:dyDescent="0.3">
      <c r="A579" s="15" t="s">
        <v>3671</v>
      </c>
      <c r="B579" s="15" t="s">
        <v>39</v>
      </c>
      <c r="C579" s="7">
        <v>14.08</v>
      </c>
    </row>
    <row r="580" spans="1:3" x14ac:dyDescent="0.3">
      <c r="A580" s="15" t="s">
        <v>3672</v>
      </c>
      <c r="B580" s="15" t="s">
        <v>247</v>
      </c>
      <c r="C580" s="7">
        <v>14.69</v>
      </c>
    </row>
    <row r="581" spans="1:3" x14ac:dyDescent="0.3">
      <c r="A581" s="15" t="s">
        <v>3673</v>
      </c>
      <c r="B581" s="15" t="s">
        <v>282</v>
      </c>
      <c r="C581" s="7">
        <v>23.62</v>
      </c>
    </row>
    <row r="582" spans="1:3" x14ac:dyDescent="0.3">
      <c r="A582" s="15" t="s">
        <v>3674</v>
      </c>
      <c r="B582" s="15" t="s">
        <v>283</v>
      </c>
      <c r="C582" s="7">
        <v>12.44</v>
      </c>
    </row>
    <row r="583" spans="1:3" x14ac:dyDescent="0.3">
      <c r="A583" s="15" t="s">
        <v>3675</v>
      </c>
      <c r="B583" s="15" t="s">
        <v>284</v>
      </c>
      <c r="C583" s="7">
        <v>12.44</v>
      </c>
    </row>
    <row r="584" spans="1:3" x14ac:dyDescent="0.3">
      <c r="A584" s="15" t="s">
        <v>3676</v>
      </c>
      <c r="B584" s="15" t="s">
        <v>248</v>
      </c>
      <c r="C584" s="7">
        <v>25.89</v>
      </c>
    </row>
    <row r="585" spans="1:3" x14ac:dyDescent="0.3">
      <c r="A585" s="15" t="s">
        <v>3677</v>
      </c>
      <c r="B585" s="15" t="s">
        <v>249</v>
      </c>
      <c r="C585" s="7">
        <v>21.94</v>
      </c>
    </row>
    <row r="586" spans="1:3" x14ac:dyDescent="0.3">
      <c r="A586" s="15" t="s">
        <v>3678</v>
      </c>
      <c r="B586" s="15" t="s">
        <v>250</v>
      </c>
      <c r="C586" s="7">
        <v>16.690000000000001</v>
      </c>
    </row>
    <row r="587" spans="1:3" x14ac:dyDescent="0.3">
      <c r="A587" s="15" t="s">
        <v>3679</v>
      </c>
      <c r="B587" s="15" t="s">
        <v>252</v>
      </c>
      <c r="C587" s="7">
        <v>3.86</v>
      </c>
    </row>
    <row r="588" spans="1:3" x14ac:dyDescent="0.3">
      <c r="A588" s="15" t="s">
        <v>3680</v>
      </c>
      <c r="B588" s="15" t="s">
        <v>253</v>
      </c>
      <c r="C588" s="7">
        <v>7.71</v>
      </c>
    </row>
    <row r="589" spans="1:3" x14ac:dyDescent="0.3">
      <c r="A589" s="15" t="s">
        <v>3681</v>
      </c>
      <c r="B589" s="15" t="s">
        <v>254</v>
      </c>
      <c r="C589" s="7">
        <v>12.86</v>
      </c>
    </row>
    <row r="590" spans="1:3" x14ac:dyDescent="0.3">
      <c r="A590" s="15" t="s">
        <v>3682</v>
      </c>
      <c r="B590" s="15" t="s">
        <v>255</v>
      </c>
      <c r="C590" s="7">
        <v>4.03</v>
      </c>
    </row>
    <row r="591" spans="1:3" x14ac:dyDescent="0.3">
      <c r="A591" s="15" t="s">
        <v>3683</v>
      </c>
      <c r="B591" s="15" t="s">
        <v>256</v>
      </c>
      <c r="C591" s="7">
        <v>8.08</v>
      </c>
    </row>
    <row r="592" spans="1:3" x14ac:dyDescent="0.3">
      <c r="A592" s="15" t="s">
        <v>3684</v>
      </c>
      <c r="B592" s="15" t="s">
        <v>257</v>
      </c>
      <c r="C592" s="7">
        <v>13.48</v>
      </c>
    </row>
    <row r="593" spans="1:3" x14ac:dyDescent="0.3">
      <c r="A593" s="15" t="s">
        <v>3685</v>
      </c>
      <c r="B593" s="15" t="s">
        <v>261</v>
      </c>
      <c r="C593" s="7">
        <v>7.34</v>
      </c>
    </row>
    <row r="594" spans="1:3" x14ac:dyDescent="0.3">
      <c r="A594" s="15" t="s">
        <v>3686</v>
      </c>
      <c r="B594" s="15" t="s">
        <v>262</v>
      </c>
      <c r="C594" s="7">
        <v>12.23</v>
      </c>
    </row>
    <row r="595" spans="1:3" x14ac:dyDescent="0.3">
      <c r="A595" s="15" t="s">
        <v>3687</v>
      </c>
      <c r="B595" s="15" t="s">
        <v>3688</v>
      </c>
      <c r="C595" s="7">
        <v>17.690000000000001</v>
      </c>
    </row>
    <row r="596" spans="1:3" x14ac:dyDescent="0.3">
      <c r="A596" s="15" t="s">
        <v>3689</v>
      </c>
      <c r="B596" s="15" t="s">
        <v>3690</v>
      </c>
      <c r="C596" s="7">
        <v>26.33</v>
      </c>
    </row>
    <row r="597" spans="1:3" x14ac:dyDescent="0.3">
      <c r="A597" s="15" t="s">
        <v>3691</v>
      </c>
      <c r="B597" s="15" t="s">
        <v>268</v>
      </c>
      <c r="C597" s="7">
        <v>12.17</v>
      </c>
    </row>
    <row r="598" spans="1:3" x14ac:dyDescent="0.3">
      <c r="A598" s="15" t="s">
        <v>3692</v>
      </c>
      <c r="B598" s="15" t="s">
        <v>279</v>
      </c>
      <c r="C598" s="7">
        <v>9.26</v>
      </c>
    </row>
    <row r="599" spans="1:3" x14ac:dyDescent="0.3">
      <c r="A599" s="15" t="s">
        <v>3693</v>
      </c>
      <c r="B599" s="15" t="s">
        <v>280</v>
      </c>
      <c r="C599" s="7">
        <v>15.43</v>
      </c>
    </row>
    <row r="600" spans="1:3" x14ac:dyDescent="0.3">
      <c r="A600" s="15" t="s">
        <v>3694</v>
      </c>
      <c r="B600" s="15" t="s">
        <v>286</v>
      </c>
      <c r="C600" s="7">
        <v>3.86</v>
      </c>
    </row>
    <row r="601" spans="1:3" x14ac:dyDescent="0.3">
      <c r="A601" s="15" t="s">
        <v>3695</v>
      </c>
      <c r="B601" s="15" t="s">
        <v>287</v>
      </c>
      <c r="C601" s="7">
        <v>7.71</v>
      </c>
    </row>
    <row r="602" spans="1:3" x14ac:dyDescent="0.3">
      <c r="A602" s="15" t="s">
        <v>3696</v>
      </c>
      <c r="B602" s="15" t="s">
        <v>288</v>
      </c>
      <c r="C602" s="7">
        <v>12.86</v>
      </c>
    </row>
    <row r="603" spans="1:3" x14ac:dyDescent="0.3">
      <c r="A603" s="15" t="s">
        <v>3697</v>
      </c>
      <c r="B603" s="15" t="s">
        <v>291</v>
      </c>
      <c r="C603" s="7">
        <v>7.34</v>
      </c>
    </row>
    <row r="604" spans="1:3" x14ac:dyDescent="0.3">
      <c r="A604" s="15" t="s">
        <v>3698</v>
      </c>
      <c r="B604" s="15" t="s">
        <v>292</v>
      </c>
      <c r="C604" s="7">
        <v>12.23</v>
      </c>
    </row>
    <row r="605" spans="1:3" x14ac:dyDescent="0.3">
      <c r="A605" s="15" t="s">
        <v>3699</v>
      </c>
      <c r="B605" s="15" t="s">
        <v>86</v>
      </c>
      <c r="C605" s="7">
        <v>8.68</v>
      </c>
    </row>
    <row r="606" spans="1:3" x14ac:dyDescent="0.3">
      <c r="A606" s="15" t="s">
        <v>3700</v>
      </c>
      <c r="B606" s="15" t="s">
        <v>87</v>
      </c>
      <c r="C606" s="7">
        <v>8.68</v>
      </c>
    </row>
    <row r="607" spans="1:3" x14ac:dyDescent="0.3">
      <c r="A607" s="15" t="s">
        <v>3701</v>
      </c>
      <c r="B607" s="15" t="s">
        <v>85</v>
      </c>
      <c r="C607" s="7">
        <v>11.82</v>
      </c>
    </row>
    <row r="608" spans="1:3" x14ac:dyDescent="0.3">
      <c r="A608" s="15" t="s">
        <v>3702</v>
      </c>
      <c r="B608" s="15" t="s">
        <v>88</v>
      </c>
      <c r="C608" s="7">
        <v>17.23</v>
      </c>
    </row>
    <row r="609" spans="1:3" x14ac:dyDescent="0.3">
      <c r="A609" s="15" t="s">
        <v>3703</v>
      </c>
      <c r="B609" s="15" t="s">
        <v>89</v>
      </c>
      <c r="C609" s="7">
        <v>18.16</v>
      </c>
    </row>
    <row r="610" spans="1:3" x14ac:dyDescent="0.3">
      <c r="A610" s="15" t="s">
        <v>3704</v>
      </c>
      <c r="B610" s="15" t="s">
        <v>90</v>
      </c>
      <c r="C610" s="7">
        <v>16.47</v>
      </c>
    </row>
    <row r="611" spans="1:3" x14ac:dyDescent="0.3">
      <c r="A611" s="15" t="s">
        <v>3705</v>
      </c>
      <c r="B611" s="15" t="s">
        <v>91</v>
      </c>
      <c r="C611" s="7">
        <v>8.67</v>
      </c>
    </row>
    <row r="612" spans="1:3" x14ac:dyDescent="0.3">
      <c r="A612" s="15" t="s">
        <v>3706</v>
      </c>
      <c r="B612" s="15" t="s">
        <v>94</v>
      </c>
      <c r="C612" s="7">
        <v>14.99</v>
      </c>
    </row>
    <row r="613" spans="1:3" x14ac:dyDescent="0.3">
      <c r="A613" s="15" t="s">
        <v>3707</v>
      </c>
      <c r="B613" s="15" t="s">
        <v>95</v>
      </c>
      <c r="C613" s="7">
        <v>7.89</v>
      </c>
    </row>
    <row r="614" spans="1:3" x14ac:dyDescent="0.3">
      <c r="A614" s="15" t="s">
        <v>3708</v>
      </c>
      <c r="B614" s="15" t="s">
        <v>293</v>
      </c>
      <c r="C614" s="7">
        <v>24.36</v>
      </c>
    </row>
    <row r="615" spans="1:3" x14ac:dyDescent="0.3">
      <c r="A615" s="15" t="s">
        <v>3709</v>
      </c>
      <c r="B615" s="15" t="s">
        <v>294</v>
      </c>
      <c r="C615" s="7">
        <v>12.83</v>
      </c>
    </row>
    <row r="616" spans="1:3" x14ac:dyDescent="0.3">
      <c r="A616" s="15" t="s">
        <v>3710</v>
      </c>
      <c r="B616" s="15" t="s">
        <v>297</v>
      </c>
      <c r="C616" s="7">
        <v>23.21</v>
      </c>
    </row>
    <row r="617" spans="1:3" x14ac:dyDescent="0.3">
      <c r="A617" s="15" t="s">
        <v>3711</v>
      </c>
      <c r="B617" s="15" t="s">
        <v>298</v>
      </c>
      <c r="C617" s="7">
        <v>12.22</v>
      </c>
    </row>
    <row r="618" spans="1:3" x14ac:dyDescent="0.3">
      <c r="A618" s="15" t="s">
        <v>3712</v>
      </c>
      <c r="B618" s="15" t="s">
        <v>299</v>
      </c>
      <c r="C618" s="7">
        <v>12.83</v>
      </c>
    </row>
    <row r="619" spans="1:3" x14ac:dyDescent="0.3">
      <c r="A619" s="15" t="s">
        <v>3713</v>
      </c>
      <c r="B619" s="15" t="s">
        <v>300</v>
      </c>
      <c r="C619" s="7">
        <v>12.83</v>
      </c>
    </row>
    <row r="620" spans="1:3" x14ac:dyDescent="0.3">
      <c r="A620" s="15" t="s">
        <v>3714</v>
      </c>
      <c r="B620" s="15" t="s">
        <v>303</v>
      </c>
      <c r="C620" s="7">
        <v>15.67</v>
      </c>
    </row>
    <row r="621" spans="1:3" x14ac:dyDescent="0.3">
      <c r="A621" s="15" t="s">
        <v>3715</v>
      </c>
      <c r="B621" s="15" t="s">
        <v>304</v>
      </c>
      <c r="C621" s="7">
        <v>20.87</v>
      </c>
    </row>
    <row r="622" spans="1:3" x14ac:dyDescent="0.3">
      <c r="A622" s="15" t="s">
        <v>3716</v>
      </c>
      <c r="B622" s="15" t="s">
        <v>265</v>
      </c>
      <c r="C622" s="7">
        <v>17.61</v>
      </c>
    </row>
    <row r="623" spans="1:3" x14ac:dyDescent="0.3">
      <c r="A623" s="15" t="s">
        <v>3717</v>
      </c>
      <c r="B623" s="15" t="s">
        <v>264</v>
      </c>
      <c r="C623" s="7">
        <v>17.609500000000001</v>
      </c>
    </row>
    <row r="624" spans="1:3" x14ac:dyDescent="0.3">
      <c r="A624" s="15" t="s">
        <v>3718</v>
      </c>
      <c r="B624" s="15" t="s">
        <v>271</v>
      </c>
      <c r="C624" s="7">
        <v>11.1</v>
      </c>
    </row>
    <row r="625" spans="1:3" x14ac:dyDescent="0.3">
      <c r="A625" s="15" t="s">
        <v>3719</v>
      </c>
      <c r="B625" s="15" t="s">
        <v>272</v>
      </c>
      <c r="C625" s="7">
        <v>18.52</v>
      </c>
    </row>
    <row r="626" spans="1:3" x14ac:dyDescent="0.3">
      <c r="A626" s="15" t="s">
        <v>3720</v>
      </c>
      <c r="B626" s="15" t="s">
        <v>3721</v>
      </c>
      <c r="C626" s="7">
        <v>34.880000000000003</v>
      </c>
    </row>
    <row r="627" spans="1:3" x14ac:dyDescent="0.3">
      <c r="A627" s="15" t="s">
        <v>3722</v>
      </c>
      <c r="B627" s="15" t="s">
        <v>332</v>
      </c>
      <c r="C627" s="7">
        <v>18.98</v>
      </c>
    </row>
    <row r="628" spans="1:3" x14ac:dyDescent="0.3">
      <c r="A628" s="15" t="s">
        <v>3723</v>
      </c>
      <c r="B628" s="15" t="s">
        <v>3724</v>
      </c>
      <c r="C628" s="7">
        <v>17.89</v>
      </c>
    </row>
    <row r="629" spans="1:3" x14ac:dyDescent="0.3">
      <c r="A629" s="15" t="s">
        <v>3725</v>
      </c>
      <c r="B629" s="15" t="s">
        <v>266</v>
      </c>
      <c r="C629" s="7">
        <v>18.45</v>
      </c>
    </row>
    <row r="630" spans="1:3" x14ac:dyDescent="0.3">
      <c r="A630" s="15" t="s">
        <v>3726</v>
      </c>
      <c r="B630" s="15" t="s">
        <v>285</v>
      </c>
      <c r="C630" s="7">
        <v>13.03</v>
      </c>
    </row>
    <row r="631" spans="1:3" x14ac:dyDescent="0.3">
      <c r="A631" s="15" t="s">
        <v>3727</v>
      </c>
      <c r="B631" s="15" t="s">
        <v>35</v>
      </c>
      <c r="C631" s="7">
        <v>18.559999999999999</v>
      </c>
    </row>
    <row r="632" spans="1:3" x14ac:dyDescent="0.3">
      <c r="A632" s="15" t="s">
        <v>3728</v>
      </c>
      <c r="B632" s="15" t="s">
        <v>274</v>
      </c>
      <c r="C632" s="7">
        <v>12.74</v>
      </c>
    </row>
    <row r="633" spans="1:3" x14ac:dyDescent="0.3">
      <c r="A633" s="15" t="s">
        <v>3729</v>
      </c>
      <c r="B633" s="15" t="s">
        <v>273</v>
      </c>
      <c r="C633" s="7">
        <v>15.3</v>
      </c>
    </row>
    <row r="634" spans="1:3" x14ac:dyDescent="0.3">
      <c r="A634" s="15" t="s">
        <v>3730</v>
      </c>
      <c r="B634" s="15" t="s">
        <v>238</v>
      </c>
      <c r="C634" s="7">
        <v>19.98</v>
      </c>
    </row>
    <row r="635" spans="1:3" x14ac:dyDescent="0.3">
      <c r="A635" s="15" t="s">
        <v>3731</v>
      </c>
      <c r="B635" s="15" t="s">
        <v>82</v>
      </c>
      <c r="C635" s="7">
        <v>16.88</v>
      </c>
    </row>
    <row r="636" spans="1:3" x14ac:dyDescent="0.3">
      <c r="A636" s="15" t="s">
        <v>3732</v>
      </c>
      <c r="B636" s="15" t="s">
        <v>37</v>
      </c>
      <c r="C636" s="7">
        <v>8.5399999999999991</v>
      </c>
    </row>
    <row r="637" spans="1:3" x14ac:dyDescent="0.3">
      <c r="A637" s="15" t="s">
        <v>3733</v>
      </c>
      <c r="B637" s="15" t="s">
        <v>38</v>
      </c>
      <c r="C637" s="7">
        <v>14.08</v>
      </c>
    </row>
    <row r="638" spans="1:3" x14ac:dyDescent="0.3">
      <c r="A638" s="15" t="s">
        <v>3734</v>
      </c>
      <c r="B638" s="15" t="s">
        <v>246</v>
      </c>
      <c r="C638" s="7">
        <v>16.149999999999999</v>
      </c>
    </row>
    <row r="639" spans="1:3" x14ac:dyDescent="0.3">
      <c r="A639" s="15" t="s">
        <v>3735</v>
      </c>
      <c r="B639" s="15" t="s">
        <v>251</v>
      </c>
      <c r="C639" s="7">
        <v>21.94</v>
      </c>
    </row>
    <row r="640" spans="1:3" x14ac:dyDescent="0.3">
      <c r="A640" s="15" t="s">
        <v>3736</v>
      </c>
      <c r="B640" s="15" t="s">
        <v>258</v>
      </c>
      <c r="C640" s="7">
        <v>5.3</v>
      </c>
    </row>
    <row r="641" spans="1:3" x14ac:dyDescent="0.3">
      <c r="A641" s="15" t="s">
        <v>3737</v>
      </c>
      <c r="B641" s="15" t="s">
        <v>259</v>
      </c>
      <c r="C641" s="7">
        <v>10.62</v>
      </c>
    </row>
    <row r="642" spans="1:3" x14ac:dyDescent="0.3">
      <c r="A642" s="15" t="s">
        <v>3738</v>
      </c>
      <c r="B642" s="15" t="s">
        <v>260</v>
      </c>
      <c r="C642" s="7">
        <v>17.71</v>
      </c>
    </row>
    <row r="643" spans="1:3" x14ac:dyDescent="0.3">
      <c r="A643" s="15" t="s">
        <v>3739</v>
      </c>
      <c r="B643" s="15" t="s">
        <v>281</v>
      </c>
      <c r="C643" s="7">
        <v>12.74</v>
      </c>
    </row>
    <row r="644" spans="1:3" x14ac:dyDescent="0.3">
      <c r="A644" s="15" t="s">
        <v>3740</v>
      </c>
      <c r="B644" s="15" t="s">
        <v>289</v>
      </c>
      <c r="C644" s="7">
        <v>10.62</v>
      </c>
    </row>
    <row r="645" spans="1:3" x14ac:dyDescent="0.3">
      <c r="A645" s="15" t="s">
        <v>3741</v>
      </c>
      <c r="B645" s="15" t="s">
        <v>290</v>
      </c>
      <c r="C645" s="7">
        <v>13.21</v>
      </c>
    </row>
    <row r="646" spans="1:3" x14ac:dyDescent="0.3">
      <c r="A646" s="15" t="s">
        <v>3742</v>
      </c>
      <c r="B646" s="15" t="s">
        <v>92</v>
      </c>
      <c r="C646" s="7">
        <v>7.4</v>
      </c>
    </row>
    <row r="647" spans="1:3" x14ac:dyDescent="0.3">
      <c r="A647" s="15" t="s">
        <v>3743</v>
      </c>
      <c r="B647" s="15" t="s">
        <v>93</v>
      </c>
      <c r="C647" s="7">
        <v>12.49</v>
      </c>
    </row>
    <row r="648" spans="1:3" x14ac:dyDescent="0.3">
      <c r="A648" s="15" t="s">
        <v>3744</v>
      </c>
      <c r="B648" s="15" t="s">
        <v>295</v>
      </c>
      <c r="C648" s="7">
        <v>14.28</v>
      </c>
    </row>
    <row r="649" spans="1:3" x14ac:dyDescent="0.3">
      <c r="A649" s="15" t="s">
        <v>3745</v>
      </c>
      <c r="B649" s="15" t="s">
        <v>296</v>
      </c>
      <c r="C649" s="7">
        <v>13.27</v>
      </c>
    </row>
    <row r="650" spans="1:3" x14ac:dyDescent="0.3">
      <c r="A650" s="15" t="s">
        <v>3746</v>
      </c>
      <c r="B650" s="15" t="s">
        <v>301</v>
      </c>
      <c r="C650" s="7">
        <v>8.07</v>
      </c>
    </row>
    <row r="651" spans="1:3" x14ac:dyDescent="0.3">
      <c r="A651" s="15" t="s">
        <v>3747</v>
      </c>
      <c r="B651" s="15" t="s">
        <v>302</v>
      </c>
      <c r="C651" s="7">
        <v>13.44</v>
      </c>
    </row>
    <row r="652" spans="1:3" x14ac:dyDescent="0.3">
      <c r="A652" s="15" t="s">
        <v>3748</v>
      </c>
      <c r="B652" s="15" t="s">
        <v>120</v>
      </c>
      <c r="C652" s="7">
        <v>9.81</v>
      </c>
    </row>
    <row r="653" spans="1:3" x14ac:dyDescent="0.3">
      <c r="A653" s="15" t="s">
        <v>3749</v>
      </c>
      <c r="B653" s="15" t="s">
        <v>121</v>
      </c>
      <c r="C653" s="7">
        <v>19.62</v>
      </c>
    </row>
    <row r="654" spans="1:3" x14ac:dyDescent="0.3">
      <c r="A654" s="15" t="s">
        <v>3750</v>
      </c>
      <c r="B654" s="15" t="s">
        <v>122</v>
      </c>
      <c r="C654" s="7">
        <v>32.71</v>
      </c>
    </row>
    <row r="655" spans="1:3" x14ac:dyDescent="0.3">
      <c r="A655" s="15" t="s">
        <v>3751</v>
      </c>
      <c r="B655" s="15" t="s">
        <v>130</v>
      </c>
      <c r="C655" s="7">
        <v>13.82</v>
      </c>
    </row>
    <row r="656" spans="1:3" x14ac:dyDescent="0.3">
      <c r="A656" s="15" t="s">
        <v>3752</v>
      </c>
      <c r="B656" s="15" t="s">
        <v>129</v>
      </c>
      <c r="C656" s="7">
        <v>22.89</v>
      </c>
    </row>
    <row r="657" spans="1:3" x14ac:dyDescent="0.3">
      <c r="A657" s="15" t="s">
        <v>3753</v>
      </c>
      <c r="B657" s="15" t="s">
        <v>131</v>
      </c>
      <c r="C657" s="7">
        <v>38.159999999999997</v>
      </c>
    </row>
    <row r="658" spans="1:3" x14ac:dyDescent="0.3">
      <c r="A658" s="15" t="s">
        <v>3754</v>
      </c>
      <c r="B658" s="15" t="s">
        <v>132</v>
      </c>
      <c r="C658" s="7">
        <v>9.3000000000000007</v>
      </c>
    </row>
    <row r="659" spans="1:3" x14ac:dyDescent="0.3">
      <c r="A659" s="15" t="s">
        <v>3755</v>
      </c>
      <c r="B659" s="15" t="s">
        <v>133</v>
      </c>
      <c r="C659" s="7">
        <v>17.75</v>
      </c>
    </row>
    <row r="660" spans="1:3" x14ac:dyDescent="0.3">
      <c r="A660" s="15" t="s">
        <v>3756</v>
      </c>
      <c r="B660" s="15" t="s">
        <v>134</v>
      </c>
      <c r="C660" s="7">
        <v>31.5</v>
      </c>
    </row>
    <row r="661" spans="1:3" x14ac:dyDescent="0.3">
      <c r="A661" s="15" t="s">
        <v>3757</v>
      </c>
      <c r="B661" s="15" t="s">
        <v>451</v>
      </c>
      <c r="C661" s="7">
        <v>58.92</v>
      </c>
    </row>
    <row r="662" spans="1:3" x14ac:dyDescent="0.3">
      <c r="A662" s="15" t="s">
        <v>3758</v>
      </c>
      <c r="B662" s="15" t="s">
        <v>459</v>
      </c>
      <c r="C662" s="7">
        <v>58.92</v>
      </c>
    </row>
    <row r="663" spans="1:3" x14ac:dyDescent="0.3">
      <c r="A663" s="15" t="s">
        <v>3759</v>
      </c>
      <c r="B663" s="15" t="s">
        <v>123</v>
      </c>
      <c r="C663" s="7">
        <v>13.98</v>
      </c>
    </row>
    <row r="664" spans="1:3" x14ac:dyDescent="0.3">
      <c r="A664" s="15" t="s">
        <v>3760</v>
      </c>
      <c r="B664" s="15" t="s">
        <v>124</v>
      </c>
      <c r="C664" s="7">
        <v>27.98</v>
      </c>
    </row>
    <row r="665" spans="1:3" x14ac:dyDescent="0.3">
      <c r="A665" s="15" t="s">
        <v>3761</v>
      </c>
      <c r="B665" s="15" t="s">
        <v>125</v>
      </c>
      <c r="C665" s="7">
        <v>46.62</v>
      </c>
    </row>
    <row r="666" spans="1:3" x14ac:dyDescent="0.3">
      <c r="A666" s="15" t="s">
        <v>3762</v>
      </c>
      <c r="B666" s="15" t="s">
        <v>126</v>
      </c>
      <c r="C666" s="7">
        <v>17.239999999999998</v>
      </c>
    </row>
    <row r="667" spans="1:3" x14ac:dyDescent="0.3">
      <c r="A667" s="15" t="s">
        <v>3763</v>
      </c>
      <c r="B667" s="15" t="s">
        <v>127</v>
      </c>
      <c r="C667" s="7">
        <v>34.159999999999997</v>
      </c>
    </row>
    <row r="668" spans="1:3" x14ac:dyDescent="0.3">
      <c r="A668" s="15" t="s">
        <v>3764</v>
      </c>
      <c r="B668" s="15" t="s">
        <v>128</v>
      </c>
      <c r="C668" s="7">
        <v>58.1</v>
      </c>
    </row>
    <row r="669" spans="1:3" x14ac:dyDescent="0.3">
      <c r="A669" s="15" t="s">
        <v>3765</v>
      </c>
      <c r="B669" s="15" t="s">
        <v>454</v>
      </c>
      <c r="C669" s="7">
        <v>58.92</v>
      </c>
    </row>
    <row r="670" spans="1:3" x14ac:dyDescent="0.3">
      <c r="A670" s="15" t="s">
        <v>3766</v>
      </c>
      <c r="B670" s="15" t="s">
        <v>456</v>
      </c>
      <c r="C670" s="7">
        <v>58.92</v>
      </c>
    </row>
    <row r="671" spans="1:3" x14ac:dyDescent="0.3">
      <c r="A671" s="15" t="s">
        <v>3767</v>
      </c>
      <c r="B671" s="15" t="s">
        <v>449</v>
      </c>
      <c r="C671" s="7">
        <v>13.91</v>
      </c>
    </row>
    <row r="672" spans="1:3" x14ac:dyDescent="0.3">
      <c r="A672" s="15" t="s">
        <v>3768</v>
      </c>
      <c r="B672" s="15" t="s">
        <v>450</v>
      </c>
      <c r="C672" s="7">
        <v>32.07</v>
      </c>
    </row>
    <row r="673" spans="1:3" x14ac:dyDescent="0.3">
      <c r="A673" s="15" t="s">
        <v>3769</v>
      </c>
      <c r="B673" s="15" t="s">
        <v>150</v>
      </c>
      <c r="C673" s="7">
        <v>36.520000000000003</v>
      </c>
    </row>
    <row r="674" spans="1:3" x14ac:dyDescent="0.3">
      <c r="A674" s="15" t="s">
        <v>3770</v>
      </c>
      <c r="B674" s="15" t="s">
        <v>652</v>
      </c>
      <c r="C674" s="7">
        <v>52.6</v>
      </c>
    </row>
    <row r="675" spans="1:3" x14ac:dyDescent="0.3">
      <c r="A675" s="15" t="s">
        <v>3771</v>
      </c>
      <c r="B675" s="15" t="s">
        <v>650</v>
      </c>
      <c r="C675" s="7">
        <v>35.9</v>
      </c>
    </row>
    <row r="676" spans="1:3" x14ac:dyDescent="0.3">
      <c r="A676" s="15" t="s">
        <v>3772</v>
      </c>
      <c r="B676" s="15" t="s">
        <v>649</v>
      </c>
      <c r="C676" s="7">
        <v>18.37</v>
      </c>
    </row>
    <row r="677" spans="1:3" x14ac:dyDescent="0.3">
      <c r="A677" s="15" t="s">
        <v>3773</v>
      </c>
      <c r="B677" s="15" t="s">
        <v>651</v>
      </c>
      <c r="C677" s="7">
        <v>9.74</v>
      </c>
    </row>
    <row r="678" spans="1:3" x14ac:dyDescent="0.3">
      <c r="A678" s="15" t="s">
        <v>3774</v>
      </c>
      <c r="B678" s="15" t="s">
        <v>646</v>
      </c>
      <c r="C678" s="7">
        <v>12.25</v>
      </c>
    </row>
    <row r="679" spans="1:3" x14ac:dyDescent="0.3">
      <c r="A679" s="15" t="s">
        <v>3775</v>
      </c>
      <c r="B679" s="15" t="s">
        <v>648</v>
      </c>
      <c r="C679" s="7">
        <v>79.56</v>
      </c>
    </row>
    <row r="680" spans="1:3" x14ac:dyDescent="0.3">
      <c r="A680" s="15" t="s">
        <v>3776</v>
      </c>
      <c r="B680" s="15" t="s">
        <v>645</v>
      </c>
      <c r="C680" s="7">
        <v>33.56</v>
      </c>
    </row>
    <row r="681" spans="1:3" x14ac:dyDescent="0.3">
      <c r="A681" s="15" t="s">
        <v>3777</v>
      </c>
      <c r="B681" s="15" t="s">
        <v>644</v>
      </c>
      <c r="C681" s="7">
        <v>20.329999999999998</v>
      </c>
    </row>
    <row r="682" spans="1:3" x14ac:dyDescent="0.3">
      <c r="A682" s="15" t="s">
        <v>3778</v>
      </c>
      <c r="B682" s="15" t="s">
        <v>647</v>
      </c>
      <c r="C682" s="7">
        <v>13.88</v>
      </c>
    </row>
    <row r="683" spans="1:3" x14ac:dyDescent="0.3">
      <c r="A683" s="15" t="s">
        <v>3779</v>
      </c>
      <c r="B683" s="15" t="s">
        <v>656</v>
      </c>
      <c r="C683" s="7">
        <v>45.96</v>
      </c>
    </row>
    <row r="684" spans="1:3" x14ac:dyDescent="0.3">
      <c r="A684" s="15" t="s">
        <v>3780</v>
      </c>
      <c r="B684" s="15" t="s">
        <v>654</v>
      </c>
      <c r="C684" s="7">
        <v>23.87</v>
      </c>
    </row>
    <row r="685" spans="1:3" x14ac:dyDescent="0.3">
      <c r="A685" s="15" t="s">
        <v>3781</v>
      </c>
      <c r="B685" s="15" t="s">
        <v>653</v>
      </c>
      <c r="C685" s="7">
        <v>14.13</v>
      </c>
    </row>
    <row r="686" spans="1:3" x14ac:dyDescent="0.3">
      <c r="A686" s="15" t="s">
        <v>3782</v>
      </c>
      <c r="B686" s="15" t="s">
        <v>655</v>
      </c>
      <c r="C686" s="7">
        <v>7.99</v>
      </c>
    </row>
    <row r="687" spans="1:3" x14ac:dyDescent="0.3">
      <c r="A687" s="15" t="s">
        <v>3783</v>
      </c>
      <c r="B687" s="15" t="s">
        <v>657</v>
      </c>
      <c r="C687" s="7">
        <v>12</v>
      </c>
    </row>
    <row r="688" spans="1:3" x14ac:dyDescent="0.3">
      <c r="A688" s="15" t="s">
        <v>3784</v>
      </c>
      <c r="B688" s="15" t="s">
        <v>3785</v>
      </c>
      <c r="C688" s="7">
        <v>74.89</v>
      </c>
    </row>
    <row r="689" spans="1:3" x14ac:dyDescent="0.3">
      <c r="A689" s="15" t="s">
        <v>3786</v>
      </c>
      <c r="B689" s="15" t="s">
        <v>3787</v>
      </c>
      <c r="C689" s="7">
        <v>89.47</v>
      </c>
    </row>
    <row r="690" spans="1:3" x14ac:dyDescent="0.3">
      <c r="A690" s="15" t="s">
        <v>3788</v>
      </c>
      <c r="B690" s="15" t="s">
        <v>1297</v>
      </c>
      <c r="C690" s="7">
        <v>59.5</v>
      </c>
    </row>
    <row r="691" spans="1:3" x14ac:dyDescent="0.3">
      <c r="A691" s="15" t="s">
        <v>3789</v>
      </c>
      <c r="B691" s="15" t="s">
        <v>1314</v>
      </c>
      <c r="C691" s="7">
        <v>64.16</v>
      </c>
    </row>
    <row r="692" spans="1:3" x14ac:dyDescent="0.3">
      <c r="A692" s="15" t="s">
        <v>3790</v>
      </c>
      <c r="B692" s="15" t="s">
        <v>3791</v>
      </c>
      <c r="C692" s="7">
        <v>4.47</v>
      </c>
    </row>
    <row r="693" spans="1:3" x14ac:dyDescent="0.3">
      <c r="A693" s="15" t="s">
        <v>3792</v>
      </c>
      <c r="B693" s="15" t="s">
        <v>1303</v>
      </c>
      <c r="C693" s="7">
        <v>31.65</v>
      </c>
    </row>
    <row r="694" spans="1:3" x14ac:dyDescent="0.3">
      <c r="A694" s="15" t="s">
        <v>3793</v>
      </c>
      <c r="B694" s="15" t="s">
        <v>3794</v>
      </c>
      <c r="C694" s="7">
        <v>11.96</v>
      </c>
    </row>
    <row r="695" spans="1:3" x14ac:dyDescent="0.3">
      <c r="A695" s="15" t="s">
        <v>3795</v>
      </c>
      <c r="B695" s="15" t="s">
        <v>3796</v>
      </c>
      <c r="C695" s="7">
        <v>25.29</v>
      </c>
    </row>
    <row r="696" spans="1:3" x14ac:dyDescent="0.3">
      <c r="A696" s="15" t="s">
        <v>3797</v>
      </c>
      <c r="B696" s="15" t="s">
        <v>743</v>
      </c>
      <c r="C696" s="7">
        <v>8.42</v>
      </c>
    </row>
    <row r="697" spans="1:3" x14ac:dyDescent="0.3">
      <c r="A697" s="15" t="s">
        <v>3798</v>
      </c>
      <c r="B697" s="15" t="s">
        <v>750</v>
      </c>
      <c r="C697" s="7">
        <v>17.739999999999998</v>
      </c>
    </row>
    <row r="698" spans="1:3" x14ac:dyDescent="0.3">
      <c r="A698" s="15" t="s">
        <v>3799</v>
      </c>
      <c r="B698" s="15" t="s">
        <v>3800</v>
      </c>
      <c r="C698" s="7">
        <v>14.33</v>
      </c>
    </row>
    <row r="699" spans="1:3" x14ac:dyDescent="0.3">
      <c r="A699" s="15" t="s">
        <v>3801</v>
      </c>
      <c r="B699" s="15" t="s">
        <v>3802</v>
      </c>
      <c r="C699" s="7">
        <v>25.03</v>
      </c>
    </row>
    <row r="700" spans="1:3" x14ac:dyDescent="0.3">
      <c r="A700" s="15" t="s">
        <v>3803</v>
      </c>
      <c r="B700" s="15" t="s">
        <v>3804</v>
      </c>
      <c r="C700" s="7">
        <v>13.57</v>
      </c>
    </row>
    <row r="701" spans="1:3" x14ac:dyDescent="0.3">
      <c r="A701" s="15" t="s">
        <v>3805</v>
      </c>
      <c r="B701" s="15" t="s">
        <v>3806</v>
      </c>
      <c r="C701" s="7">
        <v>12.62</v>
      </c>
    </row>
    <row r="702" spans="1:3" x14ac:dyDescent="0.3">
      <c r="A702" s="15" t="s">
        <v>3807</v>
      </c>
      <c r="B702" s="15" t="s">
        <v>1201</v>
      </c>
      <c r="C702" s="7">
        <v>196.79</v>
      </c>
    </row>
    <row r="703" spans="1:3" x14ac:dyDescent="0.3">
      <c r="A703" s="15" t="s">
        <v>3808</v>
      </c>
      <c r="B703" s="15" t="s">
        <v>1200</v>
      </c>
      <c r="C703" s="7">
        <v>94.04</v>
      </c>
    </row>
    <row r="704" spans="1:3" x14ac:dyDescent="0.3">
      <c r="A704" s="15" t="s">
        <v>3809</v>
      </c>
      <c r="B704" s="15" t="s">
        <v>1013</v>
      </c>
      <c r="C704" s="7">
        <v>29.06</v>
      </c>
    </row>
    <row r="705" spans="1:3" x14ac:dyDescent="0.3">
      <c r="A705" s="15" t="s">
        <v>3810</v>
      </c>
      <c r="B705" s="15" t="s">
        <v>967</v>
      </c>
      <c r="C705" s="7">
        <v>25.76</v>
      </c>
    </row>
    <row r="706" spans="1:3" x14ac:dyDescent="0.3">
      <c r="A706" s="15" t="s">
        <v>3811</v>
      </c>
      <c r="B706" s="15" t="s">
        <v>731</v>
      </c>
      <c r="C706" s="7">
        <v>29.98</v>
      </c>
    </row>
    <row r="707" spans="1:3" x14ac:dyDescent="0.3">
      <c r="A707" s="15" t="s">
        <v>3812</v>
      </c>
      <c r="B707" s="15" t="s">
        <v>732</v>
      </c>
      <c r="C707" s="7">
        <v>29.98</v>
      </c>
    </row>
    <row r="708" spans="1:3" x14ac:dyDescent="0.3">
      <c r="A708" s="15" t="s">
        <v>3813</v>
      </c>
      <c r="B708" s="15" t="s">
        <v>735</v>
      </c>
      <c r="C708" s="7">
        <v>29.98</v>
      </c>
    </row>
    <row r="709" spans="1:3" x14ac:dyDescent="0.3">
      <c r="A709" s="15" t="s">
        <v>3814</v>
      </c>
      <c r="B709" s="15" t="s">
        <v>737</v>
      </c>
      <c r="C709" s="7">
        <v>29.98</v>
      </c>
    </row>
    <row r="710" spans="1:3" x14ac:dyDescent="0.3">
      <c r="A710" s="15" t="s">
        <v>3815</v>
      </c>
      <c r="B710" s="15" t="s">
        <v>729</v>
      </c>
      <c r="C710" s="7">
        <v>44.77</v>
      </c>
    </row>
    <row r="711" spans="1:3" x14ac:dyDescent="0.3">
      <c r="A711" s="15" t="s">
        <v>3816</v>
      </c>
      <c r="B711" s="15" t="s">
        <v>730</v>
      </c>
      <c r="C711" s="7">
        <v>44.77</v>
      </c>
    </row>
    <row r="712" spans="1:3" x14ac:dyDescent="0.3">
      <c r="A712" s="15" t="s">
        <v>3817</v>
      </c>
      <c r="B712" s="15" t="s">
        <v>964</v>
      </c>
      <c r="C712" s="7">
        <v>32.53</v>
      </c>
    </row>
    <row r="713" spans="1:3" x14ac:dyDescent="0.3">
      <c r="A713" s="15" t="s">
        <v>3818</v>
      </c>
      <c r="B713" s="15" t="s">
        <v>918</v>
      </c>
      <c r="C713" s="7">
        <v>1.34</v>
      </c>
    </row>
    <row r="714" spans="1:3" x14ac:dyDescent="0.3">
      <c r="A714" s="15" t="s">
        <v>3819</v>
      </c>
      <c r="B714" s="15" t="s">
        <v>3820</v>
      </c>
      <c r="C714" s="7">
        <v>18.649999999999999</v>
      </c>
    </row>
    <row r="715" spans="1:3" x14ac:dyDescent="0.3">
      <c r="A715" s="15" t="s">
        <v>3821</v>
      </c>
      <c r="B715" s="15" t="s">
        <v>3822</v>
      </c>
      <c r="C715" s="7">
        <v>3.82</v>
      </c>
    </row>
    <row r="716" spans="1:3" x14ac:dyDescent="0.3">
      <c r="A716" s="15" t="s">
        <v>3823</v>
      </c>
      <c r="B716" s="15" t="s">
        <v>3824</v>
      </c>
      <c r="C716" s="7">
        <v>3.82</v>
      </c>
    </row>
    <row r="717" spans="1:3" x14ac:dyDescent="0.3">
      <c r="A717" s="15" t="s">
        <v>3825</v>
      </c>
      <c r="B717" s="15" t="s">
        <v>3826</v>
      </c>
      <c r="C717" s="7">
        <v>3.82</v>
      </c>
    </row>
    <row r="718" spans="1:3" x14ac:dyDescent="0.3">
      <c r="A718" s="15" t="s">
        <v>3827</v>
      </c>
      <c r="B718" s="15" t="s">
        <v>3828</v>
      </c>
      <c r="C718" s="7">
        <v>3.82</v>
      </c>
    </row>
    <row r="719" spans="1:3" x14ac:dyDescent="0.3">
      <c r="A719" s="15" t="s">
        <v>3829</v>
      </c>
      <c r="B719" s="15" t="s">
        <v>3830</v>
      </c>
      <c r="C719" s="7">
        <v>3.82</v>
      </c>
    </row>
    <row r="720" spans="1:3" x14ac:dyDescent="0.3">
      <c r="A720" s="15" t="s">
        <v>3831</v>
      </c>
      <c r="B720" s="15" t="s">
        <v>3832</v>
      </c>
      <c r="C720" s="7">
        <v>3.82</v>
      </c>
    </row>
    <row r="721" spans="1:3" x14ac:dyDescent="0.3">
      <c r="A721" s="15" t="s">
        <v>3833</v>
      </c>
      <c r="B721" s="15" t="s">
        <v>3834</v>
      </c>
      <c r="C721" s="7">
        <v>3.82</v>
      </c>
    </row>
    <row r="722" spans="1:3" x14ac:dyDescent="0.3">
      <c r="A722" s="15" t="s">
        <v>3835</v>
      </c>
      <c r="B722" s="15" t="s">
        <v>3836</v>
      </c>
      <c r="C722" s="7">
        <v>10.039999999999999</v>
      </c>
    </row>
    <row r="723" spans="1:3" x14ac:dyDescent="0.3">
      <c r="A723" s="15" t="s">
        <v>3837</v>
      </c>
      <c r="B723" s="15" t="s">
        <v>3838</v>
      </c>
      <c r="C723" s="7">
        <v>10.98</v>
      </c>
    </row>
    <row r="724" spans="1:3" x14ac:dyDescent="0.3">
      <c r="A724" s="15" t="s">
        <v>3839</v>
      </c>
      <c r="B724" s="15" t="s">
        <v>3840</v>
      </c>
      <c r="C724" s="7">
        <v>24.68</v>
      </c>
    </row>
    <row r="725" spans="1:3" x14ac:dyDescent="0.3">
      <c r="A725" s="15" t="s">
        <v>3841</v>
      </c>
      <c r="B725" s="15" t="s">
        <v>3842</v>
      </c>
      <c r="C725" s="7">
        <v>20.36</v>
      </c>
    </row>
    <row r="726" spans="1:3" x14ac:dyDescent="0.3">
      <c r="A726" s="15" t="s">
        <v>3843</v>
      </c>
      <c r="B726" s="15" t="s">
        <v>911</v>
      </c>
      <c r="C726" s="7">
        <v>1.7</v>
      </c>
    </row>
    <row r="727" spans="1:3" x14ac:dyDescent="0.3">
      <c r="A727" s="15" t="s">
        <v>3844</v>
      </c>
      <c r="B727" s="15" t="s">
        <v>3845</v>
      </c>
      <c r="C727" s="7">
        <v>45.49</v>
      </c>
    </row>
    <row r="728" spans="1:3" x14ac:dyDescent="0.3">
      <c r="A728" s="15" t="s">
        <v>3846</v>
      </c>
      <c r="B728" s="15" t="s">
        <v>3847</v>
      </c>
      <c r="C728" s="7">
        <v>14.39</v>
      </c>
    </row>
    <row r="729" spans="1:3" x14ac:dyDescent="0.3">
      <c r="A729" s="15" t="s">
        <v>3848</v>
      </c>
      <c r="B729" s="15" t="s">
        <v>3849</v>
      </c>
      <c r="C729" s="7">
        <v>21.96</v>
      </c>
    </row>
    <row r="730" spans="1:3" x14ac:dyDescent="0.3">
      <c r="A730" s="15" t="s">
        <v>3850</v>
      </c>
      <c r="B730" s="15" t="s">
        <v>3851</v>
      </c>
      <c r="C730" s="7">
        <v>36.049999999999997</v>
      </c>
    </row>
    <row r="731" spans="1:3" x14ac:dyDescent="0.3">
      <c r="A731" s="15" t="s">
        <v>3852</v>
      </c>
      <c r="B731" s="15" t="s">
        <v>764</v>
      </c>
      <c r="C731" s="7">
        <v>51.07</v>
      </c>
    </row>
    <row r="732" spans="1:3" x14ac:dyDescent="0.3">
      <c r="A732" s="15" t="s">
        <v>3853</v>
      </c>
      <c r="B732" s="15" t="s">
        <v>769</v>
      </c>
      <c r="C732" s="7">
        <v>13.3</v>
      </c>
    </row>
    <row r="733" spans="1:3" x14ac:dyDescent="0.3">
      <c r="A733" s="15" t="s">
        <v>3854</v>
      </c>
      <c r="B733" s="15" t="s">
        <v>770</v>
      </c>
      <c r="C733" s="7">
        <v>9.98</v>
      </c>
    </row>
    <row r="734" spans="1:3" x14ac:dyDescent="0.3">
      <c r="A734" s="15" t="s">
        <v>3855</v>
      </c>
      <c r="B734" s="15" t="s">
        <v>771</v>
      </c>
      <c r="C734" s="7">
        <v>24.3</v>
      </c>
    </row>
    <row r="735" spans="1:3" x14ac:dyDescent="0.3">
      <c r="A735" s="15" t="s">
        <v>3856</v>
      </c>
      <c r="B735" s="15" t="s">
        <v>765</v>
      </c>
      <c r="C735" s="7">
        <v>31.05</v>
      </c>
    </row>
    <row r="736" spans="1:3" x14ac:dyDescent="0.3">
      <c r="A736" s="15" t="s">
        <v>3857</v>
      </c>
      <c r="B736" s="15" t="s">
        <v>766</v>
      </c>
      <c r="C736" s="7">
        <v>14.71</v>
      </c>
    </row>
    <row r="737" spans="1:3" x14ac:dyDescent="0.3">
      <c r="A737" s="15" t="s">
        <v>3858</v>
      </c>
      <c r="B737" s="15" t="s">
        <v>991</v>
      </c>
      <c r="C737" s="7">
        <v>17</v>
      </c>
    </row>
    <row r="738" spans="1:3" x14ac:dyDescent="0.3">
      <c r="A738" s="15" t="s">
        <v>3859</v>
      </c>
      <c r="B738" s="15" t="s">
        <v>59</v>
      </c>
      <c r="C738" s="7">
        <v>40.11</v>
      </c>
    </row>
    <row r="739" spans="1:3" x14ac:dyDescent="0.3">
      <c r="A739" s="15" t="s">
        <v>3860</v>
      </c>
      <c r="B739" s="15" t="s">
        <v>62</v>
      </c>
      <c r="C739" s="7">
        <v>56.91</v>
      </c>
    </row>
    <row r="740" spans="1:3" x14ac:dyDescent="0.3">
      <c r="A740" s="15" t="s">
        <v>3861</v>
      </c>
      <c r="B740" s="15" t="s">
        <v>3862</v>
      </c>
      <c r="C740" s="7">
        <v>10.45</v>
      </c>
    </row>
    <row r="741" spans="1:3" x14ac:dyDescent="0.3">
      <c r="A741" s="15" t="s">
        <v>3863</v>
      </c>
      <c r="B741" s="15" t="s">
        <v>374</v>
      </c>
      <c r="C741" s="7">
        <v>8.26</v>
      </c>
    </row>
    <row r="742" spans="1:3" x14ac:dyDescent="0.3">
      <c r="A742" s="15" t="s">
        <v>3864</v>
      </c>
      <c r="B742" s="15" t="s">
        <v>354</v>
      </c>
      <c r="C742" s="7">
        <v>8.26</v>
      </c>
    </row>
    <row r="743" spans="1:3" x14ac:dyDescent="0.3">
      <c r="A743" s="15" t="s">
        <v>3865</v>
      </c>
      <c r="B743" s="15" t="s">
        <v>360</v>
      </c>
      <c r="C743" s="7">
        <v>16.52</v>
      </c>
    </row>
    <row r="744" spans="1:3" x14ac:dyDescent="0.3">
      <c r="A744" s="15" t="s">
        <v>3866</v>
      </c>
      <c r="B744" s="15" t="s">
        <v>355</v>
      </c>
      <c r="C744" s="7">
        <v>16.52</v>
      </c>
    </row>
    <row r="745" spans="1:3" x14ac:dyDescent="0.3">
      <c r="A745" s="15" t="s">
        <v>3867</v>
      </c>
      <c r="B745" s="15" t="s">
        <v>356</v>
      </c>
      <c r="C745" s="7">
        <v>16.52</v>
      </c>
    </row>
    <row r="746" spans="1:3" x14ac:dyDescent="0.3">
      <c r="A746" s="15" t="s">
        <v>3868</v>
      </c>
      <c r="B746" s="15" t="s">
        <v>1276</v>
      </c>
      <c r="C746" s="7">
        <v>30.21</v>
      </c>
    </row>
    <row r="747" spans="1:3" x14ac:dyDescent="0.3">
      <c r="A747" s="15" t="s">
        <v>3869</v>
      </c>
      <c r="B747" s="15" t="s">
        <v>43</v>
      </c>
      <c r="C747" s="7">
        <v>20.7</v>
      </c>
    </row>
    <row r="748" spans="1:3" x14ac:dyDescent="0.3">
      <c r="A748" s="15" t="s">
        <v>3870</v>
      </c>
      <c r="B748" s="15" t="s">
        <v>33</v>
      </c>
      <c r="C748" s="7">
        <v>7.6</v>
      </c>
    </row>
    <row r="749" spans="1:3" x14ac:dyDescent="0.3">
      <c r="A749" s="15" t="s">
        <v>3871</v>
      </c>
      <c r="B749" s="15" t="s">
        <v>96</v>
      </c>
      <c r="C749" s="7">
        <v>5.26</v>
      </c>
    </row>
    <row r="750" spans="1:3" x14ac:dyDescent="0.3">
      <c r="A750" s="15" t="s">
        <v>3872</v>
      </c>
      <c r="B750" s="15" t="s">
        <v>98</v>
      </c>
      <c r="C750" s="7">
        <v>4.83</v>
      </c>
    </row>
    <row r="751" spans="1:3" x14ac:dyDescent="0.3">
      <c r="A751" s="15" t="s">
        <v>3873</v>
      </c>
      <c r="B751" s="15" t="s">
        <v>269</v>
      </c>
      <c r="C751" s="7">
        <v>23.67</v>
      </c>
    </row>
    <row r="752" spans="1:3" x14ac:dyDescent="0.3">
      <c r="A752" s="15" t="s">
        <v>3874</v>
      </c>
      <c r="B752" s="15" t="s">
        <v>97</v>
      </c>
      <c r="C752" s="7">
        <v>21.24</v>
      </c>
    </row>
    <row r="753" spans="1:3" x14ac:dyDescent="0.3">
      <c r="A753" s="15" t="s">
        <v>3875</v>
      </c>
      <c r="B753" s="15" t="s">
        <v>42</v>
      </c>
      <c r="C753" s="7">
        <v>26.9</v>
      </c>
    </row>
    <row r="754" spans="1:3" x14ac:dyDescent="0.3">
      <c r="A754" s="15" t="s">
        <v>3876</v>
      </c>
      <c r="B754" s="15" t="s">
        <v>508</v>
      </c>
      <c r="C754" s="7">
        <v>27.09</v>
      </c>
    </row>
    <row r="755" spans="1:3" x14ac:dyDescent="0.3">
      <c r="A755" s="15" t="s">
        <v>3877</v>
      </c>
      <c r="B755" s="15" t="s">
        <v>509</v>
      </c>
      <c r="C755" s="7">
        <v>89.35</v>
      </c>
    </row>
    <row r="756" spans="1:3" x14ac:dyDescent="0.3">
      <c r="A756" s="15" t="s">
        <v>3878</v>
      </c>
      <c r="B756" s="15" t="s">
        <v>135</v>
      </c>
      <c r="C756" s="7">
        <v>13.77</v>
      </c>
    </row>
    <row r="757" spans="1:3" x14ac:dyDescent="0.3">
      <c r="A757" s="15" t="s">
        <v>3879</v>
      </c>
      <c r="B757" s="15" t="s">
        <v>136</v>
      </c>
      <c r="C757" s="7">
        <v>27.53</v>
      </c>
    </row>
    <row r="758" spans="1:3" x14ac:dyDescent="0.3">
      <c r="A758" s="15" t="s">
        <v>3880</v>
      </c>
      <c r="B758" s="15" t="s">
        <v>137</v>
      </c>
      <c r="C758" s="7">
        <v>43.28</v>
      </c>
    </row>
    <row r="759" spans="1:3" x14ac:dyDescent="0.3">
      <c r="A759" s="15" t="s">
        <v>3881</v>
      </c>
      <c r="B759" s="15" t="s">
        <v>41</v>
      </c>
      <c r="C759" s="7">
        <v>13.55</v>
      </c>
    </row>
    <row r="760" spans="1:3" x14ac:dyDescent="0.3">
      <c r="A760" s="15" t="s">
        <v>3882</v>
      </c>
      <c r="B760" s="15" t="s">
        <v>40</v>
      </c>
      <c r="C760" s="7">
        <v>25.52</v>
      </c>
    </row>
    <row r="761" spans="1:3" x14ac:dyDescent="0.3">
      <c r="A761" s="15" t="s">
        <v>3883</v>
      </c>
      <c r="B761" s="15" t="s">
        <v>3884</v>
      </c>
      <c r="C761" s="7">
        <v>18.07</v>
      </c>
    </row>
    <row r="762" spans="1:3" x14ac:dyDescent="0.3">
      <c r="A762" s="15" t="s">
        <v>3885</v>
      </c>
      <c r="B762" s="15" t="s">
        <v>3886</v>
      </c>
      <c r="C762" s="7">
        <v>46.3</v>
      </c>
    </row>
    <row r="763" spans="1:3" x14ac:dyDescent="0.3">
      <c r="A763" s="15" t="s">
        <v>3887</v>
      </c>
      <c r="B763" s="15" t="s">
        <v>383</v>
      </c>
      <c r="C763" s="7">
        <v>16.52</v>
      </c>
    </row>
    <row r="764" spans="1:3" x14ac:dyDescent="0.3">
      <c r="A764" s="15" t="s">
        <v>3888</v>
      </c>
      <c r="B764" s="15" t="s">
        <v>370</v>
      </c>
      <c r="C764" s="7">
        <v>16.52</v>
      </c>
    </row>
    <row r="765" spans="1:3" x14ac:dyDescent="0.3">
      <c r="A765" s="15" t="s">
        <v>3889</v>
      </c>
      <c r="B765" s="15" t="s">
        <v>348</v>
      </c>
      <c r="C765" s="7">
        <v>27.53</v>
      </c>
    </row>
    <row r="766" spans="1:3" x14ac:dyDescent="0.3">
      <c r="A766" s="15" t="s">
        <v>3890</v>
      </c>
      <c r="B766" s="15" t="s">
        <v>352</v>
      </c>
      <c r="C766" s="7">
        <v>8.26</v>
      </c>
    </row>
    <row r="767" spans="1:3" x14ac:dyDescent="0.3">
      <c r="A767" s="15" t="s">
        <v>3891</v>
      </c>
      <c r="B767" s="15" t="s">
        <v>3892</v>
      </c>
      <c r="C767" s="7">
        <v>10.45</v>
      </c>
    </row>
    <row r="768" spans="1:3" x14ac:dyDescent="0.3">
      <c r="A768" s="15" t="s">
        <v>3893</v>
      </c>
      <c r="B768" s="15" t="s">
        <v>161</v>
      </c>
      <c r="C768" s="7">
        <v>29.11</v>
      </c>
    </row>
    <row r="769" spans="1:3" x14ac:dyDescent="0.3">
      <c r="A769" s="15" t="s">
        <v>3894</v>
      </c>
      <c r="B769" s="15" t="s">
        <v>181</v>
      </c>
      <c r="C769" s="7">
        <v>29.11</v>
      </c>
    </row>
    <row r="770" spans="1:3" x14ac:dyDescent="0.3">
      <c r="A770" s="15" t="s">
        <v>3895</v>
      </c>
      <c r="B770" s="15" t="s">
        <v>167</v>
      </c>
      <c r="C770" s="7">
        <v>29.11</v>
      </c>
    </row>
    <row r="771" spans="1:3" x14ac:dyDescent="0.3">
      <c r="A771" s="15" t="s">
        <v>3896</v>
      </c>
      <c r="B771" s="15" t="s">
        <v>168</v>
      </c>
      <c r="C771" s="7">
        <v>29.11</v>
      </c>
    </row>
    <row r="772" spans="1:3" x14ac:dyDescent="0.3">
      <c r="A772" s="15" t="s">
        <v>3897</v>
      </c>
      <c r="B772" s="15" t="s">
        <v>169</v>
      </c>
      <c r="C772" s="7">
        <v>29.11</v>
      </c>
    </row>
    <row r="773" spans="1:3" x14ac:dyDescent="0.3">
      <c r="A773" s="15" t="s">
        <v>3898</v>
      </c>
      <c r="B773" s="15" t="s">
        <v>173</v>
      </c>
      <c r="C773" s="7">
        <v>29.11</v>
      </c>
    </row>
    <row r="774" spans="1:3" x14ac:dyDescent="0.3">
      <c r="A774" s="15" t="s">
        <v>3899</v>
      </c>
      <c r="B774" s="15" t="s">
        <v>159</v>
      </c>
      <c r="C774" s="7">
        <v>29.11</v>
      </c>
    </row>
    <row r="775" spans="1:3" x14ac:dyDescent="0.3">
      <c r="A775" s="15" t="s">
        <v>3900</v>
      </c>
      <c r="B775" s="15" t="s">
        <v>263</v>
      </c>
      <c r="C775" s="7">
        <v>23.91</v>
      </c>
    </row>
    <row r="776" spans="1:3" x14ac:dyDescent="0.3">
      <c r="A776" s="15" t="s">
        <v>3901</v>
      </c>
      <c r="B776" s="15" t="s">
        <v>278</v>
      </c>
      <c r="C776" s="7">
        <v>12.14</v>
      </c>
    </row>
    <row r="777" spans="1:3" x14ac:dyDescent="0.3">
      <c r="A777" s="15" t="s">
        <v>3902</v>
      </c>
      <c r="B777" s="15" t="s">
        <v>2969</v>
      </c>
      <c r="C777" s="7">
        <v>69.64</v>
      </c>
    </row>
    <row r="778" spans="1:3" x14ac:dyDescent="0.3">
      <c r="A778" s="15" t="s">
        <v>3903</v>
      </c>
      <c r="B778" s="15" t="s">
        <v>2968</v>
      </c>
      <c r="C778" s="7">
        <v>30.27</v>
      </c>
    </row>
    <row r="779" spans="1:3" x14ac:dyDescent="0.3">
      <c r="A779" s="15" t="s">
        <v>3904</v>
      </c>
      <c r="B779" s="15" t="s">
        <v>3905</v>
      </c>
      <c r="C779" s="7">
        <v>103.76</v>
      </c>
    </row>
    <row r="780" spans="1:3" x14ac:dyDescent="0.3">
      <c r="A780" s="15" t="s">
        <v>3906</v>
      </c>
      <c r="B780" s="15" t="s">
        <v>3907</v>
      </c>
      <c r="C780" s="7">
        <v>77.48</v>
      </c>
    </row>
    <row r="781" spans="1:3" x14ac:dyDescent="0.3">
      <c r="A781" s="15" t="s">
        <v>3908</v>
      </c>
      <c r="B781" s="15" t="s">
        <v>2971</v>
      </c>
      <c r="C781" s="7">
        <v>52.18</v>
      </c>
    </row>
    <row r="782" spans="1:3" x14ac:dyDescent="0.3">
      <c r="A782" s="15" t="s">
        <v>3909</v>
      </c>
      <c r="B782" s="15" t="s">
        <v>3910</v>
      </c>
      <c r="C782" s="7">
        <v>54.9</v>
      </c>
    </row>
    <row r="783" spans="1:3" x14ac:dyDescent="0.3">
      <c r="A783" s="15" t="s">
        <v>3911</v>
      </c>
      <c r="B783" s="15" t="s">
        <v>3912</v>
      </c>
      <c r="C783" s="7">
        <v>47.34</v>
      </c>
    </row>
    <row r="784" spans="1:3" x14ac:dyDescent="0.3">
      <c r="A784" s="15" t="s">
        <v>3913</v>
      </c>
      <c r="B784" s="15" t="s">
        <v>3914</v>
      </c>
      <c r="C784" s="7">
        <v>104.31</v>
      </c>
    </row>
    <row r="785" spans="1:3" x14ac:dyDescent="0.3">
      <c r="A785" s="15" t="s">
        <v>3915</v>
      </c>
      <c r="B785" s="15" t="s">
        <v>3916</v>
      </c>
      <c r="C785" s="7">
        <v>89.96</v>
      </c>
    </row>
    <row r="786" spans="1:3" x14ac:dyDescent="0.3">
      <c r="A786" s="15" t="s">
        <v>3917</v>
      </c>
      <c r="B786" s="15" t="s">
        <v>3918</v>
      </c>
      <c r="C786" s="7">
        <v>28.89</v>
      </c>
    </row>
    <row r="787" spans="1:3" x14ac:dyDescent="0.3">
      <c r="A787" s="15" t="s">
        <v>3919</v>
      </c>
      <c r="B787" s="15" t="s">
        <v>3920</v>
      </c>
      <c r="C787" s="7">
        <v>24.93</v>
      </c>
    </row>
    <row r="788" spans="1:3" x14ac:dyDescent="0.3">
      <c r="A788" s="15" t="s">
        <v>3921</v>
      </c>
      <c r="B788" s="15" t="s">
        <v>361</v>
      </c>
      <c r="C788" s="7">
        <v>16.52</v>
      </c>
    </row>
    <row r="789" spans="1:3" x14ac:dyDescent="0.3">
      <c r="A789" s="15" t="s">
        <v>3922</v>
      </c>
      <c r="B789" s="15" t="s">
        <v>267</v>
      </c>
      <c r="C789" s="7">
        <v>6.26</v>
      </c>
    </row>
    <row r="790" spans="1:3" x14ac:dyDescent="0.3">
      <c r="A790" s="15" t="s">
        <v>3923</v>
      </c>
      <c r="B790" s="15" t="s">
        <v>270</v>
      </c>
      <c r="C790" s="7">
        <v>8.5399999999999991</v>
      </c>
    </row>
    <row r="791" spans="1:3" x14ac:dyDescent="0.3">
      <c r="A791" s="15" t="s">
        <v>3924</v>
      </c>
      <c r="B791" s="15" t="s">
        <v>101</v>
      </c>
      <c r="C791" s="7">
        <v>14.79</v>
      </c>
    </row>
    <row r="792" spans="1:3" x14ac:dyDescent="0.3">
      <c r="A792" s="15" t="s">
        <v>3925</v>
      </c>
      <c r="B792" s="15" t="s">
        <v>102</v>
      </c>
      <c r="C792" s="7">
        <v>29.61</v>
      </c>
    </row>
    <row r="793" spans="1:3" x14ac:dyDescent="0.3">
      <c r="A793" s="15" t="s">
        <v>3926</v>
      </c>
      <c r="B793" s="15" t="s">
        <v>103</v>
      </c>
      <c r="C793" s="7">
        <v>44.85</v>
      </c>
    </row>
    <row r="794" spans="1:3" x14ac:dyDescent="0.3">
      <c r="A794" s="15" t="s">
        <v>3927</v>
      </c>
      <c r="B794" s="15" t="s">
        <v>77</v>
      </c>
      <c r="C794" s="7">
        <v>30.37</v>
      </c>
    </row>
    <row r="795" spans="1:3" x14ac:dyDescent="0.3">
      <c r="A795" s="15" t="s">
        <v>3928</v>
      </c>
      <c r="B795" s="15" t="s">
        <v>391</v>
      </c>
      <c r="C795" s="7">
        <v>14.32</v>
      </c>
    </row>
    <row r="796" spans="1:3" x14ac:dyDescent="0.3">
      <c r="A796" s="15" t="s">
        <v>3929</v>
      </c>
      <c r="B796" s="15" t="s">
        <v>390</v>
      </c>
      <c r="C796" s="7">
        <v>8.43</v>
      </c>
    </row>
    <row r="797" spans="1:3" x14ac:dyDescent="0.3">
      <c r="A797" s="15" t="s">
        <v>3930</v>
      </c>
      <c r="B797" s="15" t="s">
        <v>3931</v>
      </c>
      <c r="C797" s="7">
        <v>148.69</v>
      </c>
    </row>
    <row r="798" spans="1:3" x14ac:dyDescent="0.3">
      <c r="A798" s="15" t="s">
        <v>3932</v>
      </c>
      <c r="B798" s="15" t="s">
        <v>1295</v>
      </c>
      <c r="C798" s="7">
        <v>15.78</v>
      </c>
    </row>
    <row r="799" spans="1:3" x14ac:dyDescent="0.3">
      <c r="A799" s="15" t="s">
        <v>3933</v>
      </c>
      <c r="B799" s="15" t="s">
        <v>1294</v>
      </c>
      <c r="C799" s="7">
        <v>15.78</v>
      </c>
    </row>
    <row r="800" spans="1:3" x14ac:dyDescent="0.3">
      <c r="A800" s="15" t="s">
        <v>3934</v>
      </c>
      <c r="B800" s="15" t="s">
        <v>1293</v>
      </c>
      <c r="C800" s="7">
        <v>19.25</v>
      </c>
    </row>
    <row r="801" spans="1:3" x14ac:dyDescent="0.3">
      <c r="A801" s="15" t="s">
        <v>3935</v>
      </c>
      <c r="B801" s="15" t="s">
        <v>1313</v>
      </c>
      <c r="C801" s="7">
        <v>20.05</v>
      </c>
    </row>
    <row r="802" spans="1:3" x14ac:dyDescent="0.3">
      <c r="A802" s="15" t="s">
        <v>3936</v>
      </c>
      <c r="B802" s="15" t="s">
        <v>1306</v>
      </c>
      <c r="C802" s="7">
        <v>22.09</v>
      </c>
    </row>
    <row r="803" spans="1:3" x14ac:dyDescent="0.3">
      <c r="A803" s="15" t="s">
        <v>3937</v>
      </c>
      <c r="B803" s="15" t="s">
        <v>1304</v>
      </c>
      <c r="C803" s="7">
        <v>17.37</v>
      </c>
    </row>
    <row r="804" spans="1:3" x14ac:dyDescent="0.3">
      <c r="A804" s="15" t="s">
        <v>3938</v>
      </c>
      <c r="B804" s="15" t="s">
        <v>1307</v>
      </c>
      <c r="C804" s="7">
        <v>34.18</v>
      </c>
    </row>
    <row r="805" spans="1:3" x14ac:dyDescent="0.3">
      <c r="A805" s="15" t="s">
        <v>3939</v>
      </c>
      <c r="B805" s="15" t="s">
        <v>1308</v>
      </c>
      <c r="C805" s="7">
        <v>50.39</v>
      </c>
    </row>
    <row r="806" spans="1:3" x14ac:dyDescent="0.3">
      <c r="A806" s="15" t="s">
        <v>3940</v>
      </c>
      <c r="B806" s="15" t="s">
        <v>1296</v>
      </c>
      <c r="C806" s="7">
        <v>28.88</v>
      </c>
    </row>
    <row r="807" spans="1:3" x14ac:dyDescent="0.3">
      <c r="A807" s="15" t="s">
        <v>3941</v>
      </c>
      <c r="B807" s="15" t="s">
        <v>746</v>
      </c>
      <c r="C807" s="7">
        <v>21.03</v>
      </c>
    </row>
    <row r="808" spans="1:3" x14ac:dyDescent="0.3">
      <c r="A808" s="15" t="s">
        <v>3942</v>
      </c>
      <c r="B808" s="15" t="s">
        <v>728</v>
      </c>
      <c r="C808" s="7">
        <v>44.77</v>
      </c>
    </row>
    <row r="809" spans="1:3" x14ac:dyDescent="0.3">
      <c r="A809" s="15" t="s">
        <v>3943</v>
      </c>
      <c r="B809" s="15" t="s">
        <v>727</v>
      </c>
      <c r="C809" s="7">
        <v>44.77</v>
      </c>
    </row>
    <row r="810" spans="1:3" x14ac:dyDescent="0.3">
      <c r="A810" s="15" t="s">
        <v>3944</v>
      </c>
      <c r="B810" s="15" t="s">
        <v>479</v>
      </c>
      <c r="C810" s="7">
        <v>24.99</v>
      </c>
    </row>
    <row r="811" spans="1:3" x14ac:dyDescent="0.3">
      <c r="A811" s="15" t="s">
        <v>3945</v>
      </c>
      <c r="B811" s="15" t="s">
        <v>3946</v>
      </c>
      <c r="C811" s="7">
        <v>8.26</v>
      </c>
    </row>
    <row r="812" spans="1:3" x14ac:dyDescent="0.3">
      <c r="A812" s="15" t="s">
        <v>3947</v>
      </c>
      <c r="B812" s="15" t="s">
        <v>3948</v>
      </c>
      <c r="C812" s="7">
        <v>8.26</v>
      </c>
    </row>
    <row r="813" spans="1:3" x14ac:dyDescent="0.3">
      <c r="A813" s="15" t="s">
        <v>3949</v>
      </c>
      <c r="B813" s="15" t="s">
        <v>3950</v>
      </c>
      <c r="C813" s="7">
        <v>16.52</v>
      </c>
    </row>
    <row r="814" spans="1:3" x14ac:dyDescent="0.3">
      <c r="A814" s="15" t="s">
        <v>3951</v>
      </c>
      <c r="B814" s="15" t="s">
        <v>3952</v>
      </c>
      <c r="C814" s="7">
        <v>27.53</v>
      </c>
    </row>
    <row r="815" spans="1:3" x14ac:dyDescent="0.3">
      <c r="A815" s="15" t="s">
        <v>3953</v>
      </c>
      <c r="B815" s="15" t="s">
        <v>3954</v>
      </c>
      <c r="C815" s="7">
        <v>27.53</v>
      </c>
    </row>
    <row r="816" spans="1:3" x14ac:dyDescent="0.3">
      <c r="A816" s="15" t="s">
        <v>3955</v>
      </c>
      <c r="B816" s="15" t="s">
        <v>767</v>
      </c>
      <c r="C816" s="7">
        <v>50.79</v>
      </c>
    </row>
    <row r="817" spans="1:3" x14ac:dyDescent="0.3">
      <c r="A817" s="15" t="s">
        <v>3956</v>
      </c>
      <c r="B817" s="15" t="s">
        <v>436</v>
      </c>
      <c r="C817" s="7">
        <v>56.71</v>
      </c>
    </row>
    <row r="818" spans="1:3" x14ac:dyDescent="0.3">
      <c r="A818" s="15" t="s">
        <v>3957</v>
      </c>
      <c r="B818" s="15" t="s">
        <v>305</v>
      </c>
      <c r="C818" s="7">
        <v>21.41</v>
      </c>
    </row>
    <row r="819" spans="1:3" x14ac:dyDescent="0.3">
      <c r="A819" s="15" t="s">
        <v>3958</v>
      </c>
      <c r="B819" s="15" t="s">
        <v>625</v>
      </c>
      <c r="C819" s="7">
        <v>26.08</v>
      </c>
    </row>
    <row r="820" spans="1:3" x14ac:dyDescent="0.3">
      <c r="A820" s="15" t="s">
        <v>3959</v>
      </c>
      <c r="B820" s="15" t="s">
        <v>1302</v>
      </c>
      <c r="C820" s="7">
        <v>76.540000000000006</v>
      </c>
    </row>
    <row r="821" spans="1:3" x14ac:dyDescent="0.3">
      <c r="A821" s="15" t="s">
        <v>3960</v>
      </c>
      <c r="B821" s="15" t="s">
        <v>1301</v>
      </c>
      <c r="C821" s="7">
        <v>38.97</v>
      </c>
    </row>
    <row r="822" spans="1:3" x14ac:dyDescent="0.3">
      <c r="A822" s="15" t="s">
        <v>3961</v>
      </c>
      <c r="B822" s="15" t="s">
        <v>104</v>
      </c>
      <c r="C822" s="7">
        <v>22.4</v>
      </c>
    </row>
    <row r="823" spans="1:3" x14ac:dyDescent="0.3">
      <c r="A823" s="15" t="s">
        <v>3962</v>
      </c>
      <c r="B823" s="15" t="s">
        <v>105</v>
      </c>
      <c r="C823" s="7">
        <v>44.41</v>
      </c>
    </row>
    <row r="824" spans="1:3" x14ac:dyDescent="0.3">
      <c r="A824" s="15" t="s">
        <v>3963</v>
      </c>
      <c r="B824" s="15" t="s">
        <v>106</v>
      </c>
      <c r="C824" s="7">
        <v>61.8</v>
      </c>
    </row>
    <row r="825" spans="1:3" x14ac:dyDescent="0.3">
      <c r="A825" s="15" t="s">
        <v>3964</v>
      </c>
      <c r="B825" s="15" t="s">
        <v>3965</v>
      </c>
      <c r="C825" s="7">
        <v>11.24</v>
      </c>
    </row>
    <row r="826" spans="1:3" x14ac:dyDescent="0.3">
      <c r="A826" s="15" t="s">
        <v>3966</v>
      </c>
      <c r="B826" s="15" t="s">
        <v>426</v>
      </c>
      <c r="C826" s="7">
        <v>37.53</v>
      </c>
    </row>
    <row r="827" spans="1:3" x14ac:dyDescent="0.3">
      <c r="A827" s="15" t="s">
        <v>3967</v>
      </c>
      <c r="B827" s="15" t="s">
        <v>428</v>
      </c>
      <c r="C827" s="7">
        <v>9.0399999999999991</v>
      </c>
    </row>
    <row r="828" spans="1:3" x14ac:dyDescent="0.3">
      <c r="A828" s="15" t="s">
        <v>3968</v>
      </c>
      <c r="B828" s="15" t="s">
        <v>427</v>
      </c>
      <c r="C828" s="7">
        <v>17.38</v>
      </c>
    </row>
    <row r="829" spans="1:3" x14ac:dyDescent="0.3">
      <c r="A829" s="15" t="s">
        <v>3969</v>
      </c>
      <c r="B829" s="15" t="s">
        <v>3970</v>
      </c>
      <c r="C829" s="7">
        <v>12.48</v>
      </c>
    </row>
    <row r="830" spans="1:3" x14ac:dyDescent="0.3">
      <c r="A830" s="15" t="s">
        <v>3971</v>
      </c>
      <c r="B830" s="15" t="s">
        <v>995</v>
      </c>
      <c r="C830" s="7">
        <v>21.17</v>
      </c>
    </row>
    <row r="831" spans="1:3" x14ac:dyDescent="0.3">
      <c r="A831" s="15" t="s">
        <v>3972</v>
      </c>
      <c r="B831" s="15" t="s">
        <v>996</v>
      </c>
      <c r="C831" s="7">
        <v>21.17</v>
      </c>
    </row>
    <row r="832" spans="1:3" x14ac:dyDescent="0.3">
      <c r="A832" s="15" t="s">
        <v>3973</v>
      </c>
      <c r="B832" s="15" t="s">
        <v>997</v>
      </c>
      <c r="C832" s="7">
        <v>21.17</v>
      </c>
    </row>
    <row r="833" spans="1:3" x14ac:dyDescent="0.3">
      <c r="A833" s="15" t="s">
        <v>3974</v>
      </c>
      <c r="B833" s="15" t="s">
        <v>998</v>
      </c>
      <c r="C833" s="7">
        <v>21.17</v>
      </c>
    </row>
    <row r="834" spans="1:3" x14ac:dyDescent="0.3">
      <c r="A834" s="15" t="s">
        <v>3975</v>
      </c>
      <c r="B834" s="15" t="s">
        <v>993</v>
      </c>
      <c r="C834" s="7">
        <v>21.17</v>
      </c>
    </row>
    <row r="835" spans="1:3" x14ac:dyDescent="0.3">
      <c r="A835" s="15" t="s">
        <v>3976</v>
      </c>
      <c r="B835" s="15" t="s">
        <v>994</v>
      </c>
      <c r="C835" s="7">
        <v>21.17</v>
      </c>
    </row>
    <row r="836" spans="1:3" x14ac:dyDescent="0.3">
      <c r="A836" s="15" t="s">
        <v>3977</v>
      </c>
      <c r="B836" s="15" t="s">
        <v>486</v>
      </c>
      <c r="C836" s="7">
        <v>13.95</v>
      </c>
    </row>
    <row r="837" spans="1:3" x14ac:dyDescent="0.3">
      <c r="A837" s="15" t="s">
        <v>3978</v>
      </c>
      <c r="B837" s="15" t="s">
        <v>485</v>
      </c>
      <c r="C837" s="7">
        <v>37.21</v>
      </c>
    </row>
    <row r="838" spans="1:3" x14ac:dyDescent="0.3">
      <c r="A838" s="15" t="s">
        <v>3979</v>
      </c>
      <c r="B838" s="15" t="s">
        <v>487</v>
      </c>
      <c r="C838" s="7">
        <v>10.99</v>
      </c>
    </row>
    <row r="839" spans="1:3" x14ac:dyDescent="0.3">
      <c r="A839" s="15" t="s">
        <v>3980</v>
      </c>
      <c r="B839" s="15" t="s">
        <v>488</v>
      </c>
      <c r="C839" s="7">
        <v>22.69</v>
      </c>
    </row>
    <row r="840" spans="1:3" x14ac:dyDescent="0.3">
      <c r="A840" s="15" t="s">
        <v>3981</v>
      </c>
      <c r="B840" s="15" t="s">
        <v>489</v>
      </c>
      <c r="C840" s="7">
        <v>36.78</v>
      </c>
    </row>
    <row r="841" spans="1:3" x14ac:dyDescent="0.3">
      <c r="A841" s="15" t="s">
        <v>3982</v>
      </c>
      <c r="B841" s="15" t="s">
        <v>66</v>
      </c>
      <c r="C841" s="7">
        <v>32.700000000000003</v>
      </c>
    </row>
    <row r="842" spans="1:3" x14ac:dyDescent="0.3">
      <c r="A842" s="15" t="s">
        <v>3983</v>
      </c>
      <c r="B842" s="15" t="s">
        <v>99</v>
      </c>
      <c r="C842" s="7">
        <v>65.150000000000006</v>
      </c>
    </row>
    <row r="843" spans="1:3" x14ac:dyDescent="0.3">
      <c r="A843" s="15" t="s">
        <v>3984</v>
      </c>
      <c r="B843" s="15" t="s">
        <v>100</v>
      </c>
      <c r="C843" s="7">
        <v>37.950000000000003</v>
      </c>
    </row>
    <row r="844" spans="1:3" x14ac:dyDescent="0.3">
      <c r="A844" s="15" t="s">
        <v>3985</v>
      </c>
      <c r="B844" s="15" t="s">
        <v>2975</v>
      </c>
      <c r="C844" s="7">
        <v>177.65</v>
      </c>
    </row>
    <row r="845" spans="1:3" x14ac:dyDescent="0.3">
      <c r="A845" s="15" t="s">
        <v>3986</v>
      </c>
      <c r="B845" s="15" t="s">
        <v>2977</v>
      </c>
      <c r="C845" s="7">
        <v>52.61</v>
      </c>
    </row>
    <row r="846" spans="1:3" x14ac:dyDescent="0.3">
      <c r="A846" s="15" t="s">
        <v>3987</v>
      </c>
      <c r="B846" s="15" t="s">
        <v>2974</v>
      </c>
      <c r="C846" s="7">
        <v>58.91</v>
      </c>
    </row>
    <row r="847" spans="1:3" x14ac:dyDescent="0.3">
      <c r="A847" s="15" t="s">
        <v>3988</v>
      </c>
      <c r="B847" s="15" t="s">
        <v>65</v>
      </c>
      <c r="C847" s="7">
        <v>44.44</v>
      </c>
    </row>
    <row r="848" spans="1:3" x14ac:dyDescent="0.3">
      <c r="A848" s="15" t="s">
        <v>3989</v>
      </c>
      <c r="B848" s="15" t="s">
        <v>44</v>
      </c>
      <c r="C848" s="7">
        <v>46.12</v>
      </c>
    </row>
    <row r="849" spans="1:3" x14ac:dyDescent="0.3">
      <c r="A849" s="15" t="s">
        <v>3990</v>
      </c>
      <c r="B849" s="15" t="s">
        <v>45</v>
      </c>
      <c r="C849" s="7">
        <v>67.55</v>
      </c>
    </row>
    <row r="850" spans="1:3" x14ac:dyDescent="0.3">
      <c r="A850" s="15" t="s">
        <v>3991</v>
      </c>
      <c r="B850" s="15" t="s">
        <v>46</v>
      </c>
      <c r="C850" s="7">
        <v>36.51</v>
      </c>
    </row>
    <row r="851" spans="1:3" x14ac:dyDescent="0.3">
      <c r="A851" s="15" t="s">
        <v>3992</v>
      </c>
      <c r="B851" s="15" t="s">
        <v>3993</v>
      </c>
      <c r="C851" s="7">
        <v>33.840000000000003</v>
      </c>
    </row>
    <row r="852" spans="1:3" x14ac:dyDescent="0.3">
      <c r="A852" s="15" t="s">
        <v>3994</v>
      </c>
      <c r="B852" s="15" t="s">
        <v>211</v>
      </c>
      <c r="C852" s="7">
        <v>20.74</v>
      </c>
    </row>
    <row r="853" spans="1:3" x14ac:dyDescent="0.3">
      <c r="A853" s="15" t="s">
        <v>3995</v>
      </c>
      <c r="B853" s="15" t="s">
        <v>208</v>
      </c>
      <c r="C853" s="7">
        <v>20.74</v>
      </c>
    </row>
    <row r="854" spans="1:3" x14ac:dyDescent="0.3">
      <c r="A854" s="15" t="s">
        <v>3996</v>
      </c>
      <c r="B854" s="15" t="s">
        <v>205</v>
      </c>
      <c r="C854" s="7">
        <v>28.69</v>
      </c>
    </row>
    <row r="855" spans="1:3" x14ac:dyDescent="0.3">
      <c r="A855" s="15" t="s">
        <v>3997</v>
      </c>
      <c r="B855" s="15" t="s">
        <v>210</v>
      </c>
      <c r="C855" s="7">
        <v>20.74</v>
      </c>
    </row>
    <row r="856" spans="1:3" x14ac:dyDescent="0.3">
      <c r="A856" s="15" t="s">
        <v>3998</v>
      </c>
      <c r="B856" s="15" t="s">
        <v>216</v>
      </c>
      <c r="C856" s="7">
        <v>17.38</v>
      </c>
    </row>
    <row r="857" spans="1:3" x14ac:dyDescent="0.3">
      <c r="A857" s="15" t="s">
        <v>3999</v>
      </c>
      <c r="B857" s="15" t="s">
        <v>215</v>
      </c>
      <c r="C857" s="7">
        <v>31.59</v>
      </c>
    </row>
    <row r="858" spans="1:3" x14ac:dyDescent="0.3">
      <c r="A858" s="15" t="s">
        <v>4000</v>
      </c>
      <c r="B858" s="15" t="s">
        <v>214</v>
      </c>
      <c r="C858" s="7">
        <v>31.59</v>
      </c>
    </row>
    <row r="859" spans="1:3" x14ac:dyDescent="0.3">
      <c r="A859" s="15" t="s">
        <v>4001</v>
      </c>
      <c r="B859" s="15" t="s">
        <v>909</v>
      </c>
      <c r="C859" s="7">
        <v>25.99</v>
      </c>
    </row>
    <row r="860" spans="1:3" x14ac:dyDescent="0.3">
      <c r="A860" s="15" t="s">
        <v>4002</v>
      </c>
      <c r="B860" s="15" t="s">
        <v>213</v>
      </c>
      <c r="C860" s="7">
        <v>20.74</v>
      </c>
    </row>
    <row r="861" spans="1:3" x14ac:dyDescent="0.3">
      <c r="A861" s="15" t="s">
        <v>4003</v>
      </c>
      <c r="B861" s="15" t="s">
        <v>209</v>
      </c>
      <c r="C861" s="7">
        <v>20.74</v>
      </c>
    </row>
    <row r="862" spans="1:3" x14ac:dyDescent="0.3">
      <c r="A862" s="15" t="s">
        <v>4004</v>
      </c>
      <c r="B862" s="15" t="s">
        <v>910</v>
      </c>
      <c r="C862" s="7">
        <v>25.99</v>
      </c>
    </row>
    <row r="863" spans="1:3" x14ac:dyDescent="0.3">
      <c r="A863" s="15" t="s">
        <v>4005</v>
      </c>
      <c r="B863" s="15" t="s">
        <v>4006</v>
      </c>
      <c r="C863" s="7">
        <v>13.52</v>
      </c>
    </row>
    <row r="864" spans="1:3" x14ac:dyDescent="0.3">
      <c r="A864" s="15" t="s">
        <v>4007</v>
      </c>
      <c r="B864" s="15" t="s">
        <v>227</v>
      </c>
      <c r="C864" s="7">
        <v>13.86</v>
      </c>
    </row>
    <row r="865" spans="1:3" x14ac:dyDescent="0.3">
      <c r="A865" s="15" t="s">
        <v>4008</v>
      </c>
      <c r="B865" s="15" t="s">
        <v>228</v>
      </c>
      <c r="C865" s="7">
        <v>29.74</v>
      </c>
    </row>
    <row r="866" spans="1:3" x14ac:dyDescent="0.3">
      <c r="A866" s="15" t="s">
        <v>4009</v>
      </c>
      <c r="B866" s="15" t="s">
        <v>229</v>
      </c>
      <c r="C866" s="7">
        <v>36.5</v>
      </c>
    </row>
    <row r="867" spans="1:3" x14ac:dyDescent="0.3">
      <c r="A867" s="15" t="s">
        <v>4010</v>
      </c>
      <c r="B867" s="15" t="s">
        <v>224</v>
      </c>
      <c r="C867" s="7">
        <v>13.86</v>
      </c>
    </row>
    <row r="868" spans="1:3" x14ac:dyDescent="0.3">
      <c r="A868" s="15" t="s">
        <v>4011</v>
      </c>
      <c r="B868" s="15" t="s">
        <v>225</v>
      </c>
      <c r="C868" s="7">
        <v>24.33</v>
      </c>
    </row>
    <row r="869" spans="1:3" x14ac:dyDescent="0.3">
      <c r="A869" s="15" t="s">
        <v>4012</v>
      </c>
      <c r="B869" s="15" t="s">
        <v>226</v>
      </c>
      <c r="C869" s="7">
        <v>41.06</v>
      </c>
    </row>
    <row r="870" spans="1:3" x14ac:dyDescent="0.3">
      <c r="A870" s="15" t="s">
        <v>4013</v>
      </c>
      <c r="B870" s="15" t="s">
        <v>4014</v>
      </c>
      <c r="C870" s="7">
        <v>50.4</v>
      </c>
    </row>
    <row r="871" spans="1:3" x14ac:dyDescent="0.3">
      <c r="A871" s="15" t="s">
        <v>4015</v>
      </c>
      <c r="B871" s="15" t="s">
        <v>4016</v>
      </c>
      <c r="C871" s="7">
        <v>59.54</v>
      </c>
    </row>
    <row r="872" spans="1:3" x14ac:dyDescent="0.3">
      <c r="A872" s="15" t="s">
        <v>4017</v>
      </c>
      <c r="B872" s="15" t="s">
        <v>4018</v>
      </c>
      <c r="C872" s="7">
        <v>50.52</v>
      </c>
    </row>
    <row r="873" spans="1:3" x14ac:dyDescent="0.3">
      <c r="A873" s="15" t="s">
        <v>4019</v>
      </c>
      <c r="B873" s="15" t="s">
        <v>4020</v>
      </c>
      <c r="C873" s="7">
        <v>68.61</v>
      </c>
    </row>
    <row r="874" spans="1:3" x14ac:dyDescent="0.3">
      <c r="A874" s="15" t="s">
        <v>4021</v>
      </c>
      <c r="B874" s="15" t="s">
        <v>4022</v>
      </c>
      <c r="C874" s="7">
        <v>37.421999999999997</v>
      </c>
    </row>
    <row r="875" spans="1:3" x14ac:dyDescent="0.3">
      <c r="A875" s="15" t="s">
        <v>4023</v>
      </c>
      <c r="B875" s="15" t="s">
        <v>4024</v>
      </c>
      <c r="C875" s="7">
        <v>37.42</v>
      </c>
    </row>
    <row r="876" spans="1:3" x14ac:dyDescent="0.3">
      <c r="A876" s="15" t="s">
        <v>4025</v>
      </c>
      <c r="B876" s="15" t="s">
        <v>4026</v>
      </c>
      <c r="C876" s="7">
        <v>30.37</v>
      </c>
    </row>
    <row r="877" spans="1:3" x14ac:dyDescent="0.3">
      <c r="A877" s="15" t="s">
        <v>4027</v>
      </c>
      <c r="B877" s="15" t="s">
        <v>4028</v>
      </c>
      <c r="C877" s="7">
        <v>27.08</v>
      </c>
    </row>
    <row r="878" spans="1:3" x14ac:dyDescent="0.3">
      <c r="A878" s="15" t="s">
        <v>4029</v>
      </c>
      <c r="B878" s="15" t="s">
        <v>230</v>
      </c>
      <c r="C878" s="7">
        <v>20.440000000000001</v>
      </c>
    </row>
    <row r="879" spans="1:3" x14ac:dyDescent="0.3">
      <c r="A879" s="15" t="s">
        <v>4030</v>
      </c>
      <c r="B879" s="15" t="s">
        <v>231</v>
      </c>
      <c r="C879" s="7">
        <v>40.880000000000003</v>
      </c>
    </row>
    <row r="880" spans="1:3" x14ac:dyDescent="0.3">
      <c r="A880" s="15" t="s">
        <v>4031</v>
      </c>
      <c r="B880" s="15" t="s">
        <v>232</v>
      </c>
      <c r="C880" s="7">
        <v>68.150000000000006</v>
      </c>
    </row>
    <row r="881" spans="1:3" x14ac:dyDescent="0.3">
      <c r="A881" s="15" t="s">
        <v>4032</v>
      </c>
      <c r="B881" s="15" t="s">
        <v>4033</v>
      </c>
      <c r="C881" s="7">
        <v>20.440000000000001</v>
      </c>
    </row>
    <row r="882" spans="1:3" x14ac:dyDescent="0.3">
      <c r="A882" s="15" t="s">
        <v>4034</v>
      </c>
      <c r="B882" s="15" t="s">
        <v>4033</v>
      </c>
      <c r="C882" s="7">
        <v>40.880000000000003</v>
      </c>
    </row>
    <row r="883" spans="1:3" x14ac:dyDescent="0.3">
      <c r="A883" s="15" t="s">
        <v>4035</v>
      </c>
      <c r="B883" s="15" t="s">
        <v>4033</v>
      </c>
      <c r="C883" s="7">
        <v>68.150000000000006</v>
      </c>
    </row>
    <row r="884" spans="1:3" x14ac:dyDescent="0.3">
      <c r="A884" s="15" t="s">
        <v>4036</v>
      </c>
      <c r="B884" s="15" t="s">
        <v>4037</v>
      </c>
      <c r="C884" s="7">
        <v>45.53</v>
      </c>
    </row>
    <row r="885" spans="1:3" x14ac:dyDescent="0.3">
      <c r="A885" s="15" t="s">
        <v>4038</v>
      </c>
      <c r="B885" s="15" t="s">
        <v>4039</v>
      </c>
      <c r="C885" s="7">
        <v>59.54</v>
      </c>
    </row>
    <row r="886" spans="1:3" x14ac:dyDescent="0.3">
      <c r="A886" s="15" t="s">
        <v>4040</v>
      </c>
      <c r="B886" s="15" t="s">
        <v>1228</v>
      </c>
      <c r="C886" s="7">
        <v>45.77</v>
      </c>
    </row>
    <row r="887" spans="1:3" x14ac:dyDescent="0.3">
      <c r="A887" s="15" t="s">
        <v>4041</v>
      </c>
      <c r="B887" s="15" t="s">
        <v>1034</v>
      </c>
      <c r="C887" s="7">
        <v>40.799999999999997</v>
      </c>
    </row>
    <row r="888" spans="1:3" x14ac:dyDescent="0.3">
      <c r="A888" s="15" t="s">
        <v>4042</v>
      </c>
      <c r="B888" s="15" t="s">
        <v>1032</v>
      </c>
      <c r="C888" s="7">
        <v>40.799999999999997</v>
      </c>
    </row>
    <row r="889" spans="1:3" x14ac:dyDescent="0.3">
      <c r="A889" s="15" t="s">
        <v>4043</v>
      </c>
      <c r="B889" s="15" t="s">
        <v>1036</v>
      </c>
      <c r="C889" s="7">
        <v>40.799999999999997</v>
      </c>
    </row>
    <row r="890" spans="1:3" x14ac:dyDescent="0.3">
      <c r="A890" s="15" t="s">
        <v>4044</v>
      </c>
      <c r="B890" s="15" t="s">
        <v>665</v>
      </c>
      <c r="C890" s="7">
        <v>4.7300000000000004</v>
      </c>
    </row>
    <row r="891" spans="1:3" x14ac:dyDescent="0.3">
      <c r="A891" s="15" t="s">
        <v>4045</v>
      </c>
      <c r="B891" s="15" t="s">
        <v>4046</v>
      </c>
      <c r="C891" s="7">
        <v>2.98</v>
      </c>
    </row>
    <row r="892" spans="1:3" x14ac:dyDescent="0.3">
      <c r="A892" s="15" t="s">
        <v>4047</v>
      </c>
      <c r="B892" s="15" t="s">
        <v>4048</v>
      </c>
      <c r="C892" s="7">
        <v>3.55</v>
      </c>
    </row>
    <row r="893" spans="1:3" x14ac:dyDescent="0.3">
      <c r="A893" s="15" t="s">
        <v>4049</v>
      </c>
      <c r="B893" s="15" t="s">
        <v>1097</v>
      </c>
      <c r="C893" s="7">
        <v>20.67</v>
      </c>
    </row>
    <row r="894" spans="1:3" x14ac:dyDescent="0.3">
      <c r="A894" s="15" t="s">
        <v>4050</v>
      </c>
      <c r="B894" s="15" t="s">
        <v>1099</v>
      </c>
      <c r="C894" s="7">
        <v>17.239999999999998</v>
      </c>
    </row>
    <row r="895" spans="1:3" x14ac:dyDescent="0.3">
      <c r="A895" s="15" t="s">
        <v>4051</v>
      </c>
      <c r="B895" s="15" t="s">
        <v>1096</v>
      </c>
      <c r="C895" s="7">
        <v>68.78</v>
      </c>
    </row>
    <row r="896" spans="1:3" x14ac:dyDescent="0.3">
      <c r="A896" s="15" t="s">
        <v>4052</v>
      </c>
      <c r="B896" s="15" t="s">
        <v>1098</v>
      </c>
      <c r="C896" s="7">
        <v>50.79</v>
      </c>
    </row>
    <row r="897" spans="1:3" x14ac:dyDescent="0.3">
      <c r="A897" s="15" t="s">
        <v>4053</v>
      </c>
      <c r="B897" s="15" t="s">
        <v>4054</v>
      </c>
      <c r="C897" s="7">
        <v>1.93</v>
      </c>
    </row>
    <row r="898" spans="1:3" x14ac:dyDescent="0.3">
      <c r="A898" s="15" t="s">
        <v>4055</v>
      </c>
      <c r="B898" s="15" t="s">
        <v>4056</v>
      </c>
      <c r="C898" s="7">
        <v>2.44</v>
      </c>
    </row>
    <row r="899" spans="1:3" x14ac:dyDescent="0.3">
      <c r="A899" s="15" t="s">
        <v>4057</v>
      </c>
      <c r="B899" s="15" t="s">
        <v>667</v>
      </c>
      <c r="C899" s="7">
        <v>4.66</v>
      </c>
    </row>
    <row r="900" spans="1:3" x14ac:dyDescent="0.3">
      <c r="A900" s="15" t="s">
        <v>4058</v>
      </c>
      <c r="B900" s="15" t="s">
        <v>1193</v>
      </c>
      <c r="C900" s="7">
        <v>1.44</v>
      </c>
    </row>
    <row r="901" spans="1:3" x14ac:dyDescent="0.3">
      <c r="A901" s="15" t="s">
        <v>4059</v>
      </c>
      <c r="B901" s="15" t="s">
        <v>704</v>
      </c>
      <c r="C901" s="7">
        <v>5.08</v>
      </c>
    </row>
    <row r="902" spans="1:3" x14ac:dyDescent="0.3">
      <c r="A902" s="15" t="s">
        <v>4060</v>
      </c>
      <c r="B902" s="15" t="s">
        <v>706</v>
      </c>
      <c r="C902" s="7">
        <v>17.260000000000002</v>
      </c>
    </row>
    <row r="903" spans="1:3" x14ac:dyDescent="0.3">
      <c r="A903" s="15" t="s">
        <v>4061</v>
      </c>
      <c r="B903" s="15" t="s">
        <v>707</v>
      </c>
      <c r="C903" s="7">
        <v>23.13</v>
      </c>
    </row>
    <row r="904" spans="1:3" x14ac:dyDescent="0.3">
      <c r="A904" s="15" t="s">
        <v>4062</v>
      </c>
      <c r="B904" s="15" t="s">
        <v>705</v>
      </c>
      <c r="C904" s="7">
        <v>15.65</v>
      </c>
    </row>
    <row r="905" spans="1:3" x14ac:dyDescent="0.3">
      <c r="A905" s="15" t="s">
        <v>4063</v>
      </c>
      <c r="B905" s="15" t="s">
        <v>1245</v>
      </c>
      <c r="C905" s="7">
        <v>5.9</v>
      </c>
    </row>
    <row r="906" spans="1:3" x14ac:dyDescent="0.3">
      <c r="A906" s="15" t="s">
        <v>4064</v>
      </c>
      <c r="B906" s="15" t="s">
        <v>4065</v>
      </c>
      <c r="C906" s="7">
        <v>0.82</v>
      </c>
    </row>
    <row r="907" spans="1:3" x14ac:dyDescent="0.3">
      <c r="A907" s="15" t="s">
        <v>4066</v>
      </c>
      <c r="B907" s="15" t="s">
        <v>4067</v>
      </c>
      <c r="C907" s="7">
        <v>1.91</v>
      </c>
    </row>
    <row r="908" spans="1:3" x14ac:dyDescent="0.3">
      <c r="A908" s="15" t="s">
        <v>4068</v>
      </c>
      <c r="B908" s="15" t="s">
        <v>4069</v>
      </c>
      <c r="C908" s="7">
        <v>2.66</v>
      </c>
    </row>
    <row r="909" spans="1:3" x14ac:dyDescent="0.3">
      <c r="A909" s="15" t="s">
        <v>4070</v>
      </c>
      <c r="B909" s="15" t="s">
        <v>1062</v>
      </c>
      <c r="C909" s="7">
        <v>1.9</v>
      </c>
    </row>
    <row r="910" spans="1:3" x14ac:dyDescent="0.3">
      <c r="A910" s="15" t="s">
        <v>4071</v>
      </c>
      <c r="B910" s="15" t="s">
        <v>1033</v>
      </c>
      <c r="C910" s="7">
        <v>14.25</v>
      </c>
    </row>
    <row r="911" spans="1:3" x14ac:dyDescent="0.3">
      <c r="A911" s="15" t="s">
        <v>4072</v>
      </c>
      <c r="B911" s="15" t="s">
        <v>1031</v>
      </c>
      <c r="C911" s="7">
        <v>14.25</v>
      </c>
    </row>
    <row r="912" spans="1:3" x14ac:dyDescent="0.3">
      <c r="A912" s="15" t="s">
        <v>4073</v>
      </c>
      <c r="B912" s="15" t="s">
        <v>1035</v>
      </c>
      <c r="C912" s="7">
        <v>14.25</v>
      </c>
    </row>
    <row r="913" spans="1:3" x14ac:dyDescent="0.3">
      <c r="A913" s="15" t="s">
        <v>4074</v>
      </c>
      <c r="B913" s="15" t="s">
        <v>944</v>
      </c>
      <c r="C913" s="7">
        <v>11.1</v>
      </c>
    </row>
    <row r="914" spans="1:3" x14ac:dyDescent="0.3">
      <c r="A914" s="15" t="s">
        <v>4075</v>
      </c>
      <c r="B914" s="15" t="s">
        <v>942</v>
      </c>
      <c r="C914" s="7">
        <v>26.54</v>
      </c>
    </row>
    <row r="915" spans="1:3" x14ac:dyDescent="0.3">
      <c r="A915" s="15" t="s">
        <v>4076</v>
      </c>
      <c r="B915" s="15" t="s">
        <v>4077</v>
      </c>
      <c r="C915" s="7">
        <v>6.02</v>
      </c>
    </row>
    <row r="916" spans="1:3" x14ac:dyDescent="0.3">
      <c r="A916" s="15" t="s">
        <v>4078</v>
      </c>
      <c r="B916" s="15" t="s">
        <v>4079</v>
      </c>
      <c r="C916" s="7">
        <v>5.85</v>
      </c>
    </row>
    <row r="917" spans="1:3" x14ac:dyDescent="0.3">
      <c r="A917" s="15" t="s">
        <v>4080</v>
      </c>
      <c r="B917" s="15" t="s">
        <v>1011</v>
      </c>
      <c r="C917" s="7">
        <v>4.78</v>
      </c>
    </row>
    <row r="918" spans="1:3" x14ac:dyDescent="0.3">
      <c r="A918" s="15" t="s">
        <v>4081</v>
      </c>
      <c r="B918" s="15" t="s">
        <v>4082</v>
      </c>
      <c r="C918" s="7">
        <v>16.11</v>
      </c>
    </row>
    <row r="919" spans="1:3" x14ac:dyDescent="0.3">
      <c r="A919" s="15" t="s">
        <v>4083</v>
      </c>
      <c r="B919" s="15" t="s">
        <v>4084</v>
      </c>
      <c r="C919" s="7">
        <v>16.11</v>
      </c>
    </row>
    <row r="920" spans="1:3" x14ac:dyDescent="0.3">
      <c r="A920" s="15" t="s">
        <v>4085</v>
      </c>
      <c r="B920" s="15" t="s">
        <v>941</v>
      </c>
      <c r="C920" s="7">
        <v>18.329999999999998</v>
      </c>
    </row>
    <row r="921" spans="1:3" x14ac:dyDescent="0.3">
      <c r="A921" s="15" t="s">
        <v>4086</v>
      </c>
      <c r="B921" s="15" t="s">
        <v>703</v>
      </c>
      <c r="C921" s="7">
        <v>3.97</v>
      </c>
    </row>
    <row r="922" spans="1:3" x14ac:dyDescent="0.3">
      <c r="A922" s="15" t="s">
        <v>4087</v>
      </c>
      <c r="B922" s="15" t="s">
        <v>726</v>
      </c>
      <c r="C922" s="7">
        <v>10.91</v>
      </c>
    </row>
    <row r="923" spans="1:3" x14ac:dyDescent="0.3">
      <c r="A923" s="15" t="s">
        <v>4088</v>
      </c>
      <c r="B923" s="15" t="s">
        <v>1195</v>
      </c>
      <c r="C923" s="7">
        <v>5.07</v>
      </c>
    </row>
    <row r="924" spans="1:3" x14ac:dyDescent="0.3">
      <c r="A924" s="15" t="s">
        <v>4089</v>
      </c>
      <c r="B924" s="15" t="s">
        <v>1197</v>
      </c>
      <c r="C924" s="7">
        <v>13.19</v>
      </c>
    </row>
    <row r="925" spans="1:3" x14ac:dyDescent="0.3">
      <c r="A925" s="15" t="s">
        <v>4090</v>
      </c>
      <c r="B925" s="15" t="s">
        <v>1196</v>
      </c>
      <c r="C925" s="7">
        <v>20.81</v>
      </c>
    </row>
    <row r="926" spans="1:3" x14ac:dyDescent="0.3">
      <c r="A926" s="15" t="s">
        <v>4091</v>
      </c>
      <c r="B926" s="15" t="s">
        <v>1198</v>
      </c>
      <c r="C926" s="7">
        <v>10.96</v>
      </c>
    </row>
    <row r="927" spans="1:3" x14ac:dyDescent="0.3">
      <c r="A927" s="15" t="s">
        <v>4092</v>
      </c>
      <c r="B927" s="15" t="s">
        <v>1199</v>
      </c>
      <c r="C927" s="7">
        <v>23.91</v>
      </c>
    </row>
    <row r="928" spans="1:3" x14ac:dyDescent="0.3">
      <c r="A928" s="15" t="s">
        <v>4093</v>
      </c>
      <c r="B928" s="15" t="s">
        <v>4094</v>
      </c>
      <c r="C928" s="7">
        <v>20</v>
      </c>
    </row>
    <row r="929" spans="1:3" x14ac:dyDescent="0.3">
      <c r="A929" s="15" t="s">
        <v>4095</v>
      </c>
      <c r="B929" s="15" t="s">
        <v>4096</v>
      </c>
      <c r="C929" s="7">
        <v>11.34</v>
      </c>
    </row>
    <row r="930" spans="1:3" x14ac:dyDescent="0.3">
      <c r="A930" s="15" t="s">
        <v>4097</v>
      </c>
      <c r="B930" s="15" t="s">
        <v>4098</v>
      </c>
      <c r="C930" s="7">
        <v>25.39</v>
      </c>
    </row>
    <row r="931" spans="1:3" x14ac:dyDescent="0.3">
      <c r="A931" s="15" t="s">
        <v>4099</v>
      </c>
      <c r="B931" s="15" t="s">
        <v>4100</v>
      </c>
      <c r="C931" s="7">
        <v>21.35</v>
      </c>
    </row>
    <row r="932" spans="1:3" x14ac:dyDescent="0.3">
      <c r="A932" s="15" t="s">
        <v>4101</v>
      </c>
      <c r="B932" s="15" t="s">
        <v>1061</v>
      </c>
      <c r="C932" s="7">
        <v>34.270000000000003</v>
      </c>
    </row>
    <row r="933" spans="1:3" x14ac:dyDescent="0.3">
      <c r="A933" s="15" t="s">
        <v>4102</v>
      </c>
      <c r="B933" s="15" t="s">
        <v>4103</v>
      </c>
      <c r="C933" s="7">
        <v>24.21</v>
      </c>
    </row>
    <row r="934" spans="1:3" x14ac:dyDescent="0.3">
      <c r="A934" s="15" t="s">
        <v>4104</v>
      </c>
      <c r="B934" s="15" t="s">
        <v>1190</v>
      </c>
      <c r="C934" s="7">
        <v>5.15</v>
      </c>
    </row>
    <row r="935" spans="1:3" x14ac:dyDescent="0.3">
      <c r="A935" s="15" t="s">
        <v>4105</v>
      </c>
      <c r="B935" s="15" t="s">
        <v>1191</v>
      </c>
      <c r="C935" s="7">
        <v>4.12</v>
      </c>
    </row>
    <row r="936" spans="1:3" x14ac:dyDescent="0.3">
      <c r="A936" s="15" t="s">
        <v>4106</v>
      </c>
      <c r="B936" s="15" t="s">
        <v>4107</v>
      </c>
      <c r="C936" s="7">
        <v>14.6</v>
      </c>
    </row>
    <row r="937" spans="1:3" x14ac:dyDescent="0.3">
      <c r="A937" s="15" t="s">
        <v>4108</v>
      </c>
      <c r="B937" s="15" t="s">
        <v>709</v>
      </c>
      <c r="C937" s="7">
        <v>15.6</v>
      </c>
    </row>
    <row r="938" spans="1:3" x14ac:dyDescent="0.3">
      <c r="A938" s="15" t="s">
        <v>4109</v>
      </c>
      <c r="B938" s="15" t="s">
        <v>714</v>
      </c>
      <c r="C938" s="7">
        <v>7.74</v>
      </c>
    </row>
    <row r="939" spans="1:3" x14ac:dyDescent="0.3">
      <c r="A939" s="15" t="s">
        <v>4110</v>
      </c>
      <c r="B939" s="15" t="s">
        <v>711</v>
      </c>
      <c r="C939" s="7">
        <v>15.65</v>
      </c>
    </row>
    <row r="940" spans="1:3" x14ac:dyDescent="0.3">
      <c r="A940" s="15" t="s">
        <v>4111</v>
      </c>
      <c r="B940" s="15" t="s">
        <v>712</v>
      </c>
      <c r="C940" s="7">
        <v>86.49</v>
      </c>
    </row>
    <row r="941" spans="1:3" x14ac:dyDescent="0.3">
      <c r="A941" s="15" t="s">
        <v>4112</v>
      </c>
      <c r="B941" s="15" t="s">
        <v>713</v>
      </c>
      <c r="C941" s="7">
        <v>78.48</v>
      </c>
    </row>
    <row r="942" spans="1:3" x14ac:dyDescent="0.3">
      <c r="A942" s="15" t="s">
        <v>4113</v>
      </c>
      <c r="B942" s="15" t="s">
        <v>1029</v>
      </c>
      <c r="C942" s="7">
        <v>11.23</v>
      </c>
    </row>
    <row r="943" spans="1:3" x14ac:dyDescent="0.3">
      <c r="A943" s="15" t="s">
        <v>4114</v>
      </c>
      <c r="B943" s="15" t="s">
        <v>1028</v>
      </c>
      <c r="C943" s="7">
        <v>11.23</v>
      </c>
    </row>
    <row r="944" spans="1:3" x14ac:dyDescent="0.3">
      <c r="A944" s="15" t="s">
        <v>4115</v>
      </c>
      <c r="B944" s="15" t="s">
        <v>1030</v>
      </c>
      <c r="C944" s="7">
        <v>11.23</v>
      </c>
    </row>
    <row r="945" spans="1:3" x14ac:dyDescent="0.3">
      <c r="A945" s="15" t="s">
        <v>4116</v>
      </c>
      <c r="B945" s="15" t="s">
        <v>742</v>
      </c>
      <c r="C945" s="7">
        <v>9.81</v>
      </c>
    </row>
    <row r="946" spans="1:3" x14ac:dyDescent="0.3">
      <c r="A946" s="15" t="s">
        <v>4117</v>
      </c>
      <c r="B946" s="15" t="s">
        <v>4118</v>
      </c>
      <c r="C946" s="7">
        <v>9.9600000000000009</v>
      </c>
    </row>
    <row r="947" spans="1:3" x14ac:dyDescent="0.3">
      <c r="A947" s="15" t="s">
        <v>4119</v>
      </c>
      <c r="B947" s="15" t="s">
        <v>4120</v>
      </c>
      <c r="C947" s="7">
        <v>6.47</v>
      </c>
    </row>
    <row r="948" spans="1:3" x14ac:dyDescent="0.3">
      <c r="A948" s="15" t="s">
        <v>4121</v>
      </c>
      <c r="B948" s="15" t="s">
        <v>1219</v>
      </c>
      <c r="C948" s="7">
        <v>11.97</v>
      </c>
    </row>
    <row r="949" spans="1:3" x14ac:dyDescent="0.3">
      <c r="A949" s="15" t="s">
        <v>4122</v>
      </c>
      <c r="B949" s="15" t="s">
        <v>1224</v>
      </c>
      <c r="C949" s="7">
        <v>10.26</v>
      </c>
    </row>
    <row r="950" spans="1:3" x14ac:dyDescent="0.3">
      <c r="A950" s="15" t="s">
        <v>4123</v>
      </c>
      <c r="B950" s="15" t="s">
        <v>1216</v>
      </c>
      <c r="C950" s="7">
        <v>7.24</v>
      </c>
    </row>
    <row r="951" spans="1:3" x14ac:dyDescent="0.3">
      <c r="A951" s="15" t="s">
        <v>4124</v>
      </c>
      <c r="B951" s="15" t="s">
        <v>1217</v>
      </c>
      <c r="C951" s="7">
        <v>12.79</v>
      </c>
    </row>
    <row r="952" spans="1:3" x14ac:dyDescent="0.3">
      <c r="A952" s="15" t="s">
        <v>4125</v>
      </c>
      <c r="B952" s="15" t="s">
        <v>1227</v>
      </c>
      <c r="C952" s="7">
        <v>8.4700000000000006</v>
      </c>
    </row>
    <row r="953" spans="1:3" x14ac:dyDescent="0.3">
      <c r="A953" s="15" t="s">
        <v>4126</v>
      </c>
      <c r="B953" s="15" t="s">
        <v>1230</v>
      </c>
      <c r="C953" s="7">
        <v>10.199999999999999</v>
      </c>
    </row>
    <row r="954" spans="1:3" x14ac:dyDescent="0.3">
      <c r="A954" s="15" t="s">
        <v>4127</v>
      </c>
      <c r="B954" s="15" t="s">
        <v>1231</v>
      </c>
      <c r="C954" s="7">
        <v>18.239999999999998</v>
      </c>
    </row>
    <row r="955" spans="1:3" x14ac:dyDescent="0.3">
      <c r="A955" s="15" t="s">
        <v>4128</v>
      </c>
      <c r="B955" s="15" t="s">
        <v>710</v>
      </c>
      <c r="C955" s="7">
        <v>29.2</v>
      </c>
    </row>
    <row r="956" spans="1:3" x14ac:dyDescent="0.3">
      <c r="A956" s="15" t="s">
        <v>4129</v>
      </c>
      <c r="B956" s="15" t="s">
        <v>905</v>
      </c>
      <c r="C956" s="7">
        <v>7.08</v>
      </c>
    </row>
    <row r="957" spans="1:3" x14ac:dyDescent="0.3">
      <c r="A957" s="15" t="s">
        <v>4130</v>
      </c>
      <c r="B957" s="15" t="s">
        <v>1252</v>
      </c>
      <c r="C957" s="7">
        <v>16.809999999999999</v>
      </c>
    </row>
    <row r="958" spans="1:3" x14ac:dyDescent="0.3">
      <c r="A958" s="15" t="s">
        <v>4131</v>
      </c>
      <c r="B958" s="15" t="s">
        <v>1051</v>
      </c>
      <c r="C958" s="7">
        <v>28.07</v>
      </c>
    </row>
    <row r="959" spans="1:3" x14ac:dyDescent="0.3">
      <c r="A959" s="15" t="s">
        <v>4132</v>
      </c>
      <c r="B959" s="15" t="s">
        <v>1253</v>
      </c>
      <c r="C959" s="7">
        <v>11.82</v>
      </c>
    </row>
    <row r="960" spans="1:3" x14ac:dyDescent="0.3">
      <c r="A960" s="15" t="s">
        <v>4133</v>
      </c>
      <c r="B960" s="15" t="s">
        <v>1254</v>
      </c>
      <c r="C960" s="7">
        <v>13.71</v>
      </c>
    </row>
    <row r="961" spans="1:3" x14ac:dyDescent="0.3">
      <c r="A961" s="15" t="s">
        <v>4134</v>
      </c>
      <c r="B961" s="15" t="s">
        <v>1194</v>
      </c>
      <c r="C961" s="7">
        <v>2.94</v>
      </c>
    </row>
    <row r="962" spans="1:3" x14ac:dyDescent="0.3">
      <c r="A962" s="15" t="s">
        <v>4135</v>
      </c>
      <c r="B962" s="15" t="s">
        <v>1158</v>
      </c>
      <c r="C962" s="7">
        <v>8.5299999999999994</v>
      </c>
    </row>
    <row r="963" spans="1:3" x14ac:dyDescent="0.3">
      <c r="A963" s="15" t="s">
        <v>4136</v>
      </c>
      <c r="B963" s="15" t="s">
        <v>1255</v>
      </c>
      <c r="C963" s="7">
        <v>45.35</v>
      </c>
    </row>
    <row r="964" spans="1:3" x14ac:dyDescent="0.3">
      <c r="A964" s="15" t="s">
        <v>4137</v>
      </c>
      <c r="B964" s="15" t="s">
        <v>1058</v>
      </c>
      <c r="C964" s="7">
        <v>27.98</v>
      </c>
    </row>
    <row r="965" spans="1:3" x14ac:dyDescent="0.3">
      <c r="A965" s="15" t="s">
        <v>4138</v>
      </c>
      <c r="B965" s="15" t="s">
        <v>775</v>
      </c>
      <c r="C965" s="7">
        <v>4.97</v>
      </c>
    </row>
    <row r="966" spans="1:3" x14ac:dyDescent="0.3">
      <c r="A966" s="15" t="s">
        <v>4139</v>
      </c>
      <c r="B966" s="15" t="s">
        <v>1251</v>
      </c>
      <c r="C966" s="7">
        <v>5.03</v>
      </c>
    </row>
    <row r="967" spans="1:3" x14ac:dyDescent="0.3">
      <c r="A967" s="15" t="s">
        <v>4140</v>
      </c>
      <c r="B967" s="15" t="s">
        <v>4141</v>
      </c>
      <c r="C967" s="7">
        <v>28.32</v>
      </c>
    </row>
    <row r="968" spans="1:3" x14ac:dyDescent="0.3">
      <c r="A968" s="15" t="s">
        <v>4142</v>
      </c>
      <c r="B968" s="15" t="s">
        <v>666</v>
      </c>
      <c r="C968" s="7">
        <v>6.4</v>
      </c>
    </row>
    <row r="969" spans="1:3" x14ac:dyDescent="0.3">
      <c r="A969" s="15" t="s">
        <v>4143</v>
      </c>
      <c r="B969" s="15" t="s">
        <v>671</v>
      </c>
      <c r="C969" s="7">
        <v>4.66</v>
      </c>
    </row>
    <row r="970" spans="1:3" x14ac:dyDescent="0.3">
      <c r="A970" s="15" t="s">
        <v>4144</v>
      </c>
      <c r="B970" s="15" t="s">
        <v>668</v>
      </c>
      <c r="C970" s="7">
        <v>4.66</v>
      </c>
    </row>
    <row r="971" spans="1:3" x14ac:dyDescent="0.3">
      <c r="A971" s="15" t="s">
        <v>4145</v>
      </c>
      <c r="B971" s="15" t="s">
        <v>672</v>
      </c>
      <c r="C971" s="7">
        <v>6.41</v>
      </c>
    </row>
    <row r="972" spans="1:3" x14ac:dyDescent="0.3">
      <c r="A972" s="15" t="s">
        <v>4146</v>
      </c>
      <c r="B972" s="15" t="s">
        <v>669</v>
      </c>
      <c r="C972" s="7">
        <v>6.41</v>
      </c>
    </row>
    <row r="973" spans="1:3" x14ac:dyDescent="0.3">
      <c r="A973" s="15" t="s">
        <v>4147</v>
      </c>
      <c r="B973" s="15" t="s">
        <v>333</v>
      </c>
      <c r="C973" s="7">
        <v>25.49</v>
      </c>
    </row>
    <row r="974" spans="1:3" x14ac:dyDescent="0.3">
      <c r="A974" s="15" t="s">
        <v>4148</v>
      </c>
      <c r="B974" s="15" t="s">
        <v>740</v>
      </c>
      <c r="C974" s="7">
        <v>9.9600000000000009</v>
      </c>
    </row>
    <row r="975" spans="1:3" x14ac:dyDescent="0.3">
      <c r="A975" s="15" t="s">
        <v>4149</v>
      </c>
      <c r="B975" s="15" t="s">
        <v>4150</v>
      </c>
      <c r="C975" s="7">
        <v>9.9600000000000009</v>
      </c>
    </row>
    <row r="976" spans="1:3" x14ac:dyDescent="0.3">
      <c r="A976" s="15" t="s">
        <v>4151</v>
      </c>
      <c r="B976" s="15" t="s">
        <v>4152</v>
      </c>
      <c r="C976" s="7">
        <v>13.78</v>
      </c>
    </row>
    <row r="977" spans="1:3" x14ac:dyDescent="0.3">
      <c r="A977" s="15" t="s">
        <v>4153</v>
      </c>
      <c r="B977" s="15" t="s">
        <v>1278</v>
      </c>
      <c r="C977" s="7">
        <v>14.69</v>
      </c>
    </row>
    <row r="978" spans="1:3" x14ac:dyDescent="0.3">
      <c r="A978" s="15" t="s">
        <v>4154</v>
      </c>
      <c r="B978" s="15" t="s">
        <v>954</v>
      </c>
      <c r="C978" s="7">
        <v>24.68</v>
      </c>
    </row>
    <row r="979" spans="1:3" x14ac:dyDescent="0.3">
      <c r="A979" s="15" t="s">
        <v>4155</v>
      </c>
      <c r="B979" s="15" t="s">
        <v>4156</v>
      </c>
      <c r="C979" s="7">
        <v>22.04</v>
      </c>
    </row>
    <row r="980" spans="1:3" x14ac:dyDescent="0.3">
      <c r="A980" s="15" t="s">
        <v>4157</v>
      </c>
      <c r="B980" s="15" t="s">
        <v>951</v>
      </c>
      <c r="C980" s="7">
        <v>6.51</v>
      </c>
    </row>
    <row r="981" spans="1:3" x14ac:dyDescent="0.3">
      <c r="A981" s="15" t="s">
        <v>4158</v>
      </c>
      <c r="B981" s="15" t="s">
        <v>968</v>
      </c>
      <c r="C981" s="7">
        <v>17.12</v>
      </c>
    </row>
    <row r="982" spans="1:3" x14ac:dyDescent="0.3">
      <c r="A982" s="15" t="s">
        <v>4159</v>
      </c>
      <c r="B982" s="15" t="s">
        <v>952</v>
      </c>
      <c r="C982" s="7">
        <v>6.66</v>
      </c>
    </row>
    <row r="983" spans="1:3" x14ac:dyDescent="0.3">
      <c r="A983" s="15" t="s">
        <v>4160</v>
      </c>
      <c r="B983" s="15" t="s">
        <v>950</v>
      </c>
      <c r="C983" s="7">
        <v>9.35</v>
      </c>
    </row>
    <row r="984" spans="1:3" x14ac:dyDescent="0.3">
      <c r="A984" s="15" t="s">
        <v>4161</v>
      </c>
      <c r="B984" s="15" t="s">
        <v>962</v>
      </c>
      <c r="C984" s="7">
        <v>12.57</v>
      </c>
    </row>
    <row r="985" spans="1:3" x14ac:dyDescent="0.3">
      <c r="A985" s="15" t="s">
        <v>4162</v>
      </c>
      <c r="B985" s="15" t="s">
        <v>4163</v>
      </c>
      <c r="C985" s="7">
        <v>30</v>
      </c>
    </row>
    <row r="986" spans="1:3" x14ac:dyDescent="0.3">
      <c r="A986" s="15" t="s">
        <v>4164</v>
      </c>
      <c r="B986" s="15" t="s">
        <v>953</v>
      </c>
      <c r="C986" s="7">
        <v>19.18</v>
      </c>
    </row>
    <row r="987" spans="1:3" x14ac:dyDescent="0.3">
      <c r="A987" s="15" t="s">
        <v>4165</v>
      </c>
      <c r="B987" s="15" t="s">
        <v>957</v>
      </c>
      <c r="C987" s="7">
        <v>12.36</v>
      </c>
    </row>
    <row r="988" spans="1:3" x14ac:dyDescent="0.3">
      <c r="A988" s="15" t="s">
        <v>4166</v>
      </c>
      <c r="B988" s="15" t="s">
        <v>970</v>
      </c>
      <c r="C988" s="7">
        <v>9.91</v>
      </c>
    </row>
    <row r="989" spans="1:3" x14ac:dyDescent="0.3">
      <c r="A989" s="15" t="s">
        <v>4167</v>
      </c>
      <c r="B989" s="15" t="s">
        <v>965</v>
      </c>
      <c r="C989" s="7">
        <v>7.98</v>
      </c>
    </row>
    <row r="990" spans="1:3" x14ac:dyDescent="0.3">
      <c r="A990" s="15" t="s">
        <v>4168</v>
      </c>
      <c r="B990" s="15" t="s">
        <v>969</v>
      </c>
      <c r="C990" s="7">
        <v>9.83</v>
      </c>
    </row>
    <row r="991" spans="1:3" x14ac:dyDescent="0.3">
      <c r="A991" s="15" t="s">
        <v>4169</v>
      </c>
      <c r="B991" s="15" t="s">
        <v>956</v>
      </c>
      <c r="C991" s="7">
        <v>19.52</v>
      </c>
    </row>
    <row r="992" spans="1:3" x14ac:dyDescent="0.3">
      <c r="A992" s="15" t="s">
        <v>4170</v>
      </c>
      <c r="B992" s="15" t="s">
        <v>4171</v>
      </c>
      <c r="C992" s="7">
        <v>4.1399999999999997</v>
      </c>
    </row>
    <row r="993" spans="1:3" x14ac:dyDescent="0.3">
      <c r="A993" s="15" t="s">
        <v>4172</v>
      </c>
      <c r="B993" s="15" t="s">
        <v>949</v>
      </c>
      <c r="C993" s="7">
        <v>28.13</v>
      </c>
    </row>
    <row r="994" spans="1:3" x14ac:dyDescent="0.3">
      <c r="A994" s="15" t="s">
        <v>4173</v>
      </c>
      <c r="B994" s="15" t="s">
        <v>955</v>
      </c>
      <c r="C994" s="7">
        <v>14.85</v>
      </c>
    </row>
    <row r="995" spans="1:3" x14ac:dyDescent="0.3">
      <c r="A995" s="15" t="s">
        <v>4174</v>
      </c>
      <c r="B995" s="15" t="s">
        <v>959</v>
      </c>
      <c r="C995" s="7">
        <v>16.41</v>
      </c>
    </row>
    <row r="996" spans="1:3" x14ac:dyDescent="0.3">
      <c r="A996" s="15" t="s">
        <v>4175</v>
      </c>
      <c r="B996" s="15" t="s">
        <v>708</v>
      </c>
      <c r="C996" s="7">
        <v>8.6</v>
      </c>
    </row>
    <row r="997" spans="1:3" x14ac:dyDescent="0.3">
      <c r="A997" s="15" t="s">
        <v>4176</v>
      </c>
      <c r="B997" s="15" t="s">
        <v>4177</v>
      </c>
      <c r="C997" s="7">
        <v>23.97</v>
      </c>
    </row>
    <row r="998" spans="1:3" x14ac:dyDescent="0.3">
      <c r="A998" s="15" t="s">
        <v>4178</v>
      </c>
      <c r="B998" s="15" t="s">
        <v>4177</v>
      </c>
      <c r="C998" s="7">
        <v>23.97</v>
      </c>
    </row>
    <row r="999" spans="1:3" x14ac:dyDescent="0.3">
      <c r="A999" s="15" t="s">
        <v>4179</v>
      </c>
      <c r="B999" s="15" t="s">
        <v>4180</v>
      </c>
      <c r="C999" s="7">
        <v>2.57</v>
      </c>
    </row>
    <row r="1000" spans="1:3" x14ac:dyDescent="0.3">
      <c r="A1000" s="15" t="s">
        <v>4181</v>
      </c>
      <c r="B1000" s="15" t="s">
        <v>4182</v>
      </c>
      <c r="C1000" s="7">
        <v>9.27</v>
      </c>
    </row>
    <row r="1001" spans="1:3" x14ac:dyDescent="0.3">
      <c r="A1001" s="15" t="s">
        <v>4183</v>
      </c>
      <c r="B1001" s="15" t="s">
        <v>4184</v>
      </c>
      <c r="C1001" s="7">
        <v>20.059999999999999</v>
      </c>
    </row>
    <row r="1002" spans="1:3" x14ac:dyDescent="0.3">
      <c r="A1002" s="15" t="s">
        <v>4185</v>
      </c>
      <c r="B1002" s="15" t="s">
        <v>4186</v>
      </c>
      <c r="C1002" s="7">
        <v>14.74</v>
      </c>
    </row>
    <row r="1003" spans="1:3" x14ac:dyDescent="0.3">
      <c r="A1003" s="15" t="s">
        <v>4187</v>
      </c>
      <c r="B1003" s="15" t="s">
        <v>4188</v>
      </c>
      <c r="C1003" s="7">
        <v>46.79</v>
      </c>
    </row>
    <row r="1004" spans="1:3" x14ac:dyDescent="0.3">
      <c r="A1004" s="15" t="s">
        <v>4189</v>
      </c>
      <c r="B1004" s="15" t="s">
        <v>4190</v>
      </c>
      <c r="C1004" s="7">
        <v>25.9</v>
      </c>
    </row>
    <row r="1005" spans="1:3" x14ac:dyDescent="0.3">
      <c r="A1005" s="15" t="s">
        <v>4191</v>
      </c>
      <c r="B1005" s="15" t="s">
        <v>4192</v>
      </c>
      <c r="C1005" s="7">
        <v>11.06</v>
      </c>
    </row>
    <row r="1006" spans="1:3" x14ac:dyDescent="0.3">
      <c r="A1006" s="15" t="s">
        <v>4193</v>
      </c>
      <c r="B1006" s="15" t="s">
        <v>948</v>
      </c>
      <c r="C1006" s="7">
        <v>23.77</v>
      </c>
    </row>
    <row r="1007" spans="1:3" x14ac:dyDescent="0.3">
      <c r="A1007" s="15" t="s">
        <v>4194</v>
      </c>
      <c r="B1007" s="15" t="s">
        <v>4195</v>
      </c>
      <c r="C1007" s="7">
        <v>11.51</v>
      </c>
    </row>
    <row r="1008" spans="1:3" x14ac:dyDescent="0.3">
      <c r="A1008" s="15" t="s">
        <v>4196</v>
      </c>
      <c r="B1008" s="15" t="s">
        <v>1260</v>
      </c>
      <c r="C1008" s="7">
        <v>1457.93</v>
      </c>
    </row>
    <row r="1009" spans="1:3" x14ac:dyDescent="0.3">
      <c r="A1009" s="15" t="s">
        <v>4197</v>
      </c>
      <c r="B1009" s="15" t="s">
        <v>1074</v>
      </c>
      <c r="C1009" s="7">
        <v>7.06</v>
      </c>
    </row>
    <row r="1010" spans="1:3" x14ac:dyDescent="0.3">
      <c r="A1010" s="15" t="s">
        <v>4198</v>
      </c>
      <c r="B1010" s="15" t="s">
        <v>1068</v>
      </c>
      <c r="C1010" s="7">
        <v>4.6399999999999997</v>
      </c>
    </row>
    <row r="1011" spans="1:3" x14ac:dyDescent="0.3">
      <c r="A1011" s="15" t="s">
        <v>4199</v>
      </c>
      <c r="B1011" s="15" t="s">
        <v>1070</v>
      </c>
      <c r="C1011" s="7">
        <v>19.8</v>
      </c>
    </row>
    <row r="1012" spans="1:3" x14ac:dyDescent="0.3">
      <c r="A1012" s="15" t="s">
        <v>4200</v>
      </c>
      <c r="B1012" s="15" t="s">
        <v>1069</v>
      </c>
      <c r="C1012" s="7">
        <v>4.45</v>
      </c>
    </row>
    <row r="1013" spans="1:3" x14ac:dyDescent="0.3">
      <c r="A1013" s="15" t="s">
        <v>4201</v>
      </c>
      <c r="B1013" s="15" t="s">
        <v>1071</v>
      </c>
      <c r="C1013" s="7">
        <v>5.2</v>
      </c>
    </row>
    <row r="1014" spans="1:3" x14ac:dyDescent="0.3">
      <c r="A1014" s="15" t="s">
        <v>4202</v>
      </c>
      <c r="B1014" s="15" t="s">
        <v>4203</v>
      </c>
      <c r="C1014" s="7">
        <v>16.600000000000001</v>
      </c>
    </row>
    <row r="1015" spans="1:3" x14ac:dyDescent="0.3">
      <c r="A1015" s="15" t="s">
        <v>4204</v>
      </c>
      <c r="B1015" s="15" t="s">
        <v>4205</v>
      </c>
      <c r="C1015" s="7">
        <v>17.79</v>
      </c>
    </row>
    <row r="1016" spans="1:3" x14ac:dyDescent="0.3">
      <c r="A1016" s="15" t="s">
        <v>4206</v>
      </c>
      <c r="B1016" s="15" t="s">
        <v>915</v>
      </c>
      <c r="C1016" s="7">
        <v>2.0099999999999998</v>
      </c>
    </row>
    <row r="1017" spans="1:3" x14ac:dyDescent="0.3">
      <c r="A1017" s="15" t="s">
        <v>4207</v>
      </c>
      <c r="B1017" s="15" t="s">
        <v>914</v>
      </c>
      <c r="C1017" s="7">
        <v>8.02</v>
      </c>
    </row>
    <row r="1018" spans="1:3" x14ac:dyDescent="0.3">
      <c r="A1018" s="15" t="s">
        <v>4208</v>
      </c>
      <c r="B1018" s="15" t="s">
        <v>4209</v>
      </c>
      <c r="C1018" s="7">
        <v>4.26</v>
      </c>
    </row>
    <row r="1019" spans="1:3" x14ac:dyDescent="0.3">
      <c r="A1019" s="15" t="s">
        <v>4210</v>
      </c>
      <c r="B1019" s="15" t="s">
        <v>4211</v>
      </c>
      <c r="C1019" s="7">
        <v>4.26</v>
      </c>
    </row>
    <row r="1020" spans="1:3" x14ac:dyDescent="0.3">
      <c r="A1020" s="15" t="s">
        <v>4212</v>
      </c>
      <c r="B1020" s="15" t="s">
        <v>4213</v>
      </c>
      <c r="C1020" s="7">
        <v>4.26</v>
      </c>
    </row>
    <row r="1021" spans="1:3" x14ac:dyDescent="0.3">
      <c r="A1021" s="15" t="s">
        <v>4214</v>
      </c>
      <c r="B1021" s="15" t="s">
        <v>1150</v>
      </c>
      <c r="C1021" s="7">
        <v>10.33</v>
      </c>
    </row>
    <row r="1022" spans="1:3" x14ac:dyDescent="0.3">
      <c r="A1022" s="15" t="s">
        <v>4215</v>
      </c>
      <c r="B1022" s="15" t="s">
        <v>4216</v>
      </c>
      <c r="C1022" s="7">
        <v>25.72</v>
      </c>
    </row>
    <row r="1023" spans="1:3" x14ac:dyDescent="0.3">
      <c r="A1023" s="15" t="s">
        <v>4217</v>
      </c>
      <c r="B1023" s="15" t="s">
        <v>1130</v>
      </c>
      <c r="C1023" s="7">
        <v>20.56</v>
      </c>
    </row>
    <row r="1024" spans="1:3" x14ac:dyDescent="0.3">
      <c r="A1024" s="15" t="s">
        <v>4218</v>
      </c>
      <c r="B1024" s="15" t="s">
        <v>1132</v>
      </c>
      <c r="C1024" s="7">
        <v>9.82</v>
      </c>
    </row>
    <row r="1025" spans="1:3" x14ac:dyDescent="0.3">
      <c r="A1025" s="15" t="s">
        <v>4219</v>
      </c>
      <c r="B1025" s="15" t="s">
        <v>1131</v>
      </c>
      <c r="C1025" s="7">
        <v>10.28</v>
      </c>
    </row>
    <row r="1026" spans="1:3" x14ac:dyDescent="0.3">
      <c r="A1026" s="15" t="s">
        <v>4220</v>
      </c>
      <c r="B1026" s="15" t="s">
        <v>1133</v>
      </c>
      <c r="C1026" s="7">
        <v>11.75</v>
      </c>
    </row>
    <row r="1027" spans="1:3" x14ac:dyDescent="0.3">
      <c r="A1027" s="15" t="s">
        <v>4221</v>
      </c>
      <c r="B1027" s="15" t="s">
        <v>1134</v>
      </c>
      <c r="C1027" s="7">
        <v>17.440000000000001</v>
      </c>
    </row>
    <row r="1028" spans="1:3" x14ac:dyDescent="0.3">
      <c r="A1028" s="15" t="s">
        <v>4222</v>
      </c>
      <c r="B1028" s="15" t="s">
        <v>1147</v>
      </c>
      <c r="C1028" s="7">
        <v>11.11</v>
      </c>
    </row>
    <row r="1029" spans="1:3" x14ac:dyDescent="0.3">
      <c r="A1029" s="15" t="s">
        <v>4223</v>
      </c>
      <c r="B1029" s="15" t="s">
        <v>1149</v>
      </c>
      <c r="C1029" s="7">
        <v>12.94</v>
      </c>
    </row>
    <row r="1030" spans="1:3" x14ac:dyDescent="0.3">
      <c r="A1030" s="15" t="s">
        <v>4224</v>
      </c>
      <c r="B1030" s="15" t="s">
        <v>1135</v>
      </c>
      <c r="C1030" s="7">
        <v>23.72</v>
      </c>
    </row>
    <row r="1031" spans="1:3" x14ac:dyDescent="0.3">
      <c r="A1031" s="15" t="s">
        <v>4225</v>
      </c>
      <c r="B1031" s="15" t="s">
        <v>1148</v>
      </c>
      <c r="C1031" s="7">
        <v>9.42</v>
      </c>
    </row>
    <row r="1032" spans="1:3" x14ac:dyDescent="0.3">
      <c r="A1032" s="15" t="s">
        <v>4226</v>
      </c>
      <c r="B1032" s="15" t="s">
        <v>1140</v>
      </c>
      <c r="C1032" s="7">
        <v>11.48</v>
      </c>
    </row>
    <row r="1033" spans="1:3" x14ac:dyDescent="0.3">
      <c r="A1033" s="15" t="s">
        <v>4227</v>
      </c>
      <c r="B1033" s="15" t="s">
        <v>1141</v>
      </c>
      <c r="C1033" s="7">
        <v>11.7</v>
      </c>
    </row>
    <row r="1034" spans="1:3" x14ac:dyDescent="0.3">
      <c r="A1034" s="15" t="s">
        <v>4228</v>
      </c>
      <c r="B1034" s="15" t="s">
        <v>1142</v>
      </c>
      <c r="C1034" s="7">
        <v>19.78</v>
      </c>
    </row>
    <row r="1035" spans="1:3" x14ac:dyDescent="0.3">
      <c r="A1035" s="15" t="s">
        <v>4229</v>
      </c>
      <c r="B1035" s="15" t="s">
        <v>1126</v>
      </c>
      <c r="C1035" s="7">
        <v>6.36</v>
      </c>
    </row>
    <row r="1036" spans="1:3" x14ac:dyDescent="0.3">
      <c r="A1036" s="15" t="s">
        <v>4230</v>
      </c>
      <c r="B1036" s="15" t="s">
        <v>1146</v>
      </c>
      <c r="C1036" s="7">
        <v>5.25</v>
      </c>
    </row>
    <row r="1037" spans="1:3" x14ac:dyDescent="0.3">
      <c r="A1037" s="15" t="s">
        <v>4231</v>
      </c>
      <c r="B1037" s="15" t="s">
        <v>1127</v>
      </c>
      <c r="C1037" s="7">
        <v>9.4600000000000009</v>
      </c>
    </row>
    <row r="1038" spans="1:3" x14ac:dyDescent="0.3">
      <c r="A1038" s="15" t="s">
        <v>4232</v>
      </c>
      <c r="B1038" s="15" t="s">
        <v>1144</v>
      </c>
      <c r="C1038" s="7">
        <v>7.49</v>
      </c>
    </row>
    <row r="1039" spans="1:3" x14ac:dyDescent="0.3">
      <c r="A1039" s="15" t="s">
        <v>4233</v>
      </c>
      <c r="B1039" s="15" t="s">
        <v>1129</v>
      </c>
      <c r="C1039" s="7">
        <v>6.8</v>
      </c>
    </row>
    <row r="1040" spans="1:3" x14ac:dyDescent="0.3">
      <c r="A1040" s="15" t="s">
        <v>4234</v>
      </c>
      <c r="B1040" s="15" t="s">
        <v>1125</v>
      </c>
      <c r="C1040" s="7">
        <v>9.81</v>
      </c>
    </row>
    <row r="1041" spans="1:3" x14ac:dyDescent="0.3">
      <c r="A1041" s="15" t="s">
        <v>4235</v>
      </c>
      <c r="B1041" s="15" t="s">
        <v>4236</v>
      </c>
      <c r="C1041" s="7">
        <v>7.85</v>
      </c>
    </row>
    <row r="1042" spans="1:3" x14ac:dyDescent="0.3">
      <c r="A1042" s="15" t="s">
        <v>4237</v>
      </c>
      <c r="B1042" s="15" t="s">
        <v>4238</v>
      </c>
      <c r="C1042" s="7">
        <v>13.99</v>
      </c>
    </row>
    <row r="1043" spans="1:3" x14ac:dyDescent="0.3">
      <c r="A1043" s="15" t="s">
        <v>4239</v>
      </c>
      <c r="B1043" s="15" t="s">
        <v>4240</v>
      </c>
      <c r="C1043" s="7">
        <v>14.69</v>
      </c>
    </row>
    <row r="1044" spans="1:3" x14ac:dyDescent="0.3">
      <c r="A1044" s="15" t="s">
        <v>4241</v>
      </c>
      <c r="B1044" s="15" t="s">
        <v>4242</v>
      </c>
      <c r="C1044" s="7">
        <v>0.88</v>
      </c>
    </row>
    <row r="1045" spans="1:3" x14ac:dyDescent="0.3">
      <c r="A1045" s="15" t="s">
        <v>4243</v>
      </c>
      <c r="B1045" s="15" t="s">
        <v>1136</v>
      </c>
      <c r="C1045" s="7">
        <v>20.36</v>
      </c>
    </row>
    <row r="1046" spans="1:3" x14ac:dyDescent="0.3">
      <c r="A1046" s="15" t="s">
        <v>4244</v>
      </c>
      <c r="B1046" s="15" t="s">
        <v>1124</v>
      </c>
      <c r="C1046" s="7">
        <v>5.2</v>
      </c>
    </row>
    <row r="1047" spans="1:3" x14ac:dyDescent="0.3">
      <c r="A1047" s="15" t="s">
        <v>4245</v>
      </c>
      <c r="B1047" s="15" t="s">
        <v>1145</v>
      </c>
      <c r="C1047" s="7">
        <v>4.7</v>
      </c>
    </row>
    <row r="1048" spans="1:3" x14ac:dyDescent="0.3">
      <c r="A1048" s="15" t="s">
        <v>4246</v>
      </c>
      <c r="B1048" s="15" t="s">
        <v>4247</v>
      </c>
      <c r="C1048" s="7">
        <v>4.67</v>
      </c>
    </row>
    <row r="1049" spans="1:3" x14ac:dyDescent="0.3">
      <c r="A1049" s="15" t="s">
        <v>4248</v>
      </c>
      <c r="B1049" s="15" t="s">
        <v>4249</v>
      </c>
      <c r="C1049" s="7">
        <v>4.22</v>
      </c>
    </row>
    <row r="1050" spans="1:3" x14ac:dyDescent="0.3">
      <c r="A1050" s="15" t="s">
        <v>4250</v>
      </c>
      <c r="B1050" s="15" t="s">
        <v>4251</v>
      </c>
      <c r="C1050" s="7">
        <v>4.05</v>
      </c>
    </row>
    <row r="1051" spans="1:3" x14ac:dyDescent="0.3">
      <c r="A1051" s="15" t="s">
        <v>4252</v>
      </c>
      <c r="B1051" s="15" t="s">
        <v>4253</v>
      </c>
      <c r="C1051" s="7">
        <v>4.22</v>
      </c>
    </row>
    <row r="1052" spans="1:3" x14ac:dyDescent="0.3">
      <c r="A1052" s="15" t="s">
        <v>4254</v>
      </c>
      <c r="B1052" s="15" t="s">
        <v>4255</v>
      </c>
      <c r="C1052" s="7">
        <v>4.22</v>
      </c>
    </row>
    <row r="1053" spans="1:3" x14ac:dyDescent="0.3">
      <c r="A1053" s="15" t="s">
        <v>4256</v>
      </c>
      <c r="B1053" s="15" t="s">
        <v>4257</v>
      </c>
      <c r="C1053" s="7">
        <v>4.05</v>
      </c>
    </row>
    <row r="1054" spans="1:3" x14ac:dyDescent="0.3">
      <c r="A1054" s="15" t="s">
        <v>4258</v>
      </c>
      <c r="B1054" s="15" t="s">
        <v>4259</v>
      </c>
      <c r="C1054" s="7">
        <v>4.05</v>
      </c>
    </row>
    <row r="1055" spans="1:3" x14ac:dyDescent="0.3">
      <c r="A1055" s="15" t="s">
        <v>4260</v>
      </c>
      <c r="B1055" s="15" t="s">
        <v>4261</v>
      </c>
      <c r="C1055" s="7">
        <v>4.05</v>
      </c>
    </row>
    <row r="1056" spans="1:3" x14ac:dyDescent="0.3">
      <c r="A1056" s="15" t="s">
        <v>4262</v>
      </c>
      <c r="B1056" s="15" t="s">
        <v>4263</v>
      </c>
      <c r="C1056" s="7">
        <v>44.09</v>
      </c>
    </row>
    <row r="1057" spans="1:3" x14ac:dyDescent="0.3">
      <c r="A1057" s="15" t="s">
        <v>4264</v>
      </c>
      <c r="B1057" s="15" t="s">
        <v>4265</v>
      </c>
      <c r="C1057" s="7">
        <v>12.02</v>
      </c>
    </row>
    <row r="1058" spans="1:3" x14ac:dyDescent="0.3">
      <c r="A1058" s="15" t="s">
        <v>4266</v>
      </c>
      <c r="B1058" s="15" t="s">
        <v>4267</v>
      </c>
      <c r="C1058" s="7">
        <v>6.12</v>
      </c>
    </row>
    <row r="1059" spans="1:3" x14ac:dyDescent="0.3">
      <c r="A1059" s="15" t="s">
        <v>4268</v>
      </c>
      <c r="B1059" s="15" t="s">
        <v>4269</v>
      </c>
      <c r="C1059" s="7">
        <v>3.87</v>
      </c>
    </row>
    <row r="1060" spans="1:3" x14ac:dyDescent="0.3">
      <c r="A1060" s="15" t="s">
        <v>4270</v>
      </c>
      <c r="B1060" s="15" t="s">
        <v>4271</v>
      </c>
      <c r="C1060" s="7">
        <v>9.61</v>
      </c>
    </row>
    <row r="1061" spans="1:3" x14ac:dyDescent="0.3">
      <c r="A1061" s="15" t="s">
        <v>4272</v>
      </c>
      <c r="B1061" s="15" t="s">
        <v>4273</v>
      </c>
      <c r="C1061" s="7">
        <v>22.42</v>
      </c>
    </row>
    <row r="1062" spans="1:3" x14ac:dyDescent="0.3">
      <c r="A1062" s="15" t="s">
        <v>4274</v>
      </c>
      <c r="B1062" s="15" t="s">
        <v>1043</v>
      </c>
      <c r="C1062" s="7">
        <v>491.72</v>
      </c>
    </row>
    <row r="1063" spans="1:3" x14ac:dyDescent="0.3">
      <c r="A1063" s="15" t="s">
        <v>4275</v>
      </c>
      <c r="B1063" s="15" t="s">
        <v>4276</v>
      </c>
      <c r="C1063" s="7">
        <v>25.51</v>
      </c>
    </row>
    <row r="1064" spans="1:3" x14ac:dyDescent="0.3">
      <c r="A1064" s="15" t="s">
        <v>4277</v>
      </c>
      <c r="B1064" s="15" t="s">
        <v>1040</v>
      </c>
      <c r="C1064" s="7">
        <v>473.58</v>
      </c>
    </row>
    <row r="1065" spans="1:3" x14ac:dyDescent="0.3">
      <c r="A1065" s="15" t="s">
        <v>4278</v>
      </c>
      <c r="B1065" s="15" t="s">
        <v>4279</v>
      </c>
      <c r="C1065" s="7">
        <v>24.37</v>
      </c>
    </row>
    <row r="1066" spans="1:3" x14ac:dyDescent="0.3">
      <c r="A1066" s="15" t="s">
        <v>4280</v>
      </c>
      <c r="B1066" s="15" t="s">
        <v>4281</v>
      </c>
      <c r="C1066" s="7">
        <v>14.47</v>
      </c>
    </row>
    <row r="1067" spans="1:3" x14ac:dyDescent="0.3">
      <c r="A1067" s="15" t="s">
        <v>4282</v>
      </c>
      <c r="B1067" s="15" t="s">
        <v>4283</v>
      </c>
      <c r="C1067" s="7">
        <v>11.78</v>
      </c>
    </row>
    <row r="1068" spans="1:3" x14ac:dyDescent="0.3">
      <c r="A1068" s="15" t="s">
        <v>4284</v>
      </c>
      <c r="B1068" s="15" t="s">
        <v>4285</v>
      </c>
      <c r="C1068" s="7">
        <v>11.78</v>
      </c>
    </row>
    <row r="1069" spans="1:3" x14ac:dyDescent="0.3">
      <c r="A1069" s="15" t="s">
        <v>4286</v>
      </c>
      <c r="B1069" s="15" t="s">
        <v>4287</v>
      </c>
      <c r="C1069" s="7">
        <v>13.77</v>
      </c>
    </row>
    <row r="1070" spans="1:3" x14ac:dyDescent="0.3">
      <c r="A1070" s="15" t="s">
        <v>4288</v>
      </c>
      <c r="B1070" s="15" t="s">
        <v>4289</v>
      </c>
      <c r="C1070" s="7">
        <v>13.63</v>
      </c>
    </row>
    <row r="1071" spans="1:3" x14ac:dyDescent="0.3">
      <c r="A1071" s="15" t="s">
        <v>4290</v>
      </c>
      <c r="B1071" s="15" t="s">
        <v>4291</v>
      </c>
      <c r="C1071" s="7">
        <v>12.36</v>
      </c>
    </row>
    <row r="1072" spans="1:3" x14ac:dyDescent="0.3">
      <c r="A1072" s="15" t="s">
        <v>4292</v>
      </c>
      <c r="B1072" s="15" t="s">
        <v>4293</v>
      </c>
      <c r="C1072" s="7">
        <v>12.36</v>
      </c>
    </row>
    <row r="1073" spans="1:3" x14ac:dyDescent="0.3">
      <c r="A1073" s="15" t="s">
        <v>4294</v>
      </c>
      <c r="B1073" s="15" t="s">
        <v>4295</v>
      </c>
      <c r="C1073" s="7">
        <v>12.36</v>
      </c>
    </row>
    <row r="1074" spans="1:3" x14ac:dyDescent="0.3">
      <c r="A1074" s="15" t="s">
        <v>4296</v>
      </c>
      <c r="B1074" s="15" t="s">
        <v>4297</v>
      </c>
      <c r="C1074" s="7">
        <v>13.63</v>
      </c>
    </row>
    <row r="1075" spans="1:3" x14ac:dyDescent="0.3">
      <c r="A1075" s="15" t="s">
        <v>4298</v>
      </c>
      <c r="B1075" s="15" t="s">
        <v>4299</v>
      </c>
      <c r="C1075" s="7">
        <v>37.200000000000003</v>
      </c>
    </row>
    <row r="1076" spans="1:3" x14ac:dyDescent="0.3">
      <c r="A1076" s="15" t="s">
        <v>4300</v>
      </c>
      <c r="B1076" s="15" t="s">
        <v>4301</v>
      </c>
      <c r="C1076" s="7">
        <v>35.43</v>
      </c>
    </row>
    <row r="1077" spans="1:3" x14ac:dyDescent="0.3">
      <c r="A1077" s="15" t="s">
        <v>4302</v>
      </c>
      <c r="B1077" s="15" t="s">
        <v>4303</v>
      </c>
      <c r="C1077" s="7">
        <v>30</v>
      </c>
    </row>
    <row r="1078" spans="1:3" x14ac:dyDescent="0.3">
      <c r="A1078" s="15" t="s">
        <v>4304</v>
      </c>
      <c r="B1078" s="15" t="s">
        <v>4305</v>
      </c>
      <c r="C1078" s="7">
        <v>10.234999999999999</v>
      </c>
    </row>
    <row r="1079" spans="1:3" x14ac:dyDescent="0.3">
      <c r="A1079" s="15" t="s">
        <v>4306</v>
      </c>
      <c r="B1079" s="15" t="s">
        <v>4307</v>
      </c>
      <c r="C1079" s="7">
        <v>10.855</v>
      </c>
    </row>
    <row r="1080" spans="1:3" x14ac:dyDescent="0.3">
      <c r="A1080" s="15" t="s">
        <v>4308</v>
      </c>
      <c r="B1080" s="15" t="s">
        <v>4309</v>
      </c>
      <c r="C1080" s="7">
        <v>10.855</v>
      </c>
    </row>
    <row r="1081" spans="1:3" x14ac:dyDescent="0.3">
      <c r="A1081" s="15" t="s">
        <v>4310</v>
      </c>
      <c r="B1081" s="15" t="s">
        <v>4311</v>
      </c>
      <c r="C1081" s="7">
        <v>9.74</v>
      </c>
    </row>
    <row r="1082" spans="1:3" x14ac:dyDescent="0.3">
      <c r="A1082" s="15" t="s">
        <v>4312</v>
      </c>
      <c r="B1082" s="15" t="s">
        <v>4313</v>
      </c>
      <c r="C1082" s="7">
        <v>8.99</v>
      </c>
    </row>
    <row r="1083" spans="1:3" x14ac:dyDescent="0.3">
      <c r="A1083" s="15" t="s">
        <v>4314</v>
      </c>
      <c r="B1083" s="15" t="s">
        <v>4315</v>
      </c>
      <c r="C1083" s="7">
        <v>10.01</v>
      </c>
    </row>
    <row r="1084" spans="1:3" x14ac:dyDescent="0.3">
      <c r="A1084" s="15" t="s">
        <v>4316</v>
      </c>
      <c r="B1084" s="15" t="s">
        <v>4317</v>
      </c>
      <c r="C1084" s="7">
        <v>8.99</v>
      </c>
    </row>
    <row r="1085" spans="1:3" x14ac:dyDescent="0.3">
      <c r="A1085" s="15" t="s">
        <v>4318</v>
      </c>
      <c r="B1085" s="15" t="s">
        <v>1003</v>
      </c>
      <c r="C1085" s="7">
        <v>5.17</v>
      </c>
    </row>
    <row r="1086" spans="1:3" x14ac:dyDescent="0.3">
      <c r="A1086" s="15" t="s">
        <v>4319</v>
      </c>
      <c r="B1086" s="15" t="s">
        <v>661</v>
      </c>
      <c r="C1086" s="7">
        <v>6.27</v>
      </c>
    </row>
    <row r="1087" spans="1:3" x14ac:dyDescent="0.3">
      <c r="A1087" s="15" t="s">
        <v>4320</v>
      </c>
      <c r="B1087" s="15" t="s">
        <v>662</v>
      </c>
      <c r="C1087" s="7">
        <v>6.27</v>
      </c>
    </row>
    <row r="1088" spans="1:3" x14ac:dyDescent="0.3">
      <c r="A1088" s="15" t="s">
        <v>4321</v>
      </c>
      <c r="B1088" s="15" t="s">
        <v>658</v>
      </c>
      <c r="C1088" s="7">
        <v>6.27</v>
      </c>
    </row>
    <row r="1089" spans="1:3" x14ac:dyDescent="0.3">
      <c r="A1089" s="15" t="s">
        <v>4322</v>
      </c>
      <c r="B1089" s="15" t="s">
        <v>679</v>
      </c>
      <c r="C1089" s="7">
        <v>5.83</v>
      </c>
    </row>
    <row r="1090" spans="1:3" x14ac:dyDescent="0.3">
      <c r="A1090" s="15" t="s">
        <v>4323</v>
      </c>
      <c r="B1090" s="15" t="s">
        <v>4324</v>
      </c>
      <c r="C1090" s="7">
        <v>6.73</v>
      </c>
    </row>
    <row r="1091" spans="1:3" x14ac:dyDescent="0.3">
      <c r="A1091" s="15" t="s">
        <v>4325</v>
      </c>
      <c r="B1091" s="15" t="s">
        <v>659</v>
      </c>
      <c r="C1091" s="7">
        <v>6</v>
      </c>
    </row>
    <row r="1092" spans="1:3" x14ac:dyDescent="0.3">
      <c r="A1092" s="15" t="s">
        <v>4326</v>
      </c>
      <c r="B1092" s="15" t="s">
        <v>660</v>
      </c>
      <c r="C1092" s="7">
        <v>5.68</v>
      </c>
    </row>
    <row r="1093" spans="1:3" x14ac:dyDescent="0.3">
      <c r="A1093" s="15" t="s">
        <v>4327</v>
      </c>
      <c r="B1093" s="15" t="s">
        <v>774</v>
      </c>
      <c r="C1093" s="7">
        <v>49.89</v>
      </c>
    </row>
    <row r="1094" spans="1:3" x14ac:dyDescent="0.3">
      <c r="A1094" s="15" t="s">
        <v>4328</v>
      </c>
      <c r="B1094" s="15" t="s">
        <v>4329</v>
      </c>
      <c r="C1094" s="7">
        <v>66.489999999999995</v>
      </c>
    </row>
    <row r="1095" spans="1:3" x14ac:dyDescent="0.3">
      <c r="A1095" s="15" t="s">
        <v>4330</v>
      </c>
      <c r="B1095" s="15" t="s">
        <v>756</v>
      </c>
      <c r="C1095" s="7">
        <v>12.84</v>
      </c>
    </row>
    <row r="1096" spans="1:3" x14ac:dyDescent="0.3">
      <c r="A1096" s="15" t="s">
        <v>4331</v>
      </c>
      <c r="B1096" s="15" t="s">
        <v>1256</v>
      </c>
      <c r="C1096" s="7">
        <v>8.24</v>
      </c>
    </row>
    <row r="1097" spans="1:3" x14ac:dyDescent="0.3">
      <c r="A1097" s="15" t="s">
        <v>4332</v>
      </c>
      <c r="B1097" s="15" t="s">
        <v>1270</v>
      </c>
      <c r="C1097" s="7">
        <v>38</v>
      </c>
    </row>
    <row r="1098" spans="1:3" x14ac:dyDescent="0.3">
      <c r="A1098" s="15" t="s">
        <v>4333</v>
      </c>
      <c r="B1098" s="15" t="s">
        <v>1269</v>
      </c>
      <c r="C1098" s="7">
        <v>13.31</v>
      </c>
    </row>
    <row r="1099" spans="1:3" x14ac:dyDescent="0.3">
      <c r="A1099" s="15" t="s">
        <v>4334</v>
      </c>
      <c r="B1099" s="15" t="s">
        <v>1268</v>
      </c>
      <c r="C1099" s="7">
        <v>10.61</v>
      </c>
    </row>
    <row r="1100" spans="1:3" x14ac:dyDescent="0.3">
      <c r="A1100" s="15" t="s">
        <v>4335</v>
      </c>
      <c r="B1100" s="15" t="s">
        <v>1267</v>
      </c>
      <c r="C1100" s="7">
        <v>17.07</v>
      </c>
    </row>
    <row r="1101" spans="1:3" x14ac:dyDescent="0.3">
      <c r="A1101" s="15" t="s">
        <v>4336</v>
      </c>
      <c r="B1101" s="15" t="s">
        <v>4337</v>
      </c>
      <c r="C1101" s="7">
        <v>21.93</v>
      </c>
    </row>
    <row r="1102" spans="1:3" x14ac:dyDescent="0.3">
      <c r="A1102" s="15" t="s">
        <v>4338</v>
      </c>
      <c r="B1102" s="15" t="s">
        <v>1073</v>
      </c>
      <c r="C1102" s="7">
        <v>24.33</v>
      </c>
    </row>
    <row r="1103" spans="1:3" x14ac:dyDescent="0.3">
      <c r="A1103" s="15" t="s">
        <v>4339</v>
      </c>
      <c r="B1103" s="15" t="s">
        <v>1139</v>
      </c>
      <c r="C1103" s="7">
        <v>26.3</v>
      </c>
    </row>
    <row r="1104" spans="1:3" x14ac:dyDescent="0.3">
      <c r="A1104" s="15" t="s">
        <v>4340</v>
      </c>
      <c r="B1104" s="15" t="s">
        <v>1143</v>
      </c>
      <c r="C1104" s="7">
        <v>9.74</v>
      </c>
    </row>
    <row r="1105" spans="1:3" x14ac:dyDescent="0.3">
      <c r="A1105" s="15" t="s">
        <v>4341</v>
      </c>
      <c r="B1105" s="15" t="s">
        <v>1137</v>
      </c>
      <c r="C1105" s="7">
        <v>17.399999999999999</v>
      </c>
    </row>
    <row r="1106" spans="1:3" x14ac:dyDescent="0.3">
      <c r="A1106" s="15" t="s">
        <v>4342</v>
      </c>
      <c r="B1106" s="15" t="s">
        <v>1138</v>
      </c>
      <c r="C1106" s="7">
        <v>19.53</v>
      </c>
    </row>
    <row r="1107" spans="1:3" x14ac:dyDescent="0.3">
      <c r="A1107" s="15" t="s">
        <v>4343</v>
      </c>
      <c r="B1107" s="15" t="s">
        <v>4344</v>
      </c>
      <c r="C1107" s="7">
        <v>15.055</v>
      </c>
    </row>
    <row r="1108" spans="1:3" x14ac:dyDescent="0.3">
      <c r="A1108" s="15" t="s">
        <v>4345</v>
      </c>
      <c r="B1108" s="15" t="s">
        <v>1042</v>
      </c>
      <c r="C1108" s="7">
        <v>514.53</v>
      </c>
    </row>
    <row r="1109" spans="1:3" x14ac:dyDescent="0.3">
      <c r="A1109" s="15" t="s">
        <v>4346</v>
      </c>
      <c r="B1109" s="15" t="s">
        <v>1041</v>
      </c>
      <c r="C1109" s="7">
        <v>491.57</v>
      </c>
    </row>
    <row r="1110" spans="1:3" x14ac:dyDescent="0.3">
      <c r="A1110" s="15" t="s">
        <v>4347</v>
      </c>
      <c r="B1110" s="15" t="s">
        <v>1027</v>
      </c>
      <c r="C1110" s="7">
        <v>234.99</v>
      </c>
    </row>
    <row r="1111" spans="1:3" x14ac:dyDescent="0.3">
      <c r="A1111" s="15" t="s">
        <v>4348</v>
      </c>
      <c r="B1111" s="15" t="s">
        <v>856</v>
      </c>
      <c r="C1111" s="7">
        <v>2.84</v>
      </c>
    </row>
    <row r="1112" spans="1:3" x14ac:dyDescent="0.3">
      <c r="A1112" s="15" t="s">
        <v>4349</v>
      </c>
      <c r="B1112" s="15" t="s">
        <v>870</v>
      </c>
      <c r="C1112" s="7">
        <v>11.87</v>
      </c>
    </row>
    <row r="1113" spans="1:3" x14ac:dyDescent="0.3">
      <c r="A1113" s="15" t="s">
        <v>4350</v>
      </c>
      <c r="B1113" s="15" t="s">
        <v>700</v>
      </c>
      <c r="C1113" s="7">
        <v>10.029999999999999</v>
      </c>
    </row>
    <row r="1114" spans="1:3" x14ac:dyDescent="0.3">
      <c r="A1114" s="15" t="s">
        <v>4351</v>
      </c>
      <c r="B1114" s="15" t="s">
        <v>699</v>
      </c>
      <c r="C1114" s="7">
        <v>12.85</v>
      </c>
    </row>
    <row r="1115" spans="1:3" x14ac:dyDescent="0.3">
      <c r="A1115" s="15" t="s">
        <v>4352</v>
      </c>
      <c r="B1115" s="15" t="s">
        <v>4353</v>
      </c>
      <c r="C1115" s="7">
        <v>8.2200000000000006</v>
      </c>
    </row>
    <row r="1116" spans="1:3" x14ac:dyDescent="0.3">
      <c r="A1116" s="15" t="s">
        <v>4354</v>
      </c>
      <c r="B1116" s="15" t="s">
        <v>4355</v>
      </c>
      <c r="C1116" s="7">
        <v>6.6</v>
      </c>
    </row>
    <row r="1117" spans="1:3" x14ac:dyDescent="0.3">
      <c r="A1117" s="15" t="s">
        <v>4356</v>
      </c>
      <c r="B1117" s="15" t="s">
        <v>4357</v>
      </c>
      <c r="C1117" s="7">
        <v>4.74</v>
      </c>
    </row>
    <row r="1118" spans="1:3" x14ac:dyDescent="0.3">
      <c r="A1118" s="15" t="s">
        <v>4358</v>
      </c>
      <c r="B1118" s="15" t="s">
        <v>4359</v>
      </c>
      <c r="C1118" s="7">
        <v>8.33</v>
      </c>
    </row>
    <row r="1119" spans="1:3" x14ac:dyDescent="0.3">
      <c r="A1119" s="15" t="s">
        <v>4360</v>
      </c>
      <c r="B1119" s="15" t="s">
        <v>4361</v>
      </c>
      <c r="C1119" s="7">
        <v>2.57</v>
      </c>
    </row>
    <row r="1120" spans="1:3" x14ac:dyDescent="0.3">
      <c r="A1120" s="15" t="s">
        <v>4362</v>
      </c>
      <c r="B1120" s="15" t="s">
        <v>4363</v>
      </c>
      <c r="C1120" s="7">
        <v>2.15</v>
      </c>
    </row>
    <row r="1121" spans="1:3" x14ac:dyDescent="0.3">
      <c r="A1121" s="15" t="s">
        <v>4364</v>
      </c>
      <c r="B1121" s="15" t="s">
        <v>4365</v>
      </c>
      <c r="C1121" s="7">
        <v>1.34</v>
      </c>
    </row>
    <row r="1122" spans="1:3" x14ac:dyDescent="0.3">
      <c r="A1122" s="15" t="s">
        <v>4366</v>
      </c>
      <c r="B1122" s="15" t="s">
        <v>865</v>
      </c>
      <c r="C1122" s="7">
        <v>4.4400000000000004</v>
      </c>
    </row>
    <row r="1123" spans="1:3" x14ac:dyDescent="0.3">
      <c r="A1123" s="15" t="s">
        <v>4367</v>
      </c>
      <c r="B1123" s="15" t="s">
        <v>819</v>
      </c>
      <c r="C1123" s="7">
        <v>12.43</v>
      </c>
    </row>
    <row r="1124" spans="1:3" x14ac:dyDescent="0.3">
      <c r="A1124" s="15" t="s">
        <v>4368</v>
      </c>
      <c r="B1124" s="15" t="s">
        <v>820</v>
      </c>
      <c r="C1124" s="7">
        <v>15.97</v>
      </c>
    </row>
    <row r="1125" spans="1:3" x14ac:dyDescent="0.3">
      <c r="A1125" s="15" t="s">
        <v>4369</v>
      </c>
      <c r="B1125" s="15" t="s">
        <v>821</v>
      </c>
      <c r="C1125" s="7">
        <v>21.31</v>
      </c>
    </row>
    <row r="1126" spans="1:3" x14ac:dyDescent="0.3">
      <c r="A1126" s="15" t="s">
        <v>4370</v>
      </c>
      <c r="B1126" s="15" t="s">
        <v>785</v>
      </c>
      <c r="C1126" s="7">
        <v>4.08</v>
      </c>
    </row>
    <row r="1127" spans="1:3" x14ac:dyDescent="0.3">
      <c r="A1127" s="15" t="s">
        <v>4371</v>
      </c>
      <c r="B1127" s="15" t="s">
        <v>891</v>
      </c>
      <c r="C1127" s="7">
        <v>5.0599999999999996</v>
      </c>
    </row>
    <row r="1128" spans="1:3" x14ac:dyDescent="0.3">
      <c r="A1128" s="15" t="s">
        <v>4372</v>
      </c>
      <c r="B1128" s="15" t="s">
        <v>829</v>
      </c>
      <c r="C1128" s="7">
        <v>9.99</v>
      </c>
    </row>
    <row r="1129" spans="1:3" x14ac:dyDescent="0.3">
      <c r="A1129" s="15" t="s">
        <v>4373</v>
      </c>
      <c r="B1129" s="15" t="s">
        <v>828</v>
      </c>
      <c r="C1129" s="7">
        <v>6.77</v>
      </c>
    </row>
    <row r="1130" spans="1:3" x14ac:dyDescent="0.3">
      <c r="A1130" s="15" t="s">
        <v>4374</v>
      </c>
      <c r="B1130" s="15" t="s">
        <v>892</v>
      </c>
      <c r="C1130" s="7">
        <v>2.09</v>
      </c>
    </row>
    <row r="1131" spans="1:3" x14ac:dyDescent="0.3">
      <c r="A1131" s="15" t="s">
        <v>4375</v>
      </c>
      <c r="B1131" s="15" t="s">
        <v>683</v>
      </c>
      <c r="C1131" s="7">
        <v>6.62</v>
      </c>
    </row>
    <row r="1132" spans="1:3" x14ac:dyDescent="0.3">
      <c r="A1132" s="15" t="s">
        <v>4376</v>
      </c>
      <c r="B1132" s="15" t="s">
        <v>857</v>
      </c>
      <c r="C1132" s="7">
        <v>1.61</v>
      </c>
    </row>
    <row r="1133" spans="1:3" x14ac:dyDescent="0.3">
      <c r="A1133" s="15" t="s">
        <v>4377</v>
      </c>
      <c r="B1133" s="15" t="s">
        <v>877</v>
      </c>
      <c r="C1133" s="7">
        <v>6.52</v>
      </c>
    </row>
    <row r="1134" spans="1:3" x14ac:dyDescent="0.3">
      <c r="A1134" s="15" t="s">
        <v>4378</v>
      </c>
      <c r="B1134" s="15" t="s">
        <v>873</v>
      </c>
      <c r="C1134" s="7">
        <v>2.0499999999999998</v>
      </c>
    </row>
    <row r="1135" spans="1:3" x14ac:dyDescent="0.3">
      <c r="A1135" s="15" t="s">
        <v>4379</v>
      </c>
      <c r="B1135" s="15" t="s">
        <v>888</v>
      </c>
      <c r="C1135" s="7">
        <v>5.78</v>
      </c>
    </row>
    <row r="1136" spans="1:3" x14ac:dyDescent="0.3">
      <c r="A1136" s="15" t="s">
        <v>4380</v>
      </c>
      <c r="B1136" s="15" t="s">
        <v>871</v>
      </c>
      <c r="C1136" s="7">
        <v>2.54</v>
      </c>
    </row>
    <row r="1137" spans="1:3" x14ac:dyDescent="0.3">
      <c r="A1137" s="15" t="s">
        <v>4381</v>
      </c>
      <c r="B1137" s="15" t="s">
        <v>832</v>
      </c>
      <c r="C1137" s="7">
        <v>1.1499999999999999</v>
      </c>
    </row>
    <row r="1138" spans="1:3" x14ac:dyDescent="0.3">
      <c r="A1138" s="15" t="s">
        <v>4382</v>
      </c>
      <c r="B1138" s="15" t="s">
        <v>867</v>
      </c>
      <c r="C1138" s="7">
        <v>10.25</v>
      </c>
    </row>
    <row r="1139" spans="1:3" x14ac:dyDescent="0.3">
      <c r="A1139" s="15" t="s">
        <v>4383</v>
      </c>
      <c r="B1139" s="15" t="s">
        <v>866</v>
      </c>
      <c r="C1139" s="7">
        <v>4.88</v>
      </c>
    </row>
    <row r="1140" spans="1:3" x14ac:dyDescent="0.3">
      <c r="A1140" s="15" t="s">
        <v>4384</v>
      </c>
      <c r="B1140" s="15" t="s">
        <v>886</v>
      </c>
      <c r="C1140" s="7">
        <v>5.81</v>
      </c>
    </row>
    <row r="1141" spans="1:3" x14ac:dyDescent="0.3">
      <c r="A1141" s="15" t="s">
        <v>4385</v>
      </c>
      <c r="B1141" s="15" t="s">
        <v>855</v>
      </c>
      <c r="C1141" s="7">
        <v>10.79</v>
      </c>
    </row>
    <row r="1142" spans="1:3" x14ac:dyDescent="0.3">
      <c r="A1142" s="15" t="s">
        <v>4386</v>
      </c>
      <c r="B1142" s="15" t="s">
        <v>686</v>
      </c>
      <c r="C1142" s="7">
        <v>9.01</v>
      </c>
    </row>
    <row r="1143" spans="1:3" x14ac:dyDescent="0.3">
      <c r="A1143" s="15" t="s">
        <v>4387</v>
      </c>
      <c r="B1143" s="15" t="s">
        <v>702</v>
      </c>
      <c r="C1143" s="7">
        <v>7.64</v>
      </c>
    </row>
    <row r="1144" spans="1:3" x14ac:dyDescent="0.3">
      <c r="A1144" s="15" t="s">
        <v>4388</v>
      </c>
      <c r="B1144" s="15" t="s">
        <v>849</v>
      </c>
      <c r="C1144" s="7">
        <v>7.09</v>
      </c>
    </row>
    <row r="1145" spans="1:3" x14ac:dyDescent="0.3">
      <c r="A1145" s="15" t="s">
        <v>4389</v>
      </c>
      <c r="B1145" s="15" t="s">
        <v>846</v>
      </c>
      <c r="C1145" s="7">
        <v>11.21</v>
      </c>
    </row>
    <row r="1146" spans="1:3" x14ac:dyDescent="0.3">
      <c r="A1146" s="15" t="s">
        <v>4390</v>
      </c>
      <c r="B1146" s="15" t="s">
        <v>847</v>
      </c>
      <c r="C1146" s="7">
        <v>12.05</v>
      </c>
    </row>
    <row r="1147" spans="1:3" x14ac:dyDescent="0.3">
      <c r="A1147" s="15" t="s">
        <v>4391</v>
      </c>
      <c r="B1147" s="15" t="s">
        <v>818</v>
      </c>
      <c r="C1147" s="7">
        <v>4.49</v>
      </c>
    </row>
    <row r="1148" spans="1:3" x14ac:dyDescent="0.3">
      <c r="A1148" s="15" t="s">
        <v>4392</v>
      </c>
      <c r="B1148" s="15" t="s">
        <v>881</v>
      </c>
      <c r="C1148" s="7">
        <v>4.49</v>
      </c>
    </row>
    <row r="1149" spans="1:3" x14ac:dyDescent="0.3">
      <c r="A1149" s="15" t="s">
        <v>4393</v>
      </c>
      <c r="B1149" s="15" t="s">
        <v>817</v>
      </c>
      <c r="C1149" s="7">
        <v>5.68</v>
      </c>
    </row>
    <row r="1150" spans="1:3" x14ac:dyDescent="0.3">
      <c r="A1150" s="15" t="s">
        <v>4394</v>
      </c>
      <c r="B1150" s="15" t="s">
        <v>1250</v>
      </c>
      <c r="C1150" s="7">
        <v>24.21</v>
      </c>
    </row>
    <row r="1151" spans="1:3" x14ac:dyDescent="0.3">
      <c r="A1151" s="15" t="s">
        <v>4395</v>
      </c>
      <c r="B1151" s="15" t="s">
        <v>902</v>
      </c>
      <c r="C1151" s="7">
        <v>10.35</v>
      </c>
    </row>
    <row r="1152" spans="1:3" x14ac:dyDescent="0.3">
      <c r="A1152" s="15" t="s">
        <v>4396</v>
      </c>
      <c r="B1152" s="15" t="s">
        <v>901</v>
      </c>
      <c r="C1152" s="7">
        <v>13.16</v>
      </c>
    </row>
    <row r="1153" spans="1:3" x14ac:dyDescent="0.3">
      <c r="A1153" s="15" t="s">
        <v>4397</v>
      </c>
      <c r="B1153" s="15" t="s">
        <v>903</v>
      </c>
      <c r="C1153" s="7">
        <v>7.33</v>
      </c>
    </row>
    <row r="1154" spans="1:3" x14ac:dyDescent="0.3">
      <c r="A1154" s="15" t="s">
        <v>4398</v>
      </c>
      <c r="B1154" s="15" t="s">
        <v>850</v>
      </c>
      <c r="C1154" s="7">
        <v>13.45</v>
      </c>
    </row>
    <row r="1155" spans="1:3" x14ac:dyDescent="0.3">
      <c r="A1155" s="15" t="s">
        <v>4399</v>
      </c>
      <c r="B1155" s="15" t="s">
        <v>687</v>
      </c>
      <c r="C1155" s="7">
        <v>13.49</v>
      </c>
    </row>
    <row r="1156" spans="1:3" x14ac:dyDescent="0.3">
      <c r="A1156" s="15" t="s">
        <v>4400</v>
      </c>
      <c r="B1156" s="15" t="s">
        <v>688</v>
      </c>
      <c r="C1156" s="7">
        <v>10.88</v>
      </c>
    </row>
    <row r="1157" spans="1:3" x14ac:dyDescent="0.3">
      <c r="A1157" s="15" t="s">
        <v>4401</v>
      </c>
      <c r="B1157" s="15" t="s">
        <v>840</v>
      </c>
      <c r="C1157" s="7">
        <v>12.01</v>
      </c>
    </row>
    <row r="1158" spans="1:3" x14ac:dyDescent="0.3">
      <c r="A1158" s="15" t="s">
        <v>4402</v>
      </c>
      <c r="B1158" s="15" t="s">
        <v>879</v>
      </c>
      <c r="C1158" s="7">
        <v>1.98</v>
      </c>
    </row>
    <row r="1159" spans="1:3" x14ac:dyDescent="0.3">
      <c r="A1159" s="15" t="s">
        <v>4403</v>
      </c>
      <c r="B1159" s="15" t="s">
        <v>878</v>
      </c>
      <c r="C1159" s="7">
        <v>2.95</v>
      </c>
    </row>
    <row r="1160" spans="1:3" x14ac:dyDescent="0.3">
      <c r="A1160" s="15" t="s">
        <v>4404</v>
      </c>
      <c r="B1160" s="15" t="s">
        <v>880</v>
      </c>
      <c r="C1160" s="7">
        <v>7.76</v>
      </c>
    </row>
    <row r="1161" spans="1:3" x14ac:dyDescent="0.3">
      <c r="A1161" s="15" t="s">
        <v>4405</v>
      </c>
      <c r="B1161" s="15" t="s">
        <v>833</v>
      </c>
      <c r="C1161" s="7">
        <v>5.08</v>
      </c>
    </row>
    <row r="1162" spans="1:3" x14ac:dyDescent="0.3">
      <c r="A1162" s="15" t="s">
        <v>4406</v>
      </c>
      <c r="B1162" s="15" t="s">
        <v>834</v>
      </c>
      <c r="C1162" s="7">
        <v>4.3600000000000003</v>
      </c>
    </row>
    <row r="1163" spans="1:3" x14ac:dyDescent="0.3">
      <c r="A1163" s="15" t="s">
        <v>4407</v>
      </c>
      <c r="B1163" s="15" t="s">
        <v>845</v>
      </c>
      <c r="C1163" s="7">
        <v>6.62</v>
      </c>
    </row>
    <row r="1164" spans="1:3" x14ac:dyDescent="0.3">
      <c r="A1164" s="15" t="s">
        <v>4408</v>
      </c>
      <c r="B1164" s="15" t="s">
        <v>894</v>
      </c>
      <c r="C1164" s="7">
        <v>5.87</v>
      </c>
    </row>
    <row r="1165" spans="1:3" x14ac:dyDescent="0.3">
      <c r="A1165" s="15" t="s">
        <v>4409</v>
      </c>
      <c r="B1165" s="15" t="s">
        <v>693</v>
      </c>
      <c r="C1165" s="7">
        <v>7.2</v>
      </c>
    </row>
    <row r="1166" spans="1:3" x14ac:dyDescent="0.3">
      <c r="A1166" s="15" t="s">
        <v>4410</v>
      </c>
      <c r="B1166" s="15" t="s">
        <v>694</v>
      </c>
      <c r="C1166" s="7">
        <v>7.42</v>
      </c>
    </row>
    <row r="1167" spans="1:3" x14ac:dyDescent="0.3">
      <c r="A1167" s="15" t="s">
        <v>4411</v>
      </c>
      <c r="B1167" s="15" t="s">
        <v>695</v>
      </c>
      <c r="C1167" s="7">
        <v>8.91</v>
      </c>
    </row>
    <row r="1168" spans="1:3" x14ac:dyDescent="0.3">
      <c r="A1168" s="15" t="s">
        <v>4412</v>
      </c>
      <c r="B1168" s="15" t="s">
        <v>696</v>
      </c>
      <c r="C1168" s="7">
        <v>10.06</v>
      </c>
    </row>
    <row r="1169" spans="1:3" x14ac:dyDescent="0.3">
      <c r="A1169" s="15" t="s">
        <v>4413</v>
      </c>
      <c r="B1169" s="15" t="s">
        <v>697</v>
      </c>
      <c r="C1169" s="7">
        <v>7.52</v>
      </c>
    </row>
    <row r="1170" spans="1:3" x14ac:dyDescent="0.3">
      <c r="A1170" s="15" t="s">
        <v>4414</v>
      </c>
      <c r="B1170" s="15" t="s">
        <v>698</v>
      </c>
      <c r="C1170" s="7">
        <v>8.27</v>
      </c>
    </row>
    <row r="1171" spans="1:3" x14ac:dyDescent="0.3">
      <c r="A1171" s="15" t="s">
        <v>4415</v>
      </c>
      <c r="B1171" s="15" t="s">
        <v>884</v>
      </c>
      <c r="C1171" s="7">
        <v>8</v>
      </c>
    </row>
    <row r="1172" spans="1:3" x14ac:dyDescent="0.3">
      <c r="A1172" s="15" t="s">
        <v>4416</v>
      </c>
      <c r="B1172" s="15" t="s">
        <v>799</v>
      </c>
      <c r="C1172" s="7">
        <v>6.78</v>
      </c>
    </row>
    <row r="1173" spans="1:3" x14ac:dyDescent="0.3">
      <c r="A1173" s="15" t="s">
        <v>4417</v>
      </c>
      <c r="B1173" s="15" t="s">
        <v>800</v>
      </c>
      <c r="C1173" s="7">
        <v>6.78</v>
      </c>
    </row>
    <row r="1174" spans="1:3" x14ac:dyDescent="0.3">
      <c r="A1174" s="15" t="s">
        <v>4418</v>
      </c>
      <c r="B1174" s="15" t="s">
        <v>801</v>
      </c>
      <c r="C1174" s="7">
        <v>6.39</v>
      </c>
    </row>
    <row r="1175" spans="1:3" x14ac:dyDescent="0.3">
      <c r="A1175" s="15" t="s">
        <v>4419</v>
      </c>
      <c r="B1175" s="15" t="s">
        <v>797</v>
      </c>
      <c r="C1175" s="7">
        <v>6.39</v>
      </c>
    </row>
    <row r="1176" spans="1:3" x14ac:dyDescent="0.3">
      <c r="A1176" s="15" t="s">
        <v>4420</v>
      </c>
      <c r="B1176" s="15" t="s">
        <v>802</v>
      </c>
      <c r="C1176" s="7">
        <v>20.71</v>
      </c>
    </row>
    <row r="1177" spans="1:3" x14ac:dyDescent="0.3">
      <c r="A1177" s="15" t="s">
        <v>4421</v>
      </c>
      <c r="B1177" s="15" t="s">
        <v>798</v>
      </c>
      <c r="C1177" s="7">
        <v>20.71</v>
      </c>
    </row>
    <row r="1178" spans="1:3" x14ac:dyDescent="0.3">
      <c r="A1178" s="15" t="s">
        <v>4422</v>
      </c>
      <c r="B1178" s="15" t="s">
        <v>872</v>
      </c>
      <c r="C1178" s="7">
        <v>3.51</v>
      </c>
    </row>
    <row r="1179" spans="1:3" x14ac:dyDescent="0.3">
      <c r="A1179" s="15" t="s">
        <v>4423</v>
      </c>
      <c r="B1179" s="15" t="s">
        <v>681</v>
      </c>
      <c r="C1179" s="7">
        <v>9.23</v>
      </c>
    </row>
    <row r="1180" spans="1:3" x14ac:dyDescent="0.3">
      <c r="A1180" s="15" t="s">
        <v>4424</v>
      </c>
      <c r="B1180" s="15" t="s">
        <v>682</v>
      </c>
      <c r="C1180" s="7">
        <v>9.23</v>
      </c>
    </row>
    <row r="1181" spans="1:3" x14ac:dyDescent="0.3">
      <c r="A1181" s="15" t="s">
        <v>4425</v>
      </c>
      <c r="B1181" s="15" t="s">
        <v>680</v>
      </c>
      <c r="C1181" s="7">
        <v>9.23</v>
      </c>
    </row>
    <row r="1182" spans="1:3" x14ac:dyDescent="0.3">
      <c r="A1182" s="15" t="s">
        <v>4426</v>
      </c>
      <c r="B1182" s="15" t="s">
        <v>684</v>
      </c>
      <c r="C1182" s="7">
        <v>9.01</v>
      </c>
    </row>
    <row r="1183" spans="1:3" x14ac:dyDescent="0.3">
      <c r="A1183" s="15" t="s">
        <v>4427</v>
      </c>
      <c r="B1183" s="15" t="s">
        <v>685</v>
      </c>
      <c r="C1183" s="7">
        <v>9.01</v>
      </c>
    </row>
    <row r="1184" spans="1:3" x14ac:dyDescent="0.3">
      <c r="A1184" s="15" t="s">
        <v>4428</v>
      </c>
      <c r="B1184" s="15" t="s">
        <v>816</v>
      </c>
      <c r="C1184" s="7">
        <v>6.57</v>
      </c>
    </row>
    <row r="1185" spans="1:3" x14ac:dyDescent="0.3">
      <c r="A1185" s="15" t="s">
        <v>4429</v>
      </c>
      <c r="B1185" s="15" t="s">
        <v>689</v>
      </c>
      <c r="C1185" s="7">
        <v>4.37</v>
      </c>
    </row>
    <row r="1186" spans="1:3" x14ac:dyDescent="0.3">
      <c r="A1186" s="15" t="s">
        <v>4430</v>
      </c>
      <c r="B1186" s="15" t="s">
        <v>4431</v>
      </c>
      <c r="C1186" s="7">
        <v>11.02</v>
      </c>
    </row>
    <row r="1187" spans="1:3" x14ac:dyDescent="0.3">
      <c r="A1187" s="15" t="s">
        <v>4432</v>
      </c>
      <c r="B1187" s="15" t="s">
        <v>4433</v>
      </c>
      <c r="C1187" s="7">
        <v>25.82</v>
      </c>
    </row>
    <row r="1188" spans="1:3" x14ac:dyDescent="0.3">
      <c r="A1188" s="15" t="s">
        <v>4434</v>
      </c>
      <c r="B1188" s="15" t="s">
        <v>822</v>
      </c>
      <c r="C1188" s="7">
        <v>3.79</v>
      </c>
    </row>
    <row r="1189" spans="1:3" x14ac:dyDescent="0.3">
      <c r="A1189" s="15" t="s">
        <v>4435</v>
      </c>
      <c r="B1189" s="15" t="s">
        <v>823</v>
      </c>
      <c r="C1189" s="7">
        <v>3.55</v>
      </c>
    </row>
    <row r="1190" spans="1:3" x14ac:dyDescent="0.3">
      <c r="A1190" s="15" t="s">
        <v>4436</v>
      </c>
      <c r="B1190" s="15" t="s">
        <v>887</v>
      </c>
      <c r="C1190" s="7">
        <v>5.89</v>
      </c>
    </row>
    <row r="1191" spans="1:3" x14ac:dyDescent="0.3">
      <c r="A1191" s="15" t="s">
        <v>4437</v>
      </c>
      <c r="B1191" s="15" t="s">
        <v>869</v>
      </c>
      <c r="C1191" s="7">
        <v>5.88</v>
      </c>
    </row>
    <row r="1192" spans="1:3" x14ac:dyDescent="0.3">
      <c r="A1192" s="15" t="s">
        <v>4438</v>
      </c>
      <c r="B1192" s="15" t="s">
        <v>868</v>
      </c>
      <c r="C1192" s="7">
        <v>8.44</v>
      </c>
    </row>
    <row r="1193" spans="1:3" x14ac:dyDescent="0.3">
      <c r="A1193" s="15" t="s">
        <v>4439</v>
      </c>
      <c r="B1193" s="15" t="s">
        <v>1159</v>
      </c>
      <c r="C1193" s="7">
        <v>17.420000000000002</v>
      </c>
    </row>
    <row r="1194" spans="1:3" x14ac:dyDescent="0.3">
      <c r="A1194" s="15" t="s">
        <v>4440</v>
      </c>
      <c r="B1194" s="15" t="s">
        <v>824</v>
      </c>
      <c r="C1194" s="7">
        <v>4.26</v>
      </c>
    </row>
    <row r="1195" spans="1:3" x14ac:dyDescent="0.3">
      <c r="A1195" s="15" t="s">
        <v>4441</v>
      </c>
      <c r="B1195" s="15" t="s">
        <v>895</v>
      </c>
      <c r="C1195" s="7">
        <v>10.26</v>
      </c>
    </row>
    <row r="1196" spans="1:3" x14ac:dyDescent="0.3">
      <c r="A1196" s="15" t="s">
        <v>4442</v>
      </c>
      <c r="B1196" s="15" t="s">
        <v>896</v>
      </c>
      <c r="C1196" s="7">
        <v>8.7200000000000006</v>
      </c>
    </row>
    <row r="1197" spans="1:3" x14ac:dyDescent="0.3">
      <c r="A1197" s="15" t="s">
        <v>4443</v>
      </c>
      <c r="B1197" s="15" t="s">
        <v>786</v>
      </c>
      <c r="C1197" s="7">
        <v>2.0699999999999998</v>
      </c>
    </row>
    <row r="1198" spans="1:3" x14ac:dyDescent="0.3">
      <c r="A1198" s="15" t="s">
        <v>4444</v>
      </c>
      <c r="B1198" s="15" t="s">
        <v>787</v>
      </c>
      <c r="C1198" s="7">
        <v>1.22</v>
      </c>
    </row>
    <row r="1199" spans="1:3" x14ac:dyDescent="0.3">
      <c r="A1199" s="15" t="s">
        <v>4445</v>
      </c>
      <c r="B1199" s="15" t="s">
        <v>788</v>
      </c>
      <c r="C1199" s="7">
        <v>4.0199999999999996</v>
      </c>
    </row>
    <row r="1200" spans="1:3" x14ac:dyDescent="0.3">
      <c r="A1200" s="15" t="s">
        <v>4446</v>
      </c>
      <c r="B1200" s="15" t="s">
        <v>789</v>
      </c>
      <c r="C1200" s="7">
        <v>0.49</v>
      </c>
    </row>
    <row r="1201" spans="1:3" x14ac:dyDescent="0.3">
      <c r="A1201" s="15" t="s">
        <v>4447</v>
      </c>
      <c r="B1201" s="15" t="s">
        <v>790</v>
      </c>
      <c r="C1201" s="7">
        <v>0.72</v>
      </c>
    </row>
    <row r="1202" spans="1:3" x14ac:dyDescent="0.3">
      <c r="A1202" s="15" t="s">
        <v>4448</v>
      </c>
      <c r="B1202" s="15" t="s">
        <v>791</v>
      </c>
      <c r="C1202" s="7">
        <v>1.42</v>
      </c>
    </row>
    <row r="1203" spans="1:3" x14ac:dyDescent="0.3">
      <c r="A1203" s="15" t="s">
        <v>4449</v>
      </c>
      <c r="B1203" s="15" t="s">
        <v>874</v>
      </c>
      <c r="C1203" s="7">
        <v>10.210000000000001</v>
      </c>
    </row>
    <row r="1204" spans="1:3" x14ac:dyDescent="0.3">
      <c r="A1204" s="15" t="s">
        <v>4450</v>
      </c>
      <c r="B1204" s="15" t="s">
        <v>792</v>
      </c>
      <c r="C1204" s="7">
        <v>1.89</v>
      </c>
    </row>
    <row r="1205" spans="1:3" x14ac:dyDescent="0.3">
      <c r="A1205" s="15" t="s">
        <v>4451</v>
      </c>
      <c r="B1205" s="15" t="s">
        <v>793</v>
      </c>
      <c r="C1205" s="7">
        <v>3.07</v>
      </c>
    </row>
    <row r="1206" spans="1:3" x14ac:dyDescent="0.3">
      <c r="A1206" s="15" t="s">
        <v>4452</v>
      </c>
      <c r="B1206" s="15" t="s">
        <v>842</v>
      </c>
      <c r="C1206" s="7">
        <v>6.28</v>
      </c>
    </row>
    <row r="1207" spans="1:3" x14ac:dyDescent="0.3">
      <c r="A1207" s="15" t="s">
        <v>4453</v>
      </c>
      <c r="B1207" s="15" t="s">
        <v>841</v>
      </c>
      <c r="C1207" s="7">
        <v>7.46</v>
      </c>
    </row>
    <row r="1208" spans="1:3" x14ac:dyDescent="0.3">
      <c r="A1208" s="15" t="s">
        <v>4454</v>
      </c>
      <c r="B1208" s="15" t="s">
        <v>796</v>
      </c>
      <c r="C1208" s="7">
        <v>3.54</v>
      </c>
    </row>
    <row r="1209" spans="1:3" x14ac:dyDescent="0.3">
      <c r="A1209" s="15" t="s">
        <v>4455</v>
      </c>
      <c r="B1209" s="15" t="s">
        <v>794</v>
      </c>
      <c r="C1209" s="7">
        <v>5.69</v>
      </c>
    </row>
    <row r="1210" spans="1:3" x14ac:dyDescent="0.3">
      <c r="A1210" s="15" t="s">
        <v>4456</v>
      </c>
      <c r="B1210" s="15" t="s">
        <v>795</v>
      </c>
      <c r="C1210" s="7">
        <v>12.03</v>
      </c>
    </row>
    <row r="1211" spans="1:3" x14ac:dyDescent="0.3">
      <c r="A1211" s="15" t="s">
        <v>4457</v>
      </c>
      <c r="B1211" s="15" t="s">
        <v>854</v>
      </c>
      <c r="C1211" s="7">
        <v>1.33</v>
      </c>
    </row>
    <row r="1212" spans="1:3" x14ac:dyDescent="0.3">
      <c r="A1212" s="15" t="s">
        <v>4458</v>
      </c>
      <c r="B1212" s="15" t="s">
        <v>885</v>
      </c>
      <c r="C1212" s="7">
        <v>1.01</v>
      </c>
    </row>
    <row r="1213" spans="1:3" x14ac:dyDescent="0.3">
      <c r="A1213" s="15" t="s">
        <v>4459</v>
      </c>
      <c r="B1213" s="15" t="s">
        <v>882</v>
      </c>
      <c r="C1213" s="7">
        <v>8.7200000000000006</v>
      </c>
    </row>
    <row r="1214" spans="1:3" x14ac:dyDescent="0.3">
      <c r="A1214" s="15" t="s">
        <v>4460</v>
      </c>
      <c r="B1214" s="15" t="s">
        <v>831</v>
      </c>
      <c r="C1214" s="7">
        <v>3.87</v>
      </c>
    </row>
    <row r="1215" spans="1:3" x14ac:dyDescent="0.3">
      <c r="A1215" s="15" t="s">
        <v>4461</v>
      </c>
      <c r="B1215" s="15" t="s">
        <v>837</v>
      </c>
      <c r="C1215" s="7">
        <v>3.86</v>
      </c>
    </row>
    <row r="1216" spans="1:3" x14ac:dyDescent="0.3">
      <c r="A1216" s="15" t="s">
        <v>4462</v>
      </c>
      <c r="B1216" s="15" t="s">
        <v>844</v>
      </c>
      <c r="C1216" s="7">
        <v>12.15</v>
      </c>
    </row>
    <row r="1217" spans="1:3" x14ac:dyDescent="0.3">
      <c r="A1217" s="15" t="s">
        <v>4463</v>
      </c>
      <c r="B1217" s="15" t="s">
        <v>843</v>
      </c>
      <c r="C1217" s="7">
        <v>15.9</v>
      </c>
    </row>
    <row r="1218" spans="1:3" x14ac:dyDescent="0.3">
      <c r="A1218" s="15" t="s">
        <v>4464</v>
      </c>
      <c r="B1218" s="15" t="s">
        <v>851</v>
      </c>
      <c r="C1218" s="7">
        <v>7.39</v>
      </c>
    </row>
    <row r="1219" spans="1:3" x14ac:dyDescent="0.3">
      <c r="A1219" s="15" t="s">
        <v>4465</v>
      </c>
      <c r="B1219" s="15" t="s">
        <v>852</v>
      </c>
      <c r="C1219" s="7">
        <v>2.06</v>
      </c>
    </row>
    <row r="1220" spans="1:3" x14ac:dyDescent="0.3">
      <c r="A1220" s="15" t="s">
        <v>4466</v>
      </c>
      <c r="B1220" s="15" t="s">
        <v>853</v>
      </c>
      <c r="C1220" s="7">
        <v>4.12</v>
      </c>
    </row>
    <row r="1221" spans="1:3" x14ac:dyDescent="0.3">
      <c r="A1221" s="15" t="s">
        <v>4467</v>
      </c>
      <c r="B1221" s="15" t="s">
        <v>691</v>
      </c>
      <c r="C1221" s="7">
        <v>13.2</v>
      </c>
    </row>
    <row r="1222" spans="1:3" x14ac:dyDescent="0.3">
      <c r="A1222" s="15" t="s">
        <v>4468</v>
      </c>
      <c r="B1222" s="15" t="s">
        <v>838</v>
      </c>
      <c r="C1222" s="7">
        <v>11.97</v>
      </c>
    </row>
    <row r="1223" spans="1:3" x14ac:dyDescent="0.3">
      <c r="A1223" s="15" t="s">
        <v>4469</v>
      </c>
      <c r="B1223" s="15" t="s">
        <v>839</v>
      </c>
      <c r="C1223" s="7">
        <v>3.58</v>
      </c>
    </row>
    <row r="1224" spans="1:3" x14ac:dyDescent="0.3">
      <c r="A1224" s="15" t="s">
        <v>4470</v>
      </c>
      <c r="B1224" s="15" t="s">
        <v>690</v>
      </c>
      <c r="C1224" s="7">
        <v>7.06</v>
      </c>
    </row>
    <row r="1225" spans="1:3" x14ac:dyDescent="0.3">
      <c r="A1225" s="15" t="s">
        <v>4471</v>
      </c>
      <c r="B1225" s="15" t="s">
        <v>692</v>
      </c>
      <c r="C1225" s="7">
        <v>18.25</v>
      </c>
    </row>
    <row r="1226" spans="1:3" x14ac:dyDescent="0.3">
      <c r="A1226" s="15" t="s">
        <v>4472</v>
      </c>
      <c r="B1226" s="15" t="s">
        <v>701</v>
      </c>
      <c r="C1226" s="7">
        <v>9.49</v>
      </c>
    </row>
    <row r="1227" spans="1:3" x14ac:dyDescent="0.3">
      <c r="A1227" s="15" t="s">
        <v>4473</v>
      </c>
      <c r="B1227" s="15" t="s">
        <v>848</v>
      </c>
      <c r="C1227" s="7">
        <v>3.91</v>
      </c>
    </row>
    <row r="1228" spans="1:3" x14ac:dyDescent="0.3">
      <c r="A1228" s="15" t="s">
        <v>4474</v>
      </c>
      <c r="B1228" s="15" t="s">
        <v>825</v>
      </c>
      <c r="C1228" s="7">
        <v>1.1200000000000001</v>
      </c>
    </row>
    <row r="1229" spans="1:3" x14ac:dyDescent="0.3">
      <c r="A1229" s="15" t="s">
        <v>4475</v>
      </c>
      <c r="B1229" s="15" t="s">
        <v>827</v>
      </c>
      <c r="C1229" s="7">
        <v>1.14333</v>
      </c>
    </row>
    <row r="1230" spans="1:3" x14ac:dyDescent="0.3">
      <c r="A1230" s="15" t="s">
        <v>4476</v>
      </c>
      <c r="B1230" s="15" t="s">
        <v>889</v>
      </c>
      <c r="C1230" s="7">
        <v>3.61</v>
      </c>
    </row>
    <row r="1231" spans="1:3" x14ac:dyDescent="0.3">
      <c r="A1231" s="15" t="s">
        <v>4477</v>
      </c>
      <c r="B1231" s="15" t="s">
        <v>836</v>
      </c>
      <c r="C1231" s="7">
        <v>0.78400000000000003</v>
      </c>
    </row>
    <row r="1232" spans="1:3" x14ac:dyDescent="0.3">
      <c r="A1232" s="15" t="s">
        <v>4478</v>
      </c>
      <c r="B1232" s="15" t="s">
        <v>835</v>
      </c>
      <c r="C1232" s="7">
        <v>0.78</v>
      </c>
    </row>
    <row r="1233" spans="1:3" x14ac:dyDescent="0.3">
      <c r="A1233" s="15" t="s">
        <v>4479</v>
      </c>
      <c r="B1233" s="15" t="s">
        <v>861</v>
      </c>
      <c r="C1233" s="7">
        <v>1.27</v>
      </c>
    </row>
    <row r="1234" spans="1:3" x14ac:dyDescent="0.3">
      <c r="A1234" s="15" t="s">
        <v>4480</v>
      </c>
      <c r="B1234" s="15" t="s">
        <v>862</v>
      </c>
      <c r="C1234" s="7">
        <v>1.9325000000000001</v>
      </c>
    </row>
    <row r="1235" spans="1:3" x14ac:dyDescent="0.3">
      <c r="A1235" s="15" t="s">
        <v>4481</v>
      </c>
      <c r="B1235" s="15" t="s">
        <v>863</v>
      </c>
      <c r="C1235" s="7">
        <v>1.22</v>
      </c>
    </row>
    <row r="1236" spans="1:3" x14ac:dyDescent="0.3">
      <c r="A1236" s="15" t="s">
        <v>4482</v>
      </c>
      <c r="B1236" s="15" t="s">
        <v>864</v>
      </c>
      <c r="C1236" s="7">
        <v>3.28</v>
      </c>
    </row>
    <row r="1237" spans="1:3" x14ac:dyDescent="0.3">
      <c r="A1237" s="15" t="s">
        <v>4483</v>
      </c>
      <c r="B1237" s="15" t="s">
        <v>858</v>
      </c>
      <c r="C1237" s="7">
        <v>2.11</v>
      </c>
    </row>
    <row r="1238" spans="1:3" x14ac:dyDescent="0.3">
      <c r="A1238" s="15" t="s">
        <v>4484</v>
      </c>
      <c r="B1238" s="15" t="s">
        <v>859</v>
      </c>
      <c r="C1238" s="7">
        <v>3.13</v>
      </c>
    </row>
    <row r="1239" spans="1:3" x14ac:dyDescent="0.3">
      <c r="A1239" s="15" t="s">
        <v>4485</v>
      </c>
      <c r="B1239" s="15" t="s">
        <v>860</v>
      </c>
      <c r="C1239" s="7">
        <v>3.91</v>
      </c>
    </row>
    <row r="1240" spans="1:3" x14ac:dyDescent="0.3">
      <c r="A1240" s="15" t="s">
        <v>4486</v>
      </c>
      <c r="B1240" s="15" t="s">
        <v>906</v>
      </c>
      <c r="C1240" s="7">
        <v>35.6</v>
      </c>
    </row>
    <row r="1241" spans="1:3" x14ac:dyDescent="0.3">
      <c r="A1241" s="15" t="s">
        <v>4487</v>
      </c>
      <c r="B1241" s="15" t="s">
        <v>893</v>
      </c>
      <c r="C1241" s="7">
        <v>2.95</v>
      </c>
    </row>
    <row r="1242" spans="1:3" x14ac:dyDescent="0.3">
      <c r="A1242" s="15" t="s">
        <v>4488</v>
      </c>
      <c r="B1242" s="15" t="s">
        <v>1160</v>
      </c>
      <c r="C1242" s="7">
        <v>11.42</v>
      </c>
    </row>
    <row r="1243" spans="1:3" x14ac:dyDescent="0.3">
      <c r="A1243" s="15" t="s">
        <v>4489</v>
      </c>
      <c r="B1243" s="15" t="s">
        <v>875</v>
      </c>
      <c r="C1243" s="7">
        <v>8.23</v>
      </c>
    </row>
    <row r="1244" spans="1:3" x14ac:dyDescent="0.3">
      <c r="A1244" s="15" t="s">
        <v>4490</v>
      </c>
      <c r="B1244" s="15" t="s">
        <v>876</v>
      </c>
      <c r="C1244" s="7">
        <v>6.35</v>
      </c>
    </row>
    <row r="1245" spans="1:3" x14ac:dyDescent="0.3">
      <c r="A1245" s="15" t="s">
        <v>4491</v>
      </c>
      <c r="B1245" s="15" t="s">
        <v>784</v>
      </c>
      <c r="C1245" s="7">
        <v>4.32</v>
      </c>
    </row>
    <row r="1246" spans="1:3" x14ac:dyDescent="0.3">
      <c r="A1246" s="15" t="s">
        <v>4492</v>
      </c>
      <c r="B1246" s="15" t="s">
        <v>780</v>
      </c>
      <c r="C1246" s="7">
        <v>5.45</v>
      </c>
    </row>
    <row r="1247" spans="1:3" x14ac:dyDescent="0.3">
      <c r="A1247" s="15" t="s">
        <v>4493</v>
      </c>
      <c r="B1247" s="15" t="s">
        <v>782</v>
      </c>
      <c r="C1247" s="7">
        <v>6.05</v>
      </c>
    </row>
    <row r="1248" spans="1:3" x14ac:dyDescent="0.3">
      <c r="A1248" s="15" t="s">
        <v>4494</v>
      </c>
      <c r="B1248" s="15" t="s">
        <v>907</v>
      </c>
      <c r="C1248" s="7">
        <v>4.58</v>
      </c>
    </row>
    <row r="1249" spans="1:3" x14ac:dyDescent="0.3">
      <c r="A1249" s="15" t="s">
        <v>4495</v>
      </c>
      <c r="B1249" s="15" t="s">
        <v>783</v>
      </c>
      <c r="C1249" s="7">
        <v>6.52</v>
      </c>
    </row>
    <row r="1250" spans="1:3" x14ac:dyDescent="0.3">
      <c r="A1250" s="15" t="s">
        <v>4496</v>
      </c>
      <c r="B1250" s="15" t="s">
        <v>781</v>
      </c>
      <c r="C1250" s="7">
        <v>9.8800000000000008</v>
      </c>
    </row>
    <row r="1251" spans="1:3" x14ac:dyDescent="0.3">
      <c r="A1251" s="15" t="s">
        <v>4497</v>
      </c>
      <c r="B1251" s="15" t="s">
        <v>1122</v>
      </c>
      <c r="C1251" s="7">
        <v>13.57</v>
      </c>
    </row>
    <row r="1252" spans="1:3" x14ac:dyDescent="0.3">
      <c r="A1252" s="15" t="s">
        <v>4498</v>
      </c>
      <c r="B1252" s="15" t="s">
        <v>673</v>
      </c>
      <c r="C1252" s="7">
        <v>8.1300000000000008</v>
      </c>
    </row>
    <row r="1253" spans="1:3" x14ac:dyDescent="0.3">
      <c r="A1253" s="15" t="s">
        <v>4499</v>
      </c>
      <c r="B1253" s="15" t="s">
        <v>4500</v>
      </c>
      <c r="C1253" s="7">
        <v>42.64667</v>
      </c>
    </row>
    <row r="1254" spans="1:3" x14ac:dyDescent="0.3">
      <c r="A1254" s="15" t="s">
        <v>4501</v>
      </c>
      <c r="B1254" s="15" t="s">
        <v>4502</v>
      </c>
      <c r="C1254" s="7">
        <v>29.75</v>
      </c>
    </row>
    <row r="1255" spans="1:3" x14ac:dyDescent="0.3">
      <c r="A1255" s="15" t="s">
        <v>4503</v>
      </c>
      <c r="B1255" s="15" t="s">
        <v>4504</v>
      </c>
      <c r="C1255" s="7">
        <v>2.79</v>
      </c>
    </row>
    <row r="1256" spans="1:3" x14ac:dyDescent="0.3">
      <c r="A1256" s="15" t="s">
        <v>4505</v>
      </c>
      <c r="B1256" s="15" t="s">
        <v>4506</v>
      </c>
      <c r="C1256" s="7">
        <v>3</v>
      </c>
    </row>
    <row r="1257" spans="1:3" x14ac:dyDescent="0.3">
      <c r="A1257" s="15" t="s">
        <v>4507</v>
      </c>
      <c r="B1257" s="15" t="s">
        <v>917</v>
      </c>
      <c r="C1257" s="7">
        <v>4.8600000000000003</v>
      </c>
    </row>
    <row r="1258" spans="1:3" x14ac:dyDescent="0.3">
      <c r="A1258" s="15" t="s">
        <v>4508</v>
      </c>
      <c r="B1258" s="15" t="s">
        <v>916</v>
      </c>
      <c r="C1258" s="7">
        <v>4.29</v>
      </c>
    </row>
    <row r="1259" spans="1:3" x14ac:dyDescent="0.3">
      <c r="A1259" s="15" t="s">
        <v>4509</v>
      </c>
      <c r="B1259" s="15" t="s">
        <v>1279</v>
      </c>
      <c r="C1259" s="7">
        <v>63.88</v>
      </c>
    </row>
    <row r="1260" spans="1:3" x14ac:dyDescent="0.3">
      <c r="A1260" s="15" t="s">
        <v>4510</v>
      </c>
      <c r="B1260" s="15" t="s">
        <v>4511</v>
      </c>
      <c r="C1260" s="7">
        <v>37.1</v>
      </c>
    </row>
    <row r="1261" spans="1:3" x14ac:dyDescent="0.3">
      <c r="A1261" s="15" t="s">
        <v>4512</v>
      </c>
      <c r="B1261" s="15" t="s">
        <v>4513</v>
      </c>
      <c r="C1261" s="7">
        <v>32</v>
      </c>
    </row>
    <row r="1262" spans="1:3" x14ac:dyDescent="0.3">
      <c r="A1262" s="15" t="s">
        <v>4514</v>
      </c>
      <c r="B1262" s="15" t="s">
        <v>2972</v>
      </c>
      <c r="C1262" s="7">
        <v>16.850000000000001</v>
      </c>
    </row>
    <row r="1263" spans="1:3" x14ac:dyDescent="0.3">
      <c r="A1263" s="15" t="s">
        <v>4515</v>
      </c>
      <c r="B1263" s="15" t="s">
        <v>2970</v>
      </c>
      <c r="C1263" s="7">
        <v>18.489999999999998</v>
      </c>
    </row>
    <row r="1264" spans="1:3" x14ac:dyDescent="0.3">
      <c r="A1264" s="15" t="s">
        <v>4516</v>
      </c>
      <c r="B1264" s="15" t="s">
        <v>4517</v>
      </c>
      <c r="C1264" s="7">
        <v>10.84</v>
      </c>
    </row>
    <row r="1265" spans="1:3" x14ac:dyDescent="0.3">
      <c r="A1265" s="15" t="s">
        <v>4518</v>
      </c>
      <c r="B1265" s="15" t="s">
        <v>4519</v>
      </c>
      <c r="C1265" s="7">
        <v>9.36</v>
      </c>
    </row>
    <row r="1266" spans="1:3" x14ac:dyDescent="0.3">
      <c r="A1266" s="15" t="s">
        <v>4520</v>
      </c>
      <c r="B1266" s="15" t="s">
        <v>4521</v>
      </c>
      <c r="C1266" s="7">
        <v>47.91</v>
      </c>
    </row>
    <row r="1267" spans="1:3" x14ac:dyDescent="0.3">
      <c r="A1267" s="15" t="s">
        <v>4522</v>
      </c>
      <c r="B1267" s="15" t="s">
        <v>4523</v>
      </c>
      <c r="C1267" s="7">
        <v>1921.92</v>
      </c>
    </row>
    <row r="1268" spans="1:3" x14ac:dyDescent="0.3">
      <c r="A1268" s="15" t="s">
        <v>4524</v>
      </c>
      <c r="B1268" s="15" t="s">
        <v>4525</v>
      </c>
      <c r="C1268" s="7">
        <v>10.71</v>
      </c>
    </row>
    <row r="1269" spans="1:3" x14ac:dyDescent="0.3">
      <c r="A1269" s="15" t="s">
        <v>4526</v>
      </c>
      <c r="B1269" s="15" t="s">
        <v>4527</v>
      </c>
      <c r="C1269" s="7">
        <v>10.71</v>
      </c>
    </row>
    <row r="1270" spans="1:3" x14ac:dyDescent="0.3">
      <c r="A1270" s="15" t="s">
        <v>4528</v>
      </c>
      <c r="B1270" s="15" t="s">
        <v>1128</v>
      </c>
      <c r="C1270" s="7">
        <v>4.07</v>
      </c>
    </row>
    <row r="1271" spans="1:3" x14ac:dyDescent="0.3">
      <c r="A1271" s="15" t="s">
        <v>4529</v>
      </c>
      <c r="B1271" s="15" t="s">
        <v>4530</v>
      </c>
      <c r="C1271" s="7">
        <v>5.43</v>
      </c>
    </row>
    <row r="1272" spans="1:3" x14ac:dyDescent="0.3">
      <c r="A1272" s="15" t="s">
        <v>4531</v>
      </c>
      <c r="B1272" s="15" t="s">
        <v>4532</v>
      </c>
      <c r="C1272" s="7">
        <v>4.72</v>
      </c>
    </row>
    <row r="1273" spans="1:3" x14ac:dyDescent="0.3">
      <c r="A1273" s="15" t="s">
        <v>4533</v>
      </c>
      <c r="B1273" s="15" t="s">
        <v>1063</v>
      </c>
      <c r="C1273" s="7">
        <v>3.56</v>
      </c>
    </row>
    <row r="1274" spans="1:3" x14ac:dyDescent="0.3">
      <c r="A1274" s="15" t="s">
        <v>4534</v>
      </c>
      <c r="B1274" s="15" t="s">
        <v>1046</v>
      </c>
      <c r="C1274" s="7">
        <v>651.83000000000004</v>
      </c>
    </row>
    <row r="1275" spans="1:3" x14ac:dyDescent="0.3">
      <c r="A1275" s="15" t="s">
        <v>4535</v>
      </c>
      <c r="B1275" s="15" t="s">
        <v>4536</v>
      </c>
      <c r="C1275" s="7">
        <v>27.73</v>
      </c>
    </row>
    <row r="1276" spans="1:3" x14ac:dyDescent="0.3">
      <c r="A1276" s="15" t="s">
        <v>4537</v>
      </c>
      <c r="B1276" s="15" t="s">
        <v>1044</v>
      </c>
      <c r="C1276" s="7">
        <v>387.6</v>
      </c>
    </row>
    <row r="1277" spans="1:3" x14ac:dyDescent="0.3">
      <c r="A1277" s="15" t="s">
        <v>4538</v>
      </c>
      <c r="B1277" s="15" t="s">
        <v>1045</v>
      </c>
      <c r="C1277" s="7">
        <v>620.12</v>
      </c>
    </row>
    <row r="1278" spans="1:3" x14ac:dyDescent="0.3">
      <c r="A1278" s="15" t="s">
        <v>4539</v>
      </c>
      <c r="B1278" s="15" t="s">
        <v>972</v>
      </c>
      <c r="C1278" s="7">
        <v>8.07</v>
      </c>
    </row>
    <row r="1279" spans="1:3" x14ac:dyDescent="0.3">
      <c r="A1279" s="15" t="s">
        <v>4540</v>
      </c>
      <c r="B1279" s="15" t="s">
        <v>922</v>
      </c>
      <c r="C1279" s="7">
        <v>24.38</v>
      </c>
    </row>
    <row r="1280" spans="1:3" x14ac:dyDescent="0.3">
      <c r="A1280" s="15" t="s">
        <v>4541</v>
      </c>
      <c r="B1280" s="15" t="s">
        <v>4542</v>
      </c>
      <c r="C1280" s="7">
        <v>595.57000000000005</v>
      </c>
    </row>
    <row r="1281" spans="1:3" x14ac:dyDescent="0.3">
      <c r="A1281" s="15" t="s">
        <v>4543</v>
      </c>
      <c r="B1281" s="15" t="s">
        <v>946</v>
      </c>
      <c r="C1281" s="7">
        <v>738.3</v>
      </c>
    </row>
    <row r="1282" spans="1:3" x14ac:dyDescent="0.3">
      <c r="A1282" s="15" t="s">
        <v>4544</v>
      </c>
      <c r="B1282" s="15" t="s">
        <v>1052</v>
      </c>
      <c r="C1282" s="7">
        <v>13.34</v>
      </c>
    </row>
    <row r="1283" spans="1:3" x14ac:dyDescent="0.3">
      <c r="A1283" s="15" t="s">
        <v>4545</v>
      </c>
      <c r="B1283" s="15" t="s">
        <v>4546</v>
      </c>
      <c r="C1283" s="7">
        <v>6.48</v>
      </c>
    </row>
    <row r="1284" spans="1:3" x14ac:dyDescent="0.3">
      <c r="A1284" s="15" t="s">
        <v>4547</v>
      </c>
      <c r="B1284" s="15" t="s">
        <v>4548</v>
      </c>
      <c r="C1284" s="7">
        <v>6.12</v>
      </c>
    </row>
    <row r="1285" spans="1:3" x14ac:dyDescent="0.3">
      <c r="A1285" s="15" t="s">
        <v>4549</v>
      </c>
      <c r="B1285" s="15" t="s">
        <v>4550</v>
      </c>
      <c r="C1285" s="7">
        <v>6.39</v>
      </c>
    </row>
    <row r="1286" spans="1:3" x14ac:dyDescent="0.3">
      <c r="A1286" s="15" t="s">
        <v>4551</v>
      </c>
      <c r="B1286" s="15" t="s">
        <v>1053</v>
      </c>
      <c r="C1286" s="7">
        <v>13.34</v>
      </c>
    </row>
    <row r="1287" spans="1:3" x14ac:dyDescent="0.3">
      <c r="A1287" s="15" t="s">
        <v>4552</v>
      </c>
      <c r="B1287" s="15" t="s">
        <v>923</v>
      </c>
      <c r="C1287" s="7">
        <v>24.38</v>
      </c>
    </row>
    <row r="1288" spans="1:3" x14ac:dyDescent="0.3">
      <c r="A1288" s="15" t="s">
        <v>4553</v>
      </c>
      <c r="B1288" s="15" t="s">
        <v>924</v>
      </c>
      <c r="C1288" s="7">
        <v>23.66</v>
      </c>
    </row>
    <row r="1289" spans="1:3" x14ac:dyDescent="0.3">
      <c r="A1289" s="15" t="s">
        <v>4554</v>
      </c>
      <c r="B1289" s="15" t="s">
        <v>4555</v>
      </c>
      <c r="C1289" s="7">
        <v>1365.84</v>
      </c>
    </row>
    <row r="1290" spans="1:3" x14ac:dyDescent="0.3">
      <c r="A1290" s="15" t="s">
        <v>4556</v>
      </c>
      <c r="B1290" s="15" t="s">
        <v>725</v>
      </c>
      <c r="C1290" s="7">
        <v>9.2899999999999991</v>
      </c>
    </row>
    <row r="1291" spans="1:3" x14ac:dyDescent="0.3">
      <c r="A1291" s="15" t="s">
        <v>4557</v>
      </c>
      <c r="B1291" s="15" t="s">
        <v>722</v>
      </c>
      <c r="C1291" s="7">
        <v>5.68</v>
      </c>
    </row>
    <row r="1292" spans="1:3" x14ac:dyDescent="0.3">
      <c r="A1292" s="15" t="s">
        <v>4558</v>
      </c>
      <c r="B1292" s="15" t="s">
        <v>723</v>
      </c>
      <c r="C1292" s="7">
        <v>10.9275</v>
      </c>
    </row>
    <row r="1293" spans="1:3" x14ac:dyDescent="0.3">
      <c r="A1293" s="15" t="s">
        <v>4559</v>
      </c>
      <c r="B1293" s="15" t="s">
        <v>741</v>
      </c>
      <c r="C1293" s="7">
        <v>3.94</v>
      </c>
    </row>
    <row r="1294" spans="1:3" x14ac:dyDescent="0.3">
      <c r="A1294" s="15" t="s">
        <v>4560</v>
      </c>
      <c r="B1294" s="15" t="s">
        <v>724</v>
      </c>
      <c r="C1294" s="7">
        <v>3.92</v>
      </c>
    </row>
    <row r="1295" spans="1:3" x14ac:dyDescent="0.3">
      <c r="A1295" s="15" t="s">
        <v>4561</v>
      </c>
      <c r="B1295" s="15" t="s">
        <v>718</v>
      </c>
      <c r="C1295" s="7">
        <v>2.58</v>
      </c>
    </row>
    <row r="1296" spans="1:3" x14ac:dyDescent="0.3">
      <c r="A1296" s="15" t="s">
        <v>4562</v>
      </c>
      <c r="B1296" s="15" t="s">
        <v>720</v>
      </c>
      <c r="C1296" s="7">
        <v>2.5299999999999998</v>
      </c>
    </row>
    <row r="1297" spans="1:3" x14ac:dyDescent="0.3">
      <c r="A1297" s="15" t="s">
        <v>4563</v>
      </c>
      <c r="B1297" s="15" t="s">
        <v>716</v>
      </c>
      <c r="C1297" s="7">
        <v>3.43</v>
      </c>
    </row>
    <row r="1298" spans="1:3" x14ac:dyDescent="0.3">
      <c r="A1298" s="15" t="s">
        <v>4564</v>
      </c>
      <c r="B1298" s="15" t="s">
        <v>715</v>
      </c>
      <c r="C1298" s="7">
        <v>10.61</v>
      </c>
    </row>
    <row r="1299" spans="1:3" x14ac:dyDescent="0.3">
      <c r="A1299" s="15" t="s">
        <v>4565</v>
      </c>
      <c r="B1299" s="15" t="s">
        <v>719</v>
      </c>
      <c r="C1299" s="7">
        <v>4.76</v>
      </c>
    </row>
    <row r="1300" spans="1:3" x14ac:dyDescent="0.3">
      <c r="A1300" s="15" t="s">
        <v>4566</v>
      </c>
      <c r="B1300" s="15" t="s">
        <v>717</v>
      </c>
      <c r="C1300" s="7">
        <v>2.97</v>
      </c>
    </row>
    <row r="1301" spans="1:3" x14ac:dyDescent="0.3">
      <c r="A1301" s="15" t="s">
        <v>4567</v>
      </c>
      <c r="B1301" s="15" t="s">
        <v>4568</v>
      </c>
      <c r="C1301" s="7">
        <v>2.2999999999999998</v>
      </c>
    </row>
    <row r="1302" spans="1:3" x14ac:dyDescent="0.3">
      <c r="A1302" s="15" t="s">
        <v>4569</v>
      </c>
      <c r="B1302" s="15" t="s">
        <v>929</v>
      </c>
      <c r="C1302" s="7">
        <v>992.56</v>
      </c>
    </row>
    <row r="1303" spans="1:3" x14ac:dyDescent="0.3">
      <c r="A1303" s="15" t="s">
        <v>4570</v>
      </c>
      <c r="B1303" s="15" t="s">
        <v>939</v>
      </c>
      <c r="C1303" s="7">
        <v>699.3</v>
      </c>
    </row>
    <row r="1304" spans="1:3" x14ac:dyDescent="0.3">
      <c r="A1304" s="15" t="s">
        <v>4571</v>
      </c>
      <c r="B1304" s="15" t="s">
        <v>1037</v>
      </c>
      <c r="C1304" s="7">
        <v>484.93</v>
      </c>
    </row>
    <row r="1305" spans="1:3" x14ac:dyDescent="0.3">
      <c r="A1305" s="15" t="s">
        <v>4572</v>
      </c>
      <c r="B1305" s="15" t="s">
        <v>4573</v>
      </c>
      <c r="C1305" s="7">
        <v>3.39</v>
      </c>
    </row>
    <row r="1306" spans="1:3" x14ac:dyDescent="0.3">
      <c r="A1306" s="15" t="s">
        <v>4574</v>
      </c>
      <c r="B1306" s="15" t="s">
        <v>4575</v>
      </c>
      <c r="C1306" s="7">
        <v>5.32</v>
      </c>
    </row>
    <row r="1307" spans="1:3" x14ac:dyDescent="0.3">
      <c r="A1307" s="15" t="s">
        <v>4576</v>
      </c>
      <c r="B1307" s="15" t="s">
        <v>4577</v>
      </c>
      <c r="C1307" s="7">
        <v>9.7200000000000006</v>
      </c>
    </row>
    <row r="1308" spans="1:3" x14ac:dyDescent="0.3">
      <c r="A1308" s="15" t="s">
        <v>4578</v>
      </c>
      <c r="B1308" s="15" t="s">
        <v>4579</v>
      </c>
      <c r="C1308" s="7">
        <v>4.6100000000000003</v>
      </c>
    </row>
    <row r="1309" spans="1:3" x14ac:dyDescent="0.3">
      <c r="A1309" s="15" t="s">
        <v>4580</v>
      </c>
      <c r="B1309" s="15" t="s">
        <v>4581</v>
      </c>
      <c r="C1309" s="7">
        <v>1.69</v>
      </c>
    </row>
    <row r="1310" spans="1:3" x14ac:dyDescent="0.3">
      <c r="A1310" s="15" t="s">
        <v>4582</v>
      </c>
      <c r="B1310" s="15" t="s">
        <v>4583</v>
      </c>
      <c r="C1310" s="7">
        <v>2.42</v>
      </c>
    </row>
    <row r="1311" spans="1:3" x14ac:dyDescent="0.3">
      <c r="A1311" s="15" t="s">
        <v>4584</v>
      </c>
      <c r="B1311" s="15" t="s">
        <v>4585</v>
      </c>
      <c r="C1311" s="7">
        <v>3444.52</v>
      </c>
    </row>
    <row r="1312" spans="1:3" x14ac:dyDescent="0.3">
      <c r="A1312" s="15" t="s">
        <v>4586</v>
      </c>
      <c r="B1312" s="15" t="s">
        <v>919</v>
      </c>
      <c r="C1312" s="7">
        <v>1806.74</v>
      </c>
    </row>
    <row r="1313" spans="1:3" x14ac:dyDescent="0.3">
      <c r="A1313" s="15" t="s">
        <v>4587</v>
      </c>
      <c r="B1313" s="15" t="s">
        <v>1004</v>
      </c>
      <c r="C1313" s="7">
        <v>424.04</v>
      </c>
    </row>
    <row r="1314" spans="1:3" x14ac:dyDescent="0.3">
      <c r="A1314" s="15" t="s">
        <v>4588</v>
      </c>
      <c r="B1314" s="15" t="s">
        <v>1210</v>
      </c>
      <c r="C1314" s="7">
        <v>7.0549999999999997</v>
      </c>
    </row>
    <row r="1315" spans="1:3" x14ac:dyDescent="0.3">
      <c r="A1315" s="15" t="s">
        <v>4589</v>
      </c>
      <c r="B1315" s="15" t="s">
        <v>4590</v>
      </c>
      <c r="C1315" s="7">
        <v>10.465</v>
      </c>
    </row>
    <row r="1316" spans="1:3" x14ac:dyDescent="0.3">
      <c r="A1316" s="15" t="s">
        <v>4591</v>
      </c>
      <c r="B1316" s="15" t="s">
        <v>4592</v>
      </c>
      <c r="C1316" s="7">
        <v>11.77</v>
      </c>
    </row>
    <row r="1317" spans="1:3" x14ac:dyDescent="0.3">
      <c r="A1317" s="15" t="s">
        <v>4593</v>
      </c>
      <c r="B1317" s="15" t="s">
        <v>4594</v>
      </c>
      <c r="C1317" s="7">
        <v>5.4450000000000003</v>
      </c>
    </row>
    <row r="1318" spans="1:3" x14ac:dyDescent="0.3">
      <c r="A1318" s="15" t="s">
        <v>4595</v>
      </c>
      <c r="B1318" s="15" t="s">
        <v>4596</v>
      </c>
      <c r="C1318" s="7">
        <v>3.8224999999999998</v>
      </c>
    </row>
    <row r="1319" spans="1:3" x14ac:dyDescent="0.3">
      <c r="A1319" s="15" t="s">
        <v>4597</v>
      </c>
      <c r="B1319" s="15" t="s">
        <v>4598</v>
      </c>
      <c r="C1319" s="7">
        <v>2.21</v>
      </c>
    </row>
    <row r="1320" spans="1:3" x14ac:dyDescent="0.3">
      <c r="A1320" s="15" t="s">
        <v>4599</v>
      </c>
      <c r="B1320" s="15" t="s">
        <v>4600</v>
      </c>
      <c r="C1320" s="7">
        <v>8.49</v>
      </c>
    </row>
    <row r="1321" spans="1:3" x14ac:dyDescent="0.3">
      <c r="A1321" s="15" t="s">
        <v>4601</v>
      </c>
      <c r="B1321" s="15" t="s">
        <v>4602</v>
      </c>
      <c r="C1321" s="7">
        <v>4.59</v>
      </c>
    </row>
    <row r="1322" spans="1:3" x14ac:dyDescent="0.3">
      <c r="A1322" s="15" t="s">
        <v>4603</v>
      </c>
      <c r="B1322" s="15" t="s">
        <v>4604</v>
      </c>
      <c r="C1322" s="7">
        <v>19.03</v>
      </c>
    </row>
    <row r="1323" spans="1:3" x14ac:dyDescent="0.3">
      <c r="A1323" s="15" t="s">
        <v>4605</v>
      </c>
      <c r="B1323" s="15" t="s">
        <v>4606</v>
      </c>
      <c r="C1323" s="7">
        <v>10.095000000000001</v>
      </c>
    </row>
    <row r="1324" spans="1:3" x14ac:dyDescent="0.3">
      <c r="A1324" s="15" t="s">
        <v>4607</v>
      </c>
      <c r="B1324" s="15" t="s">
        <v>4608</v>
      </c>
      <c r="C1324" s="7">
        <v>14.17</v>
      </c>
    </row>
    <row r="1325" spans="1:3" x14ac:dyDescent="0.3">
      <c r="A1325" s="15" t="s">
        <v>4609</v>
      </c>
      <c r="B1325" s="15" t="s">
        <v>4610</v>
      </c>
      <c r="C1325" s="7">
        <v>2.9950000000000001</v>
      </c>
    </row>
    <row r="1326" spans="1:3" x14ac:dyDescent="0.3">
      <c r="A1326" s="15" t="s">
        <v>4611</v>
      </c>
      <c r="B1326" s="15" t="s">
        <v>4612</v>
      </c>
      <c r="C1326" s="7">
        <v>2.81</v>
      </c>
    </row>
    <row r="1327" spans="1:3" x14ac:dyDescent="0.3">
      <c r="A1327" s="15" t="s">
        <v>4613</v>
      </c>
      <c r="B1327" s="15" t="s">
        <v>4614</v>
      </c>
      <c r="C1327" s="7">
        <v>3.13</v>
      </c>
    </row>
    <row r="1328" spans="1:3" x14ac:dyDescent="0.3">
      <c r="A1328" s="15" t="s">
        <v>4615</v>
      </c>
      <c r="B1328" s="15" t="s">
        <v>4616</v>
      </c>
      <c r="C1328" s="7">
        <v>2.7789999999999999</v>
      </c>
    </row>
    <row r="1329" spans="1:3" x14ac:dyDescent="0.3">
      <c r="A1329" s="15" t="s">
        <v>4617</v>
      </c>
      <c r="B1329" s="15" t="s">
        <v>4618</v>
      </c>
      <c r="C1329" s="7">
        <v>2.44</v>
      </c>
    </row>
    <row r="1330" spans="1:3" x14ac:dyDescent="0.3">
      <c r="A1330" s="15" t="s">
        <v>4619</v>
      </c>
      <c r="B1330" s="15" t="s">
        <v>4620</v>
      </c>
      <c r="C1330" s="7">
        <v>4.0549999999999997</v>
      </c>
    </row>
    <row r="1331" spans="1:3" x14ac:dyDescent="0.3">
      <c r="A1331" s="15" t="s">
        <v>4621</v>
      </c>
      <c r="B1331" s="15" t="s">
        <v>4622</v>
      </c>
      <c r="C1331" s="7">
        <v>5.21</v>
      </c>
    </row>
    <row r="1332" spans="1:3" x14ac:dyDescent="0.3">
      <c r="A1332" s="15" t="s">
        <v>4623</v>
      </c>
      <c r="B1332" s="15" t="s">
        <v>4624</v>
      </c>
      <c r="C1332" s="7">
        <v>6.01</v>
      </c>
    </row>
    <row r="1333" spans="1:3" x14ac:dyDescent="0.3">
      <c r="A1333" s="15" t="s">
        <v>4625</v>
      </c>
      <c r="B1333" s="15" t="s">
        <v>4626</v>
      </c>
      <c r="C1333" s="7">
        <v>3.25</v>
      </c>
    </row>
    <row r="1334" spans="1:3" x14ac:dyDescent="0.3">
      <c r="A1334" s="15" t="s">
        <v>4627</v>
      </c>
      <c r="B1334" s="15" t="s">
        <v>4628</v>
      </c>
      <c r="C1334" s="7">
        <v>6.43</v>
      </c>
    </row>
    <row r="1335" spans="1:3" x14ac:dyDescent="0.3">
      <c r="A1335" s="15" t="s">
        <v>4629</v>
      </c>
      <c r="B1335" s="15" t="s">
        <v>4630</v>
      </c>
      <c r="C1335" s="7">
        <v>4.8099999999999996</v>
      </c>
    </row>
    <row r="1336" spans="1:3" x14ac:dyDescent="0.3">
      <c r="A1336" s="15" t="s">
        <v>4631</v>
      </c>
      <c r="B1336" s="15" t="s">
        <v>4632</v>
      </c>
      <c r="C1336" s="7">
        <v>3.1349999999999998</v>
      </c>
    </row>
    <row r="1337" spans="1:3" x14ac:dyDescent="0.3">
      <c r="A1337" s="15" t="s">
        <v>4633</v>
      </c>
      <c r="B1337" s="15" t="s">
        <v>4634</v>
      </c>
      <c r="C1337" s="7">
        <v>7.2249999999999996</v>
      </c>
    </row>
    <row r="1338" spans="1:3" x14ac:dyDescent="0.3">
      <c r="A1338" s="15" t="s">
        <v>4635</v>
      </c>
      <c r="B1338" s="15" t="s">
        <v>1121</v>
      </c>
      <c r="C1338" s="7">
        <v>8.1</v>
      </c>
    </row>
    <row r="1339" spans="1:3" x14ac:dyDescent="0.3">
      <c r="A1339" s="15" t="s">
        <v>4636</v>
      </c>
      <c r="B1339" s="15" t="s">
        <v>1123</v>
      </c>
      <c r="C1339" s="7">
        <v>6.93</v>
      </c>
    </row>
    <row r="1340" spans="1:3" x14ac:dyDescent="0.3">
      <c r="A1340" s="15" t="s">
        <v>4637</v>
      </c>
      <c r="B1340" s="15" t="s">
        <v>4638</v>
      </c>
      <c r="C1340" s="7">
        <v>11.19</v>
      </c>
    </row>
    <row r="1341" spans="1:3" x14ac:dyDescent="0.3">
      <c r="A1341" s="15" t="s">
        <v>4639</v>
      </c>
      <c r="B1341" s="15" t="s">
        <v>4640</v>
      </c>
      <c r="C1341" s="7">
        <v>10.5</v>
      </c>
    </row>
    <row r="1342" spans="1:3" x14ac:dyDescent="0.3">
      <c r="A1342" s="15" t="s">
        <v>4641</v>
      </c>
      <c r="B1342" s="15" t="s">
        <v>4642</v>
      </c>
      <c r="C1342" s="7">
        <v>22.11</v>
      </c>
    </row>
    <row r="1343" spans="1:3" x14ac:dyDescent="0.3">
      <c r="A1343" s="15" t="s">
        <v>4643</v>
      </c>
      <c r="B1343" s="15" t="s">
        <v>768</v>
      </c>
      <c r="C1343" s="7">
        <v>142.63</v>
      </c>
    </row>
    <row r="1344" spans="1:3" x14ac:dyDescent="0.3">
      <c r="A1344" s="15" t="s">
        <v>4644</v>
      </c>
      <c r="B1344" s="15" t="s">
        <v>773</v>
      </c>
      <c r="C1344" s="7">
        <v>108.49</v>
      </c>
    </row>
    <row r="1345" spans="1:3" x14ac:dyDescent="0.3">
      <c r="A1345" s="15" t="s">
        <v>4645</v>
      </c>
      <c r="B1345" s="15" t="s">
        <v>772</v>
      </c>
      <c r="C1345" s="7">
        <v>111.75</v>
      </c>
    </row>
    <row r="1346" spans="1:3" x14ac:dyDescent="0.3">
      <c r="A1346" s="15" t="s">
        <v>4646</v>
      </c>
      <c r="B1346" s="15" t="s">
        <v>739</v>
      </c>
      <c r="C1346" s="7">
        <v>16.97</v>
      </c>
    </row>
    <row r="1347" spans="1:3" x14ac:dyDescent="0.3">
      <c r="A1347" s="15" t="s">
        <v>4647</v>
      </c>
      <c r="B1347" s="15" t="s">
        <v>961</v>
      </c>
      <c r="C1347" s="7">
        <v>42.97</v>
      </c>
    </row>
    <row r="1348" spans="1:3" x14ac:dyDescent="0.3">
      <c r="A1348" s="15" t="s">
        <v>4648</v>
      </c>
      <c r="B1348" s="15" t="s">
        <v>4649</v>
      </c>
      <c r="C1348" s="7">
        <v>187.19</v>
      </c>
    </row>
    <row r="1349" spans="1:3" x14ac:dyDescent="0.3">
      <c r="A1349" s="15" t="s">
        <v>4650</v>
      </c>
      <c r="B1349" s="15" t="s">
        <v>4651</v>
      </c>
      <c r="C1349" s="7">
        <v>45.35</v>
      </c>
    </row>
    <row r="1350" spans="1:3" x14ac:dyDescent="0.3">
      <c r="A1350" s="15" t="s">
        <v>4652</v>
      </c>
      <c r="B1350" s="15" t="s">
        <v>1202</v>
      </c>
      <c r="C1350" s="7">
        <v>87.85</v>
      </c>
    </row>
    <row r="1351" spans="1:3" x14ac:dyDescent="0.3">
      <c r="A1351" s="15" t="s">
        <v>4653</v>
      </c>
      <c r="B1351" s="15" t="s">
        <v>1203</v>
      </c>
      <c r="C1351" s="7">
        <v>326.19</v>
      </c>
    </row>
    <row r="1352" spans="1:3" x14ac:dyDescent="0.3">
      <c r="A1352" s="15" t="s">
        <v>4654</v>
      </c>
      <c r="B1352" s="15" t="s">
        <v>1309</v>
      </c>
      <c r="C1352" s="7">
        <v>34.18</v>
      </c>
    </row>
    <row r="1353" spans="1:3" x14ac:dyDescent="0.3">
      <c r="A1353" s="15" t="s">
        <v>4655</v>
      </c>
      <c r="B1353" s="15" t="s">
        <v>1310</v>
      </c>
      <c r="C1353" s="7">
        <v>52.9</v>
      </c>
    </row>
    <row r="1354" spans="1:3" x14ac:dyDescent="0.3">
      <c r="A1354" s="15" t="s">
        <v>4656</v>
      </c>
      <c r="B1354" s="15" t="s">
        <v>4657</v>
      </c>
      <c r="C1354" s="7">
        <v>78.05</v>
      </c>
    </row>
    <row r="1355" spans="1:3" x14ac:dyDescent="0.3">
      <c r="A1355" s="15" t="s">
        <v>4658</v>
      </c>
      <c r="B1355" s="15" t="s">
        <v>1285</v>
      </c>
      <c r="C1355" s="7">
        <v>62.58</v>
      </c>
    </row>
    <row r="1356" spans="1:3" x14ac:dyDescent="0.3">
      <c r="A1356" s="15" t="s">
        <v>4659</v>
      </c>
      <c r="B1356" s="15" t="s">
        <v>1288</v>
      </c>
      <c r="C1356" s="7">
        <v>33.54</v>
      </c>
    </row>
    <row r="1357" spans="1:3" x14ac:dyDescent="0.3">
      <c r="A1357" s="15" t="s">
        <v>4660</v>
      </c>
      <c r="B1357" s="15" t="s">
        <v>1286</v>
      </c>
      <c r="C1357" s="7">
        <v>33.54</v>
      </c>
    </row>
    <row r="1358" spans="1:3" x14ac:dyDescent="0.3">
      <c r="A1358" s="15" t="s">
        <v>4661</v>
      </c>
      <c r="B1358" s="15" t="s">
        <v>1289</v>
      </c>
      <c r="C1358" s="7">
        <v>62.57</v>
      </c>
    </row>
    <row r="1359" spans="1:3" x14ac:dyDescent="0.3">
      <c r="A1359" s="15" t="s">
        <v>4662</v>
      </c>
      <c r="B1359" s="15" t="s">
        <v>1287</v>
      </c>
      <c r="C1359" s="7">
        <v>62.36</v>
      </c>
    </row>
    <row r="1360" spans="1:3" x14ac:dyDescent="0.3">
      <c r="A1360" s="15" t="s">
        <v>4663</v>
      </c>
      <c r="B1360" s="15" t="s">
        <v>1283</v>
      </c>
      <c r="C1360" s="7">
        <v>40.43</v>
      </c>
    </row>
    <row r="1361" spans="1:3" x14ac:dyDescent="0.3">
      <c r="A1361" s="15" t="s">
        <v>4664</v>
      </c>
      <c r="B1361" s="15" t="s">
        <v>1281</v>
      </c>
      <c r="C1361" s="7">
        <v>40.43</v>
      </c>
    </row>
    <row r="1362" spans="1:3" x14ac:dyDescent="0.3">
      <c r="A1362" s="15" t="s">
        <v>4665</v>
      </c>
      <c r="B1362" s="15" t="s">
        <v>1284</v>
      </c>
      <c r="C1362" s="7">
        <v>82.77</v>
      </c>
    </row>
    <row r="1363" spans="1:3" x14ac:dyDescent="0.3">
      <c r="A1363" s="15" t="s">
        <v>4666</v>
      </c>
      <c r="B1363" s="15" t="s">
        <v>1282</v>
      </c>
      <c r="C1363" s="7">
        <v>82.77</v>
      </c>
    </row>
    <row r="1364" spans="1:3" x14ac:dyDescent="0.3">
      <c r="A1364" s="15" t="s">
        <v>4667</v>
      </c>
      <c r="B1364" s="15" t="s">
        <v>1315</v>
      </c>
      <c r="C1364" s="7">
        <v>144.38</v>
      </c>
    </row>
    <row r="1365" spans="1:3" x14ac:dyDescent="0.3">
      <c r="A1365" s="15" t="s">
        <v>4668</v>
      </c>
      <c r="B1365" s="15" t="s">
        <v>4669</v>
      </c>
      <c r="C1365" s="7">
        <v>11.82</v>
      </c>
    </row>
    <row r="1366" spans="1:3" x14ac:dyDescent="0.3">
      <c r="A1366" s="15" t="s">
        <v>4670</v>
      </c>
      <c r="B1366" s="15" t="s">
        <v>4671</v>
      </c>
      <c r="C1366" s="7">
        <v>12.45</v>
      </c>
    </row>
    <row r="1367" spans="1:3" x14ac:dyDescent="0.3">
      <c r="A1367" s="15" t="s">
        <v>4672</v>
      </c>
      <c r="B1367" s="15" t="s">
        <v>4673</v>
      </c>
      <c r="C1367" s="7">
        <v>1.83</v>
      </c>
    </row>
    <row r="1368" spans="1:3" x14ac:dyDescent="0.3">
      <c r="A1368" s="15" t="s">
        <v>4674</v>
      </c>
      <c r="B1368" s="15" t="s">
        <v>4675</v>
      </c>
      <c r="C1368" s="7">
        <v>9.09</v>
      </c>
    </row>
    <row r="1369" spans="1:3" x14ac:dyDescent="0.3">
      <c r="A1369" s="15" t="s">
        <v>4676</v>
      </c>
      <c r="B1369" s="15" t="s">
        <v>4677</v>
      </c>
      <c r="C1369" s="7">
        <v>6.78</v>
      </c>
    </row>
    <row r="1370" spans="1:3" x14ac:dyDescent="0.3">
      <c r="A1370" s="15" t="s">
        <v>4678</v>
      </c>
      <c r="B1370" s="15" t="s">
        <v>4679</v>
      </c>
      <c r="C1370" s="7">
        <v>5.4</v>
      </c>
    </row>
    <row r="1371" spans="1:3" x14ac:dyDescent="0.3">
      <c r="A1371" s="15" t="s">
        <v>4680</v>
      </c>
      <c r="B1371" s="15" t="s">
        <v>4681</v>
      </c>
      <c r="C1371" s="7">
        <v>37.700000000000003</v>
      </c>
    </row>
    <row r="1372" spans="1:3" x14ac:dyDescent="0.3">
      <c r="A1372" s="15" t="s">
        <v>4682</v>
      </c>
      <c r="B1372" s="15" t="s">
        <v>4683</v>
      </c>
      <c r="C1372" s="7">
        <v>15.89</v>
      </c>
    </row>
    <row r="1373" spans="1:3" x14ac:dyDescent="0.3">
      <c r="A1373" s="15" t="s">
        <v>4684</v>
      </c>
      <c r="B1373" s="15" t="s">
        <v>4685</v>
      </c>
      <c r="C1373" s="7">
        <v>46.3</v>
      </c>
    </row>
    <row r="1374" spans="1:3" x14ac:dyDescent="0.3">
      <c r="A1374" s="15" t="s">
        <v>4686</v>
      </c>
      <c r="B1374" s="15" t="s">
        <v>4687</v>
      </c>
      <c r="C1374" s="7">
        <v>15.89</v>
      </c>
    </row>
    <row r="1375" spans="1:3" x14ac:dyDescent="0.3">
      <c r="A1375" s="15" t="s">
        <v>4688</v>
      </c>
      <c r="B1375" s="15" t="s">
        <v>4689</v>
      </c>
      <c r="C1375" s="7">
        <v>46.3</v>
      </c>
    </row>
    <row r="1376" spans="1:3" x14ac:dyDescent="0.3">
      <c r="A1376" s="15" t="s">
        <v>4690</v>
      </c>
      <c r="B1376" s="15" t="s">
        <v>4691</v>
      </c>
      <c r="C1376" s="7">
        <v>15.89</v>
      </c>
    </row>
    <row r="1377" spans="1:3" x14ac:dyDescent="0.3">
      <c r="A1377" s="15" t="s">
        <v>4692</v>
      </c>
      <c r="B1377" s="15" t="s">
        <v>4693</v>
      </c>
      <c r="C1377" s="7">
        <v>46.3</v>
      </c>
    </row>
    <row r="1378" spans="1:3" x14ac:dyDescent="0.3">
      <c r="A1378" s="15" t="s">
        <v>4694</v>
      </c>
      <c r="B1378" s="15" t="s">
        <v>1060</v>
      </c>
      <c r="C1378" s="7">
        <v>57.17</v>
      </c>
    </row>
    <row r="1379" spans="1:3" x14ac:dyDescent="0.3">
      <c r="A1379" s="15" t="s">
        <v>4695</v>
      </c>
      <c r="B1379" s="15" t="s">
        <v>1012</v>
      </c>
      <c r="C1379" s="7">
        <v>27.71</v>
      </c>
    </row>
    <row r="1380" spans="1:3" x14ac:dyDescent="0.3">
      <c r="A1380" s="15" t="s">
        <v>4696</v>
      </c>
      <c r="B1380" s="15" t="s">
        <v>1241</v>
      </c>
      <c r="C1380" s="7">
        <v>22.29</v>
      </c>
    </row>
    <row r="1381" spans="1:3" x14ac:dyDescent="0.3">
      <c r="A1381" s="15" t="s">
        <v>4697</v>
      </c>
      <c r="B1381" s="15" t="s">
        <v>1239</v>
      </c>
      <c r="C1381" s="7">
        <v>22.29</v>
      </c>
    </row>
    <row r="1382" spans="1:3" x14ac:dyDescent="0.3">
      <c r="A1382" s="15" t="s">
        <v>4698</v>
      </c>
      <c r="B1382" s="15" t="s">
        <v>1246</v>
      </c>
      <c r="C1382" s="7">
        <v>18.95</v>
      </c>
    </row>
    <row r="1383" spans="1:3" x14ac:dyDescent="0.3">
      <c r="A1383" s="15" t="s">
        <v>4699</v>
      </c>
      <c r="B1383" s="15" t="s">
        <v>1247</v>
      </c>
      <c r="C1383" s="7">
        <v>18.95</v>
      </c>
    </row>
    <row r="1384" spans="1:3" x14ac:dyDescent="0.3">
      <c r="A1384" s="15" t="s">
        <v>4700</v>
      </c>
      <c r="B1384" s="15" t="s">
        <v>1248</v>
      </c>
      <c r="C1384" s="7">
        <v>18.95</v>
      </c>
    </row>
    <row r="1385" spans="1:3" x14ac:dyDescent="0.3">
      <c r="A1385" s="15" t="s">
        <v>4701</v>
      </c>
      <c r="B1385" s="15" t="s">
        <v>1249</v>
      </c>
      <c r="C1385" s="7">
        <v>18.95</v>
      </c>
    </row>
    <row r="1386" spans="1:3" x14ac:dyDescent="0.3">
      <c r="A1386" s="15" t="s">
        <v>4702</v>
      </c>
      <c r="B1386" s="15" t="s">
        <v>1240</v>
      </c>
      <c r="C1386" s="7">
        <v>22.29</v>
      </c>
    </row>
    <row r="1387" spans="1:3" x14ac:dyDescent="0.3">
      <c r="A1387" s="15" t="s">
        <v>4703</v>
      </c>
      <c r="B1387" s="15" t="s">
        <v>1238</v>
      </c>
      <c r="C1387" s="7">
        <v>22.29</v>
      </c>
    </row>
    <row r="1388" spans="1:3" x14ac:dyDescent="0.3">
      <c r="A1388" s="15" t="s">
        <v>4704</v>
      </c>
      <c r="B1388" s="15" t="s">
        <v>1237</v>
      </c>
      <c r="C1388" s="7">
        <v>22.29</v>
      </c>
    </row>
    <row r="1389" spans="1:3" x14ac:dyDescent="0.3">
      <c r="A1389" s="15" t="s">
        <v>4705</v>
      </c>
      <c r="B1389" s="15" t="s">
        <v>1244</v>
      </c>
      <c r="C1389" s="7">
        <v>22.29</v>
      </c>
    </row>
    <row r="1390" spans="1:3" x14ac:dyDescent="0.3">
      <c r="A1390" s="15" t="s">
        <v>4706</v>
      </c>
      <c r="B1390" s="15" t="s">
        <v>1242</v>
      </c>
      <c r="C1390" s="7">
        <v>22.29</v>
      </c>
    </row>
    <row r="1391" spans="1:3" x14ac:dyDescent="0.3">
      <c r="A1391" s="15" t="s">
        <v>4707</v>
      </c>
      <c r="B1391" s="15" t="s">
        <v>1243</v>
      </c>
      <c r="C1391" s="7">
        <v>22.29</v>
      </c>
    </row>
    <row r="1392" spans="1:3" x14ac:dyDescent="0.3">
      <c r="A1392" s="15" t="s">
        <v>4708</v>
      </c>
      <c r="B1392" s="15" t="s">
        <v>811</v>
      </c>
      <c r="C1392" s="7">
        <v>26.29</v>
      </c>
    </row>
    <row r="1393" spans="1:3" x14ac:dyDescent="0.3">
      <c r="A1393" s="15" t="s">
        <v>4709</v>
      </c>
      <c r="B1393" s="15" t="s">
        <v>808</v>
      </c>
      <c r="C1393" s="7">
        <v>26.29</v>
      </c>
    </row>
    <row r="1394" spans="1:3" x14ac:dyDescent="0.3">
      <c r="A1394" s="15" t="s">
        <v>4710</v>
      </c>
      <c r="B1394" s="15" t="s">
        <v>805</v>
      </c>
      <c r="C1394" s="7">
        <v>26.29</v>
      </c>
    </row>
    <row r="1395" spans="1:3" x14ac:dyDescent="0.3">
      <c r="A1395" s="15" t="s">
        <v>4711</v>
      </c>
      <c r="B1395" s="15" t="s">
        <v>813</v>
      </c>
      <c r="C1395" s="7">
        <v>26.29</v>
      </c>
    </row>
    <row r="1396" spans="1:3" x14ac:dyDescent="0.3">
      <c r="A1396" s="15" t="s">
        <v>4712</v>
      </c>
      <c r="B1396" s="15" t="s">
        <v>810</v>
      </c>
      <c r="C1396" s="7">
        <v>26.29</v>
      </c>
    </row>
    <row r="1397" spans="1:3" x14ac:dyDescent="0.3">
      <c r="A1397" s="15" t="s">
        <v>4713</v>
      </c>
      <c r="B1397" s="15" t="s">
        <v>807</v>
      </c>
      <c r="C1397" s="7">
        <v>26.29</v>
      </c>
    </row>
    <row r="1398" spans="1:3" x14ac:dyDescent="0.3">
      <c r="A1398" s="15" t="s">
        <v>4714</v>
      </c>
      <c r="B1398" s="15" t="s">
        <v>804</v>
      </c>
      <c r="C1398" s="7">
        <v>26.29</v>
      </c>
    </row>
    <row r="1399" spans="1:3" x14ac:dyDescent="0.3">
      <c r="A1399" s="15" t="s">
        <v>4715</v>
      </c>
      <c r="B1399" s="15" t="s">
        <v>815</v>
      </c>
      <c r="C1399" s="7">
        <v>26.29</v>
      </c>
    </row>
    <row r="1400" spans="1:3" x14ac:dyDescent="0.3">
      <c r="A1400" s="15" t="s">
        <v>4716</v>
      </c>
      <c r="B1400" s="15" t="s">
        <v>966</v>
      </c>
      <c r="C1400" s="7">
        <v>34.28</v>
      </c>
    </row>
    <row r="1401" spans="1:3" x14ac:dyDescent="0.3">
      <c r="A1401" s="15" t="s">
        <v>4717</v>
      </c>
      <c r="B1401" s="15" t="s">
        <v>898</v>
      </c>
      <c r="C1401" s="7">
        <v>21.92</v>
      </c>
    </row>
    <row r="1402" spans="1:3" x14ac:dyDescent="0.3">
      <c r="A1402" s="15" t="s">
        <v>4718</v>
      </c>
      <c r="B1402" s="15" t="s">
        <v>899</v>
      </c>
      <c r="C1402" s="7">
        <v>21.92</v>
      </c>
    </row>
    <row r="1403" spans="1:3" x14ac:dyDescent="0.3">
      <c r="A1403" s="15" t="s">
        <v>4719</v>
      </c>
      <c r="B1403" s="15" t="s">
        <v>900</v>
      </c>
      <c r="C1403" s="7">
        <v>21.92</v>
      </c>
    </row>
    <row r="1404" spans="1:3" x14ac:dyDescent="0.3">
      <c r="A1404" s="15" t="s">
        <v>4720</v>
      </c>
      <c r="B1404" s="15" t="s">
        <v>814</v>
      </c>
      <c r="C1404" s="7">
        <v>26.29</v>
      </c>
    </row>
    <row r="1405" spans="1:3" x14ac:dyDescent="0.3">
      <c r="A1405" s="15" t="s">
        <v>4721</v>
      </c>
      <c r="B1405" s="15" t="s">
        <v>812</v>
      </c>
      <c r="C1405" s="7">
        <v>26.29</v>
      </c>
    </row>
    <row r="1406" spans="1:3" x14ac:dyDescent="0.3">
      <c r="A1406" s="15" t="s">
        <v>4722</v>
      </c>
      <c r="B1406" s="15" t="s">
        <v>809</v>
      </c>
      <c r="C1406" s="7">
        <v>26.29</v>
      </c>
    </row>
    <row r="1407" spans="1:3" x14ac:dyDescent="0.3">
      <c r="A1407" s="15" t="s">
        <v>4723</v>
      </c>
      <c r="B1407" s="15" t="s">
        <v>806</v>
      </c>
      <c r="C1407" s="7">
        <v>26.29</v>
      </c>
    </row>
    <row r="1408" spans="1:3" x14ac:dyDescent="0.3">
      <c r="A1408" s="15" t="s">
        <v>4724</v>
      </c>
      <c r="B1408" s="15" t="s">
        <v>1015</v>
      </c>
      <c r="C1408" s="7">
        <v>43.5</v>
      </c>
    </row>
    <row r="1409" spans="1:3" x14ac:dyDescent="0.3">
      <c r="A1409" s="15" t="s">
        <v>4725</v>
      </c>
      <c r="B1409" s="15" t="s">
        <v>1017</v>
      </c>
      <c r="C1409" s="7">
        <v>43.5</v>
      </c>
    </row>
    <row r="1410" spans="1:3" x14ac:dyDescent="0.3">
      <c r="A1410" s="15" t="s">
        <v>4726</v>
      </c>
      <c r="B1410" s="15" t="s">
        <v>1019</v>
      </c>
      <c r="C1410" s="7">
        <v>43.5</v>
      </c>
    </row>
    <row r="1411" spans="1:3" x14ac:dyDescent="0.3">
      <c r="A1411" s="15" t="s">
        <v>4727</v>
      </c>
      <c r="B1411" s="15" t="s">
        <v>1021</v>
      </c>
      <c r="C1411" s="7">
        <v>43.5</v>
      </c>
    </row>
    <row r="1412" spans="1:3" x14ac:dyDescent="0.3">
      <c r="A1412" s="15" t="s">
        <v>4728</v>
      </c>
      <c r="B1412" s="15" t="s">
        <v>1023</v>
      </c>
      <c r="C1412" s="7">
        <v>43.5</v>
      </c>
    </row>
    <row r="1413" spans="1:3" x14ac:dyDescent="0.3">
      <c r="A1413" s="15" t="s">
        <v>4729</v>
      </c>
      <c r="B1413" s="15" t="s">
        <v>1025</v>
      </c>
      <c r="C1413" s="7">
        <v>43.5</v>
      </c>
    </row>
    <row r="1414" spans="1:3" x14ac:dyDescent="0.3">
      <c r="A1414" s="15" t="s">
        <v>4730</v>
      </c>
      <c r="B1414" s="15" t="s">
        <v>1014</v>
      </c>
      <c r="C1414" s="7">
        <v>43.5</v>
      </c>
    </row>
    <row r="1415" spans="1:3" x14ac:dyDescent="0.3">
      <c r="A1415" s="15" t="s">
        <v>4731</v>
      </c>
      <c r="B1415" s="15" t="s">
        <v>1016</v>
      </c>
      <c r="C1415" s="7">
        <v>43.5</v>
      </c>
    </row>
    <row r="1416" spans="1:3" x14ac:dyDescent="0.3">
      <c r="A1416" s="15" t="s">
        <v>4732</v>
      </c>
      <c r="B1416" s="15" t="s">
        <v>1018</v>
      </c>
      <c r="C1416" s="7">
        <v>43.5</v>
      </c>
    </row>
    <row r="1417" spans="1:3" x14ac:dyDescent="0.3">
      <c r="A1417" s="15" t="s">
        <v>4733</v>
      </c>
      <c r="B1417" s="15" t="s">
        <v>1020</v>
      </c>
      <c r="C1417" s="7">
        <v>43.5</v>
      </c>
    </row>
    <row r="1418" spans="1:3" x14ac:dyDescent="0.3">
      <c r="A1418" s="15" t="s">
        <v>4734</v>
      </c>
      <c r="B1418" s="15" t="s">
        <v>1022</v>
      </c>
      <c r="C1418" s="7">
        <v>43.5</v>
      </c>
    </row>
    <row r="1419" spans="1:3" x14ac:dyDescent="0.3">
      <c r="A1419" s="15" t="s">
        <v>4735</v>
      </c>
      <c r="B1419" s="15" t="s">
        <v>1024</v>
      </c>
      <c r="C1419" s="7">
        <v>43.5</v>
      </c>
    </row>
    <row r="1420" spans="1:3" x14ac:dyDescent="0.3">
      <c r="A1420" s="15" t="s">
        <v>4736</v>
      </c>
      <c r="B1420" s="15" t="s">
        <v>744</v>
      </c>
      <c r="C1420" s="7">
        <v>17.87</v>
      </c>
    </row>
    <row r="1421" spans="1:3" x14ac:dyDescent="0.3">
      <c r="A1421" s="15" t="s">
        <v>4737</v>
      </c>
      <c r="B1421" s="15" t="s">
        <v>751</v>
      </c>
      <c r="C1421" s="7">
        <v>34.17</v>
      </c>
    </row>
    <row r="1422" spans="1:3" x14ac:dyDescent="0.3">
      <c r="A1422" s="15" t="s">
        <v>4738</v>
      </c>
      <c r="B1422" s="15" t="s">
        <v>745</v>
      </c>
      <c r="C1422" s="7">
        <v>34.99</v>
      </c>
    </row>
    <row r="1423" spans="1:3" x14ac:dyDescent="0.3">
      <c r="A1423" s="15" t="s">
        <v>4739</v>
      </c>
      <c r="B1423" s="15" t="s">
        <v>4740</v>
      </c>
      <c r="C1423" s="7">
        <v>24.38</v>
      </c>
    </row>
    <row r="1424" spans="1:3" x14ac:dyDescent="0.3">
      <c r="A1424" s="15" t="s">
        <v>4741</v>
      </c>
      <c r="B1424" s="15" t="s">
        <v>1057</v>
      </c>
      <c r="C1424" s="7">
        <v>995.81</v>
      </c>
    </row>
    <row r="1425" spans="1:3" x14ac:dyDescent="0.3">
      <c r="A1425" s="15" t="s">
        <v>4742</v>
      </c>
      <c r="B1425" s="15" t="s">
        <v>1280</v>
      </c>
      <c r="C1425" s="7">
        <v>50.71</v>
      </c>
    </row>
    <row r="1426" spans="1:3" x14ac:dyDescent="0.3">
      <c r="A1426" s="15" t="s">
        <v>4743</v>
      </c>
      <c r="B1426" s="15" t="s">
        <v>897</v>
      </c>
      <c r="C1426" s="7">
        <v>21.09</v>
      </c>
    </row>
    <row r="1427" spans="1:3" x14ac:dyDescent="0.3">
      <c r="A1427" s="15" t="s">
        <v>4744</v>
      </c>
      <c r="B1427" s="15" t="s">
        <v>1056</v>
      </c>
      <c r="C1427" s="7">
        <v>1151.8499999999999</v>
      </c>
    </row>
    <row r="1428" spans="1:3" x14ac:dyDescent="0.3">
      <c r="A1428" s="15" t="s">
        <v>4745</v>
      </c>
      <c r="B1428" s="15" t="s">
        <v>931</v>
      </c>
      <c r="C1428" s="7">
        <v>1440.07</v>
      </c>
    </row>
    <row r="1429" spans="1:3" x14ac:dyDescent="0.3">
      <c r="A1429" s="15" t="s">
        <v>4746</v>
      </c>
      <c r="B1429" s="15" t="s">
        <v>932</v>
      </c>
      <c r="C1429" s="7">
        <v>1409.66</v>
      </c>
    </row>
    <row r="1430" spans="1:3" x14ac:dyDescent="0.3">
      <c r="A1430" s="15" t="s">
        <v>4747</v>
      </c>
      <c r="B1430" s="15" t="s">
        <v>4748</v>
      </c>
      <c r="C1430" s="7">
        <v>20.99</v>
      </c>
    </row>
    <row r="1431" spans="1:3" x14ac:dyDescent="0.3">
      <c r="A1431" s="15" t="s">
        <v>4749</v>
      </c>
      <c r="B1431" s="15" t="s">
        <v>4750</v>
      </c>
      <c r="C1431" s="7">
        <v>28.83</v>
      </c>
    </row>
    <row r="1432" spans="1:3" x14ac:dyDescent="0.3">
      <c r="A1432" s="15" t="s">
        <v>4751</v>
      </c>
      <c r="B1432" s="15" t="s">
        <v>4752</v>
      </c>
      <c r="C1432" s="7">
        <v>26.76</v>
      </c>
    </row>
    <row r="1433" spans="1:3" x14ac:dyDescent="0.3">
      <c r="A1433" s="15" t="s">
        <v>4753</v>
      </c>
      <c r="B1433" s="15" t="s">
        <v>4754</v>
      </c>
      <c r="C1433" s="7">
        <v>26.12</v>
      </c>
    </row>
    <row r="1434" spans="1:3" x14ac:dyDescent="0.3">
      <c r="A1434" s="15" t="s">
        <v>4755</v>
      </c>
      <c r="B1434" s="15" t="s">
        <v>4756</v>
      </c>
      <c r="C1434" s="7">
        <v>1.65</v>
      </c>
    </row>
    <row r="1435" spans="1:3" x14ac:dyDescent="0.3">
      <c r="A1435" s="15" t="s">
        <v>4757</v>
      </c>
      <c r="B1435" s="15" t="s">
        <v>4758</v>
      </c>
      <c r="C1435" s="7">
        <v>23.82</v>
      </c>
    </row>
    <row r="1436" spans="1:3" x14ac:dyDescent="0.3">
      <c r="A1436" s="15" t="s">
        <v>4759</v>
      </c>
      <c r="B1436" s="15" t="s">
        <v>1026</v>
      </c>
      <c r="C1436" s="7">
        <v>6.22</v>
      </c>
    </row>
    <row r="1437" spans="1:3" x14ac:dyDescent="0.3">
      <c r="A1437" s="15" t="s">
        <v>4760</v>
      </c>
      <c r="B1437" s="15" t="s">
        <v>1001</v>
      </c>
      <c r="C1437" s="7">
        <v>3.79</v>
      </c>
    </row>
    <row r="1438" spans="1:3" x14ac:dyDescent="0.3">
      <c r="A1438" s="15" t="s">
        <v>4761</v>
      </c>
      <c r="B1438" s="15" t="s">
        <v>1002</v>
      </c>
      <c r="C1438" s="7">
        <v>3.71</v>
      </c>
    </row>
    <row r="1439" spans="1:3" x14ac:dyDescent="0.3">
      <c r="A1439" s="15" t="s">
        <v>4762</v>
      </c>
      <c r="B1439" s="15" t="s">
        <v>721</v>
      </c>
      <c r="C1439" s="7">
        <v>3.07</v>
      </c>
    </row>
    <row r="1440" spans="1:3" x14ac:dyDescent="0.3">
      <c r="A1440" s="15" t="s">
        <v>4763</v>
      </c>
      <c r="B1440" s="15" t="s">
        <v>1258</v>
      </c>
      <c r="C1440" s="7">
        <v>8.23</v>
      </c>
    </row>
    <row r="1441" spans="1:3" x14ac:dyDescent="0.3">
      <c r="A1441" s="15" t="s">
        <v>4764</v>
      </c>
      <c r="B1441" s="15" t="s">
        <v>755</v>
      </c>
      <c r="C1441" s="7">
        <v>3.09</v>
      </c>
    </row>
    <row r="1442" spans="1:3" x14ac:dyDescent="0.3">
      <c r="A1442" s="15" t="s">
        <v>4765</v>
      </c>
      <c r="B1442" s="15" t="s">
        <v>4766</v>
      </c>
      <c r="C1442" s="7">
        <v>8.9</v>
      </c>
    </row>
    <row r="1443" spans="1:3" x14ac:dyDescent="0.3">
      <c r="A1443" s="15" t="s">
        <v>4767</v>
      </c>
      <c r="B1443" s="15" t="s">
        <v>1311</v>
      </c>
      <c r="C1443" s="7">
        <v>11.41</v>
      </c>
    </row>
    <row r="1444" spans="1:3" x14ac:dyDescent="0.3">
      <c r="A1444" s="15" t="s">
        <v>4768</v>
      </c>
      <c r="B1444" s="15" t="s">
        <v>1305</v>
      </c>
      <c r="C1444" s="7">
        <v>5.62</v>
      </c>
    </row>
    <row r="1445" spans="1:3" x14ac:dyDescent="0.3">
      <c r="A1445" s="15" t="s">
        <v>4769</v>
      </c>
      <c r="B1445" s="15" t="s">
        <v>1312</v>
      </c>
      <c r="C1445" s="7">
        <v>5.62</v>
      </c>
    </row>
    <row r="1446" spans="1:3" x14ac:dyDescent="0.3">
      <c r="A1446" s="15" t="s">
        <v>4770</v>
      </c>
      <c r="B1446" s="15" t="s">
        <v>1275</v>
      </c>
      <c r="C1446" s="7">
        <v>42.62</v>
      </c>
    </row>
    <row r="1447" spans="1:3" x14ac:dyDescent="0.3">
      <c r="A1447" s="15" t="s">
        <v>4771</v>
      </c>
      <c r="B1447" s="15" t="s">
        <v>1272</v>
      </c>
      <c r="C1447" s="7">
        <v>69.849999999999994</v>
      </c>
    </row>
    <row r="1448" spans="1:3" x14ac:dyDescent="0.3">
      <c r="A1448" s="15" t="s">
        <v>4772</v>
      </c>
      <c r="B1448" s="15" t="s">
        <v>1273</v>
      </c>
      <c r="C1448" s="7">
        <v>78.02</v>
      </c>
    </row>
    <row r="1449" spans="1:3" x14ac:dyDescent="0.3">
      <c r="A1449" s="15" t="s">
        <v>4773</v>
      </c>
      <c r="B1449" s="15" t="s">
        <v>1271</v>
      </c>
      <c r="C1449" s="7">
        <v>88.9</v>
      </c>
    </row>
    <row r="1450" spans="1:3" x14ac:dyDescent="0.3">
      <c r="A1450" s="15" t="s">
        <v>4774</v>
      </c>
      <c r="B1450" s="15" t="s">
        <v>4775</v>
      </c>
      <c r="C1450" s="7">
        <v>3.8</v>
      </c>
    </row>
    <row r="1451" spans="1:3" x14ac:dyDescent="0.3">
      <c r="A1451" s="15" t="s">
        <v>4776</v>
      </c>
      <c r="B1451" s="15" t="s">
        <v>4777</v>
      </c>
      <c r="C1451" s="7">
        <v>3.8</v>
      </c>
    </row>
    <row r="1452" spans="1:3" x14ac:dyDescent="0.3">
      <c r="A1452" s="15" t="s">
        <v>4778</v>
      </c>
      <c r="B1452" s="15" t="s">
        <v>4779</v>
      </c>
      <c r="C1452" s="7">
        <v>7</v>
      </c>
    </row>
    <row r="1453" spans="1:3" x14ac:dyDescent="0.3">
      <c r="A1453" s="15" t="s">
        <v>4780</v>
      </c>
      <c r="B1453" s="15" t="s">
        <v>4781</v>
      </c>
      <c r="C1453" s="7">
        <v>3.8</v>
      </c>
    </row>
    <row r="1454" spans="1:3" x14ac:dyDescent="0.3">
      <c r="A1454" s="15" t="s">
        <v>4782</v>
      </c>
      <c r="B1454" s="15" t="s">
        <v>4783</v>
      </c>
      <c r="C1454" s="7">
        <v>8.0299999999999994</v>
      </c>
    </row>
    <row r="1455" spans="1:3" x14ac:dyDescent="0.3">
      <c r="A1455" s="15" t="s">
        <v>4784</v>
      </c>
      <c r="B1455" s="15" t="s">
        <v>4785</v>
      </c>
      <c r="C1455" s="7">
        <v>7</v>
      </c>
    </row>
    <row r="1456" spans="1:3" x14ac:dyDescent="0.3">
      <c r="A1456" s="15" t="s">
        <v>4786</v>
      </c>
      <c r="B1456" s="15" t="s">
        <v>4787</v>
      </c>
      <c r="C1456" s="7">
        <v>42.87</v>
      </c>
    </row>
    <row r="1457" spans="1:3" x14ac:dyDescent="0.3">
      <c r="A1457" s="15" t="s">
        <v>4788</v>
      </c>
      <c r="B1457" s="15" t="s">
        <v>4789</v>
      </c>
      <c r="C1457" s="7">
        <v>2.96</v>
      </c>
    </row>
    <row r="1458" spans="1:3" x14ac:dyDescent="0.3">
      <c r="A1458" s="15" t="s">
        <v>4790</v>
      </c>
      <c r="B1458" s="15" t="s">
        <v>4791</v>
      </c>
      <c r="C1458" s="7">
        <v>20.004999999999999</v>
      </c>
    </row>
    <row r="1459" spans="1:3" x14ac:dyDescent="0.3">
      <c r="A1459" s="15" t="s">
        <v>4792</v>
      </c>
      <c r="B1459" s="15" t="s">
        <v>4793</v>
      </c>
      <c r="C1459" s="7">
        <v>7.45</v>
      </c>
    </row>
    <row r="1460" spans="1:3" x14ac:dyDescent="0.3">
      <c r="A1460" s="15" t="s">
        <v>4794</v>
      </c>
      <c r="B1460" s="15" t="s">
        <v>4795</v>
      </c>
      <c r="C1460" s="7">
        <v>4.42</v>
      </c>
    </row>
    <row r="1461" spans="1:3" x14ac:dyDescent="0.3">
      <c r="A1461" s="15" t="s">
        <v>4796</v>
      </c>
      <c r="B1461" s="15" t="s">
        <v>4797</v>
      </c>
      <c r="C1461" s="7">
        <v>1.75</v>
      </c>
    </row>
    <row r="1462" spans="1:3" x14ac:dyDescent="0.3">
      <c r="A1462" s="15" t="s">
        <v>4798</v>
      </c>
      <c r="B1462" s="15" t="s">
        <v>4799</v>
      </c>
      <c r="C1462" s="7">
        <v>1.75</v>
      </c>
    </row>
    <row r="1463" spans="1:3" x14ac:dyDescent="0.3">
      <c r="A1463" s="15" t="s">
        <v>4800</v>
      </c>
      <c r="B1463" s="15" t="s">
        <v>4801</v>
      </c>
      <c r="C1463" s="7">
        <v>1.75</v>
      </c>
    </row>
    <row r="1464" spans="1:3" x14ac:dyDescent="0.3">
      <c r="A1464" s="15" t="s">
        <v>4802</v>
      </c>
      <c r="B1464" s="15" t="s">
        <v>4803</v>
      </c>
      <c r="C1464" s="7">
        <v>3.03</v>
      </c>
    </row>
    <row r="1465" spans="1:3" x14ac:dyDescent="0.3">
      <c r="A1465" s="15" t="s">
        <v>4804</v>
      </c>
      <c r="B1465" s="15" t="s">
        <v>4805</v>
      </c>
      <c r="C1465" s="7">
        <v>2.04</v>
      </c>
    </row>
    <row r="1466" spans="1:3" x14ac:dyDescent="0.3">
      <c r="A1466" s="15" t="s">
        <v>4806</v>
      </c>
      <c r="B1466" s="15" t="s">
        <v>4807</v>
      </c>
      <c r="C1466" s="7">
        <v>1.51</v>
      </c>
    </row>
    <row r="1467" spans="1:3" x14ac:dyDescent="0.3">
      <c r="A1467" s="15" t="s">
        <v>4808</v>
      </c>
      <c r="B1467" s="15" t="s">
        <v>4809</v>
      </c>
      <c r="C1467" s="7">
        <v>1.57</v>
      </c>
    </row>
    <row r="1468" spans="1:3" x14ac:dyDescent="0.3">
      <c r="A1468" s="15" t="s">
        <v>4810</v>
      </c>
      <c r="B1468" s="15" t="s">
        <v>4811</v>
      </c>
      <c r="C1468" s="7">
        <v>12.92</v>
      </c>
    </row>
    <row r="1469" spans="1:3" x14ac:dyDescent="0.3">
      <c r="A1469" s="15" t="s">
        <v>4812</v>
      </c>
      <c r="B1469" s="15" t="s">
        <v>4813</v>
      </c>
      <c r="C1469" s="7">
        <v>13.73</v>
      </c>
    </row>
    <row r="1470" spans="1:3" x14ac:dyDescent="0.3">
      <c r="A1470" s="15" t="s">
        <v>4814</v>
      </c>
      <c r="B1470" s="15" t="s">
        <v>4815</v>
      </c>
      <c r="C1470" s="7">
        <v>12.92</v>
      </c>
    </row>
    <row r="1471" spans="1:3" x14ac:dyDescent="0.3">
      <c r="A1471" s="15" t="s">
        <v>4816</v>
      </c>
      <c r="B1471" s="15" t="s">
        <v>4817</v>
      </c>
      <c r="C1471" s="7">
        <v>3.3</v>
      </c>
    </row>
    <row r="1472" spans="1:3" x14ac:dyDescent="0.3">
      <c r="A1472" s="15" t="s">
        <v>4818</v>
      </c>
      <c r="B1472" s="15" t="s">
        <v>4819</v>
      </c>
      <c r="C1472" s="7">
        <v>3.3</v>
      </c>
    </row>
    <row r="1473" spans="1:3" x14ac:dyDescent="0.3">
      <c r="A1473" s="15" t="s">
        <v>4820</v>
      </c>
      <c r="B1473" s="15" t="s">
        <v>4821</v>
      </c>
      <c r="C1473" s="7">
        <v>18.82</v>
      </c>
    </row>
    <row r="1474" spans="1:3" x14ac:dyDescent="0.3">
      <c r="A1474" s="15" t="s">
        <v>4822</v>
      </c>
      <c r="B1474" s="15" t="s">
        <v>4823</v>
      </c>
      <c r="C1474" s="7">
        <v>46.63</v>
      </c>
    </row>
    <row r="1475" spans="1:3" x14ac:dyDescent="0.3">
      <c r="A1475" s="15" t="s">
        <v>4824</v>
      </c>
      <c r="B1475" s="15" t="s">
        <v>4825</v>
      </c>
      <c r="C1475" s="7">
        <v>46.63</v>
      </c>
    </row>
    <row r="1476" spans="1:3" x14ac:dyDescent="0.3">
      <c r="A1476" s="15" t="s">
        <v>4826</v>
      </c>
      <c r="B1476" s="15" t="s">
        <v>4827</v>
      </c>
      <c r="C1476" s="7">
        <v>46.63</v>
      </c>
    </row>
    <row r="1477" spans="1:3" x14ac:dyDescent="0.3">
      <c r="A1477" s="15" t="s">
        <v>4828</v>
      </c>
      <c r="B1477" s="15" t="s">
        <v>4829</v>
      </c>
      <c r="C1477" s="7">
        <v>46.63</v>
      </c>
    </row>
    <row r="1478" spans="1:3" x14ac:dyDescent="0.3">
      <c r="A1478" s="15" t="s">
        <v>4830</v>
      </c>
      <c r="B1478" s="15" t="s">
        <v>4831</v>
      </c>
      <c r="C1478" s="7">
        <v>25.57</v>
      </c>
    </row>
    <row r="1479" spans="1:3" x14ac:dyDescent="0.3">
      <c r="A1479" s="15" t="s">
        <v>4832</v>
      </c>
      <c r="B1479" s="15" t="s">
        <v>4833</v>
      </c>
      <c r="C1479" s="7">
        <v>46.63</v>
      </c>
    </row>
    <row r="1480" spans="1:3" x14ac:dyDescent="0.3">
      <c r="A1480" s="15" t="s">
        <v>4834</v>
      </c>
      <c r="B1480" s="15" t="s">
        <v>4835</v>
      </c>
      <c r="C1480" s="7">
        <v>25.57</v>
      </c>
    </row>
    <row r="1481" spans="1:3" x14ac:dyDescent="0.3">
      <c r="A1481" s="15" t="s">
        <v>4836</v>
      </c>
      <c r="B1481" s="15" t="s">
        <v>4837</v>
      </c>
      <c r="C1481" s="7">
        <v>46.63</v>
      </c>
    </row>
    <row r="1482" spans="1:3" x14ac:dyDescent="0.3">
      <c r="A1482" s="15" t="s">
        <v>4838</v>
      </c>
      <c r="B1482" s="15" t="s">
        <v>4839</v>
      </c>
      <c r="C1482" s="7">
        <v>46.63</v>
      </c>
    </row>
    <row r="1483" spans="1:3" x14ac:dyDescent="0.3">
      <c r="A1483" s="15" t="s">
        <v>4840</v>
      </c>
      <c r="B1483" s="15" t="s">
        <v>4835</v>
      </c>
      <c r="C1483" s="7">
        <v>10.23</v>
      </c>
    </row>
    <row r="1484" spans="1:3" x14ac:dyDescent="0.3">
      <c r="A1484" s="15" t="s">
        <v>4841</v>
      </c>
      <c r="B1484" s="15" t="s">
        <v>4842</v>
      </c>
      <c r="C1484" s="7">
        <v>47.5</v>
      </c>
    </row>
    <row r="1485" spans="1:3" x14ac:dyDescent="0.3">
      <c r="A1485" s="15" t="s">
        <v>4843</v>
      </c>
      <c r="B1485" s="15" t="s">
        <v>4844</v>
      </c>
      <c r="C1485" s="7">
        <v>19.03</v>
      </c>
    </row>
    <row r="1486" spans="1:3" x14ac:dyDescent="0.3">
      <c r="A1486" s="15" t="s">
        <v>4845</v>
      </c>
      <c r="B1486" s="15" t="s">
        <v>4846</v>
      </c>
      <c r="C1486" s="7">
        <v>9.24</v>
      </c>
    </row>
    <row r="1487" spans="1:3" x14ac:dyDescent="0.3">
      <c r="A1487" s="15" t="s">
        <v>4847</v>
      </c>
      <c r="B1487" s="15" t="s">
        <v>4848</v>
      </c>
      <c r="C1487" s="7">
        <v>5.66</v>
      </c>
    </row>
    <row r="1488" spans="1:3" x14ac:dyDescent="0.3">
      <c r="A1488" s="15" t="s">
        <v>4849</v>
      </c>
      <c r="B1488" s="15" t="s">
        <v>4850</v>
      </c>
      <c r="C1488" s="7">
        <v>8.5299999999999994</v>
      </c>
    </row>
    <row r="1489" spans="1:3" x14ac:dyDescent="0.3">
      <c r="A1489" s="15" t="s">
        <v>4851</v>
      </c>
      <c r="B1489" s="15" t="s">
        <v>4852</v>
      </c>
      <c r="C1489" s="7">
        <v>10.75</v>
      </c>
    </row>
    <row r="1490" spans="1:3" x14ac:dyDescent="0.3">
      <c r="A1490" s="15" t="s">
        <v>4853</v>
      </c>
      <c r="B1490" s="15" t="s">
        <v>4854</v>
      </c>
      <c r="C1490" s="7">
        <v>6.71</v>
      </c>
    </row>
    <row r="1491" spans="1:3" x14ac:dyDescent="0.3">
      <c r="A1491" s="15" t="s">
        <v>4855</v>
      </c>
      <c r="B1491" s="15" t="s">
        <v>4856</v>
      </c>
      <c r="C1491" s="7">
        <v>12.24</v>
      </c>
    </row>
    <row r="1492" spans="1:3" x14ac:dyDescent="0.3">
      <c r="A1492" s="15" t="s">
        <v>4857</v>
      </c>
      <c r="B1492" s="15" t="s">
        <v>1261</v>
      </c>
      <c r="C1492" s="7">
        <v>15.81</v>
      </c>
    </row>
    <row r="1493" spans="1:3" x14ac:dyDescent="0.3">
      <c r="A1493" s="15" t="s">
        <v>4858</v>
      </c>
      <c r="B1493" s="15" t="s">
        <v>1262</v>
      </c>
      <c r="C1493" s="7">
        <v>15.81</v>
      </c>
    </row>
    <row r="1494" spans="1:3" x14ac:dyDescent="0.3">
      <c r="A1494" s="15" t="s">
        <v>4859</v>
      </c>
      <c r="B1494" s="15" t="s">
        <v>4860</v>
      </c>
      <c r="C1494" s="7">
        <v>3.67</v>
      </c>
    </row>
    <row r="1495" spans="1:3" x14ac:dyDescent="0.3">
      <c r="A1495" s="15" t="s">
        <v>4861</v>
      </c>
      <c r="B1495" s="15" t="s">
        <v>4862</v>
      </c>
      <c r="C1495" s="7">
        <v>22.31</v>
      </c>
    </row>
    <row r="1496" spans="1:3" x14ac:dyDescent="0.3">
      <c r="A1496" s="15" t="s">
        <v>4863</v>
      </c>
      <c r="B1496" s="15" t="s">
        <v>4864</v>
      </c>
      <c r="C1496" s="7">
        <v>29.21</v>
      </c>
    </row>
    <row r="1497" spans="1:3" x14ac:dyDescent="0.3">
      <c r="A1497" s="15" t="s">
        <v>4865</v>
      </c>
      <c r="B1497" s="15" t="s">
        <v>4866</v>
      </c>
      <c r="C1497" s="7">
        <v>30.09</v>
      </c>
    </row>
    <row r="1498" spans="1:3" x14ac:dyDescent="0.3">
      <c r="A1498" s="15" t="s">
        <v>4867</v>
      </c>
      <c r="B1498" s="15" t="s">
        <v>4868</v>
      </c>
      <c r="C1498" s="7">
        <v>4.7300000000000004</v>
      </c>
    </row>
    <row r="1499" spans="1:3" x14ac:dyDescent="0.3">
      <c r="A1499" s="15" t="s">
        <v>4869</v>
      </c>
      <c r="B1499" s="15" t="s">
        <v>4870</v>
      </c>
      <c r="C1499" s="7">
        <v>25.8</v>
      </c>
    </row>
    <row r="1500" spans="1:3" x14ac:dyDescent="0.3">
      <c r="A1500" s="15" t="s">
        <v>4871</v>
      </c>
      <c r="B1500" s="15" t="s">
        <v>4872</v>
      </c>
      <c r="C1500" s="7">
        <v>1.58</v>
      </c>
    </row>
    <row r="1501" spans="1:3" x14ac:dyDescent="0.3">
      <c r="A1501" s="15" t="s">
        <v>4873</v>
      </c>
      <c r="B1501" s="15" t="s">
        <v>4874</v>
      </c>
      <c r="C1501" s="7">
        <v>2.36</v>
      </c>
    </row>
    <row r="1502" spans="1:3" x14ac:dyDescent="0.3">
      <c r="A1502" s="15" t="s">
        <v>4875</v>
      </c>
      <c r="B1502" s="15" t="s">
        <v>4876</v>
      </c>
      <c r="C1502" s="7">
        <v>22.31</v>
      </c>
    </row>
    <row r="1503" spans="1:3" x14ac:dyDescent="0.3">
      <c r="A1503" s="15" t="s">
        <v>4877</v>
      </c>
      <c r="B1503" s="15" t="s">
        <v>4862</v>
      </c>
      <c r="C1503" s="7">
        <v>42.55</v>
      </c>
    </row>
    <row r="1504" spans="1:3" x14ac:dyDescent="0.3">
      <c r="A1504" s="15" t="s">
        <v>4878</v>
      </c>
      <c r="B1504" s="15" t="s">
        <v>4879</v>
      </c>
      <c r="C1504" s="7">
        <v>21.21</v>
      </c>
    </row>
    <row r="1505" spans="1:3" x14ac:dyDescent="0.3">
      <c r="A1505" s="15" t="s">
        <v>4880</v>
      </c>
      <c r="B1505" s="15" t="s">
        <v>4881</v>
      </c>
      <c r="C1505" s="7">
        <v>1.84</v>
      </c>
    </row>
    <row r="1506" spans="1:3" x14ac:dyDescent="0.3">
      <c r="A1506" s="15" t="s">
        <v>4882</v>
      </c>
      <c r="B1506" s="15" t="s">
        <v>4883</v>
      </c>
      <c r="C1506" s="7">
        <v>5.14</v>
      </c>
    </row>
    <row r="1507" spans="1:3" x14ac:dyDescent="0.3">
      <c r="A1507" s="15" t="s">
        <v>4884</v>
      </c>
      <c r="B1507" s="15" t="s">
        <v>4862</v>
      </c>
      <c r="C1507" s="7">
        <v>7.18</v>
      </c>
    </row>
    <row r="1508" spans="1:3" x14ac:dyDescent="0.3">
      <c r="A1508" s="15" t="s">
        <v>4885</v>
      </c>
      <c r="B1508" s="15" t="s">
        <v>4886</v>
      </c>
      <c r="C1508" s="7">
        <v>1.21</v>
      </c>
    </row>
    <row r="1509" spans="1:3" x14ac:dyDescent="0.3">
      <c r="A1509" s="15" t="s">
        <v>4887</v>
      </c>
      <c r="B1509" s="15" t="s">
        <v>4888</v>
      </c>
      <c r="C1509" s="7">
        <v>0.99</v>
      </c>
    </row>
    <row r="1510" spans="1:3" x14ac:dyDescent="0.3">
      <c r="A1510" s="15" t="s">
        <v>4889</v>
      </c>
      <c r="B1510" s="15" t="s">
        <v>4890</v>
      </c>
      <c r="C1510" s="7">
        <v>3.57</v>
      </c>
    </row>
    <row r="1511" spans="1:3" x14ac:dyDescent="0.3">
      <c r="A1511" s="15" t="s">
        <v>4891</v>
      </c>
      <c r="B1511" s="15" t="s">
        <v>4892</v>
      </c>
      <c r="C1511" s="7">
        <v>4.6399999999999997</v>
      </c>
    </row>
    <row r="1512" spans="1:3" x14ac:dyDescent="0.3">
      <c r="A1512" s="15" t="s">
        <v>4893</v>
      </c>
      <c r="B1512" s="15" t="s">
        <v>4894</v>
      </c>
      <c r="C1512" s="7">
        <v>2.3199999999999998</v>
      </c>
    </row>
    <row r="1513" spans="1:3" x14ac:dyDescent="0.3">
      <c r="A1513" s="15" t="s">
        <v>4895</v>
      </c>
      <c r="B1513" s="15" t="s">
        <v>4896</v>
      </c>
      <c r="C1513" s="7">
        <v>6.37</v>
      </c>
    </row>
    <row r="1514" spans="1:3" x14ac:dyDescent="0.3">
      <c r="A1514" s="15" t="s">
        <v>4897</v>
      </c>
      <c r="B1514" s="15" t="s">
        <v>4898</v>
      </c>
      <c r="C1514" s="7">
        <v>4.96</v>
      </c>
    </row>
    <row r="1515" spans="1:3" x14ac:dyDescent="0.3">
      <c r="A1515" s="15" t="s">
        <v>4899</v>
      </c>
      <c r="B1515" s="15" t="s">
        <v>4900</v>
      </c>
      <c r="C1515" s="7">
        <v>3.38</v>
      </c>
    </row>
    <row r="1516" spans="1:3" x14ac:dyDescent="0.3">
      <c r="A1516" s="15" t="s">
        <v>4901</v>
      </c>
      <c r="B1516" s="15" t="s">
        <v>4902</v>
      </c>
      <c r="C1516" s="7">
        <v>1.97</v>
      </c>
    </row>
    <row r="1517" spans="1:3" x14ac:dyDescent="0.3">
      <c r="A1517" s="15" t="s">
        <v>4903</v>
      </c>
      <c r="B1517" s="15" t="s">
        <v>4904</v>
      </c>
      <c r="C1517" s="7">
        <v>8.6199999999999992</v>
      </c>
    </row>
    <row r="1518" spans="1:3" x14ac:dyDescent="0.3">
      <c r="A1518" s="15" t="s">
        <v>4905</v>
      </c>
      <c r="B1518" s="15" t="s">
        <v>4906</v>
      </c>
      <c r="C1518" s="7">
        <v>0.65</v>
      </c>
    </row>
    <row r="1519" spans="1:3" x14ac:dyDescent="0.3">
      <c r="A1519" s="15" t="s">
        <v>4907</v>
      </c>
      <c r="B1519" s="15" t="s">
        <v>4908</v>
      </c>
      <c r="C1519" s="7">
        <v>17.13</v>
      </c>
    </row>
    <row r="1520" spans="1:3" x14ac:dyDescent="0.3">
      <c r="A1520" s="15" t="s">
        <v>4909</v>
      </c>
      <c r="B1520" s="15" t="s">
        <v>4910</v>
      </c>
      <c r="C1520" s="7">
        <v>13.59</v>
      </c>
    </row>
    <row r="1521" spans="1:3" x14ac:dyDescent="0.3">
      <c r="A1521" s="15" t="s">
        <v>4911</v>
      </c>
      <c r="B1521" s="15" t="s">
        <v>4912</v>
      </c>
      <c r="C1521" s="7">
        <v>8.6999999999999993</v>
      </c>
    </row>
    <row r="1522" spans="1:3" x14ac:dyDescent="0.3">
      <c r="A1522" s="15" t="s">
        <v>4913</v>
      </c>
      <c r="B1522" s="15" t="s">
        <v>4914</v>
      </c>
      <c r="C1522" s="7">
        <v>2.17</v>
      </c>
    </row>
    <row r="1523" spans="1:3" x14ac:dyDescent="0.3">
      <c r="A1523" s="15" t="s">
        <v>4915</v>
      </c>
      <c r="B1523" s="15" t="s">
        <v>1100</v>
      </c>
      <c r="C1523" s="7">
        <v>13.55</v>
      </c>
    </row>
    <row r="1524" spans="1:3" x14ac:dyDescent="0.3">
      <c r="A1524" s="15" t="s">
        <v>4916</v>
      </c>
      <c r="B1524" s="15" t="s">
        <v>4917</v>
      </c>
      <c r="C1524" s="7">
        <v>7.7</v>
      </c>
    </row>
    <row r="1525" spans="1:3" x14ac:dyDescent="0.3">
      <c r="A1525" s="15" t="s">
        <v>4918</v>
      </c>
      <c r="B1525" s="15" t="s">
        <v>4919</v>
      </c>
      <c r="C1525" s="7">
        <v>7.67</v>
      </c>
    </row>
    <row r="1526" spans="1:3" x14ac:dyDescent="0.3">
      <c r="A1526" s="15" t="s">
        <v>4920</v>
      </c>
      <c r="B1526" s="15" t="s">
        <v>4921</v>
      </c>
      <c r="C1526" s="7">
        <v>7.49</v>
      </c>
    </row>
    <row r="1527" spans="1:3" x14ac:dyDescent="0.3">
      <c r="A1527" s="15" t="s">
        <v>4922</v>
      </c>
      <c r="B1527" s="15" t="s">
        <v>747</v>
      </c>
      <c r="C1527" s="7">
        <v>46.61</v>
      </c>
    </row>
    <row r="1528" spans="1:3" x14ac:dyDescent="0.3">
      <c r="A1528" s="15" t="s">
        <v>4923</v>
      </c>
      <c r="B1528" s="15" t="s">
        <v>748</v>
      </c>
      <c r="C1528" s="7">
        <v>46.61</v>
      </c>
    </row>
    <row r="1529" spans="1:3" x14ac:dyDescent="0.3">
      <c r="A1529" s="15" t="s">
        <v>4924</v>
      </c>
      <c r="B1529" s="15" t="s">
        <v>1120</v>
      </c>
      <c r="C1529" s="7">
        <v>3.95</v>
      </c>
    </row>
    <row r="1530" spans="1:3" x14ac:dyDescent="0.3">
      <c r="A1530" s="15" t="s">
        <v>4925</v>
      </c>
      <c r="B1530" s="15" t="s">
        <v>908</v>
      </c>
      <c r="C1530" s="7">
        <v>160.96</v>
      </c>
    </row>
    <row r="1531" spans="1:3" x14ac:dyDescent="0.3">
      <c r="A1531" s="15" t="s">
        <v>4926</v>
      </c>
      <c r="B1531" s="15" t="s">
        <v>4927</v>
      </c>
      <c r="C1531" s="7">
        <v>5.37</v>
      </c>
    </row>
    <row r="1532" spans="1:3" x14ac:dyDescent="0.3">
      <c r="A1532" s="15" t="s">
        <v>4928</v>
      </c>
      <c r="B1532" s="15" t="s">
        <v>4929</v>
      </c>
      <c r="C1532" s="7">
        <v>5.37</v>
      </c>
    </row>
    <row r="1533" spans="1:3" x14ac:dyDescent="0.3">
      <c r="A1533" s="15" t="s">
        <v>4930</v>
      </c>
      <c r="B1533" s="15" t="s">
        <v>971</v>
      </c>
      <c r="C1533" s="7">
        <v>6.14</v>
      </c>
    </row>
    <row r="1534" spans="1:3" x14ac:dyDescent="0.3">
      <c r="A1534" s="15" t="s">
        <v>4931</v>
      </c>
      <c r="B1534" s="15" t="s">
        <v>749</v>
      </c>
      <c r="C1534" s="7">
        <v>39.4</v>
      </c>
    </row>
    <row r="1535" spans="1:3" x14ac:dyDescent="0.3">
      <c r="A1535" s="15" t="s">
        <v>4932</v>
      </c>
      <c r="B1535" s="15" t="s">
        <v>4933</v>
      </c>
      <c r="C1535" s="7">
        <v>5.37</v>
      </c>
    </row>
    <row r="1536" spans="1:3" x14ac:dyDescent="0.3">
      <c r="A1536" s="15" t="s">
        <v>4934</v>
      </c>
      <c r="B1536" s="15" t="s">
        <v>4935</v>
      </c>
      <c r="C1536" s="7">
        <v>5.37</v>
      </c>
    </row>
    <row r="1537" spans="1:3" x14ac:dyDescent="0.3">
      <c r="A1537" s="15" t="s">
        <v>4936</v>
      </c>
      <c r="B1537" s="15" t="s">
        <v>4937</v>
      </c>
      <c r="C1537" s="7">
        <v>12.97</v>
      </c>
    </row>
    <row r="1538" spans="1:3" x14ac:dyDescent="0.3">
      <c r="A1538" s="15" t="s">
        <v>4938</v>
      </c>
      <c r="B1538" s="15" t="s">
        <v>4939</v>
      </c>
      <c r="C1538" s="7">
        <v>42.18</v>
      </c>
    </row>
    <row r="1539" spans="1:3" x14ac:dyDescent="0.3">
      <c r="A1539" s="15" t="s">
        <v>4940</v>
      </c>
      <c r="B1539" s="15" t="s">
        <v>4941</v>
      </c>
      <c r="C1539" s="7">
        <v>42.18</v>
      </c>
    </row>
    <row r="1540" spans="1:3" x14ac:dyDescent="0.3">
      <c r="A1540" s="15" t="s">
        <v>4942</v>
      </c>
      <c r="B1540" s="15" t="s">
        <v>4943</v>
      </c>
      <c r="C1540" s="7">
        <v>42.18</v>
      </c>
    </row>
    <row r="1541" spans="1:3" x14ac:dyDescent="0.3">
      <c r="A1541" s="15" t="s">
        <v>4944</v>
      </c>
      <c r="B1541" s="15" t="s">
        <v>4945</v>
      </c>
      <c r="C1541" s="7">
        <v>44.28</v>
      </c>
    </row>
    <row r="1542" spans="1:3" x14ac:dyDescent="0.3">
      <c r="A1542" s="15" t="s">
        <v>4946</v>
      </c>
      <c r="B1542" s="15" t="s">
        <v>4947</v>
      </c>
      <c r="C1542" s="7">
        <v>42.18</v>
      </c>
    </row>
    <row r="1543" spans="1:3" x14ac:dyDescent="0.3">
      <c r="A1543" s="15" t="s">
        <v>4948</v>
      </c>
      <c r="B1543" s="15" t="s">
        <v>760</v>
      </c>
      <c r="C1543" s="7">
        <v>5.85</v>
      </c>
    </row>
    <row r="1544" spans="1:3" x14ac:dyDescent="0.3">
      <c r="A1544" s="15" t="s">
        <v>4949</v>
      </c>
      <c r="B1544" s="15" t="s">
        <v>757</v>
      </c>
      <c r="C1544" s="7">
        <v>5.4</v>
      </c>
    </row>
    <row r="1545" spans="1:3" x14ac:dyDescent="0.3">
      <c r="A1545" s="15" t="s">
        <v>4950</v>
      </c>
      <c r="B1545" s="15" t="s">
        <v>758</v>
      </c>
      <c r="C1545" s="7">
        <v>5.42</v>
      </c>
    </row>
    <row r="1546" spans="1:3" x14ac:dyDescent="0.3">
      <c r="A1546" s="15" t="s">
        <v>4951</v>
      </c>
      <c r="B1546" s="15" t="s">
        <v>826</v>
      </c>
      <c r="C1546" s="7">
        <v>1.79</v>
      </c>
    </row>
    <row r="1547" spans="1:3" x14ac:dyDescent="0.3">
      <c r="A1547" s="15" t="s">
        <v>4952</v>
      </c>
      <c r="B1547" s="15" t="s">
        <v>904</v>
      </c>
      <c r="C1547" s="7">
        <v>2.12</v>
      </c>
    </row>
    <row r="1548" spans="1:3" x14ac:dyDescent="0.3">
      <c r="A1548" s="15" t="s">
        <v>4953</v>
      </c>
      <c r="B1548" s="15" t="s">
        <v>883</v>
      </c>
      <c r="C1548" s="7">
        <v>3.89</v>
      </c>
    </row>
    <row r="1549" spans="1:3" x14ac:dyDescent="0.3">
      <c r="A1549" s="15" t="s">
        <v>4954</v>
      </c>
      <c r="B1549" s="15" t="s">
        <v>803</v>
      </c>
      <c r="C1549" s="7">
        <v>3.44</v>
      </c>
    </row>
    <row r="1550" spans="1:3" x14ac:dyDescent="0.3">
      <c r="A1550" s="15" t="s">
        <v>4955</v>
      </c>
      <c r="B1550" s="15" t="s">
        <v>759</v>
      </c>
      <c r="C1550" s="7">
        <v>13.81</v>
      </c>
    </row>
    <row r="1551" spans="1:3" x14ac:dyDescent="0.3">
      <c r="A1551" s="15" t="s">
        <v>4956</v>
      </c>
      <c r="B1551" s="15" t="s">
        <v>1274</v>
      </c>
      <c r="C1551" s="7">
        <v>99.79</v>
      </c>
    </row>
    <row r="1552" spans="1:3" x14ac:dyDescent="0.3">
      <c r="A1552" s="15" t="s">
        <v>4957</v>
      </c>
      <c r="B1552" s="15" t="s">
        <v>1038</v>
      </c>
      <c r="C1552" s="7">
        <v>466.83</v>
      </c>
    </row>
    <row r="1553" spans="1:3" x14ac:dyDescent="0.3">
      <c r="A1553" s="15" t="s">
        <v>4958</v>
      </c>
      <c r="B1553" s="15" t="s">
        <v>1039</v>
      </c>
      <c r="C1553" s="7">
        <v>761.53</v>
      </c>
    </row>
    <row r="1554" spans="1:3" x14ac:dyDescent="0.3">
      <c r="A1554" s="15" t="s">
        <v>4959</v>
      </c>
      <c r="B1554" s="15" t="s">
        <v>4960</v>
      </c>
      <c r="C1554" s="7">
        <v>103.68</v>
      </c>
    </row>
    <row r="1555" spans="1:3" x14ac:dyDescent="0.3">
      <c r="A1555" s="15" t="s">
        <v>4961</v>
      </c>
      <c r="B1555" s="15" t="s">
        <v>634</v>
      </c>
      <c r="C1555" s="7">
        <v>35.5</v>
      </c>
    </row>
    <row r="1556" spans="1:3" x14ac:dyDescent="0.3">
      <c r="A1556" s="15" t="s">
        <v>4962</v>
      </c>
      <c r="B1556" s="15" t="s">
        <v>4963</v>
      </c>
      <c r="C1556" s="7">
        <v>33.549999999999997</v>
      </c>
    </row>
    <row r="1557" spans="1:3" x14ac:dyDescent="0.3">
      <c r="A1557" s="15" t="s">
        <v>4964</v>
      </c>
      <c r="B1557" s="15" t="s">
        <v>635</v>
      </c>
      <c r="C1557" s="7">
        <v>21.96</v>
      </c>
    </row>
    <row r="1558" spans="1:3" x14ac:dyDescent="0.3">
      <c r="A1558" s="15" t="s">
        <v>4965</v>
      </c>
      <c r="B1558" s="15" t="s">
        <v>638</v>
      </c>
      <c r="C1558" s="7">
        <v>24.29</v>
      </c>
    </row>
    <row r="1559" spans="1:3" x14ac:dyDescent="0.3">
      <c r="A1559" s="15" t="s">
        <v>4966</v>
      </c>
      <c r="B1559" s="15" t="s">
        <v>632</v>
      </c>
      <c r="C1559" s="7">
        <v>43.05</v>
      </c>
    </row>
    <row r="1560" spans="1:3" x14ac:dyDescent="0.3">
      <c r="A1560" s="15" t="s">
        <v>4967</v>
      </c>
      <c r="B1560" s="15" t="s">
        <v>639</v>
      </c>
      <c r="C1560" s="7">
        <v>12.35</v>
      </c>
    </row>
    <row r="1561" spans="1:3" x14ac:dyDescent="0.3">
      <c r="A1561" s="15" t="s">
        <v>4968</v>
      </c>
      <c r="B1561" s="15" t="s">
        <v>640</v>
      </c>
      <c r="C1561" s="7">
        <v>22.61</v>
      </c>
    </row>
    <row r="1562" spans="1:3" x14ac:dyDescent="0.3">
      <c r="A1562" s="15" t="s">
        <v>4969</v>
      </c>
      <c r="B1562" s="15" t="s">
        <v>643</v>
      </c>
      <c r="C1562" s="7">
        <v>22.49</v>
      </c>
    </row>
    <row r="1563" spans="1:3" x14ac:dyDescent="0.3">
      <c r="A1563" s="15" t="s">
        <v>4970</v>
      </c>
      <c r="B1563" s="15" t="s">
        <v>4971</v>
      </c>
      <c r="C1563" s="7">
        <v>10.94</v>
      </c>
    </row>
    <row r="1564" spans="1:3" x14ac:dyDescent="0.3">
      <c r="A1564" s="15" t="s">
        <v>4972</v>
      </c>
      <c r="B1564" s="15" t="s">
        <v>631</v>
      </c>
      <c r="C1564" s="7">
        <v>4.2</v>
      </c>
    </row>
    <row r="1565" spans="1:3" x14ac:dyDescent="0.3">
      <c r="A1565" s="15" t="s">
        <v>4973</v>
      </c>
      <c r="B1565" s="15" t="s">
        <v>1277</v>
      </c>
      <c r="C1565" s="7">
        <v>45.35</v>
      </c>
    </row>
    <row r="1566" spans="1:3" x14ac:dyDescent="0.3">
      <c r="A1566" s="15" t="s">
        <v>4974</v>
      </c>
      <c r="B1566" s="15" t="s">
        <v>1154</v>
      </c>
      <c r="C1566" s="7">
        <v>1421.4</v>
      </c>
    </row>
    <row r="1567" spans="1:3" x14ac:dyDescent="0.3">
      <c r="A1567" s="15" t="s">
        <v>4975</v>
      </c>
      <c r="B1567" s="15" t="s">
        <v>1153</v>
      </c>
      <c r="C1567" s="7">
        <v>725.88</v>
      </c>
    </row>
    <row r="1568" spans="1:3" x14ac:dyDescent="0.3">
      <c r="A1568" s="15" t="s">
        <v>4976</v>
      </c>
      <c r="B1568" s="15" t="s">
        <v>1155</v>
      </c>
      <c r="C1568" s="7">
        <v>1421.4</v>
      </c>
    </row>
    <row r="1569" spans="1:3" x14ac:dyDescent="0.3">
      <c r="A1569" s="15" t="s">
        <v>4977</v>
      </c>
      <c r="B1569" s="15" t="s">
        <v>1152</v>
      </c>
      <c r="C1569" s="7">
        <v>725.88</v>
      </c>
    </row>
    <row r="1570" spans="1:3" x14ac:dyDescent="0.3">
      <c r="A1570" s="15" t="s">
        <v>4978</v>
      </c>
      <c r="B1570" s="15" t="s">
        <v>1156</v>
      </c>
      <c r="C1570" s="7">
        <v>910.8</v>
      </c>
    </row>
    <row r="1571" spans="1:3" x14ac:dyDescent="0.3">
      <c r="A1571" s="15" t="s">
        <v>4979</v>
      </c>
      <c r="B1571" s="15" t="s">
        <v>1157</v>
      </c>
      <c r="C1571" s="7">
        <v>910.8</v>
      </c>
    </row>
    <row r="1572" spans="1:3" x14ac:dyDescent="0.3">
      <c r="A1572" s="15" t="s">
        <v>4980</v>
      </c>
      <c r="B1572" s="15" t="s">
        <v>642</v>
      </c>
      <c r="C1572" s="7">
        <v>8.36</v>
      </c>
    </row>
    <row r="1573" spans="1:3" x14ac:dyDescent="0.3">
      <c r="A1573" s="15" t="s">
        <v>4981</v>
      </c>
      <c r="B1573" s="15" t="s">
        <v>641</v>
      </c>
      <c r="C1573" s="7">
        <v>9.27</v>
      </c>
    </row>
    <row r="1574" spans="1:3" x14ac:dyDescent="0.3">
      <c r="A1574" s="15" t="s">
        <v>4982</v>
      </c>
      <c r="B1574" s="15" t="s">
        <v>637</v>
      </c>
      <c r="C1574" s="7">
        <v>44.72</v>
      </c>
    </row>
    <row r="1575" spans="1:3" x14ac:dyDescent="0.3">
      <c r="A1575" s="15" t="s">
        <v>4983</v>
      </c>
      <c r="B1575" s="15" t="s">
        <v>1207</v>
      </c>
      <c r="C1575" s="7">
        <v>5.17</v>
      </c>
    </row>
    <row r="1576" spans="1:3" x14ac:dyDescent="0.3">
      <c r="A1576" s="15" t="s">
        <v>4984</v>
      </c>
      <c r="B1576" s="15" t="s">
        <v>1226</v>
      </c>
      <c r="C1576" s="7">
        <v>7.13</v>
      </c>
    </row>
    <row r="1577" spans="1:3" x14ac:dyDescent="0.3">
      <c r="A1577" s="15" t="s">
        <v>4985</v>
      </c>
      <c r="B1577" s="15" t="s">
        <v>1218</v>
      </c>
      <c r="C1577" s="7">
        <v>3.72</v>
      </c>
    </row>
    <row r="1578" spans="1:3" x14ac:dyDescent="0.3">
      <c r="A1578" s="15" t="s">
        <v>4986</v>
      </c>
      <c r="B1578" s="15" t="s">
        <v>1206</v>
      </c>
      <c r="C1578" s="7">
        <v>11.47</v>
      </c>
    </row>
    <row r="1579" spans="1:3" x14ac:dyDescent="0.3">
      <c r="A1579" s="15" t="s">
        <v>4987</v>
      </c>
      <c r="B1579" s="15" t="s">
        <v>1208</v>
      </c>
      <c r="C1579" s="7">
        <v>4.9800000000000004</v>
      </c>
    </row>
    <row r="1580" spans="1:3" x14ac:dyDescent="0.3">
      <c r="A1580" s="15" t="s">
        <v>4988</v>
      </c>
      <c r="B1580" s="15" t="s">
        <v>1225</v>
      </c>
      <c r="C1580" s="7">
        <v>2.39</v>
      </c>
    </row>
    <row r="1581" spans="1:3" x14ac:dyDescent="0.3">
      <c r="A1581" s="15" t="s">
        <v>4989</v>
      </c>
      <c r="B1581" s="15" t="s">
        <v>1235</v>
      </c>
      <c r="C1581" s="7">
        <v>14.46</v>
      </c>
    </row>
    <row r="1582" spans="1:3" x14ac:dyDescent="0.3">
      <c r="A1582" s="15" t="s">
        <v>4990</v>
      </c>
      <c r="B1582" s="15" t="s">
        <v>1209</v>
      </c>
      <c r="C1582" s="7">
        <v>2.4900000000000002</v>
      </c>
    </row>
    <row r="1583" spans="1:3" x14ac:dyDescent="0.3">
      <c r="A1583" s="15" t="s">
        <v>4991</v>
      </c>
      <c r="B1583" s="15" t="s">
        <v>1233</v>
      </c>
      <c r="C1583" s="7">
        <v>8.5299999999999994</v>
      </c>
    </row>
    <row r="1584" spans="1:3" x14ac:dyDescent="0.3">
      <c r="A1584" s="15" t="s">
        <v>4992</v>
      </c>
      <c r="B1584" s="15" t="s">
        <v>1236</v>
      </c>
      <c r="C1584" s="7">
        <v>6.69</v>
      </c>
    </row>
    <row r="1585" spans="1:3" x14ac:dyDescent="0.3">
      <c r="A1585" s="15" t="s">
        <v>4993</v>
      </c>
      <c r="B1585" s="15" t="s">
        <v>1213</v>
      </c>
      <c r="C1585" s="7">
        <v>12.15</v>
      </c>
    </row>
    <row r="1586" spans="1:3" x14ac:dyDescent="0.3">
      <c r="A1586" s="15" t="s">
        <v>4994</v>
      </c>
      <c r="B1586" s="15" t="s">
        <v>1212</v>
      </c>
      <c r="C1586" s="7">
        <v>16.84</v>
      </c>
    </row>
    <row r="1587" spans="1:3" x14ac:dyDescent="0.3">
      <c r="A1587" s="15" t="s">
        <v>4995</v>
      </c>
      <c r="B1587" s="15" t="s">
        <v>1214</v>
      </c>
      <c r="C1587" s="7">
        <v>14.14</v>
      </c>
    </row>
    <row r="1588" spans="1:3" x14ac:dyDescent="0.3">
      <c r="A1588" s="15" t="s">
        <v>4996</v>
      </c>
      <c r="B1588" s="15" t="s">
        <v>1215</v>
      </c>
      <c r="C1588" s="7">
        <v>19.329999999999998</v>
      </c>
    </row>
    <row r="1589" spans="1:3" x14ac:dyDescent="0.3">
      <c r="A1589" s="15" t="s">
        <v>4997</v>
      </c>
      <c r="B1589" s="15" t="s">
        <v>1211</v>
      </c>
      <c r="C1589" s="7">
        <v>31.79</v>
      </c>
    </row>
    <row r="1590" spans="1:3" x14ac:dyDescent="0.3">
      <c r="A1590" s="15" t="s">
        <v>4998</v>
      </c>
      <c r="B1590" s="15" t="s">
        <v>1221</v>
      </c>
      <c r="C1590" s="7">
        <v>10.64</v>
      </c>
    </row>
    <row r="1591" spans="1:3" x14ac:dyDescent="0.3">
      <c r="A1591" s="15" t="s">
        <v>4999</v>
      </c>
      <c r="B1591" s="15" t="s">
        <v>1222</v>
      </c>
      <c r="C1591" s="7">
        <v>19.27</v>
      </c>
    </row>
    <row r="1592" spans="1:3" x14ac:dyDescent="0.3">
      <c r="A1592" s="15" t="s">
        <v>5000</v>
      </c>
      <c r="B1592" s="15" t="s">
        <v>1223</v>
      </c>
      <c r="C1592" s="7">
        <v>5.67</v>
      </c>
    </row>
    <row r="1593" spans="1:3" x14ac:dyDescent="0.3">
      <c r="A1593" s="15" t="s">
        <v>5001</v>
      </c>
      <c r="B1593" s="15" t="s">
        <v>1232</v>
      </c>
      <c r="C1593" s="7">
        <v>20.39</v>
      </c>
    </row>
    <row r="1594" spans="1:3" x14ac:dyDescent="0.3">
      <c r="A1594" s="15" t="s">
        <v>5002</v>
      </c>
      <c r="B1594" s="15" t="s">
        <v>1234</v>
      </c>
      <c r="C1594" s="7">
        <v>3.04</v>
      </c>
    </row>
    <row r="1595" spans="1:3" x14ac:dyDescent="0.3">
      <c r="A1595" s="15" t="s">
        <v>5003</v>
      </c>
      <c r="B1595" s="15" t="s">
        <v>5004</v>
      </c>
      <c r="C1595" s="7">
        <v>6.52</v>
      </c>
    </row>
    <row r="1596" spans="1:3" x14ac:dyDescent="0.3">
      <c r="A1596" s="15" t="s">
        <v>5005</v>
      </c>
      <c r="B1596" s="15" t="s">
        <v>943</v>
      </c>
      <c r="C1596" s="7">
        <v>2583.34</v>
      </c>
    </row>
    <row r="1597" spans="1:3" x14ac:dyDescent="0.3">
      <c r="A1597" s="15" t="s">
        <v>5006</v>
      </c>
      <c r="B1597" s="15" t="s">
        <v>5007</v>
      </c>
      <c r="C1597" s="7">
        <v>3755.94</v>
      </c>
    </row>
    <row r="1598" spans="1:3" x14ac:dyDescent="0.3">
      <c r="A1598" s="15" t="s">
        <v>5008</v>
      </c>
      <c r="B1598" s="15" t="s">
        <v>670</v>
      </c>
      <c r="C1598" s="7">
        <v>8.1199999999999992</v>
      </c>
    </row>
    <row r="1599" spans="1:3" x14ac:dyDescent="0.3">
      <c r="A1599" s="15" t="s">
        <v>5009</v>
      </c>
      <c r="B1599" s="15" t="s">
        <v>963</v>
      </c>
      <c r="C1599" s="7">
        <v>10.119999999999999</v>
      </c>
    </row>
    <row r="1600" spans="1:3" x14ac:dyDescent="0.3">
      <c r="A1600" s="15" t="s">
        <v>5010</v>
      </c>
      <c r="B1600" s="15" t="s">
        <v>937</v>
      </c>
      <c r="C1600" s="7">
        <v>5248.13</v>
      </c>
    </row>
    <row r="1601" spans="1:3" x14ac:dyDescent="0.3">
      <c r="A1601" s="15" t="s">
        <v>5011</v>
      </c>
      <c r="B1601" s="15" t="s">
        <v>1229</v>
      </c>
      <c r="C1601" s="7">
        <v>20.149999999999999</v>
      </c>
    </row>
    <row r="1602" spans="1:3" x14ac:dyDescent="0.3">
      <c r="A1602" s="15" t="s">
        <v>5012</v>
      </c>
      <c r="B1602" s="15" t="s">
        <v>928</v>
      </c>
      <c r="C1602" s="7">
        <v>24.43</v>
      </c>
    </row>
    <row r="1603" spans="1:3" x14ac:dyDescent="0.3">
      <c r="A1603" s="15" t="s">
        <v>5013</v>
      </c>
      <c r="B1603" s="15" t="s">
        <v>1220</v>
      </c>
      <c r="C1603" s="7">
        <v>29.12</v>
      </c>
    </row>
    <row r="1604" spans="1:3" x14ac:dyDescent="0.3">
      <c r="A1604" s="15" t="s">
        <v>5014</v>
      </c>
      <c r="B1604" s="15" t="s">
        <v>940</v>
      </c>
      <c r="C1604" s="7">
        <v>99.44</v>
      </c>
    </row>
    <row r="1605" spans="1:3" x14ac:dyDescent="0.3">
      <c r="A1605" s="15" t="s">
        <v>5015</v>
      </c>
      <c r="B1605" s="15" t="s">
        <v>926</v>
      </c>
      <c r="C1605" s="7">
        <v>24.43</v>
      </c>
    </row>
    <row r="1606" spans="1:3" x14ac:dyDescent="0.3">
      <c r="A1606" s="15" t="s">
        <v>5016</v>
      </c>
      <c r="B1606" s="15" t="s">
        <v>933</v>
      </c>
      <c r="C1606" s="7">
        <v>21.91</v>
      </c>
    </row>
    <row r="1607" spans="1:3" x14ac:dyDescent="0.3">
      <c r="A1607" s="15" t="s">
        <v>5017</v>
      </c>
      <c r="B1607" s="15" t="s">
        <v>938</v>
      </c>
      <c r="C1607" s="7">
        <v>235.8</v>
      </c>
    </row>
    <row r="1608" spans="1:3" x14ac:dyDescent="0.3">
      <c r="A1608" s="15" t="s">
        <v>5018</v>
      </c>
      <c r="B1608" s="15" t="s">
        <v>927</v>
      </c>
      <c r="C1608" s="7">
        <v>24.43</v>
      </c>
    </row>
    <row r="1609" spans="1:3" x14ac:dyDescent="0.3">
      <c r="A1609" s="15" t="s">
        <v>5019</v>
      </c>
      <c r="B1609" s="15" t="s">
        <v>1205</v>
      </c>
      <c r="C1609" s="7">
        <v>85.25</v>
      </c>
    </row>
    <row r="1610" spans="1:3" x14ac:dyDescent="0.3">
      <c r="A1610" s="15" t="s">
        <v>5020</v>
      </c>
      <c r="B1610" s="15" t="s">
        <v>934</v>
      </c>
      <c r="C1610" s="7">
        <v>21.91</v>
      </c>
    </row>
    <row r="1611" spans="1:3" x14ac:dyDescent="0.3">
      <c r="A1611" s="15" t="s">
        <v>5021</v>
      </c>
      <c r="B1611" s="15" t="s">
        <v>1151</v>
      </c>
      <c r="C1611" s="7">
        <v>20.89</v>
      </c>
    </row>
    <row r="1612" spans="1:3" x14ac:dyDescent="0.3">
      <c r="A1612" s="15" t="s">
        <v>5022</v>
      </c>
      <c r="B1612" s="15" t="s">
        <v>1006</v>
      </c>
      <c r="C1612" s="7">
        <v>6.82</v>
      </c>
    </row>
    <row r="1613" spans="1:3" x14ac:dyDescent="0.3">
      <c r="A1613" s="15" t="s">
        <v>5023</v>
      </c>
      <c r="B1613" s="15" t="s">
        <v>1007</v>
      </c>
      <c r="C1613" s="7">
        <v>6.82</v>
      </c>
    </row>
    <row r="1614" spans="1:3" x14ac:dyDescent="0.3">
      <c r="A1614" s="15" t="s">
        <v>5024</v>
      </c>
      <c r="B1614" s="15" t="s">
        <v>1005</v>
      </c>
      <c r="C1614" s="7">
        <v>6.82</v>
      </c>
    </row>
    <row r="1615" spans="1:3" x14ac:dyDescent="0.3">
      <c r="A1615" s="15" t="s">
        <v>5025</v>
      </c>
      <c r="B1615" s="15" t="s">
        <v>5026</v>
      </c>
      <c r="C1615" s="7">
        <v>2.62</v>
      </c>
    </row>
    <row r="1616" spans="1:3" x14ac:dyDescent="0.3">
      <c r="A1616" s="15" t="s">
        <v>5027</v>
      </c>
      <c r="B1616" s="15" t="s">
        <v>5028</v>
      </c>
      <c r="C1616" s="7">
        <v>2.78</v>
      </c>
    </row>
    <row r="1617" spans="1:3" x14ac:dyDescent="0.3">
      <c r="A1617" s="15" t="s">
        <v>5029</v>
      </c>
      <c r="B1617" s="15" t="s">
        <v>5030</v>
      </c>
      <c r="C1617" s="7">
        <v>4.24</v>
      </c>
    </row>
    <row r="1618" spans="1:3" x14ac:dyDescent="0.3">
      <c r="A1618" s="15" t="s">
        <v>5031</v>
      </c>
      <c r="B1618" s="15" t="s">
        <v>5032</v>
      </c>
      <c r="C1618" s="7">
        <v>4.8099999999999996</v>
      </c>
    </row>
    <row r="1619" spans="1:3" x14ac:dyDescent="0.3">
      <c r="A1619" s="15" t="s">
        <v>5033</v>
      </c>
      <c r="B1619" s="15" t="s">
        <v>1008</v>
      </c>
      <c r="C1619" s="7">
        <v>34.1</v>
      </c>
    </row>
    <row r="1620" spans="1:3" x14ac:dyDescent="0.3">
      <c r="A1620" s="15" t="s">
        <v>5034</v>
      </c>
      <c r="B1620" s="15" t="s">
        <v>5035</v>
      </c>
      <c r="C1620" s="7">
        <v>2.81</v>
      </c>
    </row>
    <row r="1621" spans="1:3" x14ac:dyDescent="0.3">
      <c r="A1621" s="15" t="s">
        <v>5036</v>
      </c>
      <c r="B1621" s="15" t="s">
        <v>5037</v>
      </c>
      <c r="C1621" s="7">
        <v>3.13</v>
      </c>
    </row>
    <row r="1622" spans="1:3" x14ac:dyDescent="0.3">
      <c r="A1622" s="15" t="s">
        <v>5038</v>
      </c>
      <c r="B1622" s="15" t="s">
        <v>5039</v>
      </c>
      <c r="C1622" s="7">
        <v>9.42</v>
      </c>
    </row>
    <row r="1623" spans="1:3" x14ac:dyDescent="0.3">
      <c r="A1623" s="15" t="s">
        <v>5040</v>
      </c>
      <c r="B1623" s="15" t="s">
        <v>5041</v>
      </c>
      <c r="C1623" s="7">
        <v>5.21</v>
      </c>
    </row>
    <row r="1624" spans="1:3" x14ac:dyDescent="0.3">
      <c r="A1624" s="15" t="s">
        <v>5042</v>
      </c>
      <c r="B1624" s="15" t="s">
        <v>5043</v>
      </c>
      <c r="C1624" s="7">
        <v>6.43</v>
      </c>
    </row>
    <row r="1625" spans="1:3" x14ac:dyDescent="0.3">
      <c r="A1625" s="15" t="s">
        <v>5044</v>
      </c>
      <c r="B1625" s="15" t="s">
        <v>5045</v>
      </c>
      <c r="C1625" s="7">
        <v>4.71</v>
      </c>
    </row>
    <row r="1626" spans="1:3" x14ac:dyDescent="0.3">
      <c r="A1626" s="15" t="s">
        <v>5046</v>
      </c>
      <c r="B1626" s="15" t="s">
        <v>5047</v>
      </c>
      <c r="C1626" s="7">
        <v>6.01</v>
      </c>
    </row>
    <row r="1627" spans="1:3" x14ac:dyDescent="0.3">
      <c r="A1627" s="15" t="s">
        <v>5048</v>
      </c>
      <c r="B1627" s="15" t="s">
        <v>5049</v>
      </c>
      <c r="C1627" s="7">
        <v>7.22</v>
      </c>
    </row>
    <row r="1628" spans="1:3" x14ac:dyDescent="0.3">
      <c r="A1628" s="15" t="s">
        <v>5050</v>
      </c>
      <c r="B1628" s="15" t="s">
        <v>1059</v>
      </c>
      <c r="C1628" s="7">
        <v>30.42</v>
      </c>
    </row>
    <row r="1629" spans="1:3" x14ac:dyDescent="0.3">
      <c r="A1629" s="15" t="s">
        <v>5051</v>
      </c>
      <c r="B1629" s="15" t="s">
        <v>830</v>
      </c>
      <c r="C1629" s="7">
        <v>8.59</v>
      </c>
    </row>
    <row r="1630" spans="1:3" x14ac:dyDescent="0.3">
      <c r="A1630" s="15" t="s">
        <v>5052</v>
      </c>
      <c r="B1630" s="15" t="s">
        <v>5053</v>
      </c>
      <c r="C1630" s="7">
        <v>6.92</v>
      </c>
    </row>
    <row r="1631" spans="1:3" x14ac:dyDescent="0.3">
      <c r="A1631" s="15" t="s">
        <v>5054</v>
      </c>
      <c r="B1631" s="15" t="s">
        <v>5055</v>
      </c>
      <c r="C1631" s="7">
        <v>11.02</v>
      </c>
    </row>
    <row r="1632" spans="1:3" x14ac:dyDescent="0.3">
      <c r="A1632" s="15" t="s">
        <v>5056</v>
      </c>
      <c r="B1632" s="15" t="s">
        <v>663</v>
      </c>
      <c r="C1632" s="7">
        <v>6.41</v>
      </c>
    </row>
    <row r="1633" spans="1:3" x14ac:dyDescent="0.3">
      <c r="A1633" s="15" t="s">
        <v>5057</v>
      </c>
      <c r="B1633" s="15" t="s">
        <v>664</v>
      </c>
      <c r="C1633" s="7">
        <v>8.1300000000000008</v>
      </c>
    </row>
    <row r="1634" spans="1:3" x14ac:dyDescent="0.3">
      <c r="A1634" s="15" t="s">
        <v>5058</v>
      </c>
      <c r="B1634" s="15" t="s">
        <v>999</v>
      </c>
      <c r="C1634" s="7">
        <v>0.35</v>
      </c>
    </row>
    <row r="1635" spans="1:3" x14ac:dyDescent="0.3">
      <c r="A1635" s="15" t="s">
        <v>5059</v>
      </c>
      <c r="B1635" s="15" t="s">
        <v>925</v>
      </c>
      <c r="C1635" s="7">
        <v>26.19</v>
      </c>
    </row>
    <row r="1636" spans="1:3" x14ac:dyDescent="0.3">
      <c r="A1636" s="15" t="s">
        <v>5060</v>
      </c>
      <c r="B1636" s="15" t="s">
        <v>1000</v>
      </c>
      <c r="C1636" s="7">
        <v>0.35</v>
      </c>
    </row>
    <row r="1637" spans="1:3" x14ac:dyDescent="0.3">
      <c r="A1637" s="15" t="s">
        <v>5061</v>
      </c>
      <c r="B1637" s="15" t="s">
        <v>1298</v>
      </c>
      <c r="C1637" s="7">
        <v>15.19</v>
      </c>
    </row>
    <row r="1638" spans="1:3" x14ac:dyDescent="0.3">
      <c r="A1638" s="15" t="s">
        <v>5062</v>
      </c>
      <c r="B1638" s="15" t="s">
        <v>1292</v>
      </c>
      <c r="C1638" s="7">
        <v>87.05</v>
      </c>
    </row>
    <row r="1639" spans="1:3" x14ac:dyDescent="0.3">
      <c r="A1639" s="15" t="s">
        <v>5063</v>
      </c>
      <c r="B1639" s="15" t="s">
        <v>753</v>
      </c>
      <c r="C1639" s="7">
        <v>31.61</v>
      </c>
    </row>
    <row r="1640" spans="1:3" x14ac:dyDescent="0.3">
      <c r="A1640" s="15" t="s">
        <v>5064</v>
      </c>
      <c r="B1640" s="15" t="s">
        <v>1300</v>
      </c>
      <c r="C1640" s="7">
        <v>8.92</v>
      </c>
    </row>
    <row r="1641" spans="1:3" x14ac:dyDescent="0.3">
      <c r="A1641" s="15" t="s">
        <v>5065</v>
      </c>
      <c r="B1641" s="15" t="s">
        <v>1290</v>
      </c>
      <c r="C1641" s="7">
        <v>25.63</v>
      </c>
    </row>
    <row r="1642" spans="1:3" x14ac:dyDescent="0.3">
      <c r="A1642" s="15" t="s">
        <v>5066</v>
      </c>
      <c r="B1642" s="15" t="s">
        <v>752</v>
      </c>
      <c r="C1642" s="7">
        <v>16.579999999999998</v>
      </c>
    </row>
    <row r="1643" spans="1:3" x14ac:dyDescent="0.3">
      <c r="A1643" s="15" t="s">
        <v>5067</v>
      </c>
      <c r="B1643" s="15" t="s">
        <v>754</v>
      </c>
      <c r="C1643" s="7">
        <v>59.3</v>
      </c>
    </row>
    <row r="1644" spans="1:3" x14ac:dyDescent="0.3">
      <c r="A1644" s="15" t="s">
        <v>5068</v>
      </c>
      <c r="B1644" s="15" t="s">
        <v>1299</v>
      </c>
      <c r="C1644" s="7">
        <v>32.700000000000003</v>
      </c>
    </row>
    <row r="1645" spans="1:3" x14ac:dyDescent="0.3">
      <c r="A1645" s="15" t="s">
        <v>5069</v>
      </c>
      <c r="B1645" s="15" t="s">
        <v>1291</v>
      </c>
      <c r="C1645" s="7">
        <v>45.79</v>
      </c>
    </row>
    <row r="1646" spans="1:3" x14ac:dyDescent="0.3">
      <c r="A1646" s="15" t="s">
        <v>5070</v>
      </c>
      <c r="B1646" s="15" t="s">
        <v>1072</v>
      </c>
      <c r="C1646" s="7">
        <v>3.12</v>
      </c>
    </row>
    <row r="1647" spans="1:3" x14ac:dyDescent="0.3">
      <c r="A1647" s="15" t="s">
        <v>5071</v>
      </c>
      <c r="B1647" s="15" t="s">
        <v>1257</v>
      </c>
      <c r="C1647" s="7">
        <v>8.23</v>
      </c>
    </row>
    <row r="1648" spans="1:3" x14ac:dyDescent="0.3">
      <c r="A1648" s="15" t="s">
        <v>5072</v>
      </c>
      <c r="B1648" s="15" t="s">
        <v>734</v>
      </c>
      <c r="C1648" s="7">
        <v>6.64</v>
      </c>
    </row>
    <row r="1649" spans="1:3" x14ac:dyDescent="0.3">
      <c r="A1649" s="15" t="s">
        <v>5073</v>
      </c>
      <c r="B1649" s="15" t="s">
        <v>733</v>
      </c>
      <c r="C1649" s="7">
        <v>6.64</v>
      </c>
    </row>
    <row r="1650" spans="1:3" x14ac:dyDescent="0.3">
      <c r="A1650" s="15" t="s">
        <v>5074</v>
      </c>
      <c r="B1650" s="15" t="s">
        <v>736</v>
      </c>
      <c r="C1650" s="7">
        <v>6.64</v>
      </c>
    </row>
    <row r="1651" spans="1:3" x14ac:dyDescent="0.3">
      <c r="A1651" s="15" t="s">
        <v>5075</v>
      </c>
      <c r="B1651" s="15" t="s">
        <v>738</v>
      </c>
      <c r="C1651" s="7">
        <v>6.64</v>
      </c>
    </row>
    <row r="1652" spans="1:3" x14ac:dyDescent="0.3">
      <c r="A1652" s="15" t="s">
        <v>5076</v>
      </c>
      <c r="B1652" s="15" t="s">
        <v>5077</v>
      </c>
      <c r="C1652" s="7">
        <v>13.27</v>
      </c>
    </row>
    <row r="1653" spans="1:3" x14ac:dyDescent="0.3">
      <c r="A1653" s="15" t="s">
        <v>5078</v>
      </c>
      <c r="B1653" s="15" t="s">
        <v>890</v>
      </c>
      <c r="C1653" s="7">
        <v>4.04</v>
      </c>
    </row>
    <row r="1654" spans="1:3" x14ac:dyDescent="0.3">
      <c r="A1654" s="15" t="s">
        <v>5079</v>
      </c>
      <c r="B1654" s="15" t="s">
        <v>958</v>
      </c>
      <c r="C1654" s="7">
        <v>6.14</v>
      </c>
    </row>
    <row r="1655" spans="1:3" x14ac:dyDescent="0.3">
      <c r="A1655" s="15" t="s">
        <v>5080</v>
      </c>
      <c r="B1655" s="15" t="s">
        <v>960</v>
      </c>
      <c r="C1655" s="7">
        <v>7.56</v>
      </c>
    </row>
    <row r="1656" spans="1:3" x14ac:dyDescent="0.3">
      <c r="A1656" s="15" t="s">
        <v>5081</v>
      </c>
      <c r="B1656" s="15" t="s">
        <v>1067</v>
      </c>
      <c r="C1656" s="7">
        <v>10.49</v>
      </c>
    </row>
    <row r="1657" spans="1:3" x14ac:dyDescent="0.3">
      <c r="A1657" s="15" t="s">
        <v>5082</v>
      </c>
      <c r="B1657" s="15" t="s">
        <v>1065</v>
      </c>
      <c r="C1657" s="7">
        <v>10.49</v>
      </c>
    </row>
    <row r="1658" spans="1:3" x14ac:dyDescent="0.3">
      <c r="A1658" s="15" t="s">
        <v>5083</v>
      </c>
      <c r="B1658" s="15" t="s">
        <v>1066</v>
      </c>
      <c r="C1658" s="7">
        <v>10.49</v>
      </c>
    </row>
    <row r="1659" spans="1:3" x14ac:dyDescent="0.3">
      <c r="A1659" s="15" t="s">
        <v>5084</v>
      </c>
      <c r="B1659" s="15" t="s">
        <v>1080</v>
      </c>
      <c r="C1659" s="7">
        <v>48.87</v>
      </c>
    </row>
    <row r="1660" spans="1:3" x14ac:dyDescent="0.3">
      <c r="A1660" s="15" t="s">
        <v>5085</v>
      </c>
      <c r="B1660" s="15" t="s">
        <v>1085</v>
      </c>
      <c r="C1660" s="7">
        <v>21.48</v>
      </c>
    </row>
    <row r="1661" spans="1:3" x14ac:dyDescent="0.3">
      <c r="A1661" s="15" t="s">
        <v>5086</v>
      </c>
      <c r="B1661" s="15" t="s">
        <v>1084</v>
      </c>
      <c r="C1661" s="7">
        <v>58.44</v>
      </c>
    </row>
    <row r="1662" spans="1:3" x14ac:dyDescent="0.3">
      <c r="A1662" s="15" t="s">
        <v>5087</v>
      </c>
      <c r="B1662" s="15" t="s">
        <v>1083</v>
      </c>
      <c r="C1662" s="7">
        <v>22.93</v>
      </c>
    </row>
    <row r="1663" spans="1:3" x14ac:dyDescent="0.3">
      <c r="A1663" s="15" t="s">
        <v>5088</v>
      </c>
      <c r="B1663" s="15" t="s">
        <v>1082</v>
      </c>
      <c r="C1663" s="7">
        <v>58.44</v>
      </c>
    </row>
    <row r="1664" spans="1:3" x14ac:dyDescent="0.3">
      <c r="A1664" s="15" t="s">
        <v>5089</v>
      </c>
      <c r="B1664" s="15" t="s">
        <v>1089</v>
      </c>
      <c r="C1664" s="7">
        <v>16.37</v>
      </c>
    </row>
    <row r="1665" spans="1:3" x14ac:dyDescent="0.3">
      <c r="A1665" s="15" t="s">
        <v>5090</v>
      </c>
      <c r="B1665" s="15" t="s">
        <v>1093</v>
      </c>
      <c r="C1665" s="7">
        <v>14.4</v>
      </c>
    </row>
    <row r="1666" spans="1:3" x14ac:dyDescent="0.3">
      <c r="A1666" s="15" t="s">
        <v>5091</v>
      </c>
      <c r="B1666" s="15" t="s">
        <v>1092</v>
      </c>
      <c r="C1666" s="7">
        <v>60.19</v>
      </c>
    </row>
    <row r="1667" spans="1:3" x14ac:dyDescent="0.3">
      <c r="A1667" s="15" t="s">
        <v>5092</v>
      </c>
      <c r="B1667" s="15" t="s">
        <v>1091</v>
      </c>
      <c r="C1667" s="7">
        <v>23.42</v>
      </c>
    </row>
    <row r="1668" spans="1:3" x14ac:dyDescent="0.3">
      <c r="A1668" s="15" t="s">
        <v>5093</v>
      </c>
      <c r="B1668" s="15" t="s">
        <v>1086</v>
      </c>
      <c r="C1668" s="7">
        <v>65.69</v>
      </c>
    </row>
    <row r="1669" spans="1:3" x14ac:dyDescent="0.3">
      <c r="A1669" s="15" t="s">
        <v>5094</v>
      </c>
      <c r="B1669" s="15" t="s">
        <v>1090</v>
      </c>
      <c r="C1669" s="7">
        <v>16.37</v>
      </c>
    </row>
    <row r="1670" spans="1:3" x14ac:dyDescent="0.3">
      <c r="A1670" s="15" t="s">
        <v>5095</v>
      </c>
      <c r="B1670" s="15" t="s">
        <v>1087</v>
      </c>
      <c r="C1670" s="7">
        <v>25.19</v>
      </c>
    </row>
    <row r="1671" spans="1:3" x14ac:dyDescent="0.3">
      <c r="A1671" s="15" t="s">
        <v>5096</v>
      </c>
      <c r="B1671" s="15" t="s">
        <v>1077</v>
      </c>
      <c r="C1671" s="7">
        <v>48.87</v>
      </c>
    </row>
    <row r="1672" spans="1:3" x14ac:dyDescent="0.3">
      <c r="A1672" s="15" t="s">
        <v>5097</v>
      </c>
      <c r="B1672" s="15" t="s">
        <v>1078</v>
      </c>
      <c r="C1672" s="7">
        <v>48.87</v>
      </c>
    </row>
    <row r="1673" spans="1:3" x14ac:dyDescent="0.3">
      <c r="A1673" s="15" t="s">
        <v>5098</v>
      </c>
      <c r="B1673" s="15" t="s">
        <v>1076</v>
      </c>
      <c r="C1673" s="7">
        <v>58.98</v>
      </c>
    </row>
    <row r="1674" spans="1:3" x14ac:dyDescent="0.3">
      <c r="A1674" s="15" t="s">
        <v>5099</v>
      </c>
      <c r="B1674" s="15" t="s">
        <v>1081</v>
      </c>
      <c r="C1674" s="7">
        <v>27.36</v>
      </c>
    </row>
    <row r="1675" spans="1:3" x14ac:dyDescent="0.3">
      <c r="A1675" s="15" t="s">
        <v>5100</v>
      </c>
      <c r="B1675" s="15" t="s">
        <v>1079</v>
      </c>
      <c r="C1675" s="7">
        <v>48.87</v>
      </c>
    </row>
    <row r="1676" spans="1:3" x14ac:dyDescent="0.3">
      <c r="A1676" s="15" t="s">
        <v>5101</v>
      </c>
      <c r="B1676" s="15" t="s">
        <v>5102</v>
      </c>
      <c r="C1676" s="7">
        <v>858.21</v>
      </c>
    </row>
    <row r="1677" spans="1:3" x14ac:dyDescent="0.3">
      <c r="A1677" s="15" t="s">
        <v>5103</v>
      </c>
      <c r="B1677" s="15" t="s">
        <v>5104</v>
      </c>
      <c r="C1677" s="7">
        <v>1148.28</v>
      </c>
    </row>
    <row r="1678" spans="1:3" x14ac:dyDescent="0.3">
      <c r="A1678" s="15" t="s">
        <v>5105</v>
      </c>
      <c r="B1678" s="15" t="s">
        <v>1064</v>
      </c>
      <c r="C1678" s="7">
        <v>4.74</v>
      </c>
    </row>
    <row r="1679" spans="1:3" x14ac:dyDescent="0.3">
      <c r="A1679" s="15" t="s">
        <v>5106</v>
      </c>
      <c r="B1679" s="15" t="s">
        <v>1094</v>
      </c>
      <c r="C1679" s="7">
        <v>11.82</v>
      </c>
    </row>
    <row r="1680" spans="1:3" x14ac:dyDescent="0.3">
      <c r="A1680" s="15" t="s">
        <v>5107</v>
      </c>
      <c r="B1680" s="15" t="s">
        <v>5108</v>
      </c>
      <c r="C1680" s="7">
        <v>1061.8900000000001</v>
      </c>
    </row>
    <row r="1681" spans="1:3" x14ac:dyDescent="0.3">
      <c r="A1681" s="15" t="s">
        <v>5109</v>
      </c>
      <c r="B1681" s="15" t="s">
        <v>5110</v>
      </c>
      <c r="C1681" s="7">
        <v>887.44</v>
      </c>
    </row>
    <row r="1682" spans="1:3" x14ac:dyDescent="0.3">
      <c r="A1682" s="15" t="s">
        <v>5111</v>
      </c>
      <c r="B1682" s="15" t="s">
        <v>5112</v>
      </c>
      <c r="C1682" s="7">
        <v>540.74</v>
      </c>
    </row>
    <row r="1683" spans="1:3" x14ac:dyDescent="0.3">
      <c r="A1683" s="15" t="s">
        <v>5113</v>
      </c>
      <c r="B1683" s="15" t="s">
        <v>5114</v>
      </c>
      <c r="C1683" s="7">
        <v>436.2</v>
      </c>
    </row>
    <row r="1684" spans="1:3" x14ac:dyDescent="0.3">
      <c r="A1684" s="15" t="s">
        <v>5115</v>
      </c>
      <c r="B1684" s="15" t="s">
        <v>1095</v>
      </c>
      <c r="C1684" s="7">
        <v>5.9</v>
      </c>
    </row>
    <row r="1685" spans="1:3" x14ac:dyDescent="0.3">
      <c r="A1685" s="15" t="s">
        <v>5116</v>
      </c>
      <c r="B1685" s="15" t="s">
        <v>1192</v>
      </c>
      <c r="C1685" s="7">
        <v>3.55</v>
      </c>
    </row>
    <row r="1686" spans="1:3" x14ac:dyDescent="0.3">
      <c r="A1686" s="15" t="s">
        <v>5117</v>
      </c>
      <c r="B1686" s="15" t="s">
        <v>1259</v>
      </c>
      <c r="C1686" s="7">
        <v>9.06</v>
      </c>
    </row>
    <row r="1687" spans="1:3" x14ac:dyDescent="0.3">
      <c r="A1687" s="15" t="s">
        <v>5118</v>
      </c>
      <c r="B1687" s="15" t="s">
        <v>1101</v>
      </c>
      <c r="C1687" s="7">
        <v>5.53</v>
      </c>
    </row>
    <row r="1688" spans="1:3" x14ac:dyDescent="0.3">
      <c r="A1688" s="15" t="s">
        <v>5119</v>
      </c>
      <c r="B1688" s="15" t="s">
        <v>5120</v>
      </c>
      <c r="C1688" s="7">
        <v>419.99</v>
      </c>
    </row>
    <row r="1689" spans="1:3" x14ac:dyDescent="0.3">
      <c r="A1689" s="15" t="s">
        <v>5121</v>
      </c>
      <c r="B1689" s="15" t="s">
        <v>5122</v>
      </c>
      <c r="C1689" s="7">
        <v>378.65</v>
      </c>
    </row>
    <row r="1690" spans="1:3" x14ac:dyDescent="0.3">
      <c r="A1690" s="15" t="s">
        <v>5123</v>
      </c>
      <c r="B1690" s="15" t="s">
        <v>1088</v>
      </c>
      <c r="C1690" s="7">
        <v>13.6</v>
      </c>
    </row>
    <row r="1691" spans="1:3" x14ac:dyDescent="0.3">
      <c r="A1691" s="15" t="s">
        <v>5124</v>
      </c>
      <c r="B1691" s="15" t="s">
        <v>5125</v>
      </c>
      <c r="C1691" s="7">
        <v>9.81</v>
      </c>
    </row>
    <row r="1692" spans="1:3" x14ac:dyDescent="0.3">
      <c r="A1692" s="15" t="s">
        <v>5126</v>
      </c>
      <c r="B1692" s="15" t="s">
        <v>5127</v>
      </c>
      <c r="C1692" s="7">
        <v>10.93</v>
      </c>
    </row>
    <row r="1693" spans="1:3" x14ac:dyDescent="0.3">
      <c r="A1693" s="15" t="s">
        <v>5128</v>
      </c>
      <c r="B1693" s="15" t="s">
        <v>674</v>
      </c>
      <c r="C1693" s="7">
        <v>29.98</v>
      </c>
    </row>
    <row r="1694" spans="1:3" x14ac:dyDescent="0.3">
      <c r="A1694" s="15" t="s">
        <v>5129</v>
      </c>
      <c r="B1694" s="15" t="s">
        <v>912</v>
      </c>
      <c r="C1694" s="7">
        <v>26.31</v>
      </c>
    </row>
    <row r="1695" spans="1:3" x14ac:dyDescent="0.3">
      <c r="A1695" s="15" t="s">
        <v>5130</v>
      </c>
      <c r="B1695" s="15" t="s">
        <v>913</v>
      </c>
      <c r="C1695" s="7">
        <v>26.31</v>
      </c>
    </row>
    <row r="1696" spans="1:3" x14ac:dyDescent="0.3">
      <c r="A1696" s="15" t="s">
        <v>5131</v>
      </c>
      <c r="B1696" s="15" t="s">
        <v>1163</v>
      </c>
      <c r="C1696" s="7">
        <v>22.02</v>
      </c>
    </row>
    <row r="1697" spans="1:3" x14ac:dyDescent="0.3">
      <c r="A1697" s="15" t="s">
        <v>5132</v>
      </c>
      <c r="B1697" s="15" t="s">
        <v>1264</v>
      </c>
      <c r="C1697" s="7">
        <v>30.59</v>
      </c>
    </row>
    <row r="1698" spans="1:3" x14ac:dyDescent="0.3">
      <c r="A1698" s="15" t="s">
        <v>5133</v>
      </c>
      <c r="B1698" s="15" t="s">
        <v>1266</v>
      </c>
      <c r="C1698" s="7">
        <v>30.59</v>
      </c>
    </row>
    <row r="1699" spans="1:3" x14ac:dyDescent="0.3">
      <c r="A1699" s="15" t="s">
        <v>5134</v>
      </c>
      <c r="B1699" s="15" t="s">
        <v>1265</v>
      </c>
      <c r="C1699" s="7">
        <v>30.59</v>
      </c>
    </row>
    <row r="1700" spans="1:3" x14ac:dyDescent="0.3">
      <c r="A1700" s="15" t="s">
        <v>5135</v>
      </c>
      <c r="B1700" s="15" t="s">
        <v>1188</v>
      </c>
      <c r="C1700" s="7">
        <v>22.02</v>
      </c>
    </row>
    <row r="1701" spans="1:3" x14ac:dyDescent="0.3">
      <c r="A1701" s="15" t="s">
        <v>5136</v>
      </c>
      <c r="B1701" s="15" t="s">
        <v>1189</v>
      </c>
      <c r="C1701" s="7">
        <v>22.02</v>
      </c>
    </row>
    <row r="1702" spans="1:3" x14ac:dyDescent="0.3">
      <c r="A1702" s="15" t="s">
        <v>5137</v>
      </c>
      <c r="B1702" s="15" t="s">
        <v>676</v>
      </c>
      <c r="C1702" s="7">
        <v>19.57</v>
      </c>
    </row>
    <row r="1703" spans="1:3" x14ac:dyDescent="0.3">
      <c r="A1703" s="15" t="s">
        <v>5138</v>
      </c>
      <c r="B1703" s="15" t="s">
        <v>678</v>
      </c>
      <c r="C1703" s="7">
        <v>19.57</v>
      </c>
    </row>
    <row r="1704" spans="1:3" x14ac:dyDescent="0.3">
      <c r="A1704" s="15" t="s">
        <v>5139</v>
      </c>
      <c r="B1704" s="15" t="s">
        <v>677</v>
      </c>
      <c r="C1704" s="7">
        <v>19.57</v>
      </c>
    </row>
    <row r="1705" spans="1:3" x14ac:dyDescent="0.3">
      <c r="A1705" s="15" t="s">
        <v>5140</v>
      </c>
      <c r="B1705" s="15" t="s">
        <v>675</v>
      </c>
      <c r="C1705" s="7">
        <v>19.57</v>
      </c>
    </row>
    <row r="1706" spans="1:3" x14ac:dyDescent="0.3">
      <c r="A1706" s="15" t="s">
        <v>5141</v>
      </c>
      <c r="B1706" s="15" t="s">
        <v>5142</v>
      </c>
      <c r="C1706" s="7">
        <v>22.63</v>
      </c>
    </row>
    <row r="1707" spans="1:3" x14ac:dyDescent="0.3">
      <c r="A1707" s="15" t="s">
        <v>5143</v>
      </c>
      <c r="B1707" s="15" t="s">
        <v>5144</v>
      </c>
      <c r="C1707" s="7">
        <v>22.63</v>
      </c>
    </row>
    <row r="1708" spans="1:3" x14ac:dyDescent="0.3">
      <c r="A1708" s="15" t="s">
        <v>5145</v>
      </c>
      <c r="B1708" s="15" t="s">
        <v>5146</v>
      </c>
      <c r="C1708" s="7">
        <v>28.79</v>
      </c>
    </row>
    <row r="1709" spans="1:3" x14ac:dyDescent="0.3">
      <c r="A1709" s="15" t="s">
        <v>5147</v>
      </c>
      <c r="B1709" s="15" t="s">
        <v>5148</v>
      </c>
      <c r="C1709" s="7">
        <v>51.45</v>
      </c>
    </row>
    <row r="1710" spans="1:3" x14ac:dyDescent="0.3">
      <c r="A1710" s="15" t="s">
        <v>5149</v>
      </c>
      <c r="B1710" s="15" t="s">
        <v>5150</v>
      </c>
      <c r="C1710" s="7">
        <v>45.94</v>
      </c>
    </row>
    <row r="1711" spans="1:3" x14ac:dyDescent="0.3">
      <c r="A1711" s="15" t="s">
        <v>5151</v>
      </c>
      <c r="B1711" s="15" t="s">
        <v>633</v>
      </c>
      <c r="C1711" s="7">
        <v>33.380000000000003</v>
      </c>
    </row>
    <row r="1712" spans="1:3" x14ac:dyDescent="0.3">
      <c r="A1712" s="15" t="s">
        <v>5152</v>
      </c>
      <c r="B1712" s="15" t="s">
        <v>636</v>
      </c>
      <c r="C1712" s="7">
        <v>35.497500000000002</v>
      </c>
    </row>
    <row r="1713" spans="1:3" x14ac:dyDescent="0.3">
      <c r="A1713" s="15" t="s">
        <v>5153</v>
      </c>
      <c r="B1713" s="15" t="s">
        <v>5154</v>
      </c>
      <c r="C1713" s="7">
        <v>42.65</v>
      </c>
    </row>
    <row r="1714" spans="1:3" x14ac:dyDescent="0.3">
      <c r="A1714" s="15" t="s">
        <v>5155</v>
      </c>
      <c r="B1714" s="15" t="s">
        <v>5156</v>
      </c>
      <c r="C1714" s="7">
        <v>7.79</v>
      </c>
    </row>
    <row r="1715" spans="1:3" x14ac:dyDescent="0.3">
      <c r="A1715" s="15" t="s">
        <v>5157</v>
      </c>
      <c r="B1715" s="15" t="s">
        <v>5158</v>
      </c>
      <c r="C1715" s="7">
        <v>33.630000000000003</v>
      </c>
    </row>
    <row r="1716" spans="1:3" x14ac:dyDescent="0.3">
      <c r="A1716" s="15" t="s">
        <v>5159</v>
      </c>
      <c r="B1716" s="15" t="s">
        <v>2973</v>
      </c>
      <c r="C1716" s="7">
        <v>61.88</v>
      </c>
    </row>
    <row r="1717" spans="1:3" x14ac:dyDescent="0.3">
      <c r="A1717" s="15" t="s">
        <v>5160</v>
      </c>
      <c r="B1717" s="15" t="s">
        <v>2976</v>
      </c>
      <c r="C1717" s="7">
        <v>59.54</v>
      </c>
    </row>
    <row r="1718" spans="1:3" x14ac:dyDescent="0.3">
      <c r="A1718" s="15" t="s">
        <v>5161</v>
      </c>
      <c r="B1718" s="15" t="s">
        <v>1049</v>
      </c>
      <c r="C1718" s="7">
        <v>5.43</v>
      </c>
    </row>
    <row r="1719" spans="1:3" x14ac:dyDescent="0.3">
      <c r="A1719" s="15" t="s">
        <v>5162</v>
      </c>
      <c r="B1719" s="15" t="s">
        <v>1050</v>
      </c>
      <c r="C1719" s="7">
        <v>5.43</v>
      </c>
    </row>
    <row r="1720" spans="1:3" x14ac:dyDescent="0.3">
      <c r="A1720" s="15" t="s">
        <v>5163</v>
      </c>
      <c r="B1720" s="15" t="s">
        <v>1054</v>
      </c>
      <c r="C1720" s="7">
        <v>23.18</v>
      </c>
    </row>
    <row r="1721" spans="1:3" x14ac:dyDescent="0.3">
      <c r="A1721" s="15" t="s">
        <v>5164</v>
      </c>
      <c r="B1721" s="15" t="s">
        <v>1055</v>
      </c>
      <c r="C1721" s="7">
        <v>24.46</v>
      </c>
    </row>
    <row r="1722" spans="1:3" x14ac:dyDescent="0.3">
      <c r="A1722" s="15" t="s">
        <v>5165</v>
      </c>
      <c r="B1722" s="15" t="s">
        <v>1047</v>
      </c>
      <c r="C1722" s="7">
        <v>10.71</v>
      </c>
    </row>
    <row r="1723" spans="1:3" x14ac:dyDescent="0.3">
      <c r="A1723" s="15" t="s">
        <v>5166</v>
      </c>
      <c r="B1723" s="15" t="s">
        <v>1048</v>
      </c>
      <c r="C1723" s="7">
        <v>10.71</v>
      </c>
    </row>
    <row r="1724" spans="1:3" x14ac:dyDescent="0.3">
      <c r="A1724" s="15" t="s">
        <v>5167</v>
      </c>
      <c r="B1724" s="15" t="s">
        <v>1822</v>
      </c>
      <c r="C1724" s="7">
        <v>5.34</v>
      </c>
    </row>
    <row r="1725" spans="1:3" x14ac:dyDescent="0.3">
      <c r="A1725" s="15" t="s">
        <v>5168</v>
      </c>
      <c r="B1725" s="15" t="s">
        <v>973</v>
      </c>
      <c r="C1725" s="7">
        <v>25.9</v>
      </c>
    </row>
    <row r="1726" spans="1:3" x14ac:dyDescent="0.3">
      <c r="A1726" s="15" t="s">
        <v>5169</v>
      </c>
      <c r="B1726" s="15" t="s">
        <v>5170</v>
      </c>
      <c r="C1726" s="7">
        <v>10.93</v>
      </c>
    </row>
    <row r="1727" spans="1:3" x14ac:dyDescent="0.3">
      <c r="A1727" s="15" t="s">
        <v>5171</v>
      </c>
      <c r="B1727" s="15" t="s">
        <v>5172</v>
      </c>
      <c r="C1727" s="7">
        <v>5.69</v>
      </c>
    </row>
    <row r="1728" spans="1:3" x14ac:dyDescent="0.3">
      <c r="A1728" s="15" t="s">
        <v>5173</v>
      </c>
      <c r="B1728" s="15" t="s">
        <v>5174</v>
      </c>
      <c r="C1728" s="7">
        <v>4.12</v>
      </c>
    </row>
    <row r="1729" spans="1:3" x14ac:dyDescent="0.3">
      <c r="A1729" s="15" t="s">
        <v>5175</v>
      </c>
      <c r="B1729" s="15" t="s">
        <v>5176</v>
      </c>
      <c r="C1729" s="7">
        <v>5.19</v>
      </c>
    </row>
    <row r="1730" spans="1:3" x14ac:dyDescent="0.3">
      <c r="A1730" s="15" t="s">
        <v>5177</v>
      </c>
      <c r="B1730" s="15" t="s">
        <v>5178</v>
      </c>
      <c r="C1730" s="7">
        <v>8.8800000000000008</v>
      </c>
    </row>
    <row r="1731" spans="1:3" x14ac:dyDescent="0.3">
      <c r="A1731" s="15" t="s">
        <v>5179</v>
      </c>
      <c r="B1731" s="15" t="s">
        <v>5180</v>
      </c>
      <c r="C1731" s="7">
        <v>19.89</v>
      </c>
    </row>
    <row r="1732" spans="1:3" x14ac:dyDescent="0.3">
      <c r="A1732" s="15" t="s">
        <v>5181</v>
      </c>
      <c r="B1732" s="15" t="s">
        <v>5182</v>
      </c>
      <c r="C1732" s="7">
        <v>10.09</v>
      </c>
    </row>
    <row r="1733" spans="1:3" x14ac:dyDescent="0.3">
      <c r="A1733" s="15" t="s">
        <v>5183</v>
      </c>
      <c r="B1733" s="15" t="s">
        <v>974</v>
      </c>
      <c r="C1733" s="7">
        <v>23.06</v>
      </c>
    </row>
    <row r="1734" spans="1:3" x14ac:dyDescent="0.3">
      <c r="A1734" s="15" t="s">
        <v>5184</v>
      </c>
      <c r="B1734" s="15" t="s">
        <v>1828</v>
      </c>
      <c r="C1734" s="7">
        <v>8.8699999999999992</v>
      </c>
    </row>
    <row r="1735" spans="1:3" x14ac:dyDescent="0.3">
      <c r="A1735" s="15" t="s">
        <v>5185</v>
      </c>
      <c r="B1735" s="15" t="s">
        <v>5186</v>
      </c>
      <c r="C1735" s="7">
        <v>7.66</v>
      </c>
    </row>
    <row r="1736" spans="1:3" x14ac:dyDescent="0.3">
      <c r="A1736" s="15" t="s">
        <v>5187</v>
      </c>
      <c r="B1736" s="15" t="s">
        <v>5188</v>
      </c>
      <c r="C1736" s="7">
        <v>39.1</v>
      </c>
    </row>
    <row r="1737" spans="1:3" x14ac:dyDescent="0.3">
      <c r="A1737" s="15" t="s">
        <v>5189</v>
      </c>
      <c r="B1737" s="15" t="s">
        <v>5190</v>
      </c>
      <c r="C1737" s="7">
        <v>35</v>
      </c>
    </row>
    <row r="1738" spans="1:3" x14ac:dyDescent="0.3">
      <c r="A1738" s="15" t="s">
        <v>5191</v>
      </c>
      <c r="B1738" s="15" t="s">
        <v>762</v>
      </c>
      <c r="C1738" s="7">
        <v>5.54</v>
      </c>
    </row>
    <row r="1739" spans="1:3" x14ac:dyDescent="0.3">
      <c r="A1739" s="15" t="s">
        <v>5192</v>
      </c>
      <c r="B1739" s="15" t="s">
        <v>763</v>
      </c>
      <c r="C1739" s="7">
        <v>55.15</v>
      </c>
    </row>
    <row r="1740" spans="1:3" x14ac:dyDescent="0.3">
      <c r="A1740" s="15" t="s">
        <v>5193</v>
      </c>
      <c r="B1740" s="15" t="s">
        <v>761</v>
      </c>
      <c r="C1740" s="7">
        <v>18.63</v>
      </c>
    </row>
    <row r="1741" spans="1:3" x14ac:dyDescent="0.3">
      <c r="A1741" s="15" t="s">
        <v>5194</v>
      </c>
      <c r="B1741" s="15" t="s">
        <v>1263</v>
      </c>
      <c r="C1741" s="7">
        <v>4</v>
      </c>
    </row>
    <row r="1742" spans="1:3" x14ac:dyDescent="0.3">
      <c r="A1742" s="15" t="s">
        <v>5195</v>
      </c>
      <c r="B1742" s="15" t="s">
        <v>5196</v>
      </c>
      <c r="C1742" s="7">
        <v>20.73</v>
      </c>
    </row>
    <row r="1743" spans="1:3" x14ac:dyDescent="0.3">
      <c r="A1743" s="15" t="s">
        <v>5197</v>
      </c>
      <c r="B1743" s="15" t="s">
        <v>5198</v>
      </c>
      <c r="C1743" s="7">
        <v>28.64</v>
      </c>
    </row>
    <row r="1744" spans="1:3" x14ac:dyDescent="0.3">
      <c r="A1744" s="15" t="s">
        <v>5199</v>
      </c>
      <c r="B1744" s="15" t="s">
        <v>5200</v>
      </c>
      <c r="C1744" s="7">
        <v>19.13</v>
      </c>
    </row>
    <row r="1745" spans="1:3" x14ac:dyDescent="0.3">
      <c r="A1745" s="15" t="s">
        <v>5201</v>
      </c>
      <c r="B1745" s="15" t="s">
        <v>1075</v>
      </c>
      <c r="C1745" s="7">
        <v>6.99</v>
      </c>
    </row>
    <row r="1746" spans="1:3" x14ac:dyDescent="0.3">
      <c r="A1746" s="15" t="s">
        <v>5202</v>
      </c>
      <c r="B1746" s="15" t="s">
        <v>5203</v>
      </c>
      <c r="C1746" s="7">
        <v>0</v>
      </c>
    </row>
    <row r="1747" spans="1:3" x14ac:dyDescent="0.3">
      <c r="A1747" s="15" t="s">
        <v>5204</v>
      </c>
      <c r="B1747" s="15" t="s">
        <v>5205</v>
      </c>
      <c r="C1747" s="7">
        <v>0.96557999999999999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BDD61-E910-431D-99E0-BD69FD395F49}">
  <dimension ref="A1:C1599"/>
  <sheetViews>
    <sheetView topLeftCell="A1576" workbookViewId="0">
      <selection activeCell="E1585" sqref="E1585"/>
    </sheetView>
  </sheetViews>
  <sheetFormatPr defaultRowHeight="14.4" x14ac:dyDescent="0.3"/>
  <sheetData>
    <row r="1" spans="1:3" ht="40.799999999999997" x14ac:dyDescent="0.3">
      <c r="A1" s="21" t="s">
        <v>2572</v>
      </c>
      <c r="B1" s="21" t="s">
        <v>2573</v>
      </c>
      <c r="C1" s="22" t="s">
        <v>2574</v>
      </c>
    </row>
    <row r="2" spans="1:3" x14ac:dyDescent="0.3">
      <c r="A2" s="23">
        <v>5074297</v>
      </c>
      <c r="B2" s="23" t="s">
        <v>2056</v>
      </c>
      <c r="C2" s="24">
        <v>1</v>
      </c>
    </row>
    <row r="3" spans="1:3" x14ac:dyDescent="0.3">
      <c r="A3" s="23">
        <v>5074298</v>
      </c>
      <c r="B3" s="23" t="s">
        <v>2057</v>
      </c>
      <c r="C3" s="24">
        <v>11</v>
      </c>
    </row>
    <row r="4" spans="1:3" x14ac:dyDescent="0.3">
      <c r="A4" s="23">
        <v>5074299</v>
      </c>
      <c r="B4" s="23" t="s">
        <v>2575</v>
      </c>
      <c r="C4" s="24">
        <v>3</v>
      </c>
    </row>
    <row r="5" spans="1:3" x14ac:dyDescent="0.3">
      <c r="A5" s="23">
        <v>5077776</v>
      </c>
      <c r="B5" s="23" t="s">
        <v>2058</v>
      </c>
      <c r="C5" s="24">
        <v>18</v>
      </c>
    </row>
    <row r="6" spans="1:3" x14ac:dyDescent="0.3">
      <c r="A6" s="23">
        <v>5077788</v>
      </c>
      <c r="B6" s="23" t="s">
        <v>2059</v>
      </c>
      <c r="C6" s="24">
        <v>25</v>
      </c>
    </row>
    <row r="7" spans="1:3" x14ac:dyDescent="0.3">
      <c r="A7" s="23">
        <v>5081949</v>
      </c>
      <c r="B7" s="23" t="s">
        <v>1655</v>
      </c>
      <c r="C7" s="24">
        <v>65</v>
      </c>
    </row>
    <row r="8" spans="1:3" x14ac:dyDescent="0.3">
      <c r="A8" s="23">
        <v>5081950</v>
      </c>
      <c r="B8" s="23" t="s">
        <v>2060</v>
      </c>
      <c r="C8" s="24">
        <v>902</v>
      </c>
    </row>
    <row r="9" spans="1:3" x14ac:dyDescent="0.3">
      <c r="A9" s="23">
        <v>5081964</v>
      </c>
      <c r="B9" s="23" t="s">
        <v>1657</v>
      </c>
      <c r="C9" s="24">
        <v>19</v>
      </c>
    </row>
    <row r="10" spans="1:3" x14ac:dyDescent="0.3">
      <c r="A10" s="23">
        <v>5081985</v>
      </c>
      <c r="B10" s="23" t="s">
        <v>2576</v>
      </c>
      <c r="C10" s="24">
        <v>2</v>
      </c>
    </row>
    <row r="11" spans="1:3" x14ac:dyDescent="0.3">
      <c r="A11" s="23">
        <v>5081986</v>
      </c>
      <c r="B11" s="23" t="s">
        <v>1647</v>
      </c>
      <c r="C11" s="24">
        <v>16</v>
      </c>
    </row>
    <row r="12" spans="1:3" x14ac:dyDescent="0.3">
      <c r="A12" s="23">
        <v>5081987</v>
      </c>
      <c r="B12" s="23" t="s">
        <v>1644</v>
      </c>
      <c r="C12" s="24">
        <v>3</v>
      </c>
    </row>
    <row r="13" spans="1:3" x14ac:dyDescent="0.3">
      <c r="A13" s="23">
        <v>5081988</v>
      </c>
      <c r="B13" s="23" t="s">
        <v>1645</v>
      </c>
      <c r="C13" s="24">
        <v>40</v>
      </c>
    </row>
    <row r="14" spans="1:3" x14ac:dyDescent="0.3">
      <c r="A14" s="23">
        <v>5081993</v>
      </c>
      <c r="B14" s="23" t="s">
        <v>2061</v>
      </c>
      <c r="C14" s="24">
        <v>17</v>
      </c>
    </row>
    <row r="15" spans="1:3" x14ac:dyDescent="0.3">
      <c r="A15" s="23">
        <v>5081997</v>
      </c>
      <c r="B15" s="23" t="s">
        <v>1658</v>
      </c>
      <c r="C15" s="24">
        <v>47</v>
      </c>
    </row>
    <row r="16" spans="1:3" x14ac:dyDescent="0.3">
      <c r="A16" s="23">
        <v>5082008</v>
      </c>
      <c r="B16" s="23" t="s">
        <v>1624</v>
      </c>
      <c r="C16" s="24">
        <v>27</v>
      </c>
    </row>
    <row r="17" spans="1:3" x14ac:dyDescent="0.3">
      <c r="A17" s="23">
        <v>5082319</v>
      </c>
      <c r="B17" s="23" t="s">
        <v>2062</v>
      </c>
      <c r="C17" s="24">
        <v>16</v>
      </c>
    </row>
    <row r="18" spans="1:3" x14ac:dyDescent="0.3">
      <c r="A18" s="23">
        <v>5082320</v>
      </c>
      <c r="B18" s="23" t="s">
        <v>2063</v>
      </c>
      <c r="C18" s="24">
        <v>1565</v>
      </c>
    </row>
    <row r="19" spans="1:3" x14ac:dyDescent="0.3">
      <c r="A19" s="23">
        <v>5082756</v>
      </c>
      <c r="B19" s="23" t="s">
        <v>2064</v>
      </c>
      <c r="C19" s="24">
        <v>2</v>
      </c>
    </row>
    <row r="20" spans="1:3" x14ac:dyDescent="0.3">
      <c r="A20" s="23">
        <v>5082933</v>
      </c>
      <c r="B20" s="23" t="s">
        <v>1654</v>
      </c>
      <c r="C20" s="24">
        <v>7</v>
      </c>
    </row>
    <row r="21" spans="1:3" x14ac:dyDescent="0.3">
      <c r="A21" s="23">
        <v>5082969</v>
      </c>
      <c r="B21" s="23" t="s">
        <v>1619</v>
      </c>
      <c r="C21" s="24">
        <v>7</v>
      </c>
    </row>
    <row r="22" spans="1:3" x14ac:dyDescent="0.3">
      <c r="A22" s="23">
        <v>5082970</v>
      </c>
      <c r="B22" s="23" t="s">
        <v>1621</v>
      </c>
      <c r="C22" s="24">
        <v>10</v>
      </c>
    </row>
    <row r="23" spans="1:3" x14ac:dyDescent="0.3">
      <c r="A23" s="23">
        <v>5082971</v>
      </c>
      <c r="B23" s="23" t="s">
        <v>2065</v>
      </c>
      <c r="C23" s="24">
        <v>21</v>
      </c>
    </row>
    <row r="24" spans="1:3" x14ac:dyDescent="0.3">
      <c r="A24" s="23">
        <v>5082976</v>
      </c>
      <c r="B24" s="23" t="s">
        <v>2066</v>
      </c>
      <c r="C24" s="24">
        <v>5</v>
      </c>
    </row>
    <row r="25" spans="1:3" x14ac:dyDescent="0.3">
      <c r="A25" s="23">
        <v>5082977</v>
      </c>
      <c r="B25" s="23" t="s">
        <v>2067</v>
      </c>
      <c r="C25" s="24">
        <v>100</v>
      </c>
    </row>
    <row r="26" spans="1:3" x14ac:dyDescent="0.3">
      <c r="A26" s="23">
        <v>5082982</v>
      </c>
      <c r="B26" s="23" t="s">
        <v>1675</v>
      </c>
      <c r="C26" s="24">
        <v>6</v>
      </c>
    </row>
    <row r="27" spans="1:3" x14ac:dyDescent="0.3">
      <c r="A27" s="23">
        <v>5083002</v>
      </c>
      <c r="B27" s="23" t="s">
        <v>1618</v>
      </c>
      <c r="C27" s="24">
        <v>1</v>
      </c>
    </row>
    <row r="28" spans="1:3" x14ac:dyDescent="0.3">
      <c r="A28" s="23">
        <v>5083467</v>
      </c>
      <c r="B28" s="23" t="s">
        <v>2577</v>
      </c>
      <c r="C28" s="24">
        <v>1</v>
      </c>
    </row>
    <row r="29" spans="1:3" x14ac:dyDescent="0.3">
      <c r="A29" s="23">
        <v>5083625</v>
      </c>
      <c r="B29" s="23" t="s">
        <v>1628</v>
      </c>
      <c r="C29" s="24">
        <v>7</v>
      </c>
    </row>
    <row r="30" spans="1:3" x14ac:dyDescent="0.3">
      <c r="A30" s="23">
        <v>5083626</v>
      </c>
      <c r="B30" s="23" t="s">
        <v>1627</v>
      </c>
      <c r="C30" s="24">
        <v>9</v>
      </c>
    </row>
    <row r="31" spans="1:3" x14ac:dyDescent="0.3">
      <c r="A31" s="23">
        <v>5083924</v>
      </c>
      <c r="B31" s="23" t="s">
        <v>1680</v>
      </c>
      <c r="C31" s="24">
        <v>163</v>
      </c>
    </row>
    <row r="32" spans="1:3" x14ac:dyDescent="0.3">
      <c r="A32" s="23">
        <v>5084141</v>
      </c>
      <c r="B32" s="23" t="s">
        <v>2068</v>
      </c>
      <c r="C32" s="24">
        <v>60</v>
      </c>
    </row>
    <row r="33" spans="1:3" x14ac:dyDescent="0.3">
      <c r="A33" s="23">
        <v>5084780</v>
      </c>
      <c r="B33" s="23" t="s">
        <v>2578</v>
      </c>
      <c r="C33" s="25">
        <v>0</v>
      </c>
    </row>
    <row r="34" spans="1:3" x14ac:dyDescent="0.3">
      <c r="A34" s="23">
        <v>5084782</v>
      </c>
      <c r="B34" s="23" t="s">
        <v>2579</v>
      </c>
      <c r="C34" s="24">
        <v>4</v>
      </c>
    </row>
    <row r="35" spans="1:3" x14ac:dyDescent="0.3">
      <c r="A35" s="23">
        <v>5084785</v>
      </c>
      <c r="B35" s="23" t="s">
        <v>2580</v>
      </c>
      <c r="C35" s="24">
        <v>4</v>
      </c>
    </row>
    <row r="36" spans="1:3" x14ac:dyDescent="0.3">
      <c r="A36" s="23">
        <v>5084795</v>
      </c>
      <c r="B36" s="23" t="s">
        <v>2581</v>
      </c>
      <c r="C36" s="24">
        <v>1</v>
      </c>
    </row>
    <row r="37" spans="1:3" x14ac:dyDescent="0.3">
      <c r="A37" s="23">
        <v>5084798</v>
      </c>
      <c r="B37" s="23" t="s">
        <v>2582</v>
      </c>
      <c r="C37" s="24">
        <v>4</v>
      </c>
    </row>
    <row r="38" spans="1:3" x14ac:dyDescent="0.3">
      <c r="A38" s="23">
        <v>5084860</v>
      </c>
      <c r="B38" s="23" t="s">
        <v>2069</v>
      </c>
      <c r="C38" s="24">
        <v>4</v>
      </c>
    </row>
    <row r="39" spans="1:3" x14ac:dyDescent="0.3">
      <c r="A39" s="23">
        <v>5084861</v>
      </c>
      <c r="B39" s="23" t="s">
        <v>2070</v>
      </c>
      <c r="C39" s="24">
        <v>6</v>
      </c>
    </row>
    <row r="40" spans="1:3" x14ac:dyDescent="0.3">
      <c r="A40" s="23">
        <v>5084866</v>
      </c>
      <c r="B40" s="23" t="s">
        <v>2071</v>
      </c>
      <c r="C40" s="24">
        <v>13</v>
      </c>
    </row>
    <row r="41" spans="1:3" x14ac:dyDescent="0.3">
      <c r="A41" s="23">
        <v>5084867</v>
      </c>
      <c r="B41" s="23" t="s">
        <v>2072</v>
      </c>
      <c r="C41" s="24">
        <v>6</v>
      </c>
    </row>
    <row r="42" spans="1:3" x14ac:dyDescent="0.3">
      <c r="A42" s="23">
        <v>5084877</v>
      </c>
      <c r="B42" s="23" t="s">
        <v>2583</v>
      </c>
      <c r="C42" s="24">
        <v>1</v>
      </c>
    </row>
    <row r="43" spans="1:3" x14ac:dyDescent="0.3">
      <c r="A43" s="23">
        <v>5084893</v>
      </c>
      <c r="B43" s="23" t="s">
        <v>2584</v>
      </c>
      <c r="C43" s="24">
        <v>4</v>
      </c>
    </row>
    <row r="44" spans="1:3" x14ac:dyDescent="0.3">
      <c r="A44" s="23">
        <v>5084894</v>
      </c>
      <c r="B44" s="23" t="s">
        <v>2073</v>
      </c>
      <c r="C44" s="24">
        <v>18</v>
      </c>
    </row>
    <row r="45" spans="1:3" x14ac:dyDescent="0.3">
      <c r="A45" s="23">
        <v>5084897</v>
      </c>
      <c r="B45" s="23" t="s">
        <v>2074</v>
      </c>
      <c r="C45" s="24">
        <v>4</v>
      </c>
    </row>
    <row r="46" spans="1:3" x14ac:dyDescent="0.3">
      <c r="A46" s="23">
        <v>5084898</v>
      </c>
      <c r="B46" s="23" t="s">
        <v>2075</v>
      </c>
      <c r="C46" s="24">
        <v>1</v>
      </c>
    </row>
    <row r="47" spans="1:3" x14ac:dyDescent="0.3">
      <c r="A47" s="23">
        <v>5084920</v>
      </c>
      <c r="B47" s="23" t="s">
        <v>2076</v>
      </c>
      <c r="C47" s="24">
        <v>5</v>
      </c>
    </row>
    <row r="48" spans="1:3" x14ac:dyDescent="0.3">
      <c r="A48" s="23">
        <v>5084921</v>
      </c>
      <c r="B48" s="23" t="s">
        <v>2077</v>
      </c>
      <c r="C48" s="24">
        <v>2</v>
      </c>
    </row>
    <row r="49" spans="1:3" x14ac:dyDescent="0.3">
      <c r="A49" s="23">
        <v>5084985</v>
      </c>
      <c r="B49" s="23" t="s">
        <v>2585</v>
      </c>
      <c r="C49" s="24">
        <v>12</v>
      </c>
    </row>
    <row r="50" spans="1:3" x14ac:dyDescent="0.3">
      <c r="A50" s="23">
        <v>5084998</v>
      </c>
      <c r="B50" s="23" t="s">
        <v>2078</v>
      </c>
      <c r="C50" s="24">
        <v>27</v>
      </c>
    </row>
    <row r="51" spans="1:3" x14ac:dyDescent="0.3">
      <c r="A51" s="23">
        <v>5084999</v>
      </c>
      <c r="B51" s="23" t="s">
        <v>2079</v>
      </c>
      <c r="C51" s="24">
        <v>34</v>
      </c>
    </row>
    <row r="52" spans="1:3" x14ac:dyDescent="0.3">
      <c r="A52" s="23">
        <v>5085000</v>
      </c>
      <c r="B52" s="23" t="s">
        <v>2080</v>
      </c>
      <c r="C52" s="24">
        <v>10</v>
      </c>
    </row>
    <row r="53" spans="1:3" x14ac:dyDescent="0.3">
      <c r="A53" s="23">
        <v>5085001</v>
      </c>
      <c r="B53" s="23" t="s">
        <v>2081</v>
      </c>
      <c r="C53" s="24">
        <v>38</v>
      </c>
    </row>
    <row r="54" spans="1:3" x14ac:dyDescent="0.3">
      <c r="A54" s="23">
        <v>5085002</v>
      </c>
      <c r="B54" s="23" t="s">
        <v>2082</v>
      </c>
      <c r="C54" s="24">
        <v>15</v>
      </c>
    </row>
    <row r="55" spans="1:3" x14ac:dyDescent="0.3">
      <c r="A55" s="23">
        <v>5085003</v>
      </c>
      <c r="B55" s="23" t="s">
        <v>2083</v>
      </c>
      <c r="C55" s="24">
        <v>3</v>
      </c>
    </row>
    <row r="56" spans="1:3" x14ac:dyDescent="0.3">
      <c r="A56" s="23">
        <v>5085004</v>
      </c>
      <c r="B56" s="23" t="s">
        <v>2084</v>
      </c>
      <c r="C56" s="24">
        <v>45</v>
      </c>
    </row>
    <row r="57" spans="1:3" x14ac:dyDescent="0.3">
      <c r="A57" s="23">
        <v>5085006</v>
      </c>
      <c r="B57" s="23" t="s">
        <v>2085</v>
      </c>
      <c r="C57" s="24">
        <v>5</v>
      </c>
    </row>
    <row r="58" spans="1:3" x14ac:dyDescent="0.3">
      <c r="A58" s="23">
        <v>5085009</v>
      </c>
      <c r="B58" s="23" t="s">
        <v>2086</v>
      </c>
      <c r="C58" s="24">
        <v>276</v>
      </c>
    </row>
    <row r="59" spans="1:3" x14ac:dyDescent="0.3">
      <c r="A59" s="23">
        <v>5085010</v>
      </c>
      <c r="B59" s="23" t="s">
        <v>2087</v>
      </c>
      <c r="C59" s="24">
        <v>29</v>
      </c>
    </row>
    <row r="60" spans="1:3" x14ac:dyDescent="0.3">
      <c r="A60" s="23">
        <v>5085011</v>
      </c>
      <c r="B60" s="23" t="s">
        <v>2088</v>
      </c>
      <c r="C60" s="24">
        <v>9</v>
      </c>
    </row>
    <row r="61" spans="1:3" x14ac:dyDescent="0.3">
      <c r="A61" s="23">
        <v>5085014</v>
      </c>
      <c r="B61" s="23" t="s">
        <v>2089</v>
      </c>
      <c r="C61" s="24">
        <v>1</v>
      </c>
    </row>
    <row r="62" spans="1:3" x14ac:dyDescent="0.3">
      <c r="A62" s="23">
        <v>5085772</v>
      </c>
      <c r="B62" s="23" t="s">
        <v>2586</v>
      </c>
      <c r="C62" s="24">
        <v>1</v>
      </c>
    </row>
    <row r="63" spans="1:3" x14ac:dyDescent="0.3">
      <c r="A63" s="23">
        <v>5085897</v>
      </c>
      <c r="B63" s="23" t="s">
        <v>2587</v>
      </c>
      <c r="C63" s="24">
        <v>3</v>
      </c>
    </row>
    <row r="64" spans="1:3" x14ac:dyDescent="0.3">
      <c r="A64" s="23">
        <v>5085898</v>
      </c>
      <c r="B64" s="23" t="s">
        <v>2090</v>
      </c>
      <c r="C64" s="24">
        <v>3</v>
      </c>
    </row>
    <row r="65" spans="1:3" x14ac:dyDescent="0.3">
      <c r="A65" s="23">
        <v>5085899</v>
      </c>
      <c r="B65" s="23" t="s">
        <v>2588</v>
      </c>
      <c r="C65" s="24">
        <v>4</v>
      </c>
    </row>
    <row r="66" spans="1:3" x14ac:dyDescent="0.3">
      <c r="A66" s="23">
        <v>5085900</v>
      </c>
      <c r="B66" s="23" t="s">
        <v>2589</v>
      </c>
      <c r="C66" s="24">
        <v>1</v>
      </c>
    </row>
    <row r="67" spans="1:3" x14ac:dyDescent="0.3">
      <c r="A67" s="23">
        <v>5085901</v>
      </c>
      <c r="B67" s="23" t="s">
        <v>2091</v>
      </c>
      <c r="C67" s="24">
        <v>7</v>
      </c>
    </row>
    <row r="68" spans="1:3" x14ac:dyDescent="0.3">
      <c r="A68" s="23">
        <v>5085902</v>
      </c>
      <c r="B68" s="23" t="s">
        <v>2590</v>
      </c>
      <c r="C68" s="24">
        <v>3</v>
      </c>
    </row>
    <row r="69" spans="1:3" x14ac:dyDescent="0.3">
      <c r="A69" s="23">
        <v>5085912</v>
      </c>
      <c r="B69" s="23" t="s">
        <v>2092</v>
      </c>
      <c r="C69" s="24">
        <v>8</v>
      </c>
    </row>
    <row r="70" spans="1:3" x14ac:dyDescent="0.3">
      <c r="A70" s="23">
        <v>5085936</v>
      </c>
      <c r="B70" s="23" t="s">
        <v>2591</v>
      </c>
      <c r="C70" s="24">
        <v>1</v>
      </c>
    </row>
    <row r="71" spans="1:3" x14ac:dyDescent="0.3">
      <c r="A71" s="23">
        <v>5085940</v>
      </c>
      <c r="B71" s="23" t="s">
        <v>2592</v>
      </c>
      <c r="C71" s="24">
        <v>5</v>
      </c>
    </row>
    <row r="72" spans="1:3" x14ac:dyDescent="0.3">
      <c r="A72" s="23">
        <v>5085945</v>
      </c>
      <c r="B72" s="23" t="s">
        <v>2593</v>
      </c>
      <c r="C72" s="24">
        <v>1</v>
      </c>
    </row>
    <row r="73" spans="1:3" x14ac:dyDescent="0.3">
      <c r="A73" s="23">
        <v>5085951</v>
      </c>
      <c r="B73" s="23" t="s">
        <v>2594</v>
      </c>
      <c r="C73" s="24">
        <v>11</v>
      </c>
    </row>
    <row r="74" spans="1:3" x14ac:dyDescent="0.3">
      <c r="A74" s="23">
        <v>5085952</v>
      </c>
      <c r="B74" s="23" t="s">
        <v>2595</v>
      </c>
      <c r="C74" s="24">
        <v>3</v>
      </c>
    </row>
    <row r="75" spans="1:3" x14ac:dyDescent="0.3">
      <c r="A75" s="23">
        <v>5085966</v>
      </c>
      <c r="B75" s="23" t="s">
        <v>2596</v>
      </c>
      <c r="C75" s="24">
        <v>2</v>
      </c>
    </row>
    <row r="76" spans="1:3" x14ac:dyDescent="0.3">
      <c r="A76" s="23">
        <v>5085980</v>
      </c>
      <c r="B76" s="23" t="s">
        <v>2597</v>
      </c>
      <c r="C76" s="24">
        <v>4</v>
      </c>
    </row>
    <row r="77" spans="1:3" x14ac:dyDescent="0.3">
      <c r="A77" s="23">
        <v>5086048</v>
      </c>
      <c r="B77" s="23" t="s">
        <v>2093</v>
      </c>
      <c r="C77" s="24">
        <v>406</v>
      </c>
    </row>
    <row r="78" spans="1:3" x14ac:dyDescent="0.3">
      <c r="A78" s="23">
        <v>5086517</v>
      </c>
      <c r="B78" s="23" t="s">
        <v>2598</v>
      </c>
      <c r="C78" s="24">
        <v>2</v>
      </c>
    </row>
    <row r="79" spans="1:3" x14ac:dyDescent="0.3">
      <c r="A79" s="23">
        <v>5086544</v>
      </c>
      <c r="B79" s="23" t="s">
        <v>2094</v>
      </c>
      <c r="C79" s="24">
        <v>1</v>
      </c>
    </row>
    <row r="80" spans="1:3" x14ac:dyDescent="0.3">
      <c r="A80" s="23">
        <v>5086581</v>
      </c>
      <c r="B80" s="23" t="s">
        <v>2095</v>
      </c>
      <c r="C80" s="24">
        <v>2</v>
      </c>
    </row>
    <row r="81" spans="1:3" x14ac:dyDescent="0.3">
      <c r="A81" s="23">
        <v>5086582</v>
      </c>
      <c r="B81" s="23" t="s">
        <v>2096</v>
      </c>
      <c r="C81" s="24">
        <v>1</v>
      </c>
    </row>
    <row r="82" spans="1:3" x14ac:dyDescent="0.3">
      <c r="A82" s="23">
        <v>5086584</v>
      </c>
      <c r="B82" s="23" t="s">
        <v>2097</v>
      </c>
      <c r="C82" s="24">
        <v>1</v>
      </c>
    </row>
    <row r="83" spans="1:3" x14ac:dyDescent="0.3">
      <c r="A83" s="23">
        <v>5086585</v>
      </c>
      <c r="B83" s="23" t="s">
        <v>2098</v>
      </c>
      <c r="C83" s="24">
        <v>13</v>
      </c>
    </row>
    <row r="84" spans="1:3" x14ac:dyDescent="0.3">
      <c r="A84" s="23">
        <v>5088450</v>
      </c>
      <c r="B84" s="23" t="s">
        <v>2599</v>
      </c>
      <c r="C84" s="24">
        <v>1</v>
      </c>
    </row>
    <row r="85" spans="1:3" x14ac:dyDescent="0.3">
      <c r="A85" s="23">
        <v>5089158</v>
      </c>
      <c r="B85" s="23" t="s">
        <v>1686</v>
      </c>
      <c r="C85" s="24">
        <v>46</v>
      </c>
    </row>
    <row r="86" spans="1:3" x14ac:dyDescent="0.3">
      <c r="A86" s="23">
        <v>5089649</v>
      </c>
      <c r="B86" s="23" t="s">
        <v>2099</v>
      </c>
      <c r="C86" s="24">
        <v>9</v>
      </c>
    </row>
    <row r="87" spans="1:3" x14ac:dyDescent="0.3">
      <c r="A87" s="23">
        <v>5089681</v>
      </c>
      <c r="B87" s="23" t="s">
        <v>2100</v>
      </c>
      <c r="C87" s="24">
        <v>227</v>
      </c>
    </row>
    <row r="88" spans="1:3" x14ac:dyDescent="0.3">
      <c r="A88" s="23">
        <v>5090371</v>
      </c>
      <c r="B88" s="23" t="s">
        <v>1608</v>
      </c>
      <c r="C88" s="24">
        <v>29</v>
      </c>
    </row>
    <row r="89" spans="1:3" x14ac:dyDescent="0.3">
      <c r="A89" s="23">
        <v>5090451</v>
      </c>
      <c r="B89" s="23" t="s">
        <v>2101</v>
      </c>
      <c r="C89" s="24">
        <v>6</v>
      </c>
    </row>
    <row r="90" spans="1:3" x14ac:dyDescent="0.3">
      <c r="A90" s="23">
        <v>5090874</v>
      </c>
      <c r="B90" s="23" t="s">
        <v>1626</v>
      </c>
      <c r="C90" s="24">
        <v>9</v>
      </c>
    </row>
    <row r="91" spans="1:3" x14ac:dyDescent="0.3">
      <c r="A91" s="23">
        <v>5090877</v>
      </c>
      <c r="B91" s="23" t="s">
        <v>1625</v>
      </c>
      <c r="C91" s="24">
        <v>9</v>
      </c>
    </row>
    <row r="92" spans="1:3" x14ac:dyDescent="0.3">
      <c r="A92" s="23">
        <v>5090885</v>
      </c>
      <c r="B92" s="23" t="s">
        <v>1609</v>
      </c>
      <c r="C92" s="24">
        <v>18</v>
      </c>
    </row>
    <row r="93" spans="1:3" x14ac:dyDescent="0.3">
      <c r="A93" s="23">
        <v>5090886</v>
      </c>
      <c r="B93" s="23" t="s">
        <v>2102</v>
      </c>
      <c r="C93" s="24">
        <v>23</v>
      </c>
    </row>
    <row r="94" spans="1:3" x14ac:dyDescent="0.3">
      <c r="A94" s="23">
        <v>5090891</v>
      </c>
      <c r="B94" s="23" t="s">
        <v>1667</v>
      </c>
      <c r="C94" s="24">
        <v>54</v>
      </c>
    </row>
    <row r="95" spans="1:3" x14ac:dyDescent="0.3">
      <c r="A95" s="23">
        <v>5090892</v>
      </c>
      <c r="B95" s="23" t="s">
        <v>1666</v>
      </c>
      <c r="C95" s="24">
        <v>52</v>
      </c>
    </row>
    <row r="96" spans="1:3" x14ac:dyDescent="0.3">
      <c r="A96" s="23">
        <v>5091012</v>
      </c>
      <c r="B96" s="23" t="s">
        <v>2103</v>
      </c>
      <c r="C96" s="24">
        <v>493</v>
      </c>
    </row>
    <row r="97" spans="1:3" x14ac:dyDescent="0.3">
      <c r="A97" s="23">
        <v>5091026</v>
      </c>
      <c r="B97" s="23" t="s">
        <v>2104</v>
      </c>
      <c r="C97" s="24">
        <v>431</v>
      </c>
    </row>
    <row r="98" spans="1:3" x14ac:dyDescent="0.3">
      <c r="A98" s="23">
        <v>5091096</v>
      </c>
      <c r="B98" s="23" t="s">
        <v>2105</v>
      </c>
      <c r="C98" s="24">
        <v>4</v>
      </c>
    </row>
    <row r="99" spans="1:3" x14ac:dyDescent="0.3">
      <c r="A99" s="23">
        <v>5091282</v>
      </c>
      <c r="B99" s="23" t="s">
        <v>2106</v>
      </c>
      <c r="C99" s="24">
        <v>10</v>
      </c>
    </row>
    <row r="100" spans="1:3" x14ac:dyDescent="0.3">
      <c r="A100" s="23">
        <v>5091365</v>
      </c>
      <c r="B100" s="23" t="s">
        <v>1648</v>
      </c>
      <c r="C100" s="24">
        <v>118</v>
      </c>
    </row>
    <row r="101" spans="1:3" x14ac:dyDescent="0.3">
      <c r="A101" s="23">
        <v>5091366</v>
      </c>
      <c r="B101" s="23" t="s">
        <v>1646</v>
      </c>
      <c r="C101" s="24">
        <v>235</v>
      </c>
    </row>
    <row r="102" spans="1:3" x14ac:dyDescent="0.3">
      <c r="A102" s="23">
        <v>5091367</v>
      </c>
      <c r="B102" s="23" t="s">
        <v>1620</v>
      </c>
      <c r="C102" s="24">
        <v>6</v>
      </c>
    </row>
    <row r="103" spans="1:3" x14ac:dyDescent="0.3">
      <c r="A103" s="23">
        <v>5091368</v>
      </c>
      <c r="B103" s="23" t="s">
        <v>1622</v>
      </c>
      <c r="C103" s="24">
        <v>3</v>
      </c>
    </row>
    <row r="104" spans="1:3" x14ac:dyDescent="0.3">
      <c r="A104" s="23">
        <v>5091535</v>
      </c>
      <c r="B104" s="23" t="s">
        <v>2107</v>
      </c>
      <c r="C104" s="24">
        <v>201</v>
      </c>
    </row>
    <row r="105" spans="1:3" x14ac:dyDescent="0.3">
      <c r="A105" s="23">
        <v>5091630</v>
      </c>
      <c r="B105" s="23" t="s">
        <v>2108</v>
      </c>
      <c r="C105" s="24">
        <v>13</v>
      </c>
    </row>
    <row r="106" spans="1:3" x14ac:dyDescent="0.3">
      <c r="A106" s="23">
        <v>5091632</v>
      </c>
      <c r="B106" s="23" t="s">
        <v>1656</v>
      </c>
      <c r="C106" s="24">
        <v>7</v>
      </c>
    </row>
    <row r="107" spans="1:3" x14ac:dyDescent="0.3">
      <c r="A107" s="23">
        <v>5091634</v>
      </c>
      <c r="B107" s="23" t="s">
        <v>1677</v>
      </c>
      <c r="C107" s="24">
        <v>4</v>
      </c>
    </row>
    <row r="108" spans="1:3" x14ac:dyDescent="0.3">
      <c r="A108" s="23">
        <v>5091636</v>
      </c>
      <c r="B108" s="23" t="s">
        <v>1676</v>
      </c>
      <c r="C108" s="24">
        <v>2</v>
      </c>
    </row>
    <row r="109" spans="1:3" x14ac:dyDescent="0.3">
      <c r="A109" s="23">
        <v>5091639</v>
      </c>
      <c r="B109" s="23" t="s">
        <v>1674</v>
      </c>
      <c r="C109" s="24">
        <v>12</v>
      </c>
    </row>
    <row r="110" spans="1:3" x14ac:dyDescent="0.3">
      <c r="A110" s="23">
        <v>5091640</v>
      </c>
      <c r="B110" s="23" t="s">
        <v>1673</v>
      </c>
      <c r="C110" s="24">
        <v>6</v>
      </c>
    </row>
    <row r="111" spans="1:3" x14ac:dyDescent="0.3">
      <c r="A111" s="23">
        <v>5091646</v>
      </c>
      <c r="B111" s="23" t="s">
        <v>2109</v>
      </c>
      <c r="C111" s="24">
        <v>16</v>
      </c>
    </row>
    <row r="112" spans="1:3" x14ac:dyDescent="0.3">
      <c r="A112" s="23">
        <v>5091647</v>
      </c>
      <c r="B112" s="23" t="s">
        <v>2110</v>
      </c>
      <c r="C112" s="24">
        <v>158</v>
      </c>
    </row>
    <row r="113" spans="1:3" x14ac:dyDescent="0.3">
      <c r="A113" s="23">
        <v>5091649</v>
      </c>
      <c r="B113" s="23" t="s">
        <v>1672</v>
      </c>
      <c r="C113" s="24">
        <v>1405</v>
      </c>
    </row>
    <row r="114" spans="1:3" x14ac:dyDescent="0.3">
      <c r="A114" s="23">
        <v>5091650</v>
      </c>
      <c r="B114" s="23" t="s">
        <v>2111</v>
      </c>
      <c r="C114" s="24">
        <v>2</v>
      </c>
    </row>
    <row r="115" spans="1:3" x14ac:dyDescent="0.3">
      <c r="A115" s="23">
        <v>5091651</v>
      </c>
      <c r="B115" s="23" t="s">
        <v>2112</v>
      </c>
      <c r="C115" s="24">
        <v>10</v>
      </c>
    </row>
    <row r="116" spans="1:3" x14ac:dyDescent="0.3">
      <c r="A116" s="23">
        <v>5091653</v>
      </c>
      <c r="B116" s="23" t="s">
        <v>1669</v>
      </c>
      <c r="C116" s="24">
        <v>83</v>
      </c>
    </row>
    <row r="117" spans="1:3" x14ac:dyDescent="0.3">
      <c r="A117" s="23">
        <v>5091654</v>
      </c>
      <c r="B117" s="23" t="s">
        <v>1668</v>
      </c>
      <c r="C117" s="24">
        <v>338</v>
      </c>
    </row>
    <row r="118" spans="1:3" x14ac:dyDescent="0.3">
      <c r="A118" s="23">
        <v>5091661</v>
      </c>
      <c r="B118" s="23" t="s">
        <v>2113</v>
      </c>
      <c r="C118" s="24">
        <v>44</v>
      </c>
    </row>
    <row r="119" spans="1:3" x14ac:dyDescent="0.3">
      <c r="A119" s="23">
        <v>5091663</v>
      </c>
      <c r="B119" s="23" t="s">
        <v>2114</v>
      </c>
      <c r="C119" s="24">
        <v>1943</v>
      </c>
    </row>
    <row r="120" spans="1:3" x14ac:dyDescent="0.3">
      <c r="A120" s="23">
        <v>5091668</v>
      </c>
      <c r="B120" s="23" t="s">
        <v>2115</v>
      </c>
      <c r="C120" s="24">
        <v>1</v>
      </c>
    </row>
    <row r="121" spans="1:3" x14ac:dyDescent="0.3">
      <c r="A121" s="23">
        <v>5091671</v>
      </c>
      <c r="B121" s="23" t="s">
        <v>2600</v>
      </c>
      <c r="C121" s="24">
        <v>2040</v>
      </c>
    </row>
    <row r="122" spans="1:3" x14ac:dyDescent="0.3">
      <c r="A122" s="23">
        <v>5091677</v>
      </c>
      <c r="B122" s="23" t="s">
        <v>2117</v>
      </c>
      <c r="C122" s="24">
        <v>1</v>
      </c>
    </row>
    <row r="123" spans="1:3" x14ac:dyDescent="0.3">
      <c r="A123" s="23">
        <v>5091679</v>
      </c>
      <c r="B123" s="23" t="s">
        <v>1682</v>
      </c>
      <c r="C123" s="24">
        <v>6</v>
      </c>
    </row>
    <row r="124" spans="1:3" x14ac:dyDescent="0.3">
      <c r="A124" s="23">
        <v>5091685</v>
      </c>
      <c r="B124" s="23" t="s">
        <v>2417</v>
      </c>
      <c r="C124" s="24">
        <v>1</v>
      </c>
    </row>
    <row r="125" spans="1:3" x14ac:dyDescent="0.3">
      <c r="A125" s="23">
        <v>5091687</v>
      </c>
      <c r="B125" s="23" t="s">
        <v>2120</v>
      </c>
      <c r="C125" s="24">
        <v>8</v>
      </c>
    </row>
    <row r="126" spans="1:3" x14ac:dyDescent="0.3">
      <c r="A126" s="23">
        <v>5092085</v>
      </c>
      <c r="B126" s="23" t="s">
        <v>2601</v>
      </c>
      <c r="C126" s="24">
        <v>1</v>
      </c>
    </row>
    <row r="127" spans="1:3" x14ac:dyDescent="0.3">
      <c r="A127" s="23">
        <v>5092094</v>
      </c>
      <c r="B127" s="23" t="s">
        <v>1634</v>
      </c>
      <c r="C127" s="24">
        <v>3</v>
      </c>
    </row>
    <row r="128" spans="1:3" x14ac:dyDescent="0.3">
      <c r="A128" s="23">
        <v>5092175</v>
      </c>
      <c r="B128" s="23" t="s">
        <v>2121</v>
      </c>
      <c r="C128" s="24">
        <v>2</v>
      </c>
    </row>
    <row r="129" spans="1:3" x14ac:dyDescent="0.3">
      <c r="A129" s="23">
        <v>5092218</v>
      </c>
      <c r="B129" s="23" t="s">
        <v>1650</v>
      </c>
      <c r="C129" s="24">
        <v>4</v>
      </c>
    </row>
    <row r="130" spans="1:3" x14ac:dyDescent="0.3">
      <c r="A130" s="23">
        <v>5092219</v>
      </c>
      <c r="B130" s="23" t="s">
        <v>1651</v>
      </c>
      <c r="C130" s="24">
        <v>56</v>
      </c>
    </row>
    <row r="131" spans="1:3" x14ac:dyDescent="0.3">
      <c r="A131" s="23">
        <v>5092220</v>
      </c>
      <c r="B131" s="23" t="s">
        <v>1652</v>
      </c>
      <c r="C131" s="24">
        <v>15</v>
      </c>
    </row>
    <row r="132" spans="1:3" x14ac:dyDescent="0.3">
      <c r="A132" s="23">
        <v>5092221</v>
      </c>
      <c r="B132" s="23" t="s">
        <v>1653</v>
      </c>
      <c r="C132" s="24">
        <v>64</v>
      </c>
    </row>
    <row r="133" spans="1:3" x14ac:dyDescent="0.3">
      <c r="A133" s="23">
        <v>5092359</v>
      </c>
      <c r="B133" s="23" t="s">
        <v>1617</v>
      </c>
      <c r="C133" s="24">
        <v>729</v>
      </c>
    </row>
    <row r="134" spans="1:3" x14ac:dyDescent="0.3">
      <c r="A134" s="23">
        <v>5092434</v>
      </c>
      <c r="B134" s="23" t="s">
        <v>2122</v>
      </c>
      <c r="C134" s="24">
        <v>45</v>
      </c>
    </row>
    <row r="135" spans="1:3" x14ac:dyDescent="0.3">
      <c r="A135" s="23">
        <v>5092436</v>
      </c>
      <c r="B135" s="23" t="s">
        <v>2123</v>
      </c>
      <c r="C135" s="24">
        <v>12</v>
      </c>
    </row>
    <row r="136" spans="1:3" x14ac:dyDescent="0.3">
      <c r="A136" s="23">
        <v>5092438</v>
      </c>
      <c r="B136" s="23" t="s">
        <v>2124</v>
      </c>
      <c r="C136" s="24">
        <v>37</v>
      </c>
    </row>
    <row r="137" spans="1:3" x14ac:dyDescent="0.3">
      <c r="A137" s="23">
        <v>5092442</v>
      </c>
      <c r="B137" s="23" t="s">
        <v>2125</v>
      </c>
      <c r="C137" s="24">
        <v>2</v>
      </c>
    </row>
    <row r="138" spans="1:3" x14ac:dyDescent="0.3">
      <c r="A138" s="23">
        <v>5092479</v>
      </c>
      <c r="B138" s="23" t="s">
        <v>1449</v>
      </c>
      <c r="C138" s="24">
        <v>4</v>
      </c>
    </row>
    <row r="139" spans="1:3" x14ac:dyDescent="0.3">
      <c r="A139" s="23">
        <v>5092480</v>
      </c>
      <c r="B139" s="23" t="s">
        <v>1450</v>
      </c>
      <c r="C139" s="24">
        <v>11</v>
      </c>
    </row>
    <row r="140" spans="1:3" x14ac:dyDescent="0.3">
      <c r="A140" s="23">
        <v>5092481</v>
      </c>
      <c r="B140" s="23" t="s">
        <v>1451</v>
      </c>
      <c r="C140" s="24">
        <v>13</v>
      </c>
    </row>
    <row r="141" spans="1:3" x14ac:dyDescent="0.3">
      <c r="A141" s="23">
        <v>5092488</v>
      </c>
      <c r="B141" s="23" t="s">
        <v>2602</v>
      </c>
      <c r="C141" s="24">
        <v>10</v>
      </c>
    </row>
    <row r="142" spans="1:3" x14ac:dyDescent="0.3">
      <c r="A142" s="23">
        <v>5092525</v>
      </c>
      <c r="B142" s="23" t="s">
        <v>1464</v>
      </c>
      <c r="C142" s="24">
        <v>20</v>
      </c>
    </row>
    <row r="143" spans="1:3" x14ac:dyDescent="0.3">
      <c r="A143" s="23">
        <v>5092526</v>
      </c>
      <c r="B143" s="23" t="s">
        <v>1465</v>
      </c>
      <c r="C143" s="24">
        <v>43</v>
      </c>
    </row>
    <row r="144" spans="1:3" x14ac:dyDescent="0.3">
      <c r="A144" s="23">
        <v>5092527</v>
      </c>
      <c r="B144" s="23" t="s">
        <v>1466</v>
      </c>
      <c r="C144" s="24">
        <v>9</v>
      </c>
    </row>
    <row r="145" spans="1:3" x14ac:dyDescent="0.3">
      <c r="A145" s="23">
        <v>5092528</v>
      </c>
      <c r="B145" s="23" t="s">
        <v>1467</v>
      </c>
      <c r="C145" s="24">
        <v>59</v>
      </c>
    </row>
    <row r="146" spans="1:3" x14ac:dyDescent="0.3">
      <c r="A146" s="23">
        <v>5092529</v>
      </c>
      <c r="B146" s="23" t="s">
        <v>1468</v>
      </c>
      <c r="C146" s="24">
        <v>101</v>
      </c>
    </row>
    <row r="147" spans="1:3" x14ac:dyDescent="0.3">
      <c r="A147" s="23">
        <v>5092537</v>
      </c>
      <c r="B147" s="23" t="s">
        <v>1452</v>
      </c>
      <c r="C147" s="24">
        <v>14</v>
      </c>
    </row>
    <row r="148" spans="1:3" x14ac:dyDescent="0.3">
      <c r="A148" s="23">
        <v>5092620</v>
      </c>
      <c r="B148" s="23" t="s">
        <v>2603</v>
      </c>
      <c r="C148" s="24">
        <v>22</v>
      </c>
    </row>
    <row r="149" spans="1:3" x14ac:dyDescent="0.3">
      <c r="A149" s="23">
        <v>5092709</v>
      </c>
      <c r="B149" s="23" t="s">
        <v>2126</v>
      </c>
      <c r="C149" s="24">
        <v>16</v>
      </c>
    </row>
    <row r="150" spans="1:3" x14ac:dyDescent="0.3">
      <c r="A150" s="23">
        <v>5092710</v>
      </c>
      <c r="B150" s="23" t="s">
        <v>2127</v>
      </c>
      <c r="C150" s="24">
        <v>102</v>
      </c>
    </row>
    <row r="151" spans="1:3" x14ac:dyDescent="0.3">
      <c r="A151" s="23">
        <v>5092711</v>
      </c>
      <c r="B151" s="23" t="s">
        <v>2128</v>
      </c>
      <c r="C151" s="24">
        <v>13</v>
      </c>
    </row>
    <row r="152" spans="1:3" x14ac:dyDescent="0.3">
      <c r="A152" s="23">
        <v>5092712</v>
      </c>
      <c r="B152" s="23" t="s">
        <v>2604</v>
      </c>
      <c r="C152" s="24">
        <v>2</v>
      </c>
    </row>
    <row r="153" spans="1:3" x14ac:dyDescent="0.3">
      <c r="A153" s="23">
        <v>5092713</v>
      </c>
      <c r="B153" s="23" t="s">
        <v>2129</v>
      </c>
      <c r="C153" s="24">
        <v>424</v>
      </c>
    </row>
    <row r="154" spans="1:3" x14ac:dyDescent="0.3">
      <c r="A154" s="23">
        <v>5092714</v>
      </c>
      <c r="B154" s="23" t="s">
        <v>2130</v>
      </c>
      <c r="C154" s="24">
        <v>45</v>
      </c>
    </row>
    <row r="155" spans="1:3" x14ac:dyDescent="0.3">
      <c r="A155" s="23">
        <v>5092808</v>
      </c>
      <c r="B155" s="23" t="s">
        <v>2131</v>
      </c>
      <c r="C155" s="24">
        <v>3</v>
      </c>
    </row>
    <row r="156" spans="1:3" x14ac:dyDescent="0.3">
      <c r="A156" s="23">
        <v>5092830</v>
      </c>
      <c r="B156" s="23" t="s">
        <v>2132</v>
      </c>
      <c r="C156" s="24">
        <v>27</v>
      </c>
    </row>
    <row r="157" spans="1:3" x14ac:dyDescent="0.3">
      <c r="A157" s="23">
        <v>5092846</v>
      </c>
      <c r="B157" s="23" t="s">
        <v>2133</v>
      </c>
      <c r="C157" s="24">
        <v>33</v>
      </c>
    </row>
    <row r="158" spans="1:3" x14ac:dyDescent="0.3">
      <c r="A158" s="23">
        <v>5092965</v>
      </c>
      <c r="B158" s="23" t="s">
        <v>2134</v>
      </c>
      <c r="C158" s="24">
        <v>1</v>
      </c>
    </row>
    <row r="159" spans="1:3" x14ac:dyDescent="0.3">
      <c r="A159" s="23">
        <v>5092966</v>
      </c>
      <c r="B159" s="23" t="s">
        <v>2135</v>
      </c>
      <c r="C159" s="24">
        <v>3</v>
      </c>
    </row>
    <row r="160" spans="1:3" x14ac:dyDescent="0.3">
      <c r="A160" s="23">
        <v>5093017</v>
      </c>
      <c r="B160" s="23" t="s">
        <v>2136</v>
      </c>
      <c r="C160" s="24">
        <v>8</v>
      </c>
    </row>
    <row r="161" spans="1:3" x14ac:dyDescent="0.3">
      <c r="A161" s="23">
        <v>5093019</v>
      </c>
      <c r="B161" s="23" t="s">
        <v>2137</v>
      </c>
      <c r="C161" s="24">
        <v>319</v>
      </c>
    </row>
    <row r="162" spans="1:3" x14ac:dyDescent="0.3">
      <c r="A162" s="23">
        <v>5093025</v>
      </c>
      <c r="B162" s="23" t="s">
        <v>2138</v>
      </c>
      <c r="C162" s="24">
        <v>25</v>
      </c>
    </row>
    <row r="163" spans="1:3" x14ac:dyDescent="0.3">
      <c r="A163" s="23">
        <v>5093034</v>
      </c>
      <c r="B163" s="23" t="s">
        <v>2605</v>
      </c>
      <c r="C163" s="24">
        <v>1</v>
      </c>
    </row>
    <row r="164" spans="1:3" x14ac:dyDescent="0.3">
      <c r="A164" s="23">
        <v>5093068</v>
      </c>
      <c r="B164" s="23" t="s">
        <v>2139</v>
      </c>
      <c r="C164" s="24">
        <v>2</v>
      </c>
    </row>
    <row r="165" spans="1:3" x14ac:dyDescent="0.3">
      <c r="A165" s="23">
        <v>5093069</v>
      </c>
      <c r="B165" s="23" t="s">
        <v>2140</v>
      </c>
      <c r="C165" s="24">
        <v>3</v>
      </c>
    </row>
    <row r="166" spans="1:3" x14ac:dyDescent="0.3">
      <c r="A166" s="23">
        <v>5094271</v>
      </c>
      <c r="B166" s="23" t="s">
        <v>2141</v>
      </c>
      <c r="C166" s="24">
        <v>4</v>
      </c>
    </row>
    <row r="167" spans="1:3" x14ac:dyDescent="0.3">
      <c r="A167" s="23">
        <v>5094278</v>
      </c>
      <c r="B167" s="23" t="s">
        <v>2142</v>
      </c>
      <c r="C167" s="24">
        <v>2</v>
      </c>
    </row>
    <row r="168" spans="1:3" x14ac:dyDescent="0.3">
      <c r="A168" s="23">
        <v>5094790</v>
      </c>
      <c r="B168" s="23" t="s">
        <v>2143</v>
      </c>
      <c r="C168" s="24">
        <v>47</v>
      </c>
    </row>
    <row r="169" spans="1:3" x14ac:dyDescent="0.3">
      <c r="A169" s="23">
        <v>5094792</v>
      </c>
      <c r="B169" s="23" t="s">
        <v>2144</v>
      </c>
      <c r="C169" s="24">
        <v>6</v>
      </c>
    </row>
    <row r="170" spans="1:3" x14ac:dyDescent="0.3">
      <c r="A170" s="23">
        <v>5094794</v>
      </c>
      <c r="B170" s="23" t="s">
        <v>2145</v>
      </c>
      <c r="C170" s="24">
        <v>36</v>
      </c>
    </row>
    <row r="171" spans="1:3" x14ac:dyDescent="0.3">
      <c r="A171" s="23">
        <v>5094893</v>
      </c>
      <c r="B171" s="23" t="s">
        <v>2146</v>
      </c>
      <c r="C171" s="24">
        <v>23</v>
      </c>
    </row>
    <row r="172" spans="1:3" x14ac:dyDescent="0.3">
      <c r="A172" s="23">
        <v>5094894</v>
      </c>
      <c r="B172" s="23" t="s">
        <v>2147</v>
      </c>
      <c r="C172" s="24">
        <v>10</v>
      </c>
    </row>
    <row r="173" spans="1:3" x14ac:dyDescent="0.3">
      <c r="A173" s="23">
        <v>5094914</v>
      </c>
      <c r="B173" s="23" t="s">
        <v>2148</v>
      </c>
      <c r="C173" s="24">
        <v>25</v>
      </c>
    </row>
    <row r="174" spans="1:3" x14ac:dyDescent="0.3">
      <c r="A174" s="23">
        <v>5094915</v>
      </c>
      <c r="B174" s="23" t="s">
        <v>2149</v>
      </c>
      <c r="C174" s="24">
        <v>244</v>
      </c>
    </row>
    <row r="175" spans="1:3" x14ac:dyDescent="0.3">
      <c r="A175" s="23">
        <v>5094931</v>
      </c>
      <c r="B175" s="23" t="s">
        <v>2050</v>
      </c>
      <c r="C175" s="24">
        <v>1</v>
      </c>
    </row>
    <row r="176" spans="1:3" x14ac:dyDescent="0.3">
      <c r="A176" s="23">
        <v>5094932</v>
      </c>
      <c r="B176" s="23" t="s">
        <v>2019</v>
      </c>
      <c r="C176" s="24">
        <v>13</v>
      </c>
    </row>
    <row r="177" spans="1:3" x14ac:dyDescent="0.3">
      <c r="A177" s="23">
        <v>5094933</v>
      </c>
      <c r="B177" s="23" t="s">
        <v>1963</v>
      </c>
      <c r="C177" s="24">
        <v>74</v>
      </c>
    </row>
    <row r="178" spans="1:3" x14ac:dyDescent="0.3">
      <c r="A178" s="23">
        <v>5094934</v>
      </c>
      <c r="B178" s="23" t="s">
        <v>1983</v>
      </c>
      <c r="C178" s="24">
        <v>13</v>
      </c>
    </row>
    <row r="179" spans="1:3" x14ac:dyDescent="0.3">
      <c r="A179" s="23">
        <v>5094936</v>
      </c>
      <c r="B179" s="23" t="s">
        <v>2028</v>
      </c>
      <c r="C179" s="24">
        <v>4</v>
      </c>
    </row>
    <row r="180" spans="1:3" x14ac:dyDescent="0.3">
      <c r="A180" s="23">
        <v>5094937</v>
      </c>
      <c r="B180" s="23" t="s">
        <v>1995</v>
      </c>
      <c r="C180" s="24">
        <v>14</v>
      </c>
    </row>
    <row r="181" spans="1:3" x14ac:dyDescent="0.3">
      <c r="A181" s="23">
        <v>5094939</v>
      </c>
      <c r="B181" s="23" t="s">
        <v>2049</v>
      </c>
      <c r="C181" s="24">
        <v>2</v>
      </c>
    </row>
    <row r="182" spans="1:3" x14ac:dyDescent="0.3">
      <c r="A182" s="23">
        <v>5094940</v>
      </c>
      <c r="B182" s="23" t="s">
        <v>2001</v>
      </c>
      <c r="C182" s="24">
        <v>1</v>
      </c>
    </row>
    <row r="183" spans="1:3" x14ac:dyDescent="0.3">
      <c r="A183" s="23">
        <v>5094982</v>
      </c>
      <c r="B183" s="23" t="s">
        <v>2039</v>
      </c>
      <c r="C183" s="24">
        <v>11</v>
      </c>
    </row>
    <row r="184" spans="1:3" x14ac:dyDescent="0.3">
      <c r="A184" s="23">
        <v>5094983</v>
      </c>
      <c r="B184" s="23" t="s">
        <v>2011</v>
      </c>
      <c r="C184" s="24">
        <v>17</v>
      </c>
    </row>
    <row r="185" spans="1:3" x14ac:dyDescent="0.3">
      <c r="A185" s="23">
        <v>5094984</v>
      </c>
      <c r="B185" s="23" t="s">
        <v>1973</v>
      </c>
      <c r="C185" s="24">
        <v>69</v>
      </c>
    </row>
    <row r="186" spans="1:3" x14ac:dyDescent="0.3">
      <c r="A186" s="23">
        <v>5094985</v>
      </c>
      <c r="B186" s="23" t="s">
        <v>2021</v>
      </c>
      <c r="C186" s="24">
        <v>35</v>
      </c>
    </row>
    <row r="187" spans="1:3" x14ac:dyDescent="0.3">
      <c r="A187" s="23">
        <v>5094986</v>
      </c>
      <c r="B187" s="23" t="s">
        <v>1979</v>
      </c>
      <c r="C187" s="24">
        <v>97</v>
      </c>
    </row>
    <row r="188" spans="1:3" x14ac:dyDescent="0.3">
      <c r="A188" s="23">
        <v>5094987</v>
      </c>
      <c r="B188" s="23" t="s">
        <v>1960</v>
      </c>
      <c r="C188" s="24">
        <v>787</v>
      </c>
    </row>
    <row r="189" spans="1:3" x14ac:dyDescent="0.3">
      <c r="A189" s="23">
        <v>5094988</v>
      </c>
      <c r="B189" s="23" t="s">
        <v>2042</v>
      </c>
      <c r="C189" s="24">
        <v>8</v>
      </c>
    </row>
    <row r="190" spans="1:3" x14ac:dyDescent="0.3">
      <c r="A190" s="23">
        <v>5094989</v>
      </c>
      <c r="B190" s="23" t="s">
        <v>1988</v>
      </c>
      <c r="C190" s="24">
        <v>5</v>
      </c>
    </row>
    <row r="191" spans="1:3" x14ac:dyDescent="0.3">
      <c r="A191" s="23">
        <v>5094990</v>
      </c>
      <c r="B191" s="23" t="s">
        <v>2037</v>
      </c>
      <c r="C191" s="24">
        <v>34</v>
      </c>
    </row>
    <row r="192" spans="1:3" x14ac:dyDescent="0.3">
      <c r="A192" s="23">
        <v>5094991</v>
      </c>
      <c r="B192" s="23" t="s">
        <v>2034</v>
      </c>
      <c r="C192" s="24">
        <v>6</v>
      </c>
    </row>
    <row r="193" spans="1:3" x14ac:dyDescent="0.3">
      <c r="A193" s="23">
        <v>5094992</v>
      </c>
      <c r="B193" s="23" t="s">
        <v>2006</v>
      </c>
      <c r="C193" s="24">
        <v>22</v>
      </c>
    </row>
    <row r="194" spans="1:3" x14ac:dyDescent="0.3">
      <c r="A194" s="23">
        <v>5094993</v>
      </c>
      <c r="B194" s="23" t="s">
        <v>1990</v>
      </c>
      <c r="C194" s="24">
        <v>129</v>
      </c>
    </row>
    <row r="195" spans="1:3" x14ac:dyDescent="0.3">
      <c r="A195" s="23">
        <v>5094996</v>
      </c>
      <c r="B195" s="23" t="s">
        <v>2606</v>
      </c>
      <c r="C195" s="24">
        <v>1</v>
      </c>
    </row>
    <row r="196" spans="1:3" x14ac:dyDescent="0.3">
      <c r="A196" s="23">
        <v>5094997</v>
      </c>
      <c r="B196" s="23" t="s">
        <v>2017</v>
      </c>
      <c r="C196" s="24">
        <v>5</v>
      </c>
    </row>
    <row r="197" spans="1:3" x14ac:dyDescent="0.3">
      <c r="A197" s="23">
        <v>5094998</v>
      </c>
      <c r="B197" s="23" t="s">
        <v>2607</v>
      </c>
      <c r="C197" s="24">
        <v>1</v>
      </c>
    </row>
    <row r="198" spans="1:3" x14ac:dyDescent="0.3">
      <c r="A198" s="23">
        <v>5094999</v>
      </c>
      <c r="B198" s="23" t="s">
        <v>2608</v>
      </c>
      <c r="C198" s="24">
        <v>2</v>
      </c>
    </row>
    <row r="199" spans="1:3" x14ac:dyDescent="0.3">
      <c r="A199" s="23">
        <v>5095000</v>
      </c>
      <c r="B199" s="23" t="s">
        <v>2150</v>
      </c>
      <c r="C199" s="24">
        <v>5</v>
      </c>
    </row>
    <row r="200" spans="1:3" x14ac:dyDescent="0.3">
      <c r="A200" s="23">
        <v>5095001</v>
      </c>
      <c r="B200" s="23" t="s">
        <v>2151</v>
      </c>
      <c r="C200" s="24">
        <v>86</v>
      </c>
    </row>
    <row r="201" spans="1:3" x14ac:dyDescent="0.3">
      <c r="A201" s="23">
        <v>5095002</v>
      </c>
      <c r="B201" s="23" t="s">
        <v>2152</v>
      </c>
      <c r="C201" s="24">
        <v>4</v>
      </c>
    </row>
    <row r="202" spans="1:3" x14ac:dyDescent="0.3">
      <c r="A202" s="23">
        <v>5095003</v>
      </c>
      <c r="B202" s="23" t="s">
        <v>2153</v>
      </c>
      <c r="C202" s="24">
        <v>105</v>
      </c>
    </row>
    <row r="203" spans="1:3" x14ac:dyDescent="0.3">
      <c r="A203" s="23">
        <v>5095012</v>
      </c>
      <c r="B203" s="23" t="s">
        <v>1996</v>
      </c>
      <c r="C203" s="24">
        <v>2</v>
      </c>
    </row>
    <row r="204" spans="1:3" x14ac:dyDescent="0.3">
      <c r="A204" s="23">
        <v>5095014</v>
      </c>
      <c r="B204" s="23" t="s">
        <v>2009</v>
      </c>
      <c r="C204" s="24">
        <v>53</v>
      </c>
    </row>
    <row r="205" spans="1:3" x14ac:dyDescent="0.3">
      <c r="A205" s="23">
        <v>5095015</v>
      </c>
      <c r="B205" s="23" t="s">
        <v>2154</v>
      </c>
      <c r="C205" s="24">
        <v>32</v>
      </c>
    </row>
    <row r="206" spans="1:3" x14ac:dyDescent="0.3">
      <c r="A206" s="23">
        <v>5095016</v>
      </c>
      <c r="B206" s="23" t="s">
        <v>2155</v>
      </c>
      <c r="C206" s="24">
        <v>7</v>
      </c>
    </row>
    <row r="207" spans="1:3" x14ac:dyDescent="0.3">
      <c r="A207" s="23">
        <v>5095017</v>
      </c>
      <c r="B207" s="23" t="s">
        <v>2156</v>
      </c>
      <c r="C207" s="24">
        <v>27</v>
      </c>
    </row>
    <row r="208" spans="1:3" x14ac:dyDescent="0.3">
      <c r="A208" s="23">
        <v>5095018</v>
      </c>
      <c r="B208" s="23" t="s">
        <v>2609</v>
      </c>
      <c r="C208" s="24">
        <v>2</v>
      </c>
    </row>
    <row r="209" spans="1:3" x14ac:dyDescent="0.3">
      <c r="A209" s="23">
        <v>5095023</v>
      </c>
      <c r="B209" s="23" t="s">
        <v>2157</v>
      </c>
      <c r="C209" s="24">
        <v>15</v>
      </c>
    </row>
    <row r="210" spans="1:3" x14ac:dyDescent="0.3">
      <c r="A210" s="23">
        <v>5095024</v>
      </c>
      <c r="B210" s="23" t="s">
        <v>1965</v>
      </c>
      <c r="C210" s="24">
        <v>160</v>
      </c>
    </row>
    <row r="211" spans="1:3" x14ac:dyDescent="0.3">
      <c r="A211" s="23">
        <v>5095026</v>
      </c>
      <c r="B211" s="23" t="s">
        <v>2610</v>
      </c>
      <c r="C211" s="24">
        <v>23</v>
      </c>
    </row>
    <row r="212" spans="1:3" x14ac:dyDescent="0.3">
      <c r="A212" s="23">
        <v>5095027</v>
      </c>
      <c r="B212" s="23" t="s">
        <v>1994</v>
      </c>
      <c r="C212" s="24">
        <v>6</v>
      </c>
    </row>
    <row r="213" spans="1:3" x14ac:dyDescent="0.3">
      <c r="A213" s="23">
        <v>5095028</v>
      </c>
      <c r="B213" s="23" t="s">
        <v>2611</v>
      </c>
      <c r="C213" s="24">
        <v>3</v>
      </c>
    </row>
    <row r="214" spans="1:3" x14ac:dyDescent="0.3">
      <c r="A214" s="23">
        <v>5095029</v>
      </c>
      <c r="B214" s="23" t="s">
        <v>2612</v>
      </c>
      <c r="C214" s="24">
        <v>2</v>
      </c>
    </row>
    <row r="215" spans="1:3" x14ac:dyDescent="0.3">
      <c r="A215" s="23">
        <v>5095030</v>
      </c>
      <c r="B215" s="23" t="s">
        <v>2158</v>
      </c>
      <c r="C215" s="24">
        <v>13</v>
      </c>
    </row>
    <row r="216" spans="1:3" x14ac:dyDescent="0.3">
      <c r="A216" s="23">
        <v>5095031</v>
      </c>
      <c r="B216" s="23" t="s">
        <v>1975</v>
      </c>
      <c r="C216" s="24">
        <v>107</v>
      </c>
    </row>
    <row r="217" spans="1:3" x14ac:dyDescent="0.3">
      <c r="A217" s="23">
        <v>5095032</v>
      </c>
      <c r="B217" s="23" t="s">
        <v>1956</v>
      </c>
      <c r="C217" s="24">
        <v>2761</v>
      </c>
    </row>
    <row r="218" spans="1:3" x14ac:dyDescent="0.3">
      <c r="A218" s="23">
        <v>5095033</v>
      </c>
      <c r="B218" s="23" t="s">
        <v>2159</v>
      </c>
      <c r="C218" s="24">
        <v>1</v>
      </c>
    </row>
    <row r="219" spans="1:3" x14ac:dyDescent="0.3">
      <c r="A219" s="23">
        <v>5095034</v>
      </c>
      <c r="B219" s="23" t="s">
        <v>1992</v>
      </c>
      <c r="C219" s="24">
        <v>49</v>
      </c>
    </row>
    <row r="220" spans="1:3" x14ac:dyDescent="0.3">
      <c r="A220" s="23">
        <v>5095035</v>
      </c>
      <c r="B220" s="23" t="s">
        <v>2160</v>
      </c>
      <c r="C220" s="24">
        <v>763</v>
      </c>
    </row>
    <row r="221" spans="1:3" x14ac:dyDescent="0.3">
      <c r="A221" s="23">
        <v>5095036</v>
      </c>
      <c r="B221" s="23" t="s">
        <v>2161</v>
      </c>
      <c r="C221" s="24">
        <v>4</v>
      </c>
    </row>
    <row r="222" spans="1:3" x14ac:dyDescent="0.3">
      <c r="A222" s="23">
        <v>5095037</v>
      </c>
      <c r="B222" s="23" t="s">
        <v>2010</v>
      </c>
      <c r="C222" s="24">
        <v>38</v>
      </c>
    </row>
    <row r="223" spans="1:3" x14ac:dyDescent="0.3">
      <c r="A223" s="23">
        <v>5095038</v>
      </c>
      <c r="B223" s="23" t="s">
        <v>2162</v>
      </c>
      <c r="C223" s="24">
        <v>208</v>
      </c>
    </row>
    <row r="224" spans="1:3" x14ac:dyDescent="0.3">
      <c r="A224" s="23">
        <v>5095039</v>
      </c>
      <c r="B224" s="23" t="s">
        <v>2163</v>
      </c>
      <c r="C224" s="24">
        <v>10</v>
      </c>
    </row>
    <row r="225" spans="1:3" x14ac:dyDescent="0.3">
      <c r="A225" s="23">
        <v>5095040</v>
      </c>
      <c r="B225" s="23" t="s">
        <v>2164</v>
      </c>
      <c r="C225" s="24">
        <v>60</v>
      </c>
    </row>
    <row r="226" spans="1:3" x14ac:dyDescent="0.3">
      <c r="A226" s="23">
        <v>5095041</v>
      </c>
      <c r="B226" s="23" t="s">
        <v>2165</v>
      </c>
      <c r="C226" s="24">
        <v>209</v>
      </c>
    </row>
    <row r="227" spans="1:3" x14ac:dyDescent="0.3">
      <c r="A227" s="23">
        <v>5095042</v>
      </c>
      <c r="B227" s="23" t="s">
        <v>2166</v>
      </c>
      <c r="C227" s="24">
        <v>14</v>
      </c>
    </row>
    <row r="228" spans="1:3" x14ac:dyDescent="0.3">
      <c r="A228" s="23">
        <v>5095043</v>
      </c>
      <c r="B228" s="23" t="s">
        <v>2167</v>
      </c>
      <c r="C228" s="24">
        <v>64</v>
      </c>
    </row>
    <row r="229" spans="1:3" x14ac:dyDescent="0.3">
      <c r="A229" s="23">
        <v>5095044</v>
      </c>
      <c r="B229" s="23" t="s">
        <v>2168</v>
      </c>
      <c r="C229" s="24">
        <v>193</v>
      </c>
    </row>
    <row r="230" spans="1:3" x14ac:dyDescent="0.3">
      <c r="A230" s="23">
        <v>5095045</v>
      </c>
      <c r="B230" s="23" t="s">
        <v>2169</v>
      </c>
      <c r="C230" s="24">
        <v>29</v>
      </c>
    </row>
    <row r="231" spans="1:3" x14ac:dyDescent="0.3">
      <c r="A231" s="23">
        <v>5095046</v>
      </c>
      <c r="B231" s="23" t="s">
        <v>2170</v>
      </c>
      <c r="C231" s="24">
        <v>161</v>
      </c>
    </row>
    <row r="232" spans="1:3" x14ac:dyDescent="0.3">
      <c r="A232" s="23">
        <v>5095047</v>
      </c>
      <c r="B232" s="23" t="s">
        <v>2171</v>
      </c>
      <c r="C232" s="24">
        <v>1102</v>
      </c>
    </row>
    <row r="233" spans="1:3" x14ac:dyDescent="0.3">
      <c r="A233" s="23">
        <v>5095048</v>
      </c>
      <c r="B233" s="23" t="s">
        <v>2172</v>
      </c>
      <c r="C233" s="24">
        <v>155</v>
      </c>
    </row>
    <row r="234" spans="1:3" x14ac:dyDescent="0.3">
      <c r="A234" s="23">
        <v>5095049</v>
      </c>
      <c r="B234" s="23" t="s">
        <v>2007</v>
      </c>
      <c r="C234" s="24">
        <v>68</v>
      </c>
    </row>
    <row r="235" spans="1:3" x14ac:dyDescent="0.3">
      <c r="A235" s="23">
        <v>5095050</v>
      </c>
      <c r="B235" s="23" t="s">
        <v>2023</v>
      </c>
      <c r="C235" s="24">
        <v>18</v>
      </c>
    </row>
    <row r="236" spans="1:3" x14ac:dyDescent="0.3">
      <c r="A236" s="23">
        <v>5095051</v>
      </c>
      <c r="B236" s="23" t="s">
        <v>2030</v>
      </c>
      <c r="C236" s="24">
        <v>38</v>
      </c>
    </row>
    <row r="237" spans="1:3" x14ac:dyDescent="0.3">
      <c r="A237" s="23">
        <v>5095054</v>
      </c>
      <c r="B237" s="23" t="s">
        <v>2041</v>
      </c>
      <c r="C237" s="24">
        <v>1</v>
      </c>
    </row>
    <row r="238" spans="1:3" x14ac:dyDescent="0.3">
      <c r="A238" s="23">
        <v>5095060</v>
      </c>
      <c r="B238" s="23" t="s">
        <v>2173</v>
      </c>
      <c r="C238" s="24">
        <v>2</v>
      </c>
    </row>
    <row r="239" spans="1:3" x14ac:dyDescent="0.3">
      <c r="A239" s="23">
        <v>5095062</v>
      </c>
      <c r="B239" s="23" t="s">
        <v>2613</v>
      </c>
      <c r="C239" s="24">
        <v>1</v>
      </c>
    </row>
    <row r="240" spans="1:3" x14ac:dyDescent="0.3">
      <c r="A240" s="23">
        <v>5095063</v>
      </c>
      <c r="B240" s="23" t="s">
        <v>2027</v>
      </c>
      <c r="C240" s="24">
        <v>19</v>
      </c>
    </row>
    <row r="241" spans="1:3" x14ac:dyDescent="0.3">
      <c r="A241" s="23">
        <v>5095064</v>
      </c>
      <c r="B241" s="23" t="s">
        <v>1969</v>
      </c>
      <c r="C241" s="24">
        <v>370</v>
      </c>
    </row>
    <row r="242" spans="1:3" x14ac:dyDescent="0.3">
      <c r="A242" s="23">
        <v>5095066</v>
      </c>
      <c r="B242" s="23" t="s">
        <v>2026</v>
      </c>
      <c r="C242" s="24">
        <v>4</v>
      </c>
    </row>
    <row r="243" spans="1:3" x14ac:dyDescent="0.3">
      <c r="A243" s="23">
        <v>5095067</v>
      </c>
      <c r="B243" s="23" t="s">
        <v>1993</v>
      </c>
      <c r="C243" s="24">
        <v>33</v>
      </c>
    </row>
    <row r="244" spans="1:3" x14ac:dyDescent="0.3">
      <c r="A244" s="23">
        <v>5095069</v>
      </c>
      <c r="B244" s="23" t="s">
        <v>2048</v>
      </c>
      <c r="C244" s="24">
        <v>5</v>
      </c>
    </row>
    <row r="245" spans="1:3" x14ac:dyDescent="0.3">
      <c r="A245" s="23">
        <v>5095070</v>
      </c>
      <c r="B245" s="23" t="s">
        <v>2015</v>
      </c>
      <c r="C245" s="24">
        <v>11</v>
      </c>
    </row>
    <row r="246" spans="1:3" x14ac:dyDescent="0.3">
      <c r="A246" s="23">
        <v>5095121</v>
      </c>
      <c r="B246" s="23" t="s">
        <v>2044</v>
      </c>
      <c r="C246" s="24">
        <v>1</v>
      </c>
    </row>
    <row r="247" spans="1:3" x14ac:dyDescent="0.3">
      <c r="A247" s="23">
        <v>5095122</v>
      </c>
      <c r="B247" s="23" t="s">
        <v>2051</v>
      </c>
      <c r="C247" s="24">
        <v>1</v>
      </c>
    </row>
    <row r="248" spans="1:3" x14ac:dyDescent="0.3">
      <c r="A248" s="23">
        <v>5095140</v>
      </c>
      <c r="B248" s="23" t="s">
        <v>2054</v>
      </c>
      <c r="C248" s="24">
        <v>4</v>
      </c>
    </row>
    <row r="249" spans="1:3" x14ac:dyDescent="0.3">
      <c r="A249" s="23">
        <v>5095141</v>
      </c>
      <c r="B249" s="23" t="s">
        <v>2020</v>
      </c>
      <c r="C249" s="24">
        <v>3</v>
      </c>
    </row>
    <row r="250" spans="1:3" x14ac:dyDescent="0.3">
      <c r="A250" s="23">
        <v>5095142</v>
      </c>
      <c r="B250" s="23" t="s">
        <v>2614</v>
      </c>
      <c r="C250" s="24">
        <v>7</v>
      </c>
    </row>
    <row r="251" spans="1:3" x14ac:dyDescent="0.3">
      <c r="A251" s="23">
        <v>5095143</v>
      </c>
      <c r="B251" s="23" t="s">
        <v>2032</v>
      </c>
      <c r="C251" s="24">
        <v>16</v>
      </c>
    </row>
    <row r="252" spans="1:3" x14ac:dyDescent="0.3">
      <c r="A252" s="23">
        <v>5095160</v>
      </c>
      <c r="B252" s="23" t="s">
        <v>2615</v>
      </c>
      <c r="C252" s="24">
        <v>3</v>
      </c>
    </row>
    <row r="253" spans="1:3" x14ac:dyDescent="0.3">
      <c r="A253" s="23">
        <v>5095165</v>
      </c>
      <c r="B253" s="23" t="s">
        <v>2174</v>
      </c>
      <c r="C253" s="24">
        <v>15</v>
      </c>
    </row>
    <row r="254" spans="1:3" x14ac:dyDescent="0.3">
      <c r="A254" s="23">
        <v>5095343</v>
      </c>
      <c r="B254" s="23" t="s">
        <v>2175</v>
      </c>
      <c r="C254" s="24">
        <v>129</v>
      </c>
    </row>
    <row r="255" spans="1:3" x14ac:dyDescent="0.3">
      <c r="A255" s="23">
        <v>5095366</v>
      </c>
      <c r="B255" s="23" t="s">
        <v>2616</v>
      </c>
      <c r="C255" s="24">
        <v>3</v>
      </c>
    </row>
    <row r="256" spans="1:3" x14ac:dyDescent="0.3">
      <c r="A256" s="23">
        <v>5114992</v>
      </c>
      <c r="B256" s="23" t="s">
        <v>2617</v>
      </c>
      <c r="C256" s="24">
        <v>4</v>
      </c>
    </row>
    <row r="257" spans="1:3" x14ac:dyDescent="0.3">
      <c r="A257" s="23">
        <v>5115146</v>
      </c>
      <c r="B257" s="23" t="s">
        <v>2176</v>
      </c>
      <c r="C257" s="24">
        <v>106</v>
      </c>
    </row>
    <row r="258" spans="1:3" x14ac:dyDescent="0.3">
      <c r="A258" s="23">
        <v>5115445</v>
      </c>
      <c r="B258" s="23" t="s">
        <v>2618</v>
      </c>
      <c r="C258" s="24">
        <v>2</v>
      </c>
    </row>
    <row r="259" spans="1:3" x14ac:dyDescent="0.3">
      <c r="A259" s="23">
        <v>5118107</v>
      </c>
      <c r="B259" s="23" t="s">
        <v>2619</v>
      </c>
      <c r="C259" s="24">
        <v>1</v>
      </c>
    </row>
    <row r="260" spans="1:3" x14ac:dyDescent="0.3">
      <c r="A260" s="23">
        <v>5119154</v>
      </c>
      <c r="B260" s="23" t="s">
        <v>1874</v>
      </c>
      <c r="C260" s="24">
        <v>2</v>
      </c>
    </row>
    <row r="261" spans="1:3" x14ac:dyDescent="0.3">
      <c r="A261" s="23">
        <v>5122395</v>
      </c>
      <c r="B261" s="23" t="s">
        <v>2620</v>
      </c>
      <c r="C261" s="24">
        <v>1</v>
      </c>
    </row>
    <row r="262" spans="1:3" x14ac:dyDescent="0.3">
      <c r="A262" s="23">
        <v>5122405</v>
      </c>
      <c r="B262" s="23" t="s">
        <v>1453</v>
      </c>
      <c r="C262" s="24">
        <v>3</v>
      </c>
    </row>
    <row r="263" spans="1:3" x14ac:dyDescent="0.3">
      <c r="A263" s="23">
        <v>5122406</v>
      </c>
      <c r="B263" s="23" t="s">
        <v>1454</v>
      </c>
      <c r="C263" s="24">
        <v>3</v>
      </c>
    </row>
    <row r="264" spans="1:3" x14ac:dyDescent="0.3">
      <c r="A264" s="23">
        <v>5122407</v>
      </c>
      <c r="B264" s="23" t="s">
        <v>1455</v>
      </c>
      <c r="C264" s="24">
        <v>6</v>
      </c>
    </row>
    <row r="265" spans="1:3" x14ac:dyDescent="0.3">
      <c r="A265" s="23">
        <v>5122410</v>
      </c>
      <c r="B265" s="23" t="s">
        <v>1469</v>
      </c>
      <c r="C265" s="24">
        <v>1</v>
      </c>
    </row>
    <row r="266" spans="1:3" x14ac:dyDescent="0.3">
      <c r="A266" s="23">
        <v>5122627</v>
      </c>
      <c r="B266" s="23" t="s">
        <v>1623</v>
      </c>
      <c r="C266" s="24">
        <v>590</v>
      </c>
    </row>
    <row r="267" spans="1:3" x14ac:dyDescent="0.3">
      <c r="A267" s="23">
        <v>5149183</v>
      </c>
      <c r="B267" s="23" t="s">
        <v>1671</v>
      </c>
      <c r="C267" s="24">
        <v>74</v>
      </c>
    </row>
    <row r="268" spans="1:3" x14ac:dyDescent="0.3">
      <c r="A268" s="23">
        <v>5149186</v>
      </c>
      <c r="B268" s="23" t="s">
        <v>2177</v>
      </c>
      <c r="C268" s="24">
        <v>64</v>
      </c>
    </row>
    <row r="269" spans="1:3" x14ac:dyDescent="0.3">
      <c r="A269" s="23">
        <v>5149187</v>
      </c>
      <c r="B269" s="23" t="s">
        <v>1670</v>
      </c>
      <c r="C269" s="24">
        <v>739</v>
      </c>
    </row>
    <row r="270" spans="1:3" x14ac:dyDescent="0.3">
      <c r="A270" s="23">
        <v>5158238</v>
      </c>
      <c r="B270" s="23" t="s">
        <v>2178</v>
      </c>
      <c r="C270" s="24">
        <v>11</v>
      </c>
    </row>
    <row r="271" spans="1:3" x14ac:dyDescent="0.3">
      <c r="A271" s="23">
        <v>5159075</v>
      </c>
      <c r="B271" s="23" t="s">
        <v>1463</v>
      </c>
      <c r="C271" s="24">
        <v>73</v>
      </c>
    </row>
    <row r="272" spans="1:3" x14ac:dyDescent="0.3">
      <c r="A272" s="23">
        <v>5180253</v>
      </c>
      <c r="B272" s="23" t="s">
        <v>2179</v>
      </c>
      <c r="C272" s="24">
        <v>7</v>
      </c>
    </row>
    <row r="273" spans="1:3" x14ac:dyDescent="0.3">
      <c r="A273" s="23">
        <v>5180254</v>
      </c>
      <c r="B273" s="23" t="s">
        <v>2180</v>
      </c>
      <c r="C273" s="24">
        <v>7</v>
      </c>
    </row>
    <row r="274" spans="1:3" x14ac:dyDescent="0.3">
      <c r="A274" s="23">
        <v>5180255</v>
      </c>
      <c r="B274" s="23" t="s">
        <v>2181</v>
      </c>
      <c r="C274" s="24">
        <v>6</v>
      </c>
    </row>
    <row r="275" spans="1:3" x14ac:dyDescent="0.3">
      <c r="A275" s="23">
        <v>5180256</v>
      </c>
      <c r="B275" s="23" t="s">
        <v>2182</v>
      </c>
      <c r="C275" s="24">
        <v>7</v>
      </c>
    </row>
    <row r="276" spans="1:3" x14ac:dyDescent="0.3">
      <c r="A276" s="23">
        <v>5180262</v>
      </c>
      <c r="B276" s="23" t="s">
        <v>2183</v>
      </c>
      <c r="C276" s="24">
        <v>143</v>
      </c>
    </row>
    <row r="277" spans="1:3" x14ac:dyDescent="0.3">
      <c r="A277" s="23">
        <v>5180263</v>
      </c>
      <c r="B277" s="23" t="s">
        <v>2184</v>
      </c>
      <c r="C277" s="24">
        <v>211</v>
      </c>
    </row>
    <row r="278" spans="1:3" x14ac:dyDescent="0.3">
      <c r="A278" s="23">
        <v>5180264</v>
      </c>
      <c r="B278" s="23" t="s">
        <v>1679</v>
      </c>
      <c r="C278" s="24">
        <v>102</v>
      </c>
    </row>
    <row r="279" spans="1:3" x14ac:dyDescent="0.3">
      <c r="A279" s="23">
        <v>5180412</v>
      </c>
      <c r="B279" s="23" t="s">
        <v>2185</v>
      </c>
      <c r="C279" s="24">
        <v>46</v>
      </c>
    </row>
    <row r="280" spans="1:3" x14ac:dyDescent="0.3">
      <c r="A280" s="23">
        <v>5180446</v>
      </c>
      <c r="B280" s="23" t="s">
        <v>2621</v>
      </c>
      <c r="C280" s="24">
        <v>3</v>
      </c>
    </row>
    <row r="281" spans="1:3" x14ac:dyDescent="0.3">
      <c r="A281" s="23">
        <v>5180447</v>
      </c>
      <c r="B281" s="23" t="s">
        <v>1678</v>
      </c>
      <c r="C281" s="24">
        <v>229</v>
      </c>
    </row>
    <row r="282" spans="1:3" x14ac:dyDescent="0.3">
      <c r="A282" s="23">
        <v>5180448</v>
      </c>
      <c r="B282" s="23" t="s">
        <v>2186</v>
      </c>
      <c r="C282" s="24">
        <v>694</v>
      </c>
    </row>
    <row r="283" spans="1:3" x14ac:dyDescent="0.3">
      <c r="A283" s="23">
        <v>5180449</v>
      </c>
      <c r="B283" s="23" t="s">
        <v>2187</v>
      </c>
      <c r="C283" s="24">
        <v>544</v>
      </c>
    </row>
    <row r="284" spans="1:3" x14ac:dyDescent="0.3">
      <c r="A284" s="23">
        <v>5180470</v>
      </c>
      <c r="B284" s="23" t="s">
        <v>2188</v>
      </c>
      <c r="C284" s="24">
        <v>103</v>
      </c>
    </row>
    <row r="285" spans="1:3" x14ac:dyDescent="0.3">
      <c r="A285" s="23">
        <v>5180478</v>
      </c>
      <c r="B285" s="23" t="s">
        <v>1637</v>
      </c>
      <c r="C285" s="24">
        <v>6</v>
      </c>
    </row>
    <row r="286" spans="1:3" x14ac:dyDescent="0.3">
      <c r="A286" s="23">
        <v>5180479</v>
      </c>
      <c r="B286" s="23" t="s">
        <v>1641</v>
      </c>
      <c r="C286" s="24">
        <v>5</v>
      </c>
    </row>
    <row r="287" spans="1:3" x14ac:dyDescent="0.3">
      <c r="A287" s="23">
        <v>5180483</v>
      </c>
      <c r="B287" s="23" t="s">
        <v>1703</v>
      </c>
      <c r="C287" s="25">
        <v>0</v>
      </c>
    </row>
    <row r="288" spans="1:3" x14ac:dyDescent="0.3">
      <c r="A288" s="23">
        <v>5180484</v>
      </c>
      <c r="B288" s="23" t="s">
        <v>1704</v>
      </c>
      <c r="C288" s="24">
        <v>19</v>
      </c>
    </row>
    <row r="289" spans="1:3" x14ac:dyDescent="0.3">
      <c r="A289" s="23">
        <v>5180485</v>
      </c>
      <c r="B289" s="23" t="s">
        <v>1640</v>
      </c>
      <c r="C289" s="24">
        <v>1</v>
      </c>
    </row>
    <row r="290" spans="1:3" x14ac:dyDescent="0.3">
      <c r="A290" s="23">
        <v>5180486</v>
      </c>
      <c r="B290" s="23" t="s">
        <v>1638</v>
      </c>
      <c r="C290" s="24">
        <v>24</v>
      </c>
    </row>
    <row r="291" spans="1:3" x14ac:dyDescent="0.3">
      <c r="A291" s="23">
        <v>5180487</v>
      </c>
      <c r="B291" s="23" t="s">
        <v>1642</v>
      </c>
      <c r="C291" s="24">
        <v>3</v>
      </c>
    </row>
    <row r="292" spans="1:3" x14ac:dyDescent="0.3">
      <c r="A292" s="23">
        <v>5180488</v>
      </c>
      <c r="B292" s="23" t="s">
        <v>1643</v>
      </c>
      <c r="C292" s="24">
        <v>4</v>
      </c>
    </row>
    <row r="293" spans="1:3" x14ac:dyDescent="0.3">
      <c r="A293" s="23">
        <v>5180489</v>
      </c>
      <c r="B293" s="23" t="s">
        <v>1639</v>
      </c>
      <c r="C293" s="24">
        <v>5</v>
      </c>
    </row>
    <row r="294" spans="1:3" x14ac:dyDescent="0.3">
      <c r="A294" s="23">
        <v>5180490</v>
      </c>
      <c r="B294" s="23" t="s">
        <v>1457</v>
      </c>
      <c r="C294" s="24">
        <v>26</v>
      </c>
    </row>
    <row r="295" spans="1:3" x14ac:dyDescent="0.3">
      <c r="A295" s="23">
        <v>5180491</v>
      </c>
      <c r="B295" s="23" t="s">
        <v>1456</v>
      </c>
      <c r="C295" s="24">
        <v>105</v>
      </c>
    </row>
    <row r="296" spans="1:3" x14ac:dyDescent="0.3">
      <c r="A296" s="23">
        <v>5180492</v>
      </c>
      <c r="B296" s="23" t="s">
        <v>1458</v>
      </c>
      <c r="C296" s="24">
        <v>184</v>
      </c>
    </row>
    <row r="297" spans="1:3" x14ac:dyDescent="0.3">
      <c r="A297" s="23">
        <v>5180495</v>
      </c>
      <c r="B297" s="23" t="s">
        <v>1459</v>
      </c>
      <c r="C297" s="24">
        <v>21</v>
      </c>
    </row>
    <row r="298" spans="1:3" x14ac:dyDescent="0.3">
      <c r="A298" s="23">
        <v>5180496</v>
      </c>
      <c r="B298" s="23" t="s">
        <v>1460</v>
      </c>
      <c r="C298" s="24">
        <v>11</v>
      </c>
    </row>
    <row r="299" spans="1:3" x14ac:dyDescent="0.3">
      <c r="A299" s="23">
        <v>5180498</v>
      </c>
      <c r="B299" s="23" t="s">
        <v>1461</v>
      </c>
      <c r="C299" s="24">
        <v>721</v>
      </c>
    </row>
    <row r="300" spans="1:3" x14ac:dyDescent="0.3">
      <c r="A300" s="23">
        <v>5180583</v>
      </c>
      <c r="B300" s="23" t="s">
        <v>2189</v>
      </c>
      <c r="C300" s="24">
        <v>2</v>
      </c>
    </row>
    <row r="301" spans="1:3" x14ac:dyDescent="0.3">
      <c r="A301" s="23">
        <v>5180652</v>
      </c>
      <c r="B301" s="23" t="s">
        <v>1687</v>
      </c>
      <c r="C301" s="24">
        <v>38</v>
      </c>
    </row>
    <row r="302" spans="1:3" x14ac:dyDescent="0.3">
      <c r="A302" s="23">
        <v>5180665</v>
      </c>
      <c r="B302" s="23" t="s">
        <v>1689</v>
      </c>
      <c r="C302" s="24">
        <v>11</v>
      </c>
    </row>
    <row r="303" spans="1:3" x14ac:dyDescent="0.3">
      <c r="A303" s="23">
        <v>5180701</v>
      </c>
      <c r="B303" s="23" t="s">
        <v>1690</v>
      </c>
      <c r="C303" s="24">
        <v>115</v>
      </c>
    </row>
    <row r="304" spans="1:3" x14ac:dyDescent="0.3">
      <c r="A304" s="23">
        <v>5180702</v>
      </c>
      <c r="B304" s="23" t="s">
        <v>1691</v>
      </c>
      <c r="C304" s="25">
        <v>0</v>
      </c>
    </row>
    <row r="305" spans="1:3" x14ac:dyDescent="0.3">
      <c r="A305" s="23">
        <v>5180704</v>
      </c>
      <c r="B305" s="23" t="s">
        <v>1694</v>
      </c>
      <c r="C305" s="24">
        <v>59</v>
      </c>
    </row>
    <row r="306" spans="1:3" x14ac:dyDescent="0.3">
      <c r="A306" s="23">
        <v>5180705</v>
      </c>
      <c r="B306" s="23" t="s">
        <v>1697</v>
      </c>
      <c r="C306" s="24">
        <v>43</v>
      </c>
    </row>
    <row r="307" spans="1:3" x14ac:dyDescent="0.3">
      <c r="A307" s="23">
        <v>5180706</v>
      </c>
      <c r="B307" s="23" t="s">
        <v>1700</v>
      </c>
      <c r="C307" s="24">
        <v>13</v>
      </c>
    </row>
    <row r="308" spans="1:3" x14ac:dyDescent="0.3">
      <c r="A308" s="23">
        <v>5180707</v>
      </c>
      <c r="B308" s="23" t="s">
        <v>1702</v>
      </c>
      <c r="C308" s="24">
        <v>11</v>
      </c>
    </row>
    <row r="309" spans="1:3" x14ac:dyDescent="0.3">
      <c r="A309" s="23">
        <v>5180744</v>
      </c>
      <c r="B309" s="23" t="s">
        <v>1688</v>
      </c>
      <c r="C309" s="24">
        <v>430</v>
      </c>
    </row>
    <row r="310" spans="1:3" x14ac:dyDescent="0.3">
      <c r="A310" s="23">
        <v>5183209</v>
      </c>
      <c r="B310" s="23" t="s">
        <v>1630</v>
      </c>
      <c r="C310" s="24">
        <v>2</v>
      </c>
    </row>
    <row r="311" spans="1:3" x14ac:dyDescent="0.3">
      <c r="A311" s="23">
        <v>5183260</v>
      </c>
      <c r="B311" s="23" t="s">
        <v>2190</v>
      </c>
      <c r="C311" s="24">
        <v>12</v>
      </c>
    </row>
    <row r="312" spans="1:3" x14ac:dyDescent="0.3">
      <c r="A312" s="23">
        <v>5183261</v>
      </c>
      <c r="B312" s="23" t="s">
        <v>2191</v>
      </c>
      <c r="C312" s="24">
        <v>6</v>
      </c>
    </row>
    <row r="313" spans="1:3" x14ac:dyDescent="0.3">
      <c r="A313" s="23">
        <v>5183270</v>
      </c>
      <c r="B313" s="23" t="s">
        <v>1635</v>
      </c>
      <c r="C313" s="24">
        <v>7</v>
      </c>
    </row>
    <row r="314" spans="1:3" x14ac:dyDescent="0.3">
      <c r="A314" s="23">
        <v>5183272</v>
      </c>
      <c r="B314" s="23" t="s">
        <v>1629</v>
      </c>
      <c r="C314" s="24">
        <v>41</v>
      </c>
    </row>
    <row r="315" spans="1:3" x14ac:dyDescent="0.3">
      <c r="A315" s="23">
        <v>5183273</v>
      </c>
      <c r="B315" s="23" t="s">
        <v>1614</v>
      </c>
      <c r="C315" s="24">
        <v>1</v>
      </c>
    </row>
    <row r="316" spans="1:3" x14ac:dyDescent="0.3">
      <c r="A316" s="23">
        <v>5183274</v>
      </c>
      <c r="B316" s="23" t="s">
        <v>2622</v>
      </c>
      <c r="C316" s="24">
        <v>1</v>
      </c>
    </row>
    <row r="317" spans="1:3" x14ac:dyDescent="0.3">
      <c r="A317" s="23">
        <v>5183277</v>
      </c>
      <c r="B317" s="23" t="s">
        <v>1615</v>
      </c>
      <c r="C317" s="24">
        <v>1</v>
      </c>
    </row>
    <row r="318" spans="1:3" x14ac:dyDescent="0.3">
      <c r="A318" s="23">
        <v>5183280</v>
      </c>
      <c r="B318" s="23" t="s">
        <v>1706</v>
      </c>
      <c r="C318" s="24">
        <v>1</v>
      </c>
    </row>
    <row r="319" spans="1:3" x14ac:dyDescent="0.3">
      <c r="A319" s="23">
        <v>5183281</v>
      </c>
      <c r="B319" s="23" t="s">
        <v>2192</v>
      </c>
      <c r="C319" s="24">
        <v>8</v>
      </c>
    </row>
    <row r="320" spans="1:3" x14ac:dyDescent="0.3">
      <c r="A320" s="23">
        <v>5183282</v>
      </c>
      <c r="B320" s="23" t="s">
        <v>2193</v>
      </c>
      <c r="C320" s="24">
        <v>2</v>
      </c>
    </row>
    <row r="321" spans="1:3" x14ac:dyDescent="0.3">
      <c r="A321" s="23">
        <v>5183283</v>
      </c>
      <c r="B321" s="23" t="s">
        <v>2194</v>
      </c>
      <c r="C321" s="24">
        <v>2</v>
      </c>
    </row>
    <row r="322" spans="1:3" x14ac:dyDescent="0.3">
      <c r="A322" s="23">
        <v>5183284</v>
      </c>
      <c r="B322" s="23" t="s">
        <v>1660</v>
      </c>
      <c r="C322" s="24">
        <v>3</v>
      </c>
    </row>
    <row r="323" spans="1:3" x14ac:dyDescent="0.3">
      <c r="A323" s="23">
        <v>5183285</v>
      </c>
      <c r="B323" s="23" t="s">
        <v>1663</v>
      </c>
      <c r="C323" s="24">
        <v>4</v>
      </c>
    </row>
    <row r="324" spans="1:3" x14ac:dyDescent="0.3">
      <c r="A324" s="23">
        <v>5183326</v>
      </c>
      <c r="B324" s="23" t="s">
        <v>2195</v>
      </c>
      <c r="C324" s="24">
        <v>4</v>
      </c>
    </row>
    <row r="325" spans="1:3" x14ac:dyDescent="0.3">
      <c r="A325" s="23">
        <v>5183327</v>
      </c>
      <c r="B325" s="23" t="s">
        <v>2196</v>
      </c>
      <c r="C325" s="24">
        <v>7</v>
      </c>
    </row>
    <row r="326" spans="1:3" x14ac:dyDescent="0.3">
      <c r="A326" s="23">
        <v>5183328</v>
      </c>
      <c r="B326" s="23" t="s">
        <v>2197</v>
      </c>
      <c r="C326" s="24">
        <v>132</v>
      </c>
    </row>
    <row r="327" spans="1:3" x14ac:dyDescent="0.3">
      <c r="A327" s="23">
        <v>5183329</v>
      </c>
      <c r="B327" s="23" t="s">
        <v>2198</v>
      </c>
      <c r="C327" s="24">
        <v>78</v>
      </c>
    </row>
    <row r="328" spans="1:3" x14ac:dyDescent="0.3">
      <c r="A328" s="23">
        <v>5183358</v>
      </c>
      <c r="B328" s="23" t="s">
        <v>1692</v>
      </c>
      <c r="C328" s="24">
        <v>2</v>
      </c>
    </row>
    <row r="329" spans="1:3" x14ac:dyDescent="0.3">
      <c r="A329" s="23">
        <v>5183359</v>
      </c>
      <c r="B329" s="23" t="s">
        <v>1695</v>
      </c>
      <c r="C329" s="24">
        <v>4</v>
      </c>
    </row>
    <row r="330" spans="1:3" x14ac:dyDescent="0.3">
      <c r="A330" s="23">
        <v>5183362</v>
      </c>
      <c r="B330" s="23" t="s">
        <v>1631</v>
      </c>
      <c r="C330" s="24">
        <v>16</v>
      </c>
    </row>
    <row r="331" spans="1:3" x14ac:dyDescent="0.3">
      <c r="A331" s="23">
        <v>5183363</v>
      </c>
      <c r="B331" s="23" t="s">
        <v>1636</v>
      </c>
      <c r="C331" s="24">
        <v>65</v>
      </c>
    </row>
    <row r="332" spans="1:3" x14ac:dyDescent="0.3">
      <c r="A332" s="23">
        <v>5183368</v>
      </c>
      <c r="B332" s="23" t="s">
        <v>1612</v>
      </c>
      <c r="C332" s="24">
        <v>2</v>
      </c>
    </row>
    <row r="333" spans="1:3" x14ac:dyDescent="0.3">
      <c r="A333" s="23">
        <v>5183369</v>
      </c>
      <c r="B333" s="23" t="s">
        <v>1661</v>
      </c>
      <c r="C333" s="24">
        <v>6</v>
      </c>
    </row>
    <row r="334" spans="1:3" x14ac:dyDescent="0.3">
      <c r="A334" s="23">
        <v>5183381</v>
      </c>
      <c r="B334" s="23" t="s">
        <v>2199</v>
      </c>
      <c r="C334" s="24">
        <v>77</v>
      </c>
    </row>
    <row r="335" spans="1:3" x14ac:dyDescent="0.3">
      <c r="A335" s="23">
        <v>5183382</v>
      </c>
      <c r="B335" s="23" t="s">
        <v>2200</v>
      </c>
      <c r="C335" s="24">
        <v>110</v>
      </c>
    </row>
    <row r="336" spans="1:3" x14ac:dyDescent="0.3">
      <c r="A336" s="23">
        <v>5183383</v>
      </c>
      <c r="B336" s="23" t="s">
        <v>2201</v>
      </c>
      <c r="C336" s="24">
        <v>16</v>
      </c>
    </row>
    <row r="337" spans="1:3" x14ac:dyDescent="0.3">
      <c r="A337" s="23">
        <v>5183384</v>
      </c>
      <c r="B337" s="23" t="s">
        <v>1707</v>
      </c>
      <c r="C337" s="24">
        <v>4</v>
      </c>
    </row>
    <row r="338" spans="1:3" x14ac:dyDescent="0.3">
      <c r="A338" s="23">
        <v>5183391</v>
      </c>
      <c r="B338" s="23" t="s">
        <v>1664</v>
      </c>
      <c r="C338" s="24">
        <v>8</v>
      </c>
    </row>
    <row r="339" spans="1:3" x14ac:dyDescent="0.3">
      <c r="A339" s="23">
        <v>5183420</v>
      </c>
      <c r="B339" s="23" t="s">
        <v>1698</v>
      </c>
      <c r="C339" s="24">
        <v>2</v>
      </c>
    </row>
    <row r="340" spans="1:3" x14ac:dyDescent="0.3">
      <c r="A340" s="23">
        <v>5183423</v>
      </c>
      <c r="B340" s="23" t="s">
        <v>1693</v>
      </c>
      <c r="C340" s="24">
        <v>35</v>
      </c>
    </row>
    <row r="341" spans="1:3" x14ac:dyDescent="0.3">
      <c r="A341" s="23">
        <v>5183424</v>
      </c>
      <c r="B341" s="23" t="s">
        <v>1696</v>
      </c>
      <c r="C341" s="24">
        <v>11</v>
      </c>
    </row>
    <row r="342" spans="1:3" x14ac:dyDescent="0.3">
      <c r="A342" s="23">
        <v>5183425</v>
      </c>
      <c r="B342" s="23" t="s">
        <v>1699</v>
      </c>
      <c r="C342" s="24">
        <v>21</v>
      </c>
    </row>
    <row r="343" spans="1:3" x14ac:dyDescent="0.3">
      <c r="A343" s="23">
        <v>5183426</v>
      </c>
      <c r="B343" s="23" t="s">
        <v>1701</v>
      </c>
      <c r="C343" s="24">
        <v>31</v>
      </c>
    </row>
    <row r="344" spans="1:3" x14ac:dyDescent="0.3">
      <c r="A344" s="23">
        <v>5183435</v>
      </c>
      <c r="B344" s="23" t="s">
        <v>1613</v>
      </c>
      <c r="C344" s="24">
        <v>6</v>
      </c>
    </row>
    <row r="345" spans="1:3" x14ac:dyDescent="0.3">
      <c r="A345" s="23">
        <v>5183436</v>
      </c>
      <c r="B345" s="23" t="s">
        <v>2202</v>
      </c>
      <c r="C345" s="24">
        <v>121</v>
      </c>
    </row>
    <row r="346" spans="1:3" x14ac:dyDescent="0.3">
      <c r="A346" s="23">
        <v>5183437</v>
      </c>
      <c r="B346" s="23" t="s">
        <v>2203</v>
      </c>
      <c r="C346" s="24">
        <v>509</v>
      </c>
    </row>
    <row r="347" spans="1:3" x14ac:dyDescent="0.3">
      <c r="A347" s="23">
        <v>5183439</v>
      </c>
      <c r="B347" s="23" t="s">
        <v>2623</v>
      </c>
      <c r="C347" s="24">
        <v>40</v>
      </c>
    </row>
    <row r="348" spans="1:3" x14ac:dyDescent="0.3">
      <c r="A348" s="23">
        <v>5183440</v>
      </c>
      <c r="B348" s="23" t="s">
        <v>1616</v>
      </c>
      <c r="C348" s="24">
        <v>4</v>
      </c>
    </row>
    <row r="349" spans="1:3" x14ac:dyDescent="0.3">
      <c r="A349" s="23">
        <v>5183947</v>
      </c>
      <c r="B349" s="23" t="s">
        <v>1665</v>
      </c>
      <c r="C349" s="24">
        <v>52</v>
      </c>
    </row>
    <row r="350" spans="1:3" x14ac:dyDescent="0.3">
      <c r="A350" s="23">
        <v>5183948</v>
      </c>
      <c r="B350" s="23" t="s">
        <v>1662</v>
      </c>
      <c r="C350" s="24">
        <v>27</v>
      </c>
    </row>
    <row r="351" spans="1:3" x14ac:dyDescent="0.3">
      <c r="A351" s="23">
        <v>5183991</v>
      </c>
      <c r="B351" s="23" t="s">
        <v>2204</v>
      </c>
      <c r="C351" s="24">
        <v>229</v>
      </c>
    </row>
    <row r="352" spans="1:3" x14ac:dyDescent="0.3">
      <c r="A352" s="23">
        <v>5183993</v>
      </c>
      <c r="B352" s="23" t="s">
        <v>2205</v>
      </c>
      <c r="C352" s="24">
        <v>353</v>
      </c>
    </row>
    <row r="353" spans="1:3" x14ac:dyDescent="0.3">
      <c r="A353" s="23">
        <v>5183994</v>
      </c>
      <c r="B353" s="23" t="s">
        <v>2206</v>
      </c>
      <c r="C353" s="24">
        <v>652</v>
      </c>
    </row>
    <row r="354" spans="1:3" x14ac:dyDescent="0.3">
      <c r="A354" s="23">
        <v>5183995</v>
      </c>
      <c r="B354" s="23" t="s">
        <v>1708</v>
      </c>
      <c r="C354" s="24">
        <v>5</v>
      </c>
    </row>
    <row r="355" spans="1:3" x14ac:dyDescent="0.3">
      <c r="A355" s="23">
        <v>5184004</v>
      </c>
      <c r="B355" s="23" t="s">
        <v>2207</v>
      </c>
      <c r="C355" s="24">
        <v>32</v>
      </c>
    </row>
    <row r="356" spans="1:3" x14ac:dyDescent="0.3">
      <c r="A356" s="23">
        <v>5184005</v>
      </c>
      <c r="B356" s="23" t="s">
        <v>2208</v>
      </c>
      <c r="C356" s="24">
        <v>14</v>
      </c>
    </row>
    <row r="357" spans="1:3" x14ac:dyDescent="0.3">
      <c r="A357" s="23">
        <v>5184006</v>
      </c>
      <c r="B357" s="23" t="s">
        <v>2209</v>
      </c>
      <c r="C357" s="24">
        <v>15</v>
      </c>
    </row>
    <row r="358" spans="1:3" x14ac:dyDescent="0.3">
      <c r="A358" s="23">
        <v>5184007</v>
      </c>
      <c r="B358" s="23" t="s">
        <v>2210</v>
      </c>
      <c r="C358" s="24">
        <v>156</v>
      </c>
    </row>
    <row r="359" spans="1:3" x14ac:dyDescent="0.3">
      <c r="A359" s="23">
        <v>5184008</v>
      </c>
      <c r="B359" s="23" t="s">
        <v>1954</v>
      </c>
      <c r="C359" s="24">
        <v>5</v>
      </c>
    </row>
    <row r="360" spans="1:3" x14ac:dyDescent="0.3">
      <c r="A360" s="23">
        <v>5184468</v>
      </c>
      <c r="B360" s="23" t="s">
        <v>2211</v>
      </c>
      <c r="C360" s="24">
        <v>20</v>
      </c>
    </row>
    <row r="361" spans="1:3" x14ac:dyDescent="0.3">
      <c r="A361" s="23">
        <v>5184469</v>
      </c>
      <c r="B361" s="23" t="s">
        <v>2212</v>
      </c>
      <c r="C361" s="24">
        <v>52</v>
      </c>
    </row>
    <row r="362" spans="1:3" x14ac:dyDescent="0.3">
      <c r="A362" s="23">
        <v>5184501</v>
      </c>
      <c r="B362" s="23" t="s">
        <v>2213</v>
      </c>
      <c r="C362" s="24">
        <v>19</v>
      </c>
    </row>
    <row r="363" spans="1:3" x14ac:dyDescent="0.3">
      <c r="A363" s="23">
        <v>5185095</v>
      </c>
      <c r="B363" s="23" t="s">
        <v>2035</v>
      </c>
      <c r="C363" s="24">
        <v>10</v>
      </c>
    </row>
    <row r="364" spans="1:3" x14ac:dyDescent="0.3">
      <c r="A364" s="23">
        <v>5185096</v>
      </c>
      <c r="B364" s="23" t="s">
        <v>2012</v>
      </c>
      <c r="C364" s="24">
        <v>18</v>
      </c>
    </row>
    <row r="365" spans="1:3" x14ac:dyDescent="0.3">
      <c r="A365" s="23">
        <v>5185097</v>
      </c>
      <c r="B365" s="23" t="s">
        <v>2214</v>
      </c>
      <c r="C365" s="24">
        <v>31</v>
      </c>
    </row>
    <row r="366" spans="1:3" x14ac:dyDescent="0.3">
      <c r="A366" s="23">
        <v>5185098</v>
      </c>
      <c r="B366" s="23" t="s">
        <v>2036</v>
      </c>
      <c r="C366" s="24">
        <v>4</v>
      </c>
    </row>
    <row r="367" spans="1:3" x14ac:dyDescent="0.3">
      <c r="A367" s="23">
        <v>5185102</v>
      </c>
      <c r="B367" s="23" t="s">
        <v>2018</v>
      </c>
      <c r="C367" s="24">
        <v>14</v>
      </c>
    </row>
    <row r="368" spans="1:3" x14ac:dyDescent="0.3">
      <c r="A368" s="23">
        <v>5185103</v>
      </c>
      <c r="B368" s="23" t="s">
        <v>2215</v>
      </c>
      <c r="C368" s="24">
        <v>30</v>
      </c>
    </row>
    <row r="369" spans="1:3" x14ac:dyDescent="0.3">
      <c r="A369" s="23">
        <v>5185104</v>
      </c>
      <c r="B369" s="23" t="s">
        <v>2046</v>
      </c>
      <c r="C369" s="24">
        <v>1</v>
      </c>
    </row>
    <row r="370" spans="1:3" x14ac:dyDescent="0.3">
      <c r="A370" s="23">
        <v>5185105</v>
      </c>
      <c r="B370" s="23" t="s">
        <v>2033</v>
      </c>
      <c r="C370" s="24">
        <v>5</v>
      </c>
    </row>
    <row r="371" spans="1:3" x14ac:dyDescent="0.3">
      <c r="A371" s="23">
        <v>5185106</v>
      </c>
      <c r="B371" s="23" t="s">
        <v>2216</v>
      </c>
      <c r="C371" s="24">
        <v>19</v>
      </c>
    </row>
    <row r="372" spans="1:3" x14ac:dyDescent="0.3">
      <c r="A372" s="23">
        <v>5185108</v>
      </c>
      <c r="B372" s="23" t="s">
        <v>2000</v>
      </c>
      <c r="C372" s="24">
        <v>11</v>
      </c>
    </row>
    <row r="373" spans="1:3" x14ac:dyDescent="0.3">
      <c r="A373" s="23">
        <v>5185109</v>
      </c>
      <c r="B373" s="23" t="s">
        <v>2217</v>
      </c>
      <c r="C373" s="24">
        <v>55</v>
      </c>
    </row>
    <row r="374" spans="1:3" x14ac:dyDescent="0.3">
      <c r="A374" s="23">
        <v>5185110</v>
      </c>
      <c r="B374" s="23" t="s">
        <v>2218</v>
      </c>
      <c r="C374" s="24">
        <v>130</v>
      </c>
    </row>
    <row r="375" spans="1:3" x14ac:dyDescent="0.3">
      <c r="A375" s="23">
        <v>5185111</v>
      </c>
      <c r="B375" s="23" t="s">
        <v>2219</v>
      </c>
      <c r="C375" s="24">
        <v>157</v>
      </c>
    </row>
    <row r="376" spans="1:3" x14ac:dyDescent="0.3">
      <c r="A376" s="23">
        <v>5185112</v>
      </c>
      <c r="B376" s="23" t="s">
        <v>2220</v>
      </c>
      <c r="C376" s="24">
        <v>33</v>
      </c>
    </row>
    <row r="377" spans="1:3" x14ac:dyDescent="0.3">
      <c r="A377" s="23">
        <v>5185113</v>
      </c>
      <c r="B377" s="23" t="s">
        <v>2221</v>
      </c>
      <c r="C377" s="24">
        <v>46</v>
      </c>
    </row>
    <row r="378" spans="1:3" x14ac:dyDescent="0.3">
      <c r="A378" s="23">
        <v>5185114</v>
      </c>
      <c r="B378" s="23" t="s">
        <v>2222</v>
      </c>
      <c r="C378" s="24">
        <v>120</v>
      </c>
    </row>
    <row r="379" spans="1:3" x14ac:dyDescent="0.3">
      <c r="A379" s="23">
        <v>5185115</v>
      </c>
      <c r="B379" s="23" t="s">
        <v>2223</v>
      </c>
      <c r="C379" s="24">
        <v>28</v>
      </c>
    </row>
    <row r="380" spans="1:3" x14ac:dyDescent="0.3">
      <c r="A380" s="23">
        <v>5185116</v>
      </c>
      <c r="B380" s="23" t="s">
        <v>2224</v>
      </c>
      <c r="C380" s="24">
        <v>32</v>
      </c>
    </row>
    <row r="381" spans="1:3" x14ac:dyDescent="0.3">
      <c r="A381" s="23">
        <v>5185117</v>
      </c>
      <c r="B381" s="23" t="s">
        <v>2225</v>
      </c>
      <c r="C381" s="24">
        <v>94</v>
      </c>
    </row>
    <row r="382" spans="1:3" x14ac:dyDescent="0.3">
      <c r="A382" s="23">
        <v>5185120</v>
      </c>
      <c r="B382" s="23" t="s">
        <v>2016</v>
      </c>
      <c r="C382" s="24">
        <v>14</v>
      </c>
    </row>
    <row r="383" spans="1:3" x14ac:dyDescent="0.3">
      <c r="A383" s="23">
        <v>5185121</v>
      </c>
      <c r="B383" s="23" t="s">
        <v>1980</v>
      </c>
      <c r="C383" s="24">
        <v>50</v>
      </c>
    </row>
    <row r="384" spans="1:3" x14ac:dyDescent="0.3">
      <c r="A384" s="23">
        <v>5185122</v>
      </c>
      <c r="B384" s="23" t="s">
        <v>2226</v>
      </c>
      <c r="C384" s="24">
        <v>461</v>
      </c>
    </row>
    <row r="385" spans="1:3" x14ac:dyDescent="0.3">
      <c r="A385" s="23">
        <v>5185123</v>
      </c>
      <c r="B385" s="23" t="s">
        <v>2043</v>
      </c>
      <c r="C385" s="24">
        <v>3</v>
      </c>
    </row>
    <row r="386" spans="1:3" x14ac:dyDescent="0.3">
      <c r="A386" s="23">
        <v>5185124</v>
      </c>
      <c r="B386" s="23" t="s">
        <v>1987</v>
      </c>
      <c r="C386" s="24">
        <v>14</v>
      </c>
    </row>
    <row r="387" spans="1:3" x14ac:dyDescent="0.3">
      <c r="A387" s="23">
        <v>5185125</v>
      </c>
      <c r="B387" s="23" t="s">
        <v>2227</v>
      </c>
      <c r="C387" s="24">
        <v>116</v>
      </c>
    </row>
    <row r="388" spans="1:3" x14ac:dyDescent="0.3">
      <c r="A388" s="23">
        <v>5185126</v>
      </c>
      <c r="B388" s="23" t="s">
        <v>2228</v>
      </c>
      <c r="C388" s="24">
        <v>17</v>
      </c>
    </row>
    <row r="389" spans="1:3" x14ac:dyDescent="0.3">
      <c r="A389" s="23">
        <v>5185127</v>
      </c>
      <c r="B389" s="23" t="s">
        <v>2229</v>
      </c>
      <c r="C389" s="24">
        <v>48</v>
      </c>
    </row>
    <row r="390" spans="1:3" x14ac:dyDescent="0.3">
      <c r="A390" s="23">
        <v>5185141</v>
      </c>
      <c r="B390" s="23" t="s">
        <v>2230</v>
      </c>
      <c r="C390" s="24">
        <v>7</v>
      </c>
    </row>
    <row r="391" spans="1:3" x14ac:dyDescent="0.3">
      <c r="A391" s="23">
        <v>5185142</v>
      </c>
      <c r="B391" s="23" t="s">
        <v>2231</v>
      </c>
      <c r="C391" s="24">
        <v>14</v>
      </c>
    </row>
    <row r="392" spans="1:3" x14ac:dyDescent="0.3">
      <c r="A392" s="23">
        <v>5185151</v>
      </c>
      <c r="B392" s="23" t="s">
        <v>2232</v>
      </c>
      <c r="C392" s="24">
        <v>9</v>
      </c>
    </row>
    <row r="393" spans="1:3" x14ac:dyDescent="0.3">
      <c r="A393" s="23">
        <v>5185152</v>
      </c>
      <c r="B393" s="23" t="s">
        <v>2233</v>
      </c>
      <c r="C393" s="24">
        <v>33</v>
      </c>
    </row>
    <row r="394" spans="1:3" x14ac:dyDescent="0.3">
      <c r="A394" s="23">
        <v>5185153</v>
      </c>
      <c r="B394" s="23" t="s">
        <v>2234</v>
      </c>
      <c r="C394" s="24">
        <v>51</v>
      </c>
    </row>
    <row r="395" spans="1:3" x14ac:dyDescent="0.3">
      <c r="A395" s="23">
        <v>5185154</v>
      </c>
      <c r="B395" s="23" t="s">
        <v>2235</v>
      </c>
      <c r="C395" s="24">
        <v>2</v>
      </c>
    </row>
    <row r="396" spans="1:3" x14ac:dyDescent="0.3">
      <c r="A396" s="23">
        <v>5185155</v>
      </c>
      <c r="B396" s="23" t="s">
        <v>2236</v>
      </c>
      <c r="C396" s="24">
        <v>27</v>
      </c>
    </row>
    <row r="397" spans="1:3" x14ac:dyDescent="0.3">
      <c r="A397" s="23">
        <v>5185156</v>
      </c>
      <c r="B397" s="23" t="s">
        <v>2237</v>
      </c>
      <c r="C397" s="24">
        <v>71</v>
      </c>
    </row>
    <row r="398" spans="1:3" x14ac:dyDescent="0.3">
      <c r="A398" s="23">
        <v>5185157</v>
      </c>
      <c r="B398" s="23" t="s">
        <v>2238</v>
      </c>
      <c r="C398" s="24">
        <v>2</v>
      </c>
    </row>
    <row r="399" spans="1:3" x14ac:dyDescent="0.3">
      <c r="A399" s="23">
        <v>5185159</v>
      </c>
      <c r="B399" s="23" t="s">
        <v>2239</v>
      </c>
      <c r="C399" s="24">
        <v>7</v>
      </c>
    </row>
    <row r="400" spans="1:3" x14ac:dyDescent="0.3">
      <c r="A400" s="23">
        <v>5185160</v>
      </c>
      <c r="B400" s="23" t="s">
        <v>2240</v>
      </c>
      <c r="C400" s="24">
        <v>23</v>
      </c>
    </row>
    <row r="401" spans="1:3" x14ac:dyDescent="0.3">
      <c r="A401" s="23">
        <v>5185163</v>
      </c>
      <c r="B401" s="23" t="s">
        <v>2241</v>
      </c>
      <c r="C401" s="24">
        <v>13</v>
      </c>
    </row>
    <row r="402" spans="1:3" x14ac:dyDescent="0.3">
      <c r="A402" s="23">
        <v>5185164</v>
      </c>
      <c r="B402" s="23" t="s">
        <v>1977</v>
      </c>
      <c r="C402" s="24">
        <v>62</v>
      </c>
    </row>
    <row r="403" spans="1:3" x14ac:dyDescent="0.3">
      <c r="A403" s="23">
        <v>5185167</v>
      </c>
      <c r="B403" s="23" t="s">
        <v>2242</v>
      </c>
      <c r="C403" s="24">
        <v>1146</v>
      </c>
    </row>
    <row r="404" spans="1:3" x14ac:dyDescent="0.3">
      <c r="A404" s="23">
        <v>5185170</v>
      </c>
      <c r="B404" s="23" t="s">
        <v>2243</v>
      </c>
      <c r="C404" s="24">
        <v>3</v>
      </c>
    </row>
    <row r="405" spans="1:3" x14ac:dyDescent="0.3">
      <c r="A405" s="23">
        <v>5185171</v>
      </c>
      <c r="B405" s="23" t="s">
        <v>2003</v>
      </c>
      <c r="C405" s="24">
        <v>24</v>
      </c>
    </row>
    <row r="406" spans="1:3" x14ac:dyDescent="0.3">
      <c r="A406" s="23">
        <v>5185172</v>
      </c>
      <c r="B406" s="23" t="s">
        <v>2244</v>
      </c>
      <c r="C406" s="24">
        <v>119</v>
      </c>
    </row>
    <row r="407" spans="1:3" x14ac:dyDescent="0.3">
      <c r="A407" s="23">
        <v>5185173</v>
      </c>
      <c r="B407" s="23" t="s">
        <v>1991</v>
      </c>
      <c r="C407" s="24">
        <v>14</v>
      </c>
    </row>
    <row r="408" spans="1:3" x14ac:dyDescent="0.3">
      <c r="A408" s="23">
        <v>5185174</v>
      </c>
      <c r="B408" s="23" t="s">
        <v>1968</v>
      </c>
      <c r="C408" s="24">
        <v>53</v>
      </c>
    </row>
    <row r="409" spans="1:3" x14ac:dyDescent="0.3">
      <c r="A409" s="23">
        <v>5185175</v>
      </c>
      <c r="B409" s="23" t="s">
        <v>2047</v>
      </c>
      <c r="C409" s="24">
        <v>5</v>
      </c>
    </row>
    <row r="410" spans="1:3" x14ac:dyDescent="0.3">
      <c r="A410" s="23">
        <v>5185176</v>
      </c>
      <c r="B410" s="23" t="s">
        <v>2040</v>
      </c>
      <c r="C410" s="24">
        <v>4</v>
      </c>
    </row>
    <row r="411" spans="1:3" x14ac:dyDescent="0.3">
      <c r="A411" s="23">
        <v>5185177</v>
      </c>
      <c r="B411" s="23" t="s">
        <v>1998</v>
      </c>
      <c r="C411" s="24">
        <v>49</v>
      </c>
    </row>
    <row r="412" spans="1:3" x14ac:dyDescent="0.3">
      <c r="A412" s="23">
        <v>5185178</v>
      </c>
      <c r="B412" s="23" t="s">
        <v>1971</v>
      </c>
      <c r="C412" s="24">
        <v>84</v>
      </c>
    </row>
    <row r="413" spans="1:3" x14ac:dyDescent="0.3">
      <c r="A413" s="23">
        <v>5185186</v>
      </c>
      <c r="B413" s="23" t="s">
        <v>2245</v>
      </c>
      <c r="C413" s="24">
        <v>6</v>
      </c>
    </row>
    <row r="414" spans="1:3" x14ac:dyDescent="0.3">
      <c r="A414" s="23">
        <v>5185187</v>
      </c>
      <c r="B414" s="23" t="s">
        <v>2246</v>
      </c>
      <c r="C414" s="24">
        <v>25</v>
      </c>
    </row>
    <row r="415" spans="1:3" x14ac:dyDescent="0.3">
      <c r="A415" s="23">
        <v>5185188</v>
      </c>
      <c r="B415" s="23" t="s">
        <v>2247</v>
      </c>
      <c r="C415" s="24">
        <v>42</v>
      </c>
    </row>
    <row r="416" spans="1:3" x14ac:dyDescent="0.3">
      <c r="A416" s="23">
        <v>5185189</v>
      </c>
      <c r="B416" s="23" t="s">
        <v>2248</v>
      </c>
      <c r="C416" s="24">
        <v>7</v>
      </c>
    </row>
    <row r="417" spans="1:3" x14ac:dyDescent="0.3">
      <c r="A417" s="23">
        <v>5185220</v>
      </c>
      <c r="B417" s="23" t="s">
        <v>2249</v>
      </c>
      <c r="C417" s="24">
        <v>29</v>
      </c>
    </row>
    <row r="418" spans="1:3" x14ac:dyDescent="0.3">
      <c r="A418" s="23">
        <v>5185221</v>
      </c>
      <c r="B418" s="23" t="s">
        <v>2250</v>
      </c>
      <c r="C418" s="24">
        <v>115</v>
      </c>
    </row>
    <row r="419" spans="1:3" x14ac:dyDescent="0.3">
      <c r="A419" s="23">
        <v>5185223</v>
      </c>
      <c r="B419" s="23" t="s">
        <v>2251</v>
      </c>
      <c r="C419" s="24">
        <v>26</v>
      </c>
    </row>
    <row r="420" spans="1:3" x14ac:dyDescent="0.3">
      <c r="A420" s="23">
        <v>5185224</v>
      </c>
      <c r="B420" s="23" t="s">
        <v>2252</v>
      </c>
      <c r="C420" s="24">
        <v>401</v>
      </c>
    </row>
    <row r="421" spans="1:3" x14ac:dyDescent="0.3">
      <c r="A421" s="23">
        <v>5185225</v>
      </c>
      <c r="B421" s="23" t="s">
        <v>2253</v>
      </c>
      <c r="C421" s="24">
        <v>250</v>
      </c>
    </row>
    <row r="422" spans="1:3" x14ac:dyDescent="0.3">
      <c r="A422" s="23">
        <v>5185226</v>
      </c>
      <c r="B422" s="23" t="s">
        <v>2254</v>
      </c>
      <c r="C422" s="24">
        <v>7</v>
      </c>
    </row>
    <row r="423" spans="1:3" x14ac:dyDescent="0.3">
      <c r="A423" s="23">
        <v>5185227</v>
      </c>
      <c r="B423" s="23" t="s">
        <v>2255</v>
      </c>
      <c r="C423" s="24">
        <v>95</v>
      </c>
    </row>
    <row r="424" spans="1:3" x14ac:dyDescent="0.3">
      <c r="A424" s="23">
        <v>5185228</v>
      </c>
      <c r="B424" s="23" t="s">
        <v>2256</v>
      </c>
      <c r="C424" s="24">
        <v>91</v>
      </c>
    </row>
    <row r="425" spans="1:3" x14ac:dyDescent="0.3">
      <c r="A425" s="23">
        <v>5185229</v>
      </c>
      <c r="B425" s="23" t="s">
        <v>2257</v>
      </c>
      <c r="C425" s="24">
        <v>8</v>
      </c>
    </row>
    <row r="426" spans="1:3" x14ac:dyDescent="0.3">
      <c r="A426" s="23">
        <v>5185240</v>
      </c>
      <c r="B426" s="23" t="s">
        <v>2258</v>
      </c>
      <c r="C426" s="24">
        <v>16</v>
      </c>
    </row>
    <row r="427" spans="1:3" x14ac:dyDescent="0.3">
      <c r="A427" s="23">
        <v>5185241</v>
      </c>
      <c r="B427" s="23" t="s">
        <v>2259</v>
      </c>
      <c r="C427" s="24">
        <v>22</v>
      </c>
    </row>
    <row r="428" spans="1:3" x14ac:dyDescent="0.3">
      <c r="A428" s="23">
        <v>5185242</v>
      </c>
      <c r="B428" s="23" t="s">
        <v>2260</v>
      </c>
      <c r="C428" s="24">
        <v>8</v>
      </c>
    </row>
    <row r="429" spans="1:3" x14ac:dyDescent="0.3">
      <c r="A429" s="23">
        <v>5185243</v>
      </c>
      <c r="B429" s="23" t="s">
        <v>2261</v>
      </c>
      <c r="C429" s="24">
        <v>31</v>
      </c>
    </row>
    <row r="430" spans="1:3" x14ac:dyDescent="0.3">
      <c r="A430" s="23">
        <v>5185244</v>
      </c>
      <c r="B430" s="23" t="s">
        <v>2262</v>
      </c>
      <c r="C430" s="24">
        <v>78</v>
      </c>
    </row>
    <row r="431" spans="1:3" x14ac:dyDescent="0.3">
      <c r="A431" s="23">
        <v>5185245</v>
      </c>
      <c r="B431" s="23" t="s">
        <v>2263</v>
      </c>
      <c r="C431" s="24">
        <v>4</v>
      </c>
    </row>
    <row r="432" spans="1:3" x14ac:dyDescent="0.3">
      <c r="A432" s="23">
        <v>5185246</v>
      </c>
      <c r="B432" s="23" t="s">
        <v>2264</v>
      </c>
      <c r="C432" s="24">
        <v>19</v>
      </c>
    </row>
    <row r="433" spans="1:3" x14ac:dyDescent="0.3">
      <c r="A433" s="23">
        <v>5185247</v>
      </c>
      <c r="B433" s="23" t="s">
        <v>2265</v>
      </c>
      <c r="C433" s="24">
        <v>64</v>
      </c>
    </row>
    <row r="434" spans="1:3" x14ac:dyDescent="0.3">
      <c r="A434" s="23">
        <v>5186591</v>
      </c>
      <c r="B434" s="23" t="s">
        <v>2052</v>
      </c>
      <c r="C434" s="24">
        <v>4</v>
      </c>
    </row>
    <row r="435" spans="1:3" x14ac:dyDescent="0.3">
      <c r="A435" s="23">
        <v>5191567</v>
      </c>
      <c r="B435" s="23" t="s">
        <v>2624</v>
      </c>
      <c r="C435" s="24">
        <v>3</v>
      </c>
    </row>
    <row r="436" spans="1:3" x14ac:dyDescent="0.3">
      <c r="A436" s="23">
        <v>5191767</v>
      </c>
      <c r="B436" s="23" t="s">
        <v>2266</v>
      </c>
      <c r="C436" s="24">
        <v>4</v>
      </c>
    </row>
    <row r="437" spans="1:3" x14ac:dyDescent="0.3">
      <c r="A437" s="23">
        <v>5191768</v>
      </c>
      <c r="B437" s="23" t="s">
        <v>2267</v>
      </c>
      <c r="C437" s="24">
        <v>190</v>
      </c>
    </row>
    <row r="438" spans="1:3" x14ac:dyDescent="0.3">
      <c r="A438" s="23">
        <v>5193078</v>
      </c>
      <c r="B438" s="23" t="s">
        <v>1607</v>
      </c>
      <c r="C438" s="24">
        <v>25</v>
      </c>
    </row>
    <row r="439" spans="1:3" x14ac:dyDescent="0.3">
      <c r="A439" s="23">
        <v>5196657</v>
      </c>
      <c r="B439" s="23" t="s">
        <v>2268</v>
      </c>
      <c r="C439" s="24">
        <v>26</v>
      </c>
    </row>
    <row r="440" spans="1:3" x14ac:dyDescent="0.3">
      <c r="A440" s="23">
        <v>5206086</v>
      </c>
      <c r="B440" s="23" t="s">
        <v>2625</v>
      </c>
      <c r="C440" s="24">
        <v>12</v>
      </c>
    </row>
    <row r="441" spans="1:3" x14ac:dyDescent="0.3">
      <c r="A441" s="23">
        <v>5206089</v>
      </c>
      <c r="B441" s="23" t="s">
        <v>2626</v>
      </c>
      <c r="C441" s="24">
        <v>1</v>
      </c>
    </row>
    <row r="442" spans="1:3" x14ac:dyDescent="0.3">
      <c r="A442" s="23">
        <v>5207933</v>
      </c>
      <c r="B442" s="23" t="s">
        <v>2269</v>
      </c>
      <c r="C442" s="24">
        <v>49</v>
      </c>
    </row>
    <row r="443" spans="1:3" x14ac:dyDescent="0.3">
      <c r="A443" s="23">
        <v>5207934</v>
      </c>
      <c r="B443" s="23" t="s">
        <v>1955</v>
      </c>
      <c r="C443" s="24">
        <v>2497</v>
      </c>
    </row>
    <row r="444" spans="1:3" x14ac:dyDescent="0.3">
      <c r="A444" s="23">
        <v>5207936</v>
      </c>
      <c r="B444" s="23" t="s">
        <v>2270</v>
      </c>
      <c r="C444" s="24">
        <v>33</v>
      </c>
    </row>
    <row r="445" spans="1:3" x14ac:dyDescent="0.3">
      <c r="A445" s="23">
        <v>5207937</v>
      </c>
      <c r="B445" s="23" t="s">
        <v>2271</v>
      </c>
      <c r="C445" s="24">
        <v>483</v>
      </c>
    </row>
    <row r="446" spans="1:3" x14ac:dyDescent="0.3">
      <c r="A446" s="23">
        <v>5213422</v>
      </c>
      <c r="B446" s="23" t="s">
        <v>2272</v>
      </c>
      <c r="C446" s="24">
        <v>10</v>
      </c>
    </row>
    <row r="447" spans="1:3" x14ac:dyDescent="0.3">
      <c r="A447" s="23">
        <v>5218561</v>
      </c>
      <c r="B447" s="23" t="s">
        <v>2273</v>
      </c>
      <c r="C447" s="24">
        <v>3</v>
      </c>
    </row>
    <row r="448" spans="1:3" x14ac:dyDescent="0.3">
      <c r="A448" s="23">
        <v>5218562</v>
      </c>
      <c r="B448" s="23" t="s">
        <v>2274</v>
      </c>
      <c r="C448" s="24">
        <v>34</v>
      </c>
    </row>
    <row r="449" spans="1:3" x14ac:dyDescent="0.3">
      <c r="A449" s="23">
        <v>5218563</v>
      </c>
      <c r="B449" s="23" t="s">
        <v>1364</v>
      </c>
      <c r="C449" s="24">
        <v>197</v>
      </c>
    </row>
    <row r="450" spans="1:3" x14ac:dyDescent="0.3">
      <c r="A450" s="23">
        <v>5218565</v>
      </c>
      <c r="B450" s="23" t="s">
        <v>1348</v>
      </c>
      <c r="C450" s="24">
        <v>89</v>
      </c>
    </row>
    <row r="451" spans="1:3" x14ac:dyDescent="0.3">
      <c r="A451" s="23">
        <v>5218567</v>
      </c>
      <c r="B451" s="23" t="s">
        <v>1349</v>
      </c>
      <c r="C451" s="24">
        <v>115</v>
      </c>
    </row>
    <row r="452" spans="1:3" x14ac:dyDescent="0.3">
      <c r="A452" s="23">
        <v>5218568</v>
      </c>
      <c r="B452" s="23" t="s">
        <v>1350</v>
      </c>
      <c r="C452" s="24">
        <v>51</v>
      </c>
    </row>
    <row r="453" spans="1:3" x14ac:dyDescent="0.3">
      <c r="A453" s="23">
        <v>5218569</v>
      </c>
      <c r="B453" s="23" t="s">
        <v>1351</v>
      </c>
      <c r="C453" s="24">
        <v>1</v>
      </c>
    </row>
    <row r="454" spans="1:3" x14ac:dyDescent="0.3">
      <c r="A454" s="23">
        <v>5218581</v>
      </c>
      <c r="B454" s="23" t="s">
        <v>2275</v>
      </c>
      <c r="C454" s="24">
        <v>268</v>
      </c>
    </row>
    <row r="455" spans="1:3" x14ac:dyDescent="0.3">
      <c r="A455" s="23">
        <v>5218583</v>
      </c>
      <c r="B455" s="23" t="s">
        <v>1352</v>
      </c>
      <c r="C455" s="24">
        <v>10</v>
      </c>
    </row>
    <row r="456" spans="1:3" x14ac:dyDescent="0.3">
      <c r="A456" s="23">
        <v>5218584</v>
      </c>
      <c r="B456" s="23" t="s">
        <v>1353</v>
      </c>
      <c r="C456" s="24">
        <v>281</v>
      </c>
    </row>
    <row r="457" spans="1:3" x14ac:dyDescent="0.3">
      <c r="A457" s="23">
        <v>5218587</v>
      </c>
      <c r="B457" s="23" t="s">
        <v>1354</v>
      </c>
      <c r="C457" s="24">
        <v>1047</v>
      </c>
    </row>
    <row r="458" spans="1:3" x14ac:dyDescent="0.3">
      <c r="A458" s="23">
        <v>5218588</v>
      </c>
      <c r="B458" s="23" t="s">
        <v>1355</v>
      </c>
      <c r="C458" s="24">
        <v>5</v>
      </c>
    </row>
    <row r="459" spans="1:3" x14ac:dyDescent="0.3">
      <c r="A459" s="23">
        <v>5218591</v>
      </c>
      <c r="B459" s="23" t="s">
        <v>1356</v>
      </c>
      <c r="C459" s="24">
        <v>104</v>
      </c>
    </row>
    <row r="460" spans="1:3" x14ac:dyDescent="0.3">
      <c r="A460" s="23">
        <v>5218595</v>
      </c>
      <c r="B460" s="23" t="s">
        <v>1357</v>
      </c>
      <c r="C460" s="24">
        <v>316</v>
      </c>
    </row>
    <row r="461" spans="1:3" x14ac:dyDescent="0.3">
      <c r="A461" s="23">
        <v>5218596</v>
      </c>
      <c r="B461" s="23" t="s">
        <v>2276</v>
      </c>
      <c r="C461" s="24">
        <v>48</v>
      </c>
    </row>
    <row r="462" spans="1:3" x14ac:dyDescent="0.3">
      <c r="A462" s="23">
        <v>5218601</v>
      </c>
      <c r="B462" s="23" t="s">
        <v>2277</v>
      </c>
      <c r="C462" s="24">
        <v>12</v>
      </c>
    </row>
    <row r="463" spans="1:3" x14ac:dyDescent="0.3">
      <c r="A463" s="23">
        <v>5218602</v>
      </c>
      <c r="B463" s="23" t="s">
        <v>1365</v>
      </c>
      <c r="C463" s="24">
        <v>3</v>
      </c>
    </row>
    <row r="464" spans="1:3" x14ac:dyDescent="0.3">
      <c r="A464" s="23">
        <v>5218603</v>
      </c>
      <c r="B464" s="23" t="s">
        <v>1366</v>
      </c>
      <c r="C464" s="24">
        <v>91</v>
      </c>
    </row>
    <row r="465" spans="1:3" x14ac:dyDescent="0.3">
      <c r="A465" s="23">
        <v>5218604</v>
      </c>
      <c r="B465" s="23" t="s">
        <v>1367</v>
      </c>
      <c r="C465" s="24">
        <v>119</v>
      </c>
    </row>
    <row r="466" spans="1:3" x14ac:dyDescent="0.3">
      <c r="A466" s="23">
        <v>5218610</v>
      </c>
      <c r="B466" s="23" t="s">
        <v>1358</v>
      </c>
      <c r="C466" s="24">
        <v>45</v>
      </c>
    </row>
    <row r="467" spans="1:3" x14ac:dyDescent="0.3">
      <c r="A467" s="23">
        <v>5218612</v>
      </c>
      <c r="B467" s="23" t="s">
        <v>2278</v>
      </c>
      <c r="C467" s="24">
        <v>19</v>
      </c>
    </row>
    <row r="468" spans="1:3" x14ac:dyDescent="0.3">
      <c r="A468" s="23">
        <v>5218614</v>
      </c>
      <c r="B468" s="23" t="s">
        <v>2279</v>
      </c>
      <c r="C468" s="24">
        <v>1</v>
      </c>
    </row>
    <row r="469" spans="1:3" x14ac:dyDescent="0.3">
      <c r="A469" s="23">
        <v>5218615</v>
      </c>
      <c r="B469" s="23" t="s">
        <v>2280</v>
      </c>
      <c r="C469" s="24">
        <v>13</v>
      </c>
    </row>
    <row r="470" spans="1:3" x14ac:dyDescent="0.3">
      <c r="A470" s="23">
        <v>5218616</v>
      </c>
      <c r="B470" s="23" t="s">
        <v>2281</v>
      </c>
      <c r="C470" s="24">
        <v>68</v>
      </c>
    </row>
    <row r="471" spans="1:3" x14ac:dyDescent="0.3">
      <c r="A471" s="23">
        <v>5218617</v>
      </c>
      <c r="B471" s="23" t="s">
        <v>2282</v>
      </c>
      <c r="C471" s="24">
        <v>17</v>
      </c>
    </row>
    <row r="472" spans="1:3" x14ac:dyDescent="0.3">
      <c r="A472" s="23">
        <v>5218618</v>
      </c>
      <c r="B472" s="23" t="s">
        <v>2283</v>
      </c>
      <c r="C472" s="24">
        <v>50</v>
      </c>
    </row>
    <row r="473" spans="1:3" x14ac:dyDescent="0.3">
      <c r="A473" s="23">
        <v>5218619</v>
      </c>
      <c r="B473" s="23" t="s">
        <v>2284</v>
      </c>
      <c r="C473" s="24">
        <v>51</v>
      </c>
    </row>
    <row r="474" spans="1:3" x14ac:dyDescent="0.3">
      <c r="A474" s="23">
        <v>5218640</v>
      </c>
      <c r="B474" s="23" t="s">
        <v>2285</v>
      </c>
      <c r="C474" s="24">
        <v>15</v>
      </c>
    </row>
    <row r="475" spans="1:3" x14ac:dyDescent="0.3">
      <c r="A475" s="23">
        <v>5218641</v>
      </c>
      <c r="B475" s="23" t="s">
        <v>2286</v>
      </c>
      <c r="C475" s="24">
        <v>142</v>
      </c>
    </row>
    <row r="476" spans="1:3" x14ac:dyDescent="0.3">
      <c r="A476" s="23">
        <v>5218646</v>
      </c>
      <c r="B476" s="23" t="s">
        <v>1361</v>
      </c>
      <c r="C476" s="24">
        <v>41</v>
      </c>
    </row>
    <row r="477" spans="1:3" x14ac:dyDescent="0.3">
      <c r="A477" s="23">
        <v>5218650</v>
      </c>
      <c r="B477" s="23" t="s">
        <v>2287</v>
      </c>
      <c r="C477" s="24">
        <v>14</v>
      </c>
    </row>
    <row r="478" spans="1:3" x14ac:dyDescent="0.3">
      <c r="A478" s="23">
        <v>5218651</v>
      </c>
      <c r="B478" s="23" t="s">
        <v>2288</v>
      </c>
      <c r="C478" s="24">
        <v>109</v>
      </c>
    </row>
    <row r="479" spans="1:3" x14ac:dyDescent="0.3">
      <c r="A479" s="23">
        <v>5218657</v>
      </c>
      <c r="B479" s="23" t="s">
        <v>2289</v>
      </c>
      <c r="C479" s="24">
        <v>3</v>
      </c>
    </row>
    <row r="480" spans="1:3" x14ac:dyDescent="0.3">
      <c r="A480" s="23">
        <v>5218658</v>
      </c>
      <c r="B480" s="23" t="s">
        <v>2290</v>
      </c>
      <c r="C480" s="24">
        <v>8</v>
      </c>
    </row>
    <row r="481" spans="1:3" x14ac:dyDescent="0.3">
      <c r="A481" s="23">
        <v>5218660</v>
      </c>
      <c r="B481" s="23" t="s">
        <v>1368</v>
      </c>
      <c r="C481" s="24">
        <v>28</v>
      </c>
    </row>
    <row r="482" spans="1:3" x14ac:dyDescent="0.3">
      <c r="A482" s="23">
        <v>5218665</v>
      </c>
      <c r="B482" s="23" t="s">
        <v>2291</v>
      </c>
      <c r="C482" s="24">
        <v>23</v>
      </c>
    </row>
    <row r="483" spans="1:3" x14ac:dyDescent="0.3">
      <c r="A483" s="23">
        <v>5218666</v>
      </c>
      <c r="B483" s="23" t="s">
        <v>1369</v>
      </c>
      <c r="C483" s="24">
        <v>149</v>
      </c>
    </row>
    <row r="484" spans="1:3" x14ac:dyDescent="0.3">
      <c r="A484" s="23">
        <v>5218668</v>
      </c>
      <c r="B484" s="23" t="s">
        <v>2292</v>
      </c>
      <c r="C484" s="24">
        <v>194</v>
      </c>
    </row>
    <row r="485" spans="1:3" x14ac:dyDescent="0.3">
      <c r="A485" s="23">
        <v>5218670</v>
      </c>
      <c r="B485" s="23" t="s">
        <v>2293</v>
      </c>
      <c r="C485" s="24">
        <v>28</v>
      </c>
    </row>
    <row r="486" spans="1:3" x14ac:dyDescent="0.3">
      <c r="A486" s="23">
        <v>5218671</v>
      </c>
      <c r="B486" s="23" t="s">
        <v>2294</v>
      </c>
      <c r="C486" s="24">
        <v>46</v>
      </c>
    </row>
    <row r="487" spans="1:3" x14ac:dyDescent="0.3">
      <c r="A487" s="23">
        <v>5218672</v>
      </c>
      <c r="B487" s="23" t="s">
        <v>2295</v>
      </c>
      <c r="C487" s="24">
        <v>10</v>
      </c>
    </row>
    <row r="488" spans="1:3" x14ac:dyDescent="0.3">
      <c r="A488" s="23">
        <v>5218674</v>
      </c>
      <c r="B488" s="23" t="s">
        <v>2296</v>
      </c>
      <c r="C488" s="24">
        <v>592</v>
      </c>
    </row>
    <row r="489" spans="1:3" x14ac:dyDescent="0.3">
      <c r="A489" s="23">
        <v>5218675</v>
      </c>
      <c r="B489" s="23" t="s">
        <v>2297</v>
      </c>
      <c r="C489" s="24">
        <v>39</v>
      </c>
    </row>
    <row r="490" spans="1:3" x14ac:dyDescent="0.3">
      <c r="A490" s="23">
        <v>5218683</v>
      </c>
      <c r="B490" s="23" t="s">
        <v>2298</v>
      </c>
      <c r="C490" s="24">
        <v>717</v>
      </c>
    </row>
    <row r="491" spans="1:3" x14ac:dyDescent="0.3">
      <c r="A491" s="23">
        <v>5218684</v>
      </c>
      <c r="B491" s="23" t="s">
        <v>2299</v>
      </c>
      <c r="C491" s="24">
        <v>55</v>
      </c>
    </row>
    <row r="492" spans="1:3" x14ac:dyDescent="0.3">
      <c r="A492" s="23">
        <v>5218685</v>
      </c>
      <c r="B492" s="23" t="s">
        <v>2300</v>
      </c>
      <c r="C492" s="24">
        <v>5</v>
      </c>
    </row>
    <row r="493" spans="1:3" x14ac:dyDescent="0.3">
      <c r="A493" s="23">
        <v>5218686</v>
      </c>
      <c r="B493" s="23" t="s">
        <v>2301</v>
      </c>
      <c r="C493" s="24">
        <v>4</v>
      </c>
    </row>
    <row r="494" spans="1:3" x14ac:dyDescent="0.3">
      <c r="A494" s="23">
        <v>5218691</v>
      </c>
      <c r="B494" s="23" t="s">
        <v>2302</v>
      </c>
      <c r="C494" s="24">
        <v>17</v>
      </c>
    </row>
    <row r="495" spans="1:3" x14ac:dyDescent="0.3">
      <c r="A495" s="23">
        <v>5218692</v>
      </c>
      <c r="B495" s="23" t="s">
        <v>2303</v>
      </c>
      <c r="C495" s="24">
        <v>44</v>
      </c>
    </row>
    <row r="496" spans="1:3" x14ac:dyDescent="0.3">
      <c r="A496" s="23">
        <v>5218693</v>
      </c>
      <c r="B496" s="23" t="s">
        <v>2304</v>
      </c>
      <c r="C496" s="24">
        <v>6</v>
      </c>
    </row>
    <row r="497" spans="1:3" x14ac:dyDescent="0.3">
      <c r="A497" s="23">
        <v>5218694</v>
      </c>
      <c r="B497" s="23" t="s">
        <v>2305</v>
      </c>
      <c r="C497" s="24">
        <v>6</v>
      </c>
    </row>
    <row r="498" spans="1:3" x14ac:dyDescent="0.3">
      <c r="A498" s="23">
        <v>5218709</v>
      </c>
      <c r="B498" s="23" t="s">
        <v>2306</v>
      </c>
      <c r="C498" s="24">
        <v>620</v>
      </c>
    </row>
    <row r="499" spans="1:3" x14ac:dyDescent="0.3">
      <c r="A499" s="23">
        <v>5218723</v>
      </c>
      <c r="B499" s="23" t="s">
        <v>2307</v>
      </c>
      <c r="C499" s="24">
        <v>40</v>
      </c>
    </row>
    <row r="500" spans="1:3" x14ac:dyDescent="0.3">
      <c r="A500" s="23">
        <v>5218726</v>
      </c>
      <c r="B500" s="23" t="s">
        <v>2308</v>
      </c>
      <c r="C500" s="24">
        <v>255</v>
      </c>
    </row>
    <row r="501" spans="1:3" x14ac:dyDescent="0.3">
      <c r="A501" s="23">
        <v>5218752</v>
      </c>
      <c r="B501" s="23" t="s">
        <v>2309</v>
      </c>
      <c r="C501" s="24">
        <v>10</v>
      </c>
    </row>
    <row r="502" spans="1:3" x14ac:dyDescent="0.3">
      <c r="A502" s="23">
        <v>5218753</v>
      </c>
      <c r="B502" s="23" t="s">
        <v>2310</v>
      </c>
      <c r="C502" s="24">
        <v>48</v>
      </c>
    </row>
    <row r="503" spans="1:3" x14ac:dyDescent="0.3">
      <c r="A503" s="23">
        <v>5218760</v>
      </c>
      <c r="B503" s="23" t="s">
        <v>2311</v>
      </c>
      <c r="C503" s="24">
        <v>151</v>
      </c>
    </row>
    <row r="504" spans="1:3" x14ac:dyDescent="0.3">
      <c r="A504" s="23">
        <v>5218761</v>
      </c>
      <c r="B504" s="23" t="s">
        <v>2312</v>
      </c>
      <c r="C504" s="24">
        <v>12</v>
      </c>
    </row>
    <row r="505" spans="1:3" x14ac:dyDescent="0.3">
      <c r="A505" s="23">
        <v>5218763</v>
      </c>
      <c r="B505" s="23" t="s">
        <v>2313</v>
      </c>
      <c r="C505" s="24">
        <v>138</v>
      </c>
    </row>
    <row r="506" spans="1:3" x14ac:dyDescent="0.3">
      <c r="A506" s="23">
        <v>5218770</v>
      </c>
      <c r="B506" s="23" t="s">
        <v>2314</v>
      </c>
      <c r="C506" s="24">
        <v>28</v>
      </c>
    </row>
    <row r="507" spans="1:3" x14ac:dyDescent="0.3">
      <c r="A507" s="23">
        <v>5218771</v>
      </c>
      <c r="B507" s="23" t="s">
        <v>2315</v>
      </c>
      <c r="C507" s="24">
        <v>14</v>
      </c>
    </row>
    <row r="508" spans="1:3" x14ac:dyDescent="0.3">
      <c r="A508" s="23">
        <v>5218772</v>
      </c>
      <c r="B508" s="23" t="s">
        <v>2316</v>
      </c>
      <c r="C508" s="24">
        <v>352</v>
      </c>
    </row>
    <row r="509" spans="1:3" x14ac:dyDescent="0.3">
      <c r="A509" s="23">
        <v>5218773</v>
      </c>
      <c r="B509" s="23" t="s">
        <v>2317</v>
      </c>
      <c r="C509" s="24">
        <v>1</v>
      </c>
    </row>
    <row r="510" spans="1:3" x14ac:dyDescent="0.3">
      <c r="A510" s="23">
        <v>5218774</v>
      </c>
      <c r="B510" s="23" t="s">
        <v>2318</v>
      </c>
      <c r="C510" s="24">
        <v>20</v>
      </c>
    </row>
    <row r="511" spans="1:3" x14ac:dyDescent="0.3">
      <c r="A511" s="23">
        <v>5218775</v>
      </c>
      <c r="B511" s="23" t="s">
        <v>2319</v>
      </c>
      <c r="C511" s="24">
        <v>56</v>
      </c>
    </row>
    <row r="512" spans="1:3" x14ac:dyDescent="0.3">
      <c r="A512" s="23">
        <v>5218776</v>
      </c>
      <c r="B512" s="23" t="s">
        <v>2320</v>
      </c>
      <c r="C512" s="24">
        <v>789</v>
      </c>
    </row>
    <row r="513" spans="1:3" x14ac:dyDescent="0.3">
      <c r="A513" s="23">
        <v>5218777</v>
      </c>
      <c r="B513" s="23" t="s">
        <v>2321</v>
      </c>
      <c r="C513" s="24">
        <v>164</v>
      </c>
    </row>
    <row r="514" spans="1:3" x14ac:dyDescent="0.3">
      <c r="A514" s="23">
        <v>5218778</v>
      </c>
      <c r="B514" s="23" t="s">
        <v>1972</v>
      </c>
      <c r="C514" s="24">
        <v>245</v>
      </c>
    </row>
    <row r="515" spans="1:3" x14ac:dyDescent="0.3">
      <c r="A515" s="23">
        <v>5218779</v>
      </c>
      <c r="B515" s="23" t="s">
        <v>1970</v>
      </c>
      <c r="C515" s="24">
        <v>174</v>
      </c>
    </row>
    <row r="516" spans="1:3" x14ac:dyDescent="0.3">
      <c r="A516" s="23">
        <v>5218780</v>
      </c>
      <c r="B516" s="23" t="s">
        <v>1986</v>
      </c>
      <c r="C516" s="24">
        <v>24</v>
      </c>
    </row>
    <row r="517" spans="1:3" x14ac:dyDescent="0.3">
      <c r="A517" s="23">
        <v>5218781</v>
      </c>
      <c r="B517" s="23" t="s">
        <v>1997</v>
      </c>
      <c r="C517" s="24">
        <v>493</v>
      </c>
    </row>
    <row r="518" spans="1:3" x14ac:dyDescent="0.3">
      <c r="A518" s="23">
        <v>5218782</v>
      </c>
      <c r="B518" s="23" t="s">
        <v>1989</v>
      </c>
      <c r="C518" s="24">
        <v>165</v>
      </c>
    </row>
    <row r="519" spans="1:3" x14ac:dyDescent="0.3">
      <c r="A519" s="23">
        <v>5218783</v>
      </c>
      <c r="B519" s="23" t="s">
        <v>2322</v>
      </c>
      <c r="C519" s="24">
        <v>4</v>
      </c>
    </row>
    <row r="520" spans="1:3" x14ac:dyDescent="0.3">
      <c r="A520" s="23">
        <v>5218784</v>
      </c>
      <c r="B520" s="23" t="s">
        <v>2025</v>
      </c>
      <c r="C520" s="24">
        <v>11</v>
      </c>
    </row>
    <row r="521" spans="1:3" x14ac:dyDescent="0.3">
      <c r="A521" s="23">
        <v>5218785</v>
      </c>
      <c r="B521" s="23" t="s">
        <v>2323</v>
      </c>
      <c r="C521" s="24">
        <v>22</v>
      </c>
    </row>
    <row r="522" spans="1:3" x14ac:dyDescent="0.3">
      <c r="A522" s="23">
        <v>5218786</v>
      </c>
      <c r="B522" s="23" t="s">
        <v>2324</v>
      </c>
      <c r="C522" s="24">
        <v>4</v>
      </c>
    </row>
    <row r="523" spans="1:3" x14ac:dyDescent="0.3">
      <c r="A523" s="23">
        <v>5218787</v>
      </c>
      <c r="B523" s="23" t="s">
        <v>2022</v>
      </c>
      <c r="C523" s="24">
        <v>18</v>
      </c>
    </row>
    <row r="524" spans="1:3" x14ac:dyDescent="0.3">
      <c r="A524" s="23">
        <v>5218788</v>
      </c>
      <c r="B524" s="23" t="s">
        <v>2325</v>
      </c>
      <c r="C524" s="24">
        <v>48</v>
      </c>
    </row>
    <row r="525" spans="1:3" x14ac:dyDescent="0.3">
      <c r="A525" s="23">
        <v>5218789</v>
      </c>
      <c r="B525" s="23" t="s">
        <v>2326</v>
      </c>
      <c r="C525" s="24">
        <v>10</v>
      </c>
    </row>
    <row r="526" spans="1:3" x14ac:dyDescent="0.3">
      <c r="A526" s="23">
        <v>5218790</v>
      </c>
      <c r="B526" s="23" t="s">
        <v>2014</v>
      </c>
      <c r="C526" s="24">
        <v>18</v>
      </c>
    </row>
    <row r="527" spans="1:3" x14ac:dyDescent="0.3">
      <c r="A527" s="23">
        <v>5218880</v>
      </c>
      <c r="B527" s="23" t="s">
        <v>2327</v>
      </c>
      <c r="C527" s="24">
        <v>74</v>
      </c>
    </row>
    <row r="528" spans="1:3" x14ac:dyDescent="0.3">
      <c r="A528" s="23">
        <v>5218882</v>
      </c>
      <c r="B528" s="23" t="s">
        <v>2328</v>
      </c>
      <c r="C528" s="24">
        <v>7</v>
      </c>
    </row>
    <row r="529" spans="1:3" x14ac:dyDescent="0.3">
      <c r="A529" s="23">
        <v>5218988</v>
      </c>
      <c r="B529" s="23" t="s">
        <v>2329</v>
      </c>
      <c r="C529" s="24">
        <v>1</v>
      </c>
    </row>
    <row r="530" spans="1:3" x14ac:dyDescent="0.3">
      <c r="A530" s="23">
        <v>5219149</v>
      </c>
      <c r="B530" s="23" t="s">
        <v>2330</v>
      </c>
      <c r="C530" s="24">
        <v>21</v>
      </c>
    </row>
    <row r="531" spans="1:3" x14ac:dyDescent="0.3">
      <c r="A531" s="23">
        <v>5219167</v>
      </c>
      <c r="B531" s="23" t="s">
        <v>1999</v>
      </c>
      <c r="C531" s="24">
        <v>213</v>
      </c>
    </row>
    <row r="532" spans="1:3" x14ac:dyDescent="0.3">
      <c r="A532" s="23">
        <v>5219168</v>
      </c>
      <c r="B532" s="23" t="s">
        <v>2038</v>
      </c>
      <c r="C532" s="24">
        <v>5</v>
      </c>
    </row>
    <row r="533" spans="1:3" x14ac:dyDescent="0.3">
      <c r="A533" s="23">
        <v>5219169</v>
      </c>
      <c r="B533" s="23" t="s">
        <v>2331</v>
      </c>
      <c r="C533" s="24">
        <v>8</v>
      </c>
    </row>
    <row r="534" spans="1:3" x14ac:dyDescent="0.3">
      <c r="A534" s="23">
        <v>5219177</v>
      </c>
      <c r="B534" s="23" t="s">
        <v>2332</v>
      </c>
      <c r="C534" s="24">
        <v>22</v>
      </c>
    </row>
    <row r="535" spans="1:3" x14ac:dyDescent="0.3">
      <c r="A535" s="23">
        <v>5219181</v>
      </c>
      <c r="B535" s="23" t="s">
        <v>2333</v>
      </c>
      <c r="C535" s="24">
        <v>15</v>
      </c>
    </row>
    <row r="536" spans="1:3" x14ac:dyDescent="0.3">
      <c r="A536" s="23">
        <v>5219183</v>
      </c>
      <c r="B536" s="23" t="s">
        <v>2334</v>
      </c>
      <c r="C536" s="24">
        <v>16</v>
      </c>
    </row>
    <row r="537" spans="1:3" x14ac:dyDescent="0.3">
      <c r="A537" s="23">
        <v>5219186</v>
      </c>
      <c r="B537" s="23" t="s">
        <v>2335</v>
      </c>
      <c r="C537" s="24">
        <v>17</v>
      </c>
    </row>
    <row r="538" spans="1:3" x14ac:dyDescent="0.3">
      <c r="A538" s="23">
        <v>5219188</v>
      </c>
      <c r="B538" s="23" t="s">
        <v>2336</v>
      </c>
      <c r="C538" s="24">
        <v>11</v>
      </c>
    </row>
    <row r="539" spans="1:3" x14ac:dyDescent="0.3">
      <c r="A539" s="23">
        <v>5219191</v>
      </c>
      <c r="B539" s="23" t="s">
        <v>2337</v>
      </c>
      <c r="C539" s="24">
        <v>13</v>
      </c>
    </row>
    <row r="540" spans="1:3" x14ac:dyDescent="0.3">
      <c r="A540" s="23">
        <v>5219193</v>
      </c>
      <c r="B540" s="23" t="s">
        <v>2338</v>
      </c>
      <c r="C540" s="24">
        <v>7</v>
      </c>
    </row>
    <row r="541" spans="1:3" x14ac:dyDescent="0.3">
      <c r="A541" s="23">
        <v>5219194</v>
      </c>
      <c r="B541" s="23" t="s">
        <v>2339</v>
      </c>
      <c r="C541" s="24">
        <v>40</v>
      </c>
    </row>
    <row r="542" spans="1:3" x14ac:dyDescent="0.3">
      <c r="A542" s="23">
        <v>5219196</v>
      </c>
      <c r="B542" s="23" t="s">
        <v>2340</v>
      </c>
      <c r="C542" s="24">
        <v>45</v>
      </c>
    </row>
    <row r="543" spans="1:3" x14ac:dyDescent="0.3">
      <c r="A543" s="23">
        <v>5219199</v>
      </c>
      <c r="B543" s="23" t="s">
        <v>2341</v>
      </c>
      <c r="C543" s="24">
        <v>675</v>
      </c>
    </row>
    <row r="544" spans="1:3" x14ac:dyDescent="0.3">
      <c r="A544" s="23">
        <v>5219209</v>
      </c>
      <c r="B544" s="23" t="s">
        <v>2342</v>
      </c>
      <c r="C544" s="24">
        <v>7</v>
      </c>
    </row>
    <row r="545" spans="1:3" x14ac:dyDescent="0.3">
      <c r="A545" s="23">
        <v>5219210</v>
      </c>
      <c r="B545" s="23" t="s">
        <v>2343</v>
      </c>
      <c r="C545" s="24">
        <v>66</v>
      </c>
    </row>
    <row r="546" spans="1:3" x14ac:dyDescent="0.3">
      <c r="A546" s="23">
        <v>5219301</v>
      </c>
      <c r="B546" s="23" t="s">
        <v>2344</v>
      </c>
      <c r="C546" s="24">
        <v>34</v>
      </c>
    </row>
    <row r="547" spans="1:3" x14ac:dyDescent="0.3">
      <c r="A547" s="23">
        <v>5219302</v>
      </c>
      <c r="B547" s="23" t="s">
        <v>2627</v>
      </c>
      <c r="C547" s="24">
        <v>4</v>
      </c>
    </row>
    <row r="548" spans="1:3" x14ac:dyDescent="0.3">
      <c r="A548" s="23">
        <v>5219303</v>
      </c>
      <c r="B548" s="23" t="s">
        <v>2345</v>
      </c>
      <c r="C548" s="24">
        <v>35</v>
      </c>
    </row>
    <row r="549" spans="1:3" x14ac:dyDescent="0.3">
      <c r="A549" s="23">
        <v>5219304</v>
      </c>
      <c r="B549" s="23" t="s">
        <v>2346</v>
      </c>
      <c r="C549" s="24">
        <v>26</v>
      </c>
    </row>
    <row r="550" spans="1:3" x14ac:dyDescent="0.3">
      <c r="A550" s="23">
        <v>5220069</v>
      </c>
      <c r="B550" s="23" t="s">
        <v>2347</v>
      </c>
      <c r="C550" s="24">
        <v>15</v>
      </c>
    </row>
    <row r="551" spans="1:3" x14ac:dyDescent="0.3">
      <c r="A551" s="23">
        <v>5220092</v>
      </c>
      <c r="B551" s="23" t="s">
        <v>2348</v>
      </c>
      <c r="C551" s="24">
        <v>154</v>
      </c>
    </row>
    <row r="552" spans="1:3" x14ac:dyDescent="0.3">
      <c r="A552" s="23">
        <v>5220126</v>
      </c>
      <c r="B552" s="23" t="s">
        <v>2349</v>
      </c>
      <c r="C552" s="24">
        <v>450</v>
      </c>
    </row>
    <row r="553" spans="1:3" x14ac:dyDescent="0.3">
      <c r="A553" s="23">
        <v>5220147</v>
      </c>
      <c r="B553" s="23" t="s">
        <v>2350</v>
      </c>
      <c r="C553" s="24">
        <v>12</v>
      </c>
    </row>
    <row r="554" spans="1:3" x14ac:dyDescent="0.3">
      <c r="A554" s="23">
        <v>5220148</v>
      </c>
      <c r="B554" s="23" t="s">
        <v>2351</v>
      </c>
      <c r="C554" s="24">
        <v>55</v>
      </c>
    </row>
    <row r="555" spans="1:3" x14ac:dyDescent="0.3">
      <c r="A555" s="23">
        <v>5220149</v>
      </c>
      <c r="B555" s="23" t="s">
        <v>2352</v>
      </c>
      <c r="C555" s="24">
        <v>291</v>
      </c>
    </row>
    <row r="556" spans="1:3" x14ac:dyDescent="0.3">
      <c r="A556" s="23">
        <v>5220150</v>
      </c>
      <c r="B556" s="23" t="s">
        <v>2353</v>
      </c>
      <c r="C556" s="24">
        <v>5</v>
      </c>
    </row>
    <row r="557" spans="1:3" x14ac:dyDescent="0.3">
      <c r="A557" s="23">
        <v>5220151</v>
      </c>
      <c r="B557" s="23" t="s">
        <v>1649</v>
      </c>
      <c r="C557" s="24">
        <v>148</v>
      </c>
    </row>
    <row r="558" spans="1:3" x14ac:dyDescent="0.3">
      <c r="A558" s="23">
        <v>5220152</v>
      </c>
      <c r="B558" s="23" t="s">
        <v>2354</v>
      </c>
      <c r="C558" s="24">
        <v>452</v>
      </c>
    </row>
    <row r="559" spans="1:3" x14ac:dyDescent="0.3">
      <c r="A559" s="23">
        <v>5220257</v>
      </c>
      <c r="B559" s="23" t="s">
        <v>2355</v>
      </c>
      <c r="C559" s="24">
        <v>21</v>
      </c>
    </row>
    <row r="560" spans="1:3" x14ac:dyDescent="0.3">
      <c r="A560" s="23">
        <v>5220258</v>
      </c>
      <c r="B560" s="23" t="s">
        <v>2356</v>
      </c>
      <c r="C560" s="24">
        <v>52</v>
      </c>
    </row>
    <row r="561" spans="1:3" x14ac:dyDescent="0.3">
      <c r="A561" s="23">
        <v>5220259</v>
      </c>
      <c r="B561" s="23" t="s">
        <v>2357</v>
      </c>
      <c r="C561" s="24">
        <v>116</v>
      </c>
    </row>
    <row r="562" spans="1:3" x14ac:dyDescent="0.3">
      <c r="A562" s="23">
        <v>5220290</v>
      </c>
      <c r="B562" s="23" t="s">
        <v>2358</v>
      </c>
      <c r="C562" s="24">
        <v>13</v>
      </c>
    </row>
    <row r="563" spans="1:3" x14ac:dyDescent="0.3">
      <c r="A563" s="23">
        <v>5220291</v>
      </c>
      <c r="B563" s="23" t="s">
        <v>2359</v>
      </c>
      <c r="C563" s="24">
        <v>37</v>
      </c>
    </row>
    <row r="564" spans="1:3" x14ac:dyDescent="0.3">
      <c r="A564" s="23">
        <v>5220293</v>
      </c>
      <c r="B564" s="23" t="s">
        <v>2360</v>
      </c>
      <c r="C564" s="24">
        <v>25</v>
      </c>
    </row>
    <row r="565" spans="1:3" x14ac:dyDescent="0.3">
      <c r="A565" s="23">
        <v>5220294</v>
      </c>
      <c r="B565" s="23" t="s">
        <v>2361</v>
      </c>
      <c r="C565" s="24">
        <v>16</v>
      </c>
    </row>
    <row r="566" spans="1:3" x14ac:dyDescent="0.3">
      <c r="A566" s="23">
        <v>5220296</v>
      </c>
      <c r="B566" s="23" t="s">
        <v>2362</v>
      </c>
      <c r="C566" s="24">
        <v>39</v>
      </c>
    </row>
    <row r="567" spans="1:3" x14ac:dyDescent="0.3">
      <c r="A567" s="23">
        <v>5220297</v>
      </c>
      <c r="B567" s="23" t="s">
        <v>2363</v>
      </c>
      <c r="C567" s="24">
        <v>66</v>
      </c>
    </row>
    <row r="568" spans="1:3" x14ac:dyDescent="0.3">
      <c r="A568" s="23">
        <v>5220323</v>
      </c>
      <c r="B568" s="23" t="s">
        <v>2364</v>
      </c>
      <c r="C568" s="24">
        <v>11</v>
      </c>
    </row>
    <row r="569" spans="1:3" x14ac:dyDescent="0.3">
      <c r="A569" s="23">
        <v>5220324</v>
      </c>
      <c r="B569" s="23" t="s">
        <v>2365</v>
      </c>
      <c r="C569" s="24">
        <v>58</v>
      </c>
    </row>
    <row r="570" spans="1:3" x14ac:dyDescent="0.3">
      <c r="A570" s="23">
        <v>5220325</v>
      </c>
      <c r="B570" s="23" t="s">
        <v>2366</v>
      </c>
      <c r="C570" s="24">
        <v>107</v>
      </c>
    </row>
    <row r="571" spans="1:3" x14ac:dyDescent="0.3">
      <c r="A571" s="23">
        <v>5220326</v>
      </c>
      <c r="B571" s="23" t="s">
        <v>2367</v>
      </c>
      <c r="C571" s="24">
        <v>8</v>
      </c>
    </row>
    <row r="572" spans="1:3" x14ac:dyDescent="0.3">
      <c r="A572" s="23">
        <v>5220327</v>
      </c>
      <c r="B572" s="23" t="s">
        <v>2368</v>
      </c>
      <c r="C572" s="24">
        <v>16</v>
      </c>
    </row>
    <row r="573" spans="1:3" x14ac:dyDescent="0.3">
      <c r="A573" s="23">
        <v>5220328</v>
      </c>
      <c r="B573" s="23" t="s">
        <v>2369</v>
      </c>
      <c r="C573" s="24">
        <v>84</v>
      </c>
    </row>
    <row r="574" spans="1:3" x14ac:dyDescent="0.3">
      <c r="A574" s="23">
        <v>5220329</v>
      </c>
      <c r="B574" s="23" t="s">
        <v>2370</v>
      </c>
      <c r="C574" s="24">
        <v>10</v>
      </c>
    </row>
    <row r="575" spans="1:3" x14ac:dyDescent="0.3">
      <c r="A575" s="23">
        <v>5220330</v>
      </c>
      <c r="B575" s="23" t="s">
        <v>2371</v>
      </c>
      <c r="C575" s="24">
        <v>21</v>
      </c>
    </row>
    <row r="576" spans="1:3" x14ac:dyDescent="0.3">
      <c r="A576" s="23">
        <v>5220331</v>
      </c>
      <c r="B576" s="23" t="s">
        <v>2372</v>
      </c>
      <c r="C576" s="24">
        <v>50</v>
      </c>
    </row>
    <row r="577" spans="1:3" x14ac:dyDescent="0.3">
      <c r="A577" s="23">
        <v>5220826</v>
      </c>
      <c r="B577" s="23" t="s">
        <v>2373</v>
      </c>
      <c r="C577" s="24">
        <v>130</v>
      </c>
    </row>
    <row r="578" spans="1:3" x14ac:dyDescent="0.3">
      <c r="A578" s="23">
        <v>5221384</v>
      </c>
      <c r="B578" s="23" t="s">
        <v>2024</v>
      </c>
      <c r="C578" s="24">
        <v>35</v>
      </c>
    </row>
    <row r="579" spans="1:3" x14ac:dyDescent="0.3">
      <c r="A579" s="23">
        <v>5222318</v>
      </c>
      <c r="B579" s="23" t="s">
        <v>1932</v>
      </c>
      <c r="C579" s="24">
        <v>50</v>
      </c>
    </row>
    <row r="580" spans="1:3" x14ac:dyDescent="0.3">
      <c r="A580" s="23">
        <v>5222319</v>
      </c>
      <c r="B580" s="23" t="s">
        <v>1931</v>
      </c>
      <c r="C580" s="24">
        <v>18</v>
      </c>
    </row>
    <row r="581" spans="1:3" x14ac:dyDescent="0.3">
      <c r="A581" s="23">
        <v>5222320</v>
      </c>
      <c r="B581" s="23" t="s">
        <v>1930</v>
      </c>
      <c r="C581" s="24">
        <v>3</v>
      </c>
    </row>
    <row r="582" spans="1:3" x14ac:dyDescent="0.3">
      <c r="A582" s="23">
        <v>5222323</v>
      </c>
      <c r="B582" s="23" t="s">
        <v>1927</v>
      </c>
      <c r="C582" s="24">
        <v>54</v>
      </c>
    </row>
    <row r="583" spans="1:3" x14ac:dyDescent="0.3">
      <c r="A583" s="23">
        <v>5222325</v>
      </c>
      <c r="B583" s="23" t="s">
        <v>1929</v>
      </c>
      <c r="C583" s="24">
        <v>196</v>
      </c>
    </row>
    <row r="584" spans="1:3" x14ac:dyDescent="0.3">
      <c r="A584" s="23">
        <v>5222326</v>
      </c>
      <c r="B584" s="23" t="s">
        <v>1926</v>
      </c>
      <c r="C584" s="24">
        <v>119</v>
      </c>
    </row>
    <row r="585" spans="1:3" x14ac:dyDescent="0.3">
      <c r="A585" s="23">
        <v>5222327</v>
      </c>
      <c r="B585" s="23" t="s">
        <v>1925</v>
      </c>
      <c r="C585" s="24">
        <v>56</v>
      </c>
    </row>
    <row r="586" spans="1:3" x14ac:dyDescent="0.3">
      <c r="A586" s="23">
        <v>5222328</v>
      </c>
      <c r="B586" s="23" t="s">
        <v>1928</v>
      </c>
      <c r="C586" s="24">
        <v>3</v>
      </c>
    </row>
    <row r="587" spans="1:3" x14ac:dyDescent="0.3">
      <c r="A587" s="23">
        <v>5222330</v>
      </c>
      <c r="B587" s="23" t="s">
        <v>1939</v>
      </c>
      <c r="C587" s="24">
        <v>108</v>
      </c>
    </row>
    <row r="588" spans="1:3" x14ac:dyDescent="0.3">
      <c r="A588" s="23">
        <v>5222331</v>
      </c>
      <c r="B588" s="23" t="s">
        <v>1937</v>
      </c>
      <c r="C588" s="24">
        <v>102</v>
      </c>
    </row>
    <row r="589" spans="1:3" x14ac:dyDescent="0.3">
      <c r="A589" s="23">
        <v>5222332</v>
      </c>
      <c r="B589" s="23" t="s">
        <v>1936</v>
      </c>
      <c r="C589" s="24">
        <v>7</v>
      </c>
    </row>
    <row r="590" spans="1:3" x14ac:dyDescent="0.3">
      <c r="A590" s="23">
        <v>5222333</v>
      </c>
      <c r="B590" s="23" t="s">
        <v>1938</v>
      </c>
      <c r="C590" s="24">
        <v>4</v>
      </c>
    </row>
    <row r="591" spans="1:3" x14ac:dyDescent="0.3">
      <c r="A591" s="23">
        <v>5222334</v>
      </c>
      <c r="B591" s="23" t="s">
        <v>1940</v>
      </c>
      <c r="C591" s="24">
        <v>32</v>
      </c>
    </row>
    <row r="592" spans="1:3" x14ac:dyDescent="0.3">
      <c r="A592" s="23">
        <v>5222344</v>
      </c>
      <c r="B592" s="23" t="s">
        <v>2628</v>
      </c>
      <c r="C592" s="24">
        <v>2</v>
      </c>
    </row>
    <row r="593" spans="1:3" x14ac:dyDescent="0.3">
      <c r="A593" s="23">
        <v>5222347</v>
      </c>
      <c r="B593" s="23" t="s">
        <v>1942</v>
      </c>
      <c r="C593" s="24">
        <v>11</v>
      </c>
    </row>
    <row r="594" spans="1:3" x14ac:dyDescent="0.3">
      <c r="A594" s="23">
        <v>5222351</v>
      </c>
      <c r="B594" s="23" t="s">
        <v>2629</v>
      </c>
      <c r="C594" s="24">
        <v>1</v>
      </c>
    </row>
    <row r="595" spans="1:3" x14ac:dyDescent="0.3">
      <c r="A595" s="23">
        <v>5222429</v>
      </c>
      <c r="B595" s="23" t="s">
        <v>1424</v>
      </c>
      <c r="C595" s="24">
        <v>1</v>
      </c>
    </row>
    <row r="596" spans="1:3" x14ac:dyDescent="0.3">
      <c r="A596" s="23">
        <v>5222441</v>
      </c>
      <c r="B596" s="23" t="s">
        <v>2630</v>
      </c>
      <c r="C596" s="24">
        <v>1</v>
      </c>
    </row>
    <row r="597" spans="1:3" x14ac:dyDescent="0.3">
      <c r="A597" s="23">
        <v>5222494</v>
      </c>
      <c r="B597" s="23" t="s">
        <v>2631</v>
      </c>
      <c r="C597" s="24">
        <v>1</v>
      </c>
    </row>
    <row r="598" spans="1:3" x14ac:dyDescent="0.3">
      <c r="A598" s="23">
        <v>5222622</v>
      </c>
      <c r="B598" s="23" t="s">
        <v>2374</v>
      </c>
      <c r="C598" s="24">
        <v>83</v>
      </c>
    </row>
    <row r="599" spans="1:3" x14ac:dyDescent="0.3">
      <c r="A599" s="23">
        <v>5222629</v>
      </c>
      <c r="B599" s="23" t="s">
        <v>1733</v>
      </c>
      <c r="C599" s="24">
        <v>1</v>
      </c>
    </row>
    <row r="600" spans="1:3" x14ac:dyDescent="0.3">
      <c r="A600" s="23">
        <v>5222636</v>
      </c>
      <c r="B600" s="23" t="s">
        <v>1410</v>
      </c>
      <c r="C600" s="24">
        <v>60</v>
      </c>
    </row>
    <row r="601" spans="1:3" x14ac:dyDescent="0.3">
      <c r="A601" s="23">
        <v>5222637</v>
      </c>
      <c r="B601" s="23" t="s">
        <v>1412</v>
      </c>
      <c r="C601" s="24">
        <v>57</v>
      </c>
    </row>
    <row r="602" spans="1:3" x14ac:dyDescent="0.3">
      <c r="A602" s="23">
        <v>5222639</v>
      </c>
      <c r="B602" s="23" t="s">
        <v>1414</v>
      </c>
      <c r="C602" s="24">
        <v>9</v>
      </c>
    </row>
    <row r="603" spans="1:3" x14ac:dyDescent="0.3">
      <c r="A603" s="23">
        <v>5222640</v>
      </c>
      <c r="B603" s="23" t="s">
        <v>1417</v>
      </c>
      <c r="C603" s="24">
        <v>10</v>
      </c>
    </row>
    <row r="604" spans="1:3" x14ac:dyDescent="0.3">
      <c r="A604" s="23">
        <v>5222655</v>
      </c>
      <c r="B604" s="23" t="s">
        <v>1731</v>
      </c>
      <c r="C604" s="24">
        <v>163</v>
      </c>
    </row>
    <row r="605" spans="1:3" x14ac:dyDescent="0.3">
      <c r="A605" s="23">
        <v>5222757</v>
      </c>
      <c r="B605" s="23" t="s">
        <v>2632</v>
      </c>
      <c r="C605" s="24">
        <v>24</v>
      </c>
    </row>
    <row r="606" spans="1:3" x14ac:dyDescent="0.3">
      <c r="A606" s="23">
        <v>5223014</v>
      </c>
      <c r="B606" s="23" t="s">
        <v>2375</v>
      </c>
      <c r="C606" s="24">
        <v>3</v>
      </c>
    </row>
    <row r="607" spans="1:3" x14ac:dyDescent="0.3">
      <c r="A607" s="23">
        <v>5223032</v>
      </c>
      <c r="B607" s="23" t="s">
        <v>2376</v>
      </c>
      <c r="C607" s="24">
        <v>28</v>
      </c>
    </row>
    <row r="608" spans="1:3" x14ac:dyDescent="0.3">
      <c r="A608" s="23">
        <v>5223255</v>
      </c>
      <c r="B608" s="23" t="s">
        <v>2633</v>
      </c>
      <c r="C608" s="24">
        <v>1</v>
      </c>
    </row>
    <row r="609" spans="1:3" x14ac:dyDescent="0.3">
      <c r="A609" s="23">
        <v>5223663</v>
      </c>
      <c r="B609" s="23" t="s">
        <v>1386</v>
      </c>
      <c r="C609" s="25">
        <v>0</v>
      </c>
    </row>
    <row r="610" spans="1:3" x14ac:dyDescent="0.3">
      <c r="A610" s="23">
        <v>5223675</v>
      </c>
      <c r="B610" s="23" t="s">
        <v>2634</v>
      </c>
      <c r="C610" s="24">
        <v>1</v>
      </c>
    </row>
    <row r="611" spans="1:3" x14ac:dyDescent="0.3">
      <c r="A611" s="23">
        <v>5223681</v>
      </c>
      <c r="B611" s="23" t="s">
        <v>2635</v>
      </c>
      <c r="C611" s="24">
        <v>10</v>
      </c>
    </row>
    <row r="612" spans="1:3" x14ac:dyDescent="0.3">
      <c r="A612" s="23">
        <v>5223718</v>
      </c>
      <c r="B612" s="23" t="s">
        <v>2636</v>
      </c>
      <c r="C612" s="24">
        <v>1</v>
      </c>
    </row>
    <row r="613" spans="1:3" x14ac:dyDescent="0.3">
      <c r="A613" s="23">
        <v>5223719</v>
      </c>
      <c r="B613" s="23" t="s">
        <v>2637</v>
      </c>
      <c r="C613" s="24">
        <v>6</v>
      </c>
    </row>
    <row r="614" spans="1:3" x14ac:dyDescent="0.3">
      <c r="A614" s="23">
        <v>5223720</v>
      </c>
      <c r="B614" s="23" t="s">
        <v>2377</v>
      </c>
      <c r="C614" s="24">
        <v>147</v>
      </c>
    </row>
    <row r="615" spans="1:3" x14ac:dyDescent="0.3">
      <c r="A615" s="23">
        <v>5223722</v>
      </c>
      <c r="B615" s="23" t="s">
        <v>2378</v>
      </c>
      <c r="C615" s="24">
        <v>36</v>
      </c>
    </row>
    <row r="616" spans="1:3" x14ac:dyDescent="0.3">
      <c r="A616" s="23">
        <v>5223733</v>
      </c>
      <c r="B616" s="23" t="s">
        <v>2379</v>
      </c>
      <c r="C616" s="24">
        <v>30</v>
      </c>
    </row>
    <row r="617" spans="1:3" x14ac:dyDescent="0.3">
      <c r="A617" s="23">
        <v>5223737</v>
      </c>
      <c r="B617" s="23" t="s">
        <v>2638</v>
      </c>
      <c r="C617" s="24">
        <v>1</v>
      </c>
    </row>
    <row r="618" spans="1:3" x14ac:dyDescent="0.3">
      <c r="A618" s="23">
        <v>5223738</v>
      </c>
      <c r="B618" s="23" t="s">
        <v>2380</v>
      </c>
      <c r="C618" s="24">
        <v>5</v>
      </c>
    </row>
    <row r="619" spans="1:3" x14ac:dyDescent="0.3">
      <c r="A619" s="23">
        <v>5223743</v>
      </c>
      <c r="B619" s="23" t="s">
        <v>2639</v>
      </c>
      <c r="C619" s="24">
        <v>2</v>
      </c>
    </row>
    <row r="620" spans="1:3" x14ac:dyDescent="0.3">
      <c r="A620" s="23">
        <v>5223744</v>
      </c>
      <c r="B620" s="23" t="s">
        <v>2381</v>
      </c>
      <c r="C620" s="24">
        <v>4</v>
      </c>
    </row>
    <row r="621" spans="1:3" x14ac:dyDescent="0.3">
      <c r="A621" s="23">
        <v>5223745</v>
      </c>
      <c r="B621" s="23" t="s">
        <v>2382</v>
      </c>
      <c r="C621" s="24">
        <v>2</v>
      </c>
    </row>
    <row r="622" spans="1:3" x14ac:dyDescent="0.3">
      <c r="A622" s="23">
        <v>5223746</v>
      </c>
      <c r="B622" s="23" t="s">
        <v>2640</v>
      </c>
      <c r="C622" s="24">
        <v>4</v>
      </c>
    </row>
    <row r="623" spans="1:3" x14ac:dyDescent="0.3">
      <c r="A623" s="23">
        <v>5224645</v>
      </c>
      <c r="B623" s="23" t="s">
        <v>2383</v>
      </c>
      <c r="C623" s="24">
        <v>754</v>
      </c>
    </row>
    <row r="624" spans="1:3" x14ac:dyDescent="0.3">
      <c r="A624" s="23">
        <v>5224811</v>
      </c>
      <c r="B624" s="23" t="s">
        <v>1957</v>
      </c>
      <c r="C624" s="24">
        <v>207</v>
      </c>
    </row>
    <row r="625" spans="1:3" x14ac:dyDescent="0.3">
      <c r="A625" s="23">
        <v>5232478</v>
      </c>
      <c r="B625" s="23" t="s">
        <v>2641</v>
      </c>
      <c r="C625" s="24">
        <v>2</v>
      </c>
    </row>
    <row r="626" spans="1:3" x14ac:dyDescent="0.3">
      <c r="A626" s="23">
        <v>5232513</v>
      </c>
      <c r="B626" s="23" t="s">
        <v>1915</v>
      </c>
      <c r="C626" s="24">
        <v>6</v>
      </c>
    </row>
    <row r="627" spans="1:3" ht="61.2" x14ac:dyDescent="0.3">
      <c r="A627" s="23">
        <v>5232514</v>
      </c>
      <c r="B627" s="26" t="s">
        <v>2642</v>
      </c>
      <c r="C627" s="24">
        <v>1</v>
      </c>
    </row>
    <row r="628" spans="1:3" x14ac:dyDescent="0.3">
      <c r="A628" s="23">
        <v>5232569</v>
      </c>
      <c r="B628" s="23" t="s">
        <v>1916</v>
      </c>
      <c r="C628" s="24">
        <v>6</v>
      </c>
    </row>
    <row r="629" spans="1:3" x14ac:dyDescent="0.3">
      <c r="A629" s="23">
        <v>5232585</v>
      </c>
      <c r="B629" s="23" t="s">
        <v>2055</v>
      </c>
      <c r="C629" s="25">
        <v>0</v>
      </c>
    </row>
    <row r="630" spans="1:3" x14ac:dyDescent="0.3">
      <c r="A630" s="23">
        <v>5232635</v>
      </c>
      <c r="B630" s="23" t="s">
        <v>1917</v>
      </c>
      <c r="C630" s="24">
        <v>35</v>
      </c>
    </row>
    <row r="631" spans="1:3" x14ac:dyDescent="0.3">
      <c r="A631" s="23">
        <v>5236667</v>
      </c>
      <c r="B631" s="23" t="s">
        <v>2384</v>
      </c>
      <c r="C631" s="24">
        <v>91</v>
      </c>
    </row>
    <row r="632" spans="1:3" x14ac:dyDescent="0.3">
      <c r="A632" s="23">
        <v>5236668</v>
      </c>
      <c r="B632" s="23" t="s">
        <v>2385</v>
      </c>
      <c r="C632" s="24">
        <v>4</v>
      </c>
    </row>
    <row r="633" spans="1:3" x14ac:dyDescent="0.3">
      <c r="A633" s="23">
        <v>5236702</v>
      </c>
      <c r="B633" s="23" t="s">
        <v>2386</v>
      </c>
      <c r="C633" s="24">
        <v>4</v>
      </c>
    </row>
    <row r="634" spans="1:3" x14ac:dyDescent="0.3">
      <c r="A634" s="23">
        <v>5236721</v>
      </c>
      <c r="B634" s="23" t="s">
        <v>2387</v>
      </c>
      <c r="C634" s="24">
        <v>1</v>
      </c>
    </row>
    <row r="635" spans="1:3" x14ac:dyDescent="0.3">
      <c r="A635" s="23">
        <v>5236722</v>
      </c>
      <c r="B635" s="23" t="s">
        <v>1362</v>
      </c>
      <c r="C635" s="24">
        <v>103</v>
      </c>
    </row>
    <row r="636" spans="1:3" x14ac:dyDescent="0.3">
      <c r="A636" s="23">
        <v>5236724</v>
      </c>
      <c r="B636" s="23" t="s">
        <v>2388</v>
      </c>
      <c r="C636" s="24">
        <v>150</v>
      </c>
    </row>
    <row r="637" spans="1:3" x14ac:dyDescent="0.3">
      <c r="A637" s="23">
        <v>5236725</v>
      </c>
      <c r="B637" s="23" t="s">
        <v>2389</v>
      </c>
      <c r="C637" s="24">
        <v>55</v>
      </c>
    </row>
    <row r="638" spans="1:3" x14ac:dyDescent="0.3">
      <c r="A638" s="23">
        <v>5241252</v>
      </c>
      <c r="B638" s="23" t="s">
        <v>1632</v>
      </c>
      <c r="C638" s="24">
        <v>16</v>
      </c>
    </row>
    <row r="639" spans="1:3" x14ac:dyDescent="0.3">
      <c r="A639" s="23">
        <v>5241253</v>
      </c>
      <c r="B639" s="23" t="s">
        <v>1633</v>
      </c>
      <c r="C639" s="24">
        <v>41</v>
      </c>
    </row>
    <row r="640" spans="1:3" x14ac:dyDescent="0.3">
      <c r="A640" s="23">
        <v>5242768</v>
      </c>
      <c r="B640" s="23" t="s">
        <v>2390</v>
      </c>
      <c r="C640" s="24">
        <v>9</v>
      </c>
    </row>
    <row r="641" spans="1:3" x14ac:dyDescent="0.3">
      <c r="A641" s="23">
        <v>5242769</v>
      </c>
      <c r="B641" s="23" t="s">
        <v>2391</v>
      </c>
      <c r="C641" s="24">
        <v>15</v>
      </c>
    </row>
    <row r="642" spans="1:3" x14ac:dyDescent="0.3">
      <c r="A642" s="23">
        <v>5242770</v>
      </c>
      <c r="B642" s="23" t="s">
        <v>2392</v>
      </c>
      <c r="C642" s="24">
        <v>13</v>
      </c>
    </row>
    <row r="643" spans="1:3" x14ac:dyDescent="0.3">
      <c r="A643" s="23">
        <v>5242784</v>
      </c>
      <c r="B643" s="23" t="s">
        <v>2393</v>
      </c>
      <c r="C643" s="24">
        <v>30</v>
      </c>
    </row>
    <row r="644" spans="1:3" x14ac:dyDescent="0.3">
      <c r="A644" s="23">
        <v>5242785</v>
      </c>
      <c r="B644" s="23" t="s">
        <v>2394</v>
      </c>
      <c r="C644" s="24">
        <v>40</v>
      </c>
    </row>
    <row r="645" spans="1:3" x14ac:dyDescent="0.3">
      <c r="A645" s="23">
        <v>5242792</v>
      </c>
      <c r="B645" s="23" t="s">
        <v>1985</v>
      </c>
      <c r="C645" s="24">
        <v>39</v>
      </c>
    </row>
    <row r="646" spans="1:3" x14ac:dyDescent="0.3">
      <c r="A646" s="23">
        <v>5242793</v>
      </c>
      <c r="B646" s="23" t="s">
        <v>1982</v>
      </c>
      <c r="C646" s="24">
        <v>67</v>
      </c>
    </row>
    <row r="647" spans="1:3" x14ac:dyDescent="0.3">
      <c r="A647" s="23">
        <v>5242794</v>
      </c>
      <c r="B647" s="23" t="s">
        <v>1974</v>
      </c>
      <c r="C647" s="24">
        <v>108</v>
      </c>
    </row>
    <row r="648" spans="1:3" x14ac:dyDescent="0.3">
      <c r="A648" s="23">
        <v>5242800</v>
      </c>
      <c r="B648" s="23" t="s">
        <v>2395</v>
      </c>
      <c r="C648" s="24">
        <v>29</v>
      </c>
    </row>
    <row r="649" spans="1:3" x14ac:dyDescent="0.3">
      <c r="A649" s="23">
        <v>5242831</v>
      </c>
      <c r="B649" s="23" t="s">
        <v>2396</v>
      </c>
      <c r="C649" s="24">
        <v>25</v>
      </c>
    </row>
    <row r="650" spans="1:3" x14ac:dyDescent="0.3">
      <c r="A650" s="23">
        <v>5243741</v>
      </c>
      <c r="B650" s="23" t="s">
        <v>2397</v>
      </c>
      <c r="C650" s="24">
        <v>8</v>
      </c>
    </row>
    <row r="651" spans="1:3" x14ac:dyDescent="0.3">
      <c r="A651" s="23">
        <v>5244438</v>
      </c>
      <c r="B651" s="23" t="s">
        <v>1462</v>
      </c>
      <c r="C651" s="24">
        <v>16</v>
      </c>
    </row>
    <row r="652" spans="1:3" x14ac:dyDescent="0.3">
      <c r="A652" s="23">
        <v>5244557</v>
      </c>
      <c r="B652" s="23" t="s">
        <v>2398</v>
      </c>
      <c r="C652" s="24">
        <v>1</v>
      </c>
    </row>
    <row r="653" spans="1:3" x14ac:dyDescent="0.3">
      <c r="A653" s="23">
        <v>5245438</v>
      </c>
      <c r="B653" s="23" t="s">
        <v>2399</v>
      </c>
      <c r="C653" s="24">
        <v>30</v>
      </c>
    </row>
    <row r="654" spans="1:3" x14ac:dyDescent="0.3">
      <c r="A654" s="23">
        <v>5249007</v>
      </c>
      <c r="B654" s="23" t="s">
        <v>1359</v>
      </c>
      <c r="C654" s="24">
        <v>28</v>
      </c>
    </row>
    <row r="655" spans="1:3" x14ac:dyDescent="0.3">
      <c r="A655" s="23">
        <v>5254525</v>
      </c>
      <c r="B655" s="23" t="s">
        <v>2400</v>
      </c>
      <c r="C655" s="24">
        <v>4</v>
      </c>
    </row>
    <row r="656" spans="1:3" x14ac:dyDescent="0.3">
      <c r="A656" s="23">
        <v>5255621</v>
      </c>
      <c r="B656" s="23" t="s">
        <v>2401</v>
      </c>
      <c r="C656" s="24">
        <v>6</v>
      </c>
    </row>
    <row r="657" spans="1:3" x14ac:dyDescent="0.3">
      <c r="A657" s="23">
        <v>5255624</v>
      </c>
      <c r="B657" s="23" t="s">
        <v>2402</v>
      </c>
      <c r="C657" s="24">
        <v>6</v>
      </c>
    </row>
    <row r="658" spans="1:3" x14ac:dyDescent="0.3">
      <c r="A658" s="23">
        <v>5257268</v>
      </c>
      <c r="B658" s="23" t="s">
        <v>2643</v>
      </c>
      <c r="C658" s="25">
        <v>0</v>
      </c>
    </row>
    <row r="659" spans="1:3" x14ac:dyDescent="0.3">
      <c r="A659" s="23">
        <v>5259331</v>
      </c>
      <c r="B659" s="23" t="s">
        <v>1603</v>
      </c>
      <c r="C659" s="24">
        <v>2</v>
      </c>
    </row>
    <row r="660" spans="1:3" x14ac:dyDescent="0.3">
      <c r="A660" s="23">
        <v>5275861</v>
      </c>
      <c r="B660" s="23" t="s">
        <v>2644</v>
      </c>
      <c r="C660" s="24">
        <v>2</v>
      </c>
    </row>
    <row r="661" spans="1:3" x14ac:dyDescent="0.3">
      <c r="A661" s="23">
        <v>5282518</v>
      </c>
      <c r="B661" s="23" t="s">
        <v>2053</v>
      </c>
      <c r="C661" s="24">
        <v>1</v>
      </c>
    </row>
    <row r="662" spans="1:3" x14ac:dyDescent="0.3">
      <c r="A662" s="23">
        <v>5282520</v>
      </c>
      <c r="B662" s="23" t="s">
        <v>1360</v>
      </c>
      <c r="C662" s="24">
        <v>2</v>
      </c>
    </row>
    <row r="663" spans="1:3" x14ac:dyDescent="0.3">
      <c r="A663" s="23">
        <v>5282521</v>
      </c>
      <c r="B663" s="23" t="s">
        <v>1363</v>
      </c>
      <c r="C663" s="24">
        <v>1</v>
      </c>
    </row>
    <row r="664" spans="1:3" x14ac:dyDescent="0.3">
      <c r="A664" s="23">
        <v>5282772</v>
      </c>
      <c r="B664" s="23" t="s">
        <v>2403</v>
      </c>
      <c r="C664" s="24">
        <v>1</v>
      </c>
    </row>
    <row r="665" spans="1:3" x14ac:dyDescent="0.3">
      <c r="A665" s="23">
        <v>5282774</v>
      </c>
      <c r="B665" s="23" t="s">
        <v>2404</v>
      </c>
      <c r="C665" s="24">
        <v>8</v>
      </c>
    </row>
    <row r="666" spans="1:3" x14ac:dyDescent="0.3">
      <c r="A666" s="23">
        <v>5282776</v>
      </c>
      <c r="B666" s="23" t="s">
        <v>2405</v>
      </c>
      <c r="C666" s="24">
        <v>75</v>
      </c>
    </row>
    <row r="667" spans="1:3" x14ac:dyDescent="0.3">
      <c r="A667" s="23">
        <v>5287993</v>
      </c>
      <c r="B667" s="23" t="s">
        <v>2406</v>
      </c>
      <c r="C667" s="24">
        <v>2</v>
      </c>
    </row>
    <row r="668" spans="1:3" x14ac:dyDescent="0.3">
      <c r="A668" s="23">
        <v>5287998</v>
      </c>
      <c r="B668" s="23" t="s">
        <v>2407</v>
      </c>
      <c r="C668" s="24">
        <v>5</v>
      </c>
    </row>
    <row r="669" spans="1:3" x14ac:dyDescent="0.3">
      <c r="A669" s="23">
        <v>5288069</v>
      </c>
      <c r="B669" s="23" t="s">
        <v>1981</v>
      </c>
      <c r="C669" s="24">
        <v>18</v>
      </c>
    </row>
    <row r="670" spans="1:3" x14ac:dyDescent="0.3">
      <c r="A670" s="23">
        <v>5288071</v>
      </c>
      <c r="B670" s="23" t="s">
        <v>2408</v>
      </c>
      <c r="C670" s="24">
        <v>7</v>
      </c>
    </row>
    <row r="671" spans="1:3" x14ac:dyDescent="0.3">
      <c r="A671" s="23">
        <v>5288073</v>
      </c>
      <c r="B671" s="23" t="s">
        <v>2002</v>
      </c>
      <c r="C671" s="24">
        <v>6</v>
      </c>
    </row>
    <row r="672" spans="1:3" x14ac:dyDescent="0.3">
      <c r="A672" s="23">
        <v>5315778</v>
      </c>
      <c r="B672" s="23" t="s">
        <v>2645</v>
      </c>
      <c r="C672" s="24">
        <v>3</v>
      </c>
    </row>
    <row r="673" spans="1:3" x14ac:dyDescent="0.3">
      <c r="A673" s="23">
        <v>5315855</v>
      </c>
      <c r="B673" s="23" t="s">
        <v>2646</v>
      </c>
      <c r="C673" s="24">
        <v>1</v>
      </c>
    </row>
    <row r="674" spans="1:3" x14ac:dyDescent="0.3">
      <c r="A674" s="23">
        <v>5315856</v>
      </c>
      <c r="B674" s="23" t="s">
        <v>1945</v>
      </c>
      <c r="C674" s="24">
        <v>8</v>
      </c>
    </row>
    <row r="675" spans="1:3" x14ac:dyDescent="0.3">
      <c r="A675" s="23">
        <v>5315859</v>
      </c>
      <c r="B675" s="23" t="s">
        <v>1946</v>
      </c>
      <c r="C675" s="24">
        <v>13</v>
      </c>
    </row>
    <row r="676" spans="1:3" x14ac:dyDescent="0.3">
      <c r="A676" s="23">
        <v>5315861</v>
      </c>
      <c r="B676" s="23" t="s">
        <v>1935</v>
      </c>
      <c r="C676" s="24">
        <v>2</v>
      </c>
    </row>
    <row r="677" spans="1:3" x14ac:dyDescent="0.3">
      <c r="A677" s="23">
        <v>5315864</v>
      </c>
      <c r="B677" s="23" t="s">
        <v>2647</v>
      </c>
      <c r="C677" s="24">
        <v>1</v>
      </c>
    </row>
    <row r="678" spans="1:3" x14ac:dyDescent="0.3">
      <c r="A678" s="23">
        <v>5315918</v>
      </c>
      <c r="B678" s="23" t="s">
        <v>1947</v>
      </c>
      <c r="C678" s="24">
        <v>30</v>
      </c>
    </row>
    <row r="679" spans="1:3" x14ac:dyDescent="0.3">
      <c r="A679" s="23">
        <v>5315921</v>
      </c>
      <c r="B679" s="23" t="s">
        <v>1948</v>
      </c>
      <c r="C679" s="24">
        <v>39</v>
      </c>
    </row>
    <row r="680" spans="1:3" x14ac:dyDescent="0.3">
      <c r="A680" s="23">
        <v>5315937</v>
      </c>
      <c r="B680" s="23" t="s">
        <v>1426</v>
      </c>
      <c r="C680" s="24">
        <v>3</v>
      </c>
    </row>
    <row r="681" spans="1:3" x14ac:dyDescent="0.3">
      <c r="A681" s="23">
        <v>5317077</v>
      </c>
      <c r="B681" s="23" t="s">
        <v>2648</v>
      </c>
      <c r="C681" s="24">
        <v>24</v>
      </c>
    </row>
    <row r="682" spans="1:3" x14ac:dyDescent="0.3">
      <c r="A682" s="23">
        <v>5317755</v>
      </c>
      <c r="B682" s="23" t="s">
        <v>2649</v>
      </c>
      <c r="C682" s="24">
        <v>1</v>
      </c>
    </row>
    <row r="683" spans="1:3" x14ac:dyDescent="0.3">
      <c r="A683" s="23">
        <v>5317764</v>
      </c>
      <c r="B683" s="23" t="s">
        <v>2650</v>
      </c>
      <c r="C683" s="24">
        <v>1</v>
      </c>
    </row>
    <row r="684" spans="1:3" x14ac:dyDescent="0.3">
      <c r="A684" s="23">
        <v>5317875</v>
      </c>
      <c r="B684" s="23" t="s">
        <v>2651</v>
      </c>
      <c r="C684" s="24">
        <v>5</v>
      </c>
    </row>
    <row r="685" spans="1:3" x14ac:dyDescent="0.3">
      <c r="A685" s="23">
        <v>5320602</v>
      </c>
      <c r="B685" s="23" t="s">
        <v>1611</v>
      </c>
      <c r="C685" s="24">
        <v>37</v>
      </c>
    </row>
    <row r="686" spans="1:3" x14ac:dyDescent="0.3">
      <c r="A686" s="23">
        <v>5321297</v>
      </c>
      <c r="B686" s="23" t="s">
        <v>1370</v>
      </c>
      <c r="C686" s="24">
        <v>11</v>
      </c>
    </row>
    <row r="687" spans="1:3" x14ac:dyDescent="0.3">
      <c r="A687" s="23">
        <v>5321363</v>
      </c>
      <c r="B687" s="23" t="s">
        <v>1705</v>
      </c>
      <c r="C687" s="24">
        <v>63</v>
      </c>
    </row>
    <row r="688" spans="1:3" x14ac:dyDescent="0.3">
      <c r="A688" s="23">
        <v>5321442</v>
      </c>
      <c r="B688" s="23" t="s">
        <v>1934</v>
      </c>
      <c r="C688" s="24">
        <v>5</v>
      </c>
    </row>
    <row r="689" spans="1:3" x14ac:dyDescent="0.3">
      <c r="A689" s="23">
        <v>5321443</v>
      </c>
      <c r="B689" s="23" t="s">
        <v>1933</v>
      </c>
      <c r="C689" s="24">
        <v>8</v>
      </c>
    </row>
    <row r="690" spans="1:3" x14ac:dyDescent="0.3">
      <c r="A690" s="23">
        <v>5330418</v>
      </c>
      <c r="B690" s="23" t="s">
        <v>2409</v>
      </c>
      <c r="C690" s="24">
        <v>9</v>
      </c>
    </row>
    <row r="691" spans="1:3" x14ac:dyDescent="0.3">
      <c r="A691" s="23">
        <v>5330419</v>
      </c>
      <c r="B691" s="23" t="s">
        <v>1606</v>
      </c>
      <c r="C691" s="24">
        <v>4</v>
      </c>
    </row>
    <row r="692" spans="1:3" x14ac:dyDescent="0.3">
      <c r="A692" s="23">
        <v>5330420</v>
      </c>
      <c r="B692" s="23" t="s">
        <v>1605</v>
      </c>
      <c r="C692" s="24">
        <v>22</v>
      </c>
    </row>
    <row r="693" spans="1:3" x14ac:dyDescent="0.3">
      <c r="A693" s="23">
        <v>5362487</v>
      </c>
      <c r="B693" s="23" t="s">
        <v>2652</v>
      </c>
      <c r="C693" s="24">
        <v>5</v>
      </c>
    </row>
    <row r="694" spans="1:3" x14ac:dyDescent="0.3">
      <c r="A694" s="23">
        <v>5362527</v>
      </c>
      <c r="B694" s="23" t="s">
        <v>2653</v>
      </c>
      <c r="C694" s="24">
        <v>2</v>
      </c>
    </row>
    <row r="695" spans="1:3" x14ac:dyDescent="0.3">
      <c r="A695" s="23">
        <v>5381197</v>
      </c>
      <c r="B695" s="23" t="s">
        <v>2654</v>
      </c>
      <c r="C695" s="24">
        <v>1</v>
      </c>
    </row>
    <row r="696" spans="1:3" x14ac:dyDescent="0.3">
      <c r="A696" s="23">
        <v>5381201</v>
      </c>
      <c r="B696" s="23" t="s">
        <v>2655</v>
      </c>
      <c r="C696" s="24">
        <v>1</v>
      </c>
    </row>
    <row r="697" spans="1:3" x14ac:dyDescent="0.3">
      <c r="A697" s="23">
        <v>5381208</v>
      </c>
      <c r="B697" s="23" t="s">
        <v>2656</v>
      </c>
      <c r="C697" s="24">
        <v>2</v>
      </c>
    </row>
    <row r="698" spans="1:3" x14ac:dyDescent="0.3">
      <c r="A698" s="23">
        <v>5381215</v>
      </c>
      <c r="B698" s="23" t="s">
        <v>2657</v>
      </c>
      <c r="C698" s="24">
        <v>1</v>
      </c>
    </row>
    <row r="699" spans="1:3" x14ac:dyDescent="0.3">
      <c r="A699" s="23">
        <v>5381216</v>
      </c>
      <c r="B699" s="23" t="s">
        <v>2658</v>
      </c>
      <c r="C699" s="24">
        <v>1</v>
      </c>
    </row>
    <row r="700" spans="1:3" x14ac:dyDescent="0.3">
      <c r="A700" s="23">
        <v>5381225</v>
      </c>
      <c r="B700" s="23" t="s">
        <v>2659</v>
      </c>
      <c r="C700" s="24">
        <v>1</v>
      </c>
    </row>
    <row r="701" spans="1:3" x14ac:dyDescent="0.3">
      <c r="A701" s="23">
        <v>5381226</v>
      </c>
      <c r="B701" s="23" t="s">
        <v>2660</v>
      </c>
      <c r="C701" s="24">
        <v>1</v>
      </c>
    </row>
    <row r="702" spans="1:3" x14ac:dyDescent="0.3">
      <c r="A702" s="23">
        <v>5381261</v>
      </c>
      <c r="B702" s="23" t="s">
        <v>2661</v>
      </c>
      <c r="C702" s="24">
        <v>1</v>
      </c>
    </row>
    <row r="703" spans="1:3" x14ac:dyDescent="0.3">
      <c r="A703" s="23">
        <v>5381275</v>
      </c>
      <c r="B703" s="23" t="s">
        <v>2662</v>
      </c>
      <c r="C703" s="24">
        <v>1</v>
      </c>
    </row>
    <row r="704" spans="1:3" x14ac:dyDescent="0.3">
      <c r="A704" s="23">
        <v>5381294</v>
      </c>
      <c r="B704" s="23" t="s">
        <v>2410</v>
      </c>
      <c r="C704" s="24">
        <v>2</v>
      </c>
    </row>
    <row r="705" spans="1:3" x14ac:dyDescent="0.3">
      <c r="A705" s="23">
        <v>5381302</v>
      </c>
      <c r="B705" s="23" t="s">
        <v>2663</v>
      </c>
      <c r="C705" s="24">
        <v>1</v>
      </c>
    </row>
    <row r="706" spans="1:3" x14ac:dyDescent="0.3">
      <c r="A706" s="23">
        <v>5480543</v>
      </c>
      <c r="B706" s="23" t="s">
        <v>2005</v>
      </c>
      <c r="C706" s="24">
        <v>1</v>
      </c>
    </row>
    <row r="707" spans="1:3" x14ac:dyDescent="0.3">
      <c r="A707" s="23">
        <v>5480746</v>
      </c>
      <c r="B707" s="23" t="s">
        <v>2045</v>
      </c>
      <c r="C707" s="24">
        <v>2</v>
      </c>
    </row>
    <row r="708" spans="1:3" x14ac:dyDescent="0.3">
      <c r="A708" s="23">
        <v>5480907</v>
      </c>
      <c r="B708" s="23" t="s">
        <v>2013</v>
      </c>
      <c r="C708" s="24">
        <v>6</v>
      </c>
    </row>
    <row r="709" spans="1:3" x14ac:dyDescent="0.3">
      <c r="A709" s="23">
        <v>5480925</v>
      </c>
      <c r="B709" s="23" t="s">
        <v>1976</v>
      </c>
      <c r="C709" s="24">
        <v>27</v>
      </c>
    </row>
    <row r="710" spans="1:3" x14ac:dyDescent="0.3">
      <c r="A710" s="23">
        <v>5480927</v>
      </c>
      <c r="B710" s="23" t="s">
        <v>2031</v>
      </c>
      <c r="C710" s="24">
        <v>4</v>
      </c>
    </row>
    <row r="711" spans="1:3" x14ac:dyDescent="0.3">
      <c r="A711" s="23">
        <v>5480930</v>
      </c>
      <c r="B711" s="23" t="s">
        <v>1978</v>
      </c>
      <c r="C711" s="24">
        <v>6</v>
      </c>
    </row>
    <row r="712" spans="1:3" x14ac:dyDescent="0.3">
      <c r="A712" s="23">
        <v>5480932</v>
      </c>
      <c r="B712" s="23" t="s">
        <v>2029</v>
      </c>
      <c r="C712" s="24">
        <v>2</v>
      </c>
    </row>
    <row r="713" spans="1:3" x14ac:dyDescent="0.3">
      <c r="A713" s="23">
        <v>5480933</v>
      </c>
      <c r="B713" s="23" t="s">
        <v>2004</v>
      </c>
      <c r="C713" s="24">
        <v>5</v>
      </c>
    </row>
    <row r="714" spans="1:3" x14ac:dyDescent="0.3">
      <c r="A714" s="23">
        <v>5518972</v>
      </c>
      <c r="B714" s="23" t="s">
        <v>1659</v>
      </c>
      <c r="C714" s="24">
        <v>49</v>
      </c>
    </row>
    <row r="715" spans="1:3" x14ac:dyDescent="0.3">
      <c r="A715" s="23">
        <v>5518982</v>
      </c>
      <c r="B715" s="23" t="s">
        <v>1610</v>
      </c>
      <c r="C715" s="24">
        <v>3</v>
      </c>
    </row>
    <row r="716" spans="1:3" x14ac:dyDescent="0.3">
      <c r="A716" s="23">
        <v>5556022</v>
      </c>
      <c r="B716" s="23" t="s">
        <v>2411</v>
      </c>
      <c r="C716" s="24">
        <v>13</v>
      </c>
    </row>
    <row r="717" spans="1:3" x14ac:dyDescent="0.3">
      <c r="A717" s="23">
        <v>5556023</v>
      </c>
      <c r="B717" s="23" t="s">
        <v>2412</v>
      </c>
      <c r="C717" s="24">
        <v>505</v>
      </c>
    </row>
    <row r="718" spans="1:3" x14ac:dyDescent="0.3">
      <c r="A718" s="23">
        <v>5556026</v>
      </c>
      <c r="B718" s="23" t="s">
        <v>2413</v>
      </c>
      <c r="C718" s="24">
        <v>62</v>
      </c>
    </row>
    <row r="719" spans="1:3" x14ac:dyDescent="0.3">
      <c r="A719" s="23">
        <v>5572013</v>
      </c>
      <c r="B719" s="23" t="s">
        <v>1962</v>
      </c>
      <c r="C719" s="24">
        <v>484</v>
      </c>
    </row>
    <row r="720" spans="1:3" x14ac:dyDescent="0.3">
      <c r="A720" s="23">
        <v>5572015</v>
      </c>
      <c r="B720" s="23" t="s">
        <v>1967</v>
      </c>
      <c r="C720" s="24">
        <v>191</v>
      </c>
    </row>
    <row r="721" spans="1:3" x14ac:dyDescent="0.3">
      <c r="A721" s="23">
        <v>5572016</v>
      </c>
      <c r="B721" s="23" t="s">
        <v>1964</v>
      </c>
      <c r="C721" s="24">
        <v>25</v>
      </c>
    </row>
    <row r="722" spans="1:3" x14ac:dyDescent="0.3">
      <c r="A722" s="23">
        <v>5576889</v>
      </c>
      <c r="B722" s="23" t="s">
        <v>2414</v>
      </c>
      <c r="C722" s="24">
        <v>3</v>
      </c>
    </row>
    <row r="723" spans="1:3" x14ac:dyDescent="0.3">
      <c r="A723" s="23">
        <v>5583704</v>
      </c>
      <c r="B723" s="23" t="s">
        <v>2664</v>
      </c>
      <c r="C723" s="24">
        <v>1</v>
      </c>
    </row>
    <row r="724" spans="1:3" x14ac:dyDescent="0.3">
      <c r="A724" s="23">
        <v>5583705</v>
      </c>
      <c r="B724" s="23" t="s">
        <v>1681</v>
      </c>
      <c r="C724" s="24">
        <v>336</v>
      </c>
    </row>
    <row r="725" spans="1:3" x14ac:dyDescent="0.3">
      <c r="A725" s="23">
        <v>5583706</v>
      </c>
      <c r="B725" s="23" t="s">
        <v>2415</v>
      </c>
      <c r="C725" s="24">
        <v>13</v>
      </c>
    </row>
    <row r="726" spans="1:3" x14ac:dyDescent="0.3">
      <c r="A726" s="23">
        <v>5583711</v>
      </c>
      <c r="B726" s="23" t="s">
        <v>2064</v>
      </c>
      <c r="C726" s="24">
        <v>112</v>
      </c>
    </row>
    <row r="727" spans="1:3" x14ac:dyDescent="0.3">
      <c r="A727" s="23">
        <v>5583716</v>
      </c>
      <c r="B727" s="23" t="s">
        <v>1684</v>
      </c>
      <c r="C727" s="24">
        <v>217</v>
      </c>
    </row>
    <row r="728" spans="1:3" x14ac:dyDescent="0.3">
      <c r="A728" s="23">
        <v>5583719</v>
      </c>
      <c r="B728" s="23" t="s">
        <v>1683</v>
      </c>
      <c r="C728" s="24">
        <v>159</v>
      </c>
    </row>
    <row r="729" spans="1:3" x14ac:dyDescent="0.3">
      <c r="A729" s="23">
        <v>5583720</v>
      </c>
      <c r="B729" s="23" t="s">
        <v>2416</v>
      </c>
      <c r="C729" s="24">
        <v>1860</v>
      </c>
    </row>
    <row r="730" spans="1:3" x14ac:dyDescent="0.3">
      <c r="A730" s="23">
        <v>5583721</v>
      </c>
      <c r="B730" s="23" t="s">
        <v>2118</v>
      </c>
      <c r="C730" s="24">
        <v>340</v>
      </c>
    </row>
    <row r="731" spans="1:3" x14ac:dyDescent="0.3">
      <c r="A731" s="23">
        <v>5583722</v>
      </c>
      <c r="B731" s="23" t="s">
        <v>2119</v>
      </c>
      <c r="C731" s="24">
        <v>351</v>
      </c>
    </row>
    <row r="732" spans="1:3" x14ac:dyDescent="0.3">
      <c r="A732" s="23">
        <v>5583723</v>
      </c>
      <c r="B732" s="23" t="s">
        <v>2417</v>
      </c>
      <c r="C732" s="24">
        <v>1253</v>
      </c>
    </row>
    <row r="733" spans="1:3" x14ac:dyDescent="0.3">
      <c r="A733" s="23">
        <v>5623395</v>
      </c>
      <c r="B733" s="23" t="s">
        <v>2418</v>
      </c>
      <c r="C733" s="24">
        <v>32</v>
      </c>
    </row>
    <row r="734" spans="1:3" x14ac:dyDescent="0.3">
      <c r="A734" s="23">
        <v>5623396</v>
      </c>
      <c r="B734" s="23" t="s">
        <v>1961</v>
      </c>
      <c r="C734" s="24">
        <v>447</v>
      </c>
    </row>
    <row r="735" spans="1:3" x14ac:dyDescent="0.3">
      <c r="A735" s="23">
        <v>5623397</v>
      </c>
      <c r="B735" s="23" t="s">
        <v>1959</v>
      </c>
      <c r="C735" s="24">
        <v>872</v>
      </c>
    </row>
    <row r="736" spans="1:3" x14ac:dyDescent="0.3">
      <c r="A736" s="23">
        <v>5623398</v>
      </c>
      <c r="B736" s="23" t="s">
        <v>2419</v>
      </c>
      <c r="C736" s="24">
        <v>17</v>
      </c>
    </row>
    <row r="737" spans="1:3" x14ac:dyDescent="0.3">
      <c r="A737" s="23">
        <v>5623399</v>
      </c>
      <c r="B737" s="23" t="s">
        <v>1958</v>
      </c>
      <c r="C737" s="24">
        <v>1151</v>
      </c>
    </row>
    <row r="738" spans="1:3" x14ac:dyDescent="0.3">
      <c r="A738" s="23">
        <v>5623400</v>
      </c>
      <c r="B738" s="23" t="s">
        <v>2420</v>
      </c>
      <c r="C738" s="24">
        <v>5</v>
      </c>
    </row>
    <row r="739" spans="1:3" x14ac:dyDescent="0.3">
      <c r="A739" s="23">
        <v>5623401</v>
      </c>
      <c r="B739" s="23" t="s">
        <v>1966</v>
      </c>
      <c r="C739" s="24">
        <v>243</v>
      </c>
    </row>
    <row r="740" spans="1:3" x14ac:dyDescent="0.3">
      <c r="A740" s="23">
        <v>5624588</v>
      </c>
      <c r="B740" s="23" t="s">
        <v>2665</v>
      </c>
      <c r="C740" s="24">
        <v>2</v>
      </c>
    </row>
    <row r="741" spans="1:3" x14ac:dyDescent="0.3">
      <c r="A741" s="23">
        <v>5624589</v>
      </c>
      <c r="B741" s="23" t="s">
        <v>2421</v>
      </c>
      <c r="C741" s="24">
        <v>40</v>
      </c>
    </row>
    <row r="742" spans="1:3" x14ac:dyDescent="0.3">
      <c r="A742" s="23">
        <v>5624590</v>
      </c>
      <c r="B742" s="23" t="s">
        <v>1685</v>
      </c>
      <c r="C742" s="24">
        <v>62</v>
      </c>
    </row>
    <row r="743" spans="1:3" x14ac:dyDescent="0.3">
      <c r="A743" s="23">
        <v>5624601</v>
      </c>
      <c r="B743" s="23" t="s">
        <v>2666</v>
      </c>
      <c r="C743" s="24">
        <v>2</v>
      </c>
    </row>
    <row r="744" spans="1:3" x14ac:dyDescent="0.3">
      <c r="A744" s="23">
        <v>5624602</v>
      </c>
      <c r="B744" s="23" t="s">
        <v>2422</v>
      </c>
      <c r="C744" s="24">
        <v>20</v>
      </c>
    </row>
    <row r="745" spans="1:3" x14ac:dyDescent="0.3">
      <c r="A745" s="23">
        <v>5624603</v>
      </c>
      <c r="B745" s="23" t="s">
        <v>2423</v>
      </c>
      <c r="C745" s="24">
        <v>96</v>
      </c>
    </row>
    <row r="746" spans="1:3" x14ac:dyDescent="0.3">
      <c r="A746" s="23">
        <v>5677497</v>
      </c>
      <c r="B746" s="23" t="s">
        <v>2424</v>
      </c>
      <c r="C746" s="24">
        <v>9</v>
      </c>
    </row>
    <row r="747" spans="1:3" x14ac:dyDescent="0.3">
      <c r="A747" s="23">
        <v>5677500</v>
      </c>
      <c r="B747" s="23" t="s">
        <v>2425</v>
      </c>
      <c r="C747" s="24">
        <v>37</v>
      </c>
    </row>
    <row r="748" spans="1:3" x14ac:dyDescent="0.3">
      <c r="A748" s="23">
        <v>5677502</v>
      </c>
      <c r="B748" s="23" t="s">
        <v>2426</v>
      </c>
      <c r="C748" s="24">
        <v>46</v>
      </c>
    </row>
    <row r="749" spans="1:3" x14ac:dyDescent="0.3">
      <c r="A749" s="23">
        <v>5677505</v>
      </c>
      <c r="B749" s="23" t="s">
        <v>2427</v>
      </c>
      <c r="C749" s="24">
        <v>3</v>
      </c>
    </row>
    <row r="750" spans="1:3" x14ac:dyDescent="0.3">
      <c r="A750" s="23">
        <v>5677506</v>
      </c>
      <c r="B750" s="23" t="s">
        <v>2428</v>
      </c>
      <c r="C750" s="24">
        <v>8</v>
      </c>
    </row>
    <row r="751" spans="1:3" x14ac:dyDescent="0.3">
      <c r="A751" s="23">
        <v>5677508</v>
      </c>
      <c r="B751" s="23" t="s">
        <v>2429</v>
      </c>
      <c r="C751" s="24">
        <v>3</v>
      </c>
    </row>
    <row r="752" spans="1:3" x14ac:dyDescent="0.3">
      <c r="A752" s="23">
        <v>5677510</v>
      </c>
      <c r="B752" s="23" t="s">
        <v>2667</v>
      </c>
      <c r="C752" s="24">
        <v>4</v>
      </c>
    </row>
    <row r="753" spans="1:3" x14ac:dyDescent="0.3">
      <c r="A753" s="23">
        <v>5677511</v>
      </c>
      <c r="B753" s="23" t="s">
        <v>2430</v>
      </c>
      <c r="C753" s="24">
        <v>6</v>
      </c>
    </row>
    <row r="754" spans="1:3" x14ac:dyDescent="0.3">
      <c r="A754" s="23">
        <v>5677512</v>
      </c>
      <c r="B754" s="23" t="s">
        <v>2431</v>
      </c>
      <c r="C754" s="24">
        <v>2</v>
      </c>
    </row>
    <row r="755" spans="1:3" x14ac:dyDescent="0.3">
      <c r="A755" s="23">
        <v>5677514</v>
      </c>
      <c r="B755" s="23" t="s">
        <v>2432</v>
      </c>
      <c r="C755" s="24">
        <v>16</v>
      </c>
    </row>
    <row r="756" spans="1:3" x14ac:dyDescent="0.3">
      <c r="A756" s="23">
        <v>5677517</v>
      </c>
      <c r="B756" s="23" t="s">
        <v>2433</v>
      </c>
      <c r="C756" s="24">
        <v>74</v>
      </c>
    </row>
    <row r="757" spans="1:3" x14ac:dyDescent="0.3">
      <c r="A757" s="23">
        <v>5677519</v>
      </c>
      <c r="B757" s="23" t="s">
        <v>2434</v>
      </c>
      <c r="C757" s="24">
        <v>38</v>
      </c>
    </row>
    <row r="758" spans="1:3" x14ac:dyDescent="0.3">
      <c r="A758" s="23">
        <v>5677520</v>
      </c>
      <c r="B758" s="23" t="s">
        <v>2435</v>
      </c>
      <c r="C758" s="24">
        <v>5</v>
      </c>
    </row>
    <row r="759" spans="1:3" x14ac:dyDescent="0.3">
      <c r="A759" s="23">
        <v>5677521</v>
      </c>
      <c r="B759" s="23" t="s">
        <v>2436</v>
      </c>
      <c r="C759" s="24">
        <v>17</v>
      </c>
    </row>
    <row r="760" spans="1:3" x14ac:dyDescent="0.3">
      <c r="A760" s="23">
        <v>5677522</v>
      </c>
      <c r="B760" s="23" t="s">
        <v>2437</v>
      </c>
      <c r="C760" s="24">
        <v>21</v>
      </c>
    </row>
    <row r="761" spans="1:3" x14ac:dyDescent="0.3">
      <c r="A761" s="23">
        <v>5718712</v>
      </c>
      <c r="B761" s="23" t="s">
        <v>2668</v>
      </c>
      <c r="C761" s="24">
        <v>177</v>
      </c>
    </row>
    <row r="762" spans="1:3" x14ac:dyDescent="0.3">
      <c r="A762" s="23">
        <v>5718716</v>
      </c>
      <c r="B762" s="23" t="s">
        <v>2669</v>
      </c>
      <c r="C762" s="24">
        <v>13</v>
      </c>
    </row>
    <row r="763" spans="1:3" x14ac:dyDescent="0.3">
      <c r="A763" s="23">
        <v>5723486</v>
      </c>
      <c r="B763" s="23" t="s">
        <v>2670</v>
      </c>
      <c r="C763" s="24">
        <v>3</v>
      </c>
    </row>
    <row r="764" spans="1:3" x14ac:dyDescent="0.3">
      <c r="A764" s="23">
        <v>5736097</v>
      </c>
      <c r="B764" s="23" t="s">
        <v>2116</v>
      </c>
      <c r="C764" s="24">
        <v>288</v>
      </c>
    </row>
    <row r="765" spans="1:3" x14ac:dyDescent="0.3">
      <c r="A765" s="23">
        <v>5736099</v>
      </c>
      <c r="B765" s="23" t="s">
        <v>2671</v>
      </c>
      <c r="C765" s="25">
        <v>0</v>
      </c>
    </row>
    <row r="766" spans="1:3" x14ac:dyDescent="0.3">
      <c r="A766" s="23">
        <v>5736100</v>
      </c>
      <c r="B766" s="23" t="s">
        <v>2438</v>
      </c>
      <c r="C766" s="24">
        <v>765</v>
      </c>
    </row>
    <row r="767" spans="1:3" x14ac:dyDescent="0.3">
      <c r="A767" s="23">
        <v>5748571</v>
      </c>
      <c r="B767" s="23" t="s">
        <v>1984</v>
      </c>
      <c r="C767" s="24">
        <v>44</v>
      </c>
    </row>
    <row r="768" spans="1:3" x14ac:dyDescent="0.3">
      <c r="A768" s="23">
        <v>5748572</v>
      </c>
      <c r="B768" s="23" t="s">
        <v>2008</v>
      </c>
      <c r="C768" s="24">
        <v>3</v>
      </c>
    </row>
    <row r="769" spans="1:3" x14ac:dyDescent="0.3">
      <c r="A769" s="23">
        <v>5827579</v>
      </c>
      <c r="B769" s="23" t="s">
        <v>2672</v>
      </c>
      <c r="C769" s="24">
        <v>186</v>
      </c>
    </row>
    <row r="770" spans="1:3" x14ac:dyDescent="0.3">
      <c r="A770" s="23">
        <v>5832544</v>
      </c>
      <c r="B770" s="23" t="s">
        <v>2673</v>
      </c>
      <c r="C770" s="24">
        <v>1</v>
      </c>
    </row>
    <row r="771" spans="1:3" x14ac:dyDescent="0.3">
      <c r="A771" s="23">
        <v>5844387</v>
      </c>
      <c r="B771" s="23" t="s">
        <v>2674</v>
      </c>
      <c r="C771" s="24">
        <v>24</v>
      </c>
    </row>
    <row r="772" spans="1:3" x14ac:dyDescent="0.3">
      <c r="A772" s="23">
        <v>6020476</v>
      </c>
      <c r="B772" s="23" t="s">
        <v>2675</v>
      </c>
      <c r="C772" s="24">
        <v>4</v>
      </c>
    </row>
    <row r="773" spans="1:3" x14ac:dyDescent="0.3">
      <c r="A773" s="23">
        <v>6020477</v>
      </c>
      <c r="B773" s="23" t="s">
        <v>1773</v>
      </c>
      <c r="C773" s="24">
        <v>4</v>
      </c>
    </row>
    <row r="774" spans="1:3" x14ac:dyDescent="0.3">
      <c r="A774" s="23">
        <v>6025089</v>
      </c>
      <c r="B774" s="23" t="s">
        <v>2676</v>
      </c>
      <c r="C774" s="24">
        <v>1</v>
      </c>
    </row>
    <row r="775" spans="1:3" x14ac:dyDescent="0.3">
      <c r="A775" s="23">
        <v>6025090</v>
      </c>
      <c r="B775" s="23" t="s">
        <v>2677</v>
      </c>
      <c r="C775" s="24">
        <v>1</v>
      </c>
    </row>
    <row r="776" spans="1:3" x14ac:dyDescent="0.3">
      <c r="A776" s="23">
        <v>6027600</v>
      </c>
      <c r="B776" s="23" t="s">
        <v>2678</v>
      </c>
      <c r="C776" s="24">
        <v>10</v>
      </c>
    </row>
    <row r="777" spans="1:3" x14ac:dyDescent="0.3">
      <c r="A777" s="23">
        <v>6033790</v>
      </c>
      <c r="B777" s="23" t="s">
        <v>2439</v>
      </c>
      <c r="C777" s="24">
        <v>9</v>
      </c>
    </row>
    <row r="778" spans="1:3" x14ac:dyDescent="0.3">
      <c r="A778" s="23">
        <v>6033892</v>
      </c>
      <c r="B778" s="23" t="s">
        <v>1815</v>
      </c>
      <c r="C778" s="24">
        <v>34</v>
      </c>
    </row>
    <row r="779" spans="1:3" x14ac:dyDescent="0.3">
      <c r="A779" s="23">
        <v>6033893</v>
      </c>
      <c r="B779" s="23" t="s">
        <v>1817</v>
      </c>
      <c r="C779" s="24">
        <v>8</v>
      </c>
    </row>
    <row r="780" spans="1:3" x14ac:dyDescent="0.3">
      <c r="A780" s="23">
        <v>6033895</v>
      </c>
      <c r="B780" s="23" t="s">
        <v>1814</v>
      </c>
      <c r="C780" s="24">
        <v>4</v>
      </c>
    </row>
    <row r="781" spans="1:3" x14ac:dyDescent="0.3">
      <c r="A781" s="23">
        <v>6033896</v>
      </c>
      <c r="B781" s="23" t="s">
        <v>1816</v>
      </c>
      <c r="C781" s="24">
        <v>2</v>
      </c>
    </row>
    <row r="782" spans="1:3" x14ac:dyDescent="0.3">
      <c r="A782" s="23">
        <v>6033956</v>
      </c>
      <c r="B782" s="23" t="s">
        <v>1878</v>
      </c>
      <c r="C782" s="24">
        <v>1</v>
      </c>
    </row>
    <row r="783" spans="1:3" x14ac:dyDescent="0.3">
      <c r="A783" s="23">
        <v>6033961</v>
      </c>
      <c r="B783" s="23" t="s">
        <v>1381</v>
      </c>
      <c r="C783" s="24">
        <v>66</v>
      </c>
    </row>
    <row r="784" spans="1:3" x14ac:dyDescent="0.3">
      <c r="A784" s="23">
        <v>6033962</v>
      </c>
      <c r="B784" s="23" t="s">
        <v>1382</v>
      </c>
      <c r="C784" s="24">
        <v>28</v>
      </c>
    </row>
    <row r="785" spans="1:3" x14ac:dyDescent="0.3">
      <c r="A785" s="23">
        <v>6033965</v>
      </c>
      <c r="B785" s="23" t="s">
        <v>1384</v>
      </c>
      <c r="C785" s="24">
        <v>31</v>
      </c>
    </row>
    <row r="786" spans="1:3" x14ac:dyDescent="0.3">
      <c r="A786" s="23">
        <v>6033966</v>
      </c>
      <c r="B786" s="23" t="s">
        <v>1380</v>
      </c>
      <c r="C786" s="24">
        <v>6</v>
      </c>
    </row>
    <row r="787" spans="1:3" x14ac:dyDescent="0.3">
      <c r="A787" s="23">
        <v>6033968</v>
      </c>
      <c r="B787" s="23" t="s">
        <v>1383</v>
      </c>
      <c r="C787" s="24">
        <v>1</v>
      </c>
    </row>
    <row r="788" spans="1:3" x14ac:dyDescent="0.3">
      <c r="A788" s="23">
        <v>6034077</v>
      </c>
      <c r="B788" s="23" t="s">
        <v>1895</v>
      </c>
      <c r="C788" s="24">
        <v>92</v>
      </c>
    </row>
    <row r="789" spans="1:3" x14ac:dyDescent="0.3">
      <c r="A789" s="23">
        <v>6034078</v>
      </c>
      <c r="B789" s="23" t="s">
        <v>1892</v>
      </c>
      <c r="C789" s="24">
        <v>22</v>
      </c>
    </row>
    <row r="790" spans="1:3" x14ac:dyDescent="0.3">
      <c r="A790" s="23">
        <v>6034079</v>
      </c>
      <c r="B790" s="23" t="s">
        <v>1893</v>
      </c>
      <c r="C790" s="24">
        <v>302</v>
      </c>
    </row>
    <row r="791" spans="1:3" x14ac:dyDescent="0.3">
      <c r="A791" s="23">
        <v>6034080</v>
      </c>
      <c r="B791" s="23" t="s">
        <v>1894</v>
      </c>
      <c r="C791" s="24">
        <v>132</v>
      </c>
    </row>
    <row r="792" spans="1:3" x14ac:dyDescent="0.3">
      <c r="A792" s="23">
        <v>6034107</v>
      </c>
      <c r="B792" s="23" t="s">
        <v>1781</v>
      </c>
      <c r="C792" s="24">
        <v>3</v>
      </c>
    </row>
    <row r="793" spans="1:3" x14ac:dyDescent="0.3">
      <c r="A793" s="23">
        <v>6034110</v>
      </c>
      <c r="B793" s="23" t="s">
        <v>2679</v>
      </c>
      <c r="C793" s="24">
        <v>1</v>
      </c>
    </row>
    <row r="794" spans="1:3" x14ac:dyDescent="0.3">
      <c r="A794" s="23">
        <v>6034121</v>
      </c>
      <c r="B794" s="23" t="s">
        <v>1783</v>
      </c>
      <c r="C794" s="24">
        <v>6</v>
      </c>
    </row>
    <row r="795" spans="1:3" x14ac:dyDescent="0.3">
      <c r="A795" s="23">
        <v>6038885</v>
      </c>
      <c r="B795" s="23" t="s">
        <v>2440</v>
      </c>
      <c r="C795" s="24">
        <v>1</v>
      </c>
    </row>
    <row r="796" spans="1:3" x14ac:dyDescent="0.3">
      <c r="A796" s="23">
        <v>6038889</v>
      </c>
      <c r="B796" s="23" t="s">
        <v>1772</v>
      </c>
      <c r="C796" s="24">
        <v>1</v>
      </c>
    </row>
    <row r="797" spans="1:3" x14ac:dyDescent="0.3">
      <c r="A797" s="23">
        <v>6038910</v>
      </c>
      <c r="B797" s="23" t="s">
        <v>2441</v>
      </c>
      <c r="C797" s="24">
        <v>4</v>
      </c>
    </row>
    <row r="798" spans="1:3" x14ac:dyDescent="0.3">
      <c r="A798" s="23">
        <v>6038911</v>
      </c>
      <c r="B798" s="23" t="s">
        <v>2680</v>
      </c>
      <c r="C798" s="24">
        <v>3</v>
      </c>
    </row>
    <row r="799" spans="1:3" x14ac:dyDescent="0.3">
      <c r="A799" s="23">
        <v>6038919</v>
      </c>
      <c r="B799" s="23" t="s">
        <v>2681</v>
      </c>
      <c r="C799" s="24">
        <v>3</v>
      </c>
    </row>
    <row r="800" spans="1:3" x14ac:dyDescent="0.3">
      <c r="A800" s="23">
        <v>6038922</v>
      </c>
      <c r="B800" s="23" t="s">
        <v>1771</v>
      </c>
      <c r="C800" s="24">
        <v>3</v>
      </c>
    </row>
    <row r="801" spans="1:3" x14ac:dyDescent="0.3">
      <c r="A801" s="23">
        <v>6038955</v>
      </c>
      <c r="B801" s="23" t="s">
        <v>2682</v>
      </c>
      <c r="C801" s="24">
        <v>1</v>
      </c>
    </row>
    <row r="802" spans="1:3" x14ac:dyDescent="0.3">
      <c r="A802" s="23">
        <v>6038956</v>
      </c>
      <c r="B802" s="23" t="s">
        <v>2683</v>
      </c>
      <c r="C802" s="25">
        <v>0</v>
      </c>
    </row>
    <row r="803" spans="1:3" x14ac:dyDescent="0.3">
      <c r="A803" s="23">
        <v>6040542</v>
      </c>
      <c r="B803" s="23" t="s">
        <v>2684</v>
      </c>
      <c r="C803" s="24">
        <v>7</v>
      </c>
    </row>
    <row r="804" spans="1:3" x14ac:dyDescent="0.3">
      <c r="A804" s="23">
        <v>6045947</v>
      </c>
      <c r="B804" s="23" t="s">
        <v>2442</v>
      </c>
      <c r="C804" s="24">
        <v>3</v>
      </c>
    </row>
    <row r="805" spans="1:3" x14ac:dyDescent="0.3">
      <c r="A805" s="23">
        <v>6045948</v>
      </c>
      <c r="B805" s="23" t="s">
        <v>2443</v>
      </c>
      <c r="C805" s="24">
        <v>5</v>
      </c>
    </row>
    <row r="806" spans="1:3" x14ac:dyDescent="0.3">
      <c r="A806" s="23">
        <v>6045949</v>
      </c>
      <c r="B806" s="23" t="s">
        <v>2444</v>
      </c>
      <c r="C806" s="24">
        <v>1</v>
      </c>
    </row>
    <row r="807" spans="1:3" x14ac:dyDescent="0.3">
      <c r="A807" s="23">
        <v>6045951</v>
      </c>
      <c r="B807" s="23" t="s">
        <v>2445</v>
      </c>
      <c r="C807" s="25">
        <v>0</v>
      </c>
    </row>
    <row r="808" spans="1:3" x14ac:dyDescent="0.3">
      <c r="A808" s="23">
        <v>6047741</v>
      </c>
      <c r="B808" s="23" t="s">
        <v>1379</v>
      </c>
      <c r="C808" s="24">
        <v>2</v>
      </c>
    </row>
    <row r="809" spans="1:3" x14ac:dyDescent="0.3">
      <c r="A809" s="23">
        <v>6049615</v>
      </c>
      <c r="B809" s="23" t="s">
        <v>1409</v>
      </c>
      <c r="C809" s="24">
        <v>8</v>
      </c>
    </row>
    <row r="810" spans="1:3" x14ac:dyDescent="0.3">
      <c r="A810" s="23">
        <v>6053877</v>
      </c>
      <c r="B810" s="23" t="s">
        <v>2446</v>
      </c>
      <c r="C810" s="24">
        <v>5</v>
      </c>
    </row>
    <row r="811" spans="1:3" x14ac:dyDescent="0.3">
      <c r="A811" s="23">
        <v>6053879</v>
      </c>
      <c r="B811" s="23" t="s">
        <v>2447</v>
      </c>
      <c r="C811" s="24">
        <v>11</v>
      </c>
    </row>
    <row r="812" spans="1:3" x14ac:dyDescent="0.3">
      <c r="A812" s="23">
        <v>6054160</v>
      </c>
      <c r="B812" s="23" t="s">
        <v>2448</v>
      </c>
      <c r="C812" s="24">
        <v>9</v>
      </c>
    </row>
    <row r="813" spans="1:3" x14ac:dyDescent="0.3">
      <c r="A813" s="23">
        <v>6054161</v>
      </c>
      <c r="B813" s="23" t="s">
        <v>2449</v>
      </c>
      <c r="C813" s="24">
        <v>20</v>
      </c>
    </row>
    <row r="814" spans="1:3" x14ac:dyDescent="0.3">
      <c r="A814" s="23">
        <v>6054162</v>
      </c>
      <c r="B814" s="23" t="s">
        <v>2450</v>
      </c>
      <c r="C814" s="24">
        <v>61</v>
      </c>
    </row>
    <row r="815" spans="1:3" x14ac:dyDescent="0.3">
      <c r="A815" s="23">
        <v>6054177</v>
      </c>
      <c r="B815" s="23" t="s">
        <v>2685</v>
      </c>
      <c r="C815" s="24">
        <v>11</v>
      </c>
    </row>
    <row r="816" spans="1:3" x14ac:dyDescent="0.3">
      <c r="A816" s="23">
        <v>6054202</v>
      </c>
      <c r="B816" s="23" t="s">
        <v>1875</v>
      </c>
      <c r="C816" s="24">
        <v>25</v>
      </c>
    </row>
    <row r="817" spans="1:3" x14ac:dyDescent="0.3">
      <c r="A817" s="23">
        <v>6054204</v>
      </c>
      <c r="B817" s="23" t="s">
        <v>1876</v>
      </c>
      <c r="C817" s="24">
        <v>9</v>
      </c>
    </row>
    <row r="818" spans="1:3" x14ac:dyDescent="0.3">
      <c r="A818" s="23">
        <v>6054205</v>
      </c>
      <c r="B818" s="23" t="s">
        <v>2686</v>
      </c>
      <c r="C818" s="24">
        <v>10</v>
      </c>
    </row>
    <row r="819" spans="1:3" x14ac:dyDescent="0.3">
      <c r="A819" s="23">
        <v>6058996</v>
      </c>
      <c r="B819" s="23" t="s">
        <v>1387</v>
      </c>
      <c r="C819" s="24">
        <v>50</v>
      </c>
    </row>
    <row r="820" spans="1:3" x14ac:dyDescent="0.3">
      <c r="A820" s="23">
        <v>6059063</v>
      </c>
      <c r="B820" s="23" t="s">
        <v>1392</v>
      </c>
      <c r="C820" s="24">
        <v>3</v>
      </c>
    </row>
    <row r="821" spans="1:3" x14ac:dyDescent="0.3">
      <c r="A821" s="23">
        <v>6059067</v>
      </c>
      <c r="B821" s="23" t="s">
        <v>1391</v>
      </c>
      <c r="C821" s="24">
        <v>58</v>
      </c>
    </row>
    <row r="822" spans="1:3" x14ac:dyDescent="0.3">
      <c r="A822" s="23">
        <v>6059081</v>
      </c>
      <c r="B822" s="23" t="s">
        <v>1389</v>
      </c>
      <c r="C822" s="24">
        <v>2</v>
      </c>
    </row>
    <row r="823" spans="1:3" x14ac:dyDescent="0.3">
      <c r="A823" s="23">
        <v>6059114</v>
      </c>
      <c r="B823" s="23" t="s">
        <v>2687</v>
      </c>
      <c r="C823" s="24">
        <v>1</v>
      </c>
    </row>
    <row r="824" spans="1:3" x14ac:dyDescent="0.3">
      <c r="A824" s="23">
        <v>6059116</v>
      </c>
      <c r="B824" s="23" t="s">
        <v>1390</v>
      </c>
      <c r="C824" s="24">
        <v>2</v>
      </c>
    </row>
    <row r="825" spans="1:3" x14ac:dyDescent="0.3">
      <c r="A825" s="23">
        <v>6059434</v>
      </c>
      <c r="B825" s="23" t="s">
        <v>2688</v>
      </c>
      <c r="C825" s="24">
        <v>3</v>
      </c>
    </row>
    <row r="826" spans="1:3" x14ac:dyDescent="0.3">
      <c r="A826" s="23">
        <v>6059447</v>
      </c>
      <c r="B826" s="23" t="s">
        <v>1422</v>
      </c>
      <c r="C826" s="24">
        <v>348</v>
      </c>
    </row>
    <row r="827" spans="1:3" x14ac:dyDescent="0.3">
      <c r="A827" s="23">
        <v>6059462</v>
      </c>
      <c r="B827" s="23" t="s">
        <v>2689</v>
      </c>
      <c r="C827" s="24">
        <v>2</v>
      </c>
    </row>
    <row r="828" spans="1:3" x14ac:dyDescent="0.3">
      <c r="A828" s="23">
        <v>6061767</v>
      </c>
      <c r="B828" s="23" t="s">
        <v>2690</v>
      </c>
      <c r="C828" s="24">
        <v>5</v>
      </c>
    </row>
    <row r="829" spans="1:3" x14ac:dyDescent="0.3">
      <c r="A829" s="23">
        <v>6061768</v>
      </c>
      <c r="B829" s="23" t="s">
        <v>1388</v>
      </c>
      <c r="C829" s="24">
        <v>32</v>
      </c>
    </row>
    <row r="830" spans="1:3" x14ac:dyDescent="0.3">
      <c r="A830" s="23">
        <v>6083792</v>
      </c>
      <c r="B830" s="23" t="s">
        <v>1600</v>
      </c>
      <c r="C830" s="24">
        <v>260</v>
      </c>
    </row>
    <row r="831" spans="1:3" x14ac:dyDescent="0.3">
      <c r="A831" s="23">
        <v>6084658</v>
      </c>
      <c r="B831" s="23" t="s">
        <v>2691</v>
      </c>
      <c r="C831" s="24">
        <v>1</v>
      </c>
    </row>
    <row r="832" spans="1:3" x14ac:dyDescent="0.3">
      <c r="A832" s="23">
        <v>6085079</v>
      </c>
      <c r="B832" s="23" t="s">
        <v>1902</v>
      </c>
      <c r="C832" s="24">
        <v>8</v>
      </c>
    </row>
    <row r="833" spans="1:3" x14ac:dyDescent="0.3">
      <c r="A833" s="23">
        <v>6085110</v>
      </c>
      <c r="B833" s="23" t="s">
        <v>1903</v>
      </c>
      <c r="C833" s="24">
        <v>1</v>
      </c>
    </row>
    <row r="834" spans="1:3" x14ac:dyDescent="0.3">
      <c r="A834" s="23">
        <v>6085971</v>
      </c>
      <c r="B834" s="23" t="s">
        <v>1879</v>
      </c>
      <c r="C834" s="24">
        <v>103</v>
      </c>
    </row>
    <row r="835" spans="1:3" x14ac:dyDescent="0.3">
      <c r="A835" s="23">
        <v>6090469</v>
      </c>
      <c r="B835" s="23" t="s">
        <v>1904</v>
      </c>
      <c r="C835" s="24">
        <v>8</v>
      </c>
    </row>
    <row r="836" spans="1:3" x14ac:dyDescent="0.3">
      <c r="A836" s="23">
        <v>6092863</v>
      </c>
      <c r="B836" s="23" t="s">
        <v>1901</v>
      </c>
      <c r="C836" s="24">
        <v>184</v>
      </c>
    </row>
    <row r="837" spans="1:3" x14ac:dyDescent="0.3">
      <c r="A837" s="23">
        <v>6093275</v>
      </c>
      <c r="B837" s="23" t="s">
        <v>1444</v>
      </c>
      <c r="C837" s="24">
        <v>24</v>
      </c>
    </row>
    <row r="838" spans="1:3" x14ac:dyDescent="0.3">
      <c r="A838" s="23">
        <v>6093276</v>
      </c>
      <c r="B838" s="23" t="s">
        <v>1443</v>
      </c>
      <c r="C838" s="24">
        <v>4</v>
      </c>
    </row>
    <row r="839" spans="1:3" x14ac:dyDescent="0.3">
      <c r="A839" s="23">
        <v>6103930</v>
      </c>
      <c r="B839" s="23" t="s">
        <v>2692</v>
      </c>
      <c r="C839" s="24">
        <v>17</v>
      </c>
    </row>
    <row r="840" spans="1:3" x14ac:dyDescent="0.3">
      <c r="A840" s="23">
        <v>6103932</v>
      </c>
      <c r="B840" s="23" t="s">
        <v>1322</v>
      </c>
      <c r="C840" s="24">
        <v>6</v>
      </c>
    </row>
    <row r="841" spans="1:3" x14ac:dyDescent="0.3">
      <c r="A841" s="23">
        <v>6103934</v>
      </c>
      <c r="B841" s="23" t="s">
        <v>2693</v>
      </c>
      <c r="C841" s="24">
        <v>42</v>
      </c>
    </row>
    <row r="842" spans="1:3" x14ac:dyDescent="0.3">
      <c r="A842" s="23">
        <v>6103935</v>
      </c>
      <c r="B842" s="23" t="s">
        <v>1320</v>
      </c>
      <c r="C842" s="24">
        <v>24</v>
      </c>
    </row>
    <row r="843" spans="1:3" x14ac:dyDescent="0.3">
      <c r="A843" s="23">
        <v>6106492</v>
      </c>
      <c r="B843" s="23" t="s">
        <v>1419</v>
      </c>
      <c r="C843" s="24">
        <v>329</v>
      </c>
    </row>
    <row r="844" spans="1:3" x14ac:dyDescent="0.3">
      <c r="A844" s="23">
        <v>6106494</v>
      </c>
      <c r="B844" s="23" t="s">
        <v>2694</v>
      </c>
      <c r="C844" s="24">
        <v>6</v>
      </c>
    </row>
    <row r="845" spans="1:3" x14ac:dyDescent="0.3">
      <c r="A845" s="23">
        <v>6107198</v>
      </c>
      <c r="B845" s="23" t="s">
        <v>2695</v>
      </c>
      <c r="C845" s="24">
        <v>2</v>
      </c>
    </row>
    <row r="846" spans="1:3" x14ac:dyDescent="0.3">
      <c r="A846" s="23">
        <v>6107199</v>
      </c>
      <c r="B846" s="23" t="s">
        <v>2696</v>
      </c>
      <c r="C846" s="24">
        <v>1</v>
      </c>
    </row>
    <row r="847" spans="1:3" x14ac:dyDescent="0.3">
      <c r="A847" s="23">
        <v>6107203</v>
      </c>
      <c r="B847" s="23" t="s">
        <v>2697</v>
      </c>
      <c r="C847" s="24">
        <v>4</v>
      </c>
    </row>
    <row r="848" spans="1:3" x14ac:dyDescent="0.3">
      <c r="A848" s="23">
        <v>6107206</v>
      </c>
      <c r="B848" s="23" t="s">
        <v>1918</v>
      </c>
      <c r="C848" s="24">
        <v>2</v>
      </c>
    </row>
    <row r="849" spans="1:3" x14ac:dyDescent="0.3">
      <c r="A849" s="23">
        <v>6107241</v>
      </c>
      <c r="B849" s="23" t="s">
        <v>2698</v>
      </c>
      <c r="C849" s="24">
        <v>4</v>
      </c>
    </row>
    <row r="850" spans="1:3" x14ac:dyDescent="0.3">
      <c r="A850" s="23">
        <v>6107243</v>
      </c>
      <c r="B850" s="23" t="s">
        <v>2699</v>
      </c>
      <c r="C850" s="24">
        <v>2</v>
      </c>
    </row>
    <row r="851" spans="1:3" x14ac:dyDescent="0.3">
      <c r="A851" s="23">
        <v>6107245</v>
      </c>
      <c r="B851" s="23" t="s">
        <v>2700</v>
      </c>
      <c r="C851" s="24">
        <v>27</v>
      </c>
    </row>
    <row r="852" spans="1:3" x14ac:dyDescent="0.3">
      <c r="A852" s="23">
        <v>6107247</v>
      </c>
      <c r="B852" s="23" t="s">
        <v>2698</v>
      </c>
      <c r="C852" s="24">
        <v>1</v>
      </c>
    </row>
    <row r="853" spans="1:3" x14ac:dyDescent="0.3">
      <c r="A853" s="23">
        <v>6107254</v>
      </c>
      <c r="B853" s="23" t="s">
        <v>1719</v>
      </c>
      <c r="C853" s="24">
        <v>74</v>
      </c>
    </row>
    <row r="854" spans="1:3" x14ac:dyDescent="0.3">
      <c r="A854" s="23">
        <v>6107261</v>
      </c>
      <c r="B854" s="23" t="s">
        <v>1734</v>
      </c>
      <c r="C854" s="24">
        <v>9</v>
      </c>
    </row>
    <row r="855" spans="1:3" x14ac:dyDescent="0.3">
      <c r="A855" s="23">
        <v>6107266</v>
      </c>
      <c r="B855" s="23" t="s">
        <v>2701</v>
      </c>
      <c r="C855" s="24">
        <v>34</v>
      </c>
    </row>
    <row r="856" spans="1:3" x14ac:dyDescent="0.3">
      <c r="A856" s="23">
        <v>6107268</v>
      </c>
      <c r="B856" s="23" t="s">
        <v>1729</v>
      </c>
      <c r="C856" s="24">
        <v>63</v>
      </c>
    </row>
    <row r="857" spans="1:3" x14ac:dyDescent="0.3">
      <c r="A857" s="23">
        <v>6107271</v>
      </c>
      <c r="B857" s="23" t="s">
        <v>1718</v>
      </c>
      <c r="C857" s="24">
        <v>119</v>
      </c>
    </row>
    <row r="858" spans="1:3" x14ac:dyDescent="0.3">
      <c r="A858" s="23">
        <v>6107273</v>
      </c>
      <c r="B858" s="23" t="s">
        <v>1722</v>
      </c>
      <c r="C858" s="24">
        <v>46</v>
      </c>
    </row>
    <row r="859" spans="1:3" x14ac:dyDescent="0.3">
      <c r="A859" s="23">
        <v>6107274</v>
      </c>
      <c r="B859" s="23" t="s">
        <v>1736</v>
      </c>
      <c r="C859" s="24">
        <v>21</v>
      </c>
    </row>
    <row r="860" spans="1:3" x14ac:dyDescent="0.3">
      <c r="A860" s="23">
        <v>6107276</v>
      </c>
      <c r="B860" s="23" t="s">
        <v>1732</v>
      </c>
      <c r="C860" s="24">
        <v>73</v>
      </c>
    </row>
    <row r="861" spans="1:3" x14ac:dyDescent="0.3">
      <c r="A861" s="23">
        <v>6107277</v>
      </c>
      <c r="B861" s="23" t="s">
        <v>1735</v>
      </c>
      <c r="C861" s="24">
        <v>54</v>
      </c>
    </row>
    <row r="862" spans="1:3" x14ac:dyDescent="0.3">
      <c r="A862" s="23">
        <v>6107286</v>
      </c>
      <c r="B862" s="23" t="s">
        <v>2702</v>
      </c>
      <c r="C862" s="24">
        <v>1</v>
      </c>
    </row>
    <row r="863" spans="1:3" x14ac:dyDescent="0.3">
      <c r="A863" s="23">
        <v>6107289</v>
      </c>
      <c r="B863" s="23" t="s">
        <v>1721</v>
      </c>
      <c r="C863" s="24">
        <v>124</v>
      </c>
    </row>
    <row r="864" spans="1:3" x14ac:dyDescent="0.3">
      <c r="A864" s="23">
        <v>6107296</v>
      </c>
      <c r="B864" s="23" t="s">
        <v>1717</v>
      </c>
      <c r="C864" s="24">
        <v>30</v>
      </c>
    </row>
    <row r="865" spans="1:3" x14ac:dyDescent="0.3">
      <c r="A865" s="23">
        <v>6107298</v>
      </c>
      <c r="B865" s="23" t="s">
        <v>1720</v>
      </c>
      <c r="C865" s="24">
        <v>13</v>
      </c>
    </row>
    <row r="866" spans="1:3" x14ac:dyDescent="0.3">
      <c r="A866" s="23">
        <v>6107300</v>
      </c>
      <c r="B866" s="23" t="s">
        <v>1724</v>
      </c>
      <c r="C866" s="24">
        <v>67</v>
      </c>
    </row>
    <row r="867" spans="1:3" x14ac:dyDescent="0.3">
      <c r="A867" s="23">
        <v>6107326</v>
      </c>
      <c r="B867" s="23" t="s">
        <v>1385</v>
      </c>
      <c r="C867" s="24">
        <v>4</v>
      </c>
    </row>
    <row r="868" spans="1:3" x14ac:dyDescent="0.3">
      <c r="A868" s="23">
        <v>6107487</v>
      </c>
      <c r="B868" s="23" t="s">
        <v>2703</v>
      </c>
      <c r="C868" s="24">
        <v>1</v>
      </c>
    </row>
    <row r="869" spans="1:3" x14ac:dyDescent="0.3">
      <c r="A869" s="23">
        <v>6107488</v>
      </c>
      <c r="B869" s="23" t="s">
        <v>2704</v>
      </c>
      <c r="C869" s="24">
        <v>2</v>
      </c>
    </row>
    <row r="870" spans="1:3" x14ac:dyDescent="0.3">
      <c r="A870" s="23">
        <v>6107491</v>
      </c>
      <c r="B870" s="23" t="s">
        <v>1872</v>
      </c>
      <c r="C870" s="24">
        <v>1</v>
      </c>
    </row>
    <row r="871" spans="1:3" x14ac:dyDescent="0.3">
      <c r="A871" s="23">
        <v>6107494</v>
      </c>
      <c r="B871" s="23" t="s">
        <v>2705</v>
      </c>
      <c r="C871" s="24">
        <v>5</v>
      </c>
    </row>
    <row r="872" spans="1:3" x14ac:dyDescent="0.3">
      <c r="A872" s="23">
        <v>6107507</v>
      </c>
      <c r="B872" s="23" t="s">
        <v>2706</v>
      </c>
      <c r="C872" s="24">
        <v>1</v>
      </c>
    </row>
    <row r="873" spans="1:3" x14ac:dyDescent="0.3">
      <c r="A873" s="23">
        <v>6107508</v>
      </c>
      <c r="B873" s="23" t="s">
        <v>1870</v>
      </c>
      <c r="C873" s="24">
        <v>3</v>
      </c>
    </row>
    <row r="874" spans="1:3" x14ac:dyDescent="0.3">
      <c r="A874" s="23">
        <v>6107510</v>
      </c>
      <c r="B874" s="23" t="s">
        <v>2451</v>
      </c>
      <c r="C874" s="24">
        <v>3</v>
      </c>
    </row>
    <row r="875" spans="1:3" x14ac:dyDescent="0.3">
      <c r="A875" s="23">
        <v>6107519</v>
      </c>
      <c r="B875" s="23" t="s">
        <v>1871</v>
      </c>
      <c r="C875" s="24">
        <v>2</v>
      </c>
    </row>
    <row r="876" spans="1:3" x14ac:dyDescent="0.3">
      <c r="A876" s="23">
        <v>6107521</v>
      </c>
      <c r="B876" s="23" t="s">
        <v>2707</v>
      </c>
      <c r="C876" s="24">
        <v>1</v>
      </c>
    </row>
    <row r="877" spans="1:3" x14ac:dyDescent="0.3">
      <c r="A877" s="23">
        <v>6107529</v>
      </c>
      <c r="B877" s="23" t="s">
        <v>1869</v>
      </c>
      <c r="C877" s="24">
        <v>1</v>
      </c>
    </row>
    <row r="878" spans="1:3" x14ac:dyDescent="0.3">
      <c r="A878" s="23">
        <v>6107782</v>
      </c>
      <c r="B878" s="23" t="s">
        <v>2708</v>
      </c>
      <c r="C878" s="24">
        <v>3</v>
      </c>
    </row>
    <row r="879" spans="1:3" x14ac:dyDescent="0.3">
      <c r="A879" s="23">
        <v>6107788</v>
      </c>
      <c r="B879" s="23" t="s">
        <v>1753</v>
      </c>
      <c r="C879" s="24">
        <v>2</v>
      </c>
    </row>
    <row r="880" spans="1:3" x14ac:dyDescent="0.3">
      <c r="A880" s="23">
        <v>6107811</v>
      </c>
      <c r="B880" s="23" t="s">
        <v>2709</v>
      </c>
      <c r="C880" s="24">
        <v>2</v>
      </c>
    </row>
    <row r="881" spans="1:3" x14ac:dyDescent="0.3">
      <c r="A881" s="23">
        <v>6107837</v>
      </c>
      <c r="B881" s="23" t="s">
        <v>1835</v>
      </c>
      <c r="C881" s="24">
        <v>7</v>
      </c>
    </row>
    <row r="882" spans="1:3" x14ac:dyDescent="0.3">
      <c r="A882" s="23">
        <v>6107885</v>
      </c>
      <c r="B882" s="23" t="s">
        <v>1796</v>
      </c>
      <c r="C882" s="24">
        <v>19</v>
      </c>
    </row>
    <row r="883" spans="1:3" x14ac:dyDescent="0.3">
      <c r="A883" s="23">
        <v>6107886</v>
      </c>
      <c r="B883" s="23" t="s">
        <v>1797</v>
      </c>
      <c r="C883" s="24">
        <v>1</v>
      </c>
    </row>
    <row r="884" spans="1:3" x14ac:dyDescent="0.3">
      <c r="A884" s="23">
        <v>6107890</v>
      </c>
      <c r="B884" s="23" t="s">
        <v>1794</v>
      </c>
      <c r="C884" s="24">
        <v>4</v>
      </c>
    </row>
    <row r="885" spans="1:3" x14ac:dyDescent="0.3">
      <c r="A885" s="23">
        <v>6107900</v>
      </c>
      <c r="B885" s="23" t="s">
        <v>1787</v>
      </c>
      <c r="C885" s="24">
        <v>18</v>
      </c>
    </row>
    <row r="886" spans="1:3" x14ac:dyDescent="0.3">
      <c r="A886" s="23">
        <v>6107901</v>
      </c>
      <c r="B886" s="23" t="s">
        <v>1788</v>
      </c>
      <c r="C886" s="24">
        <v>12</v>
      </c>
    </row>
    <row r="887" spans="1:3" x14ac:dyDescent="0.3">
      <c r="A887" s="23">
        <v>6107904</v>
      </c>
      <c r="B887" s="23" t="s">
        <v>1786</v>
      </c>
      <c r="C887" s="24">
        <v>2</v>
      </c>
    </row>
    <row r="888" spans="1:3" x14ac:dyDescent="0.3">
      <c r="A888" s="23">
        <v>6107909</v>
      </c>
      <c r="B888" s="23" t="s">
        <v>1789</v>
      </c>
      <c r="C888" s="24">
        <v>20</v>
      </c>
    </row>
    <row r="889" spans="1:3" x14ac:dyDescent="0.3">
      <c r="A889" s="23">
        <v>6107911</v>
      </c>
      <c r="B889" s="23" t="s">
        <v>1793</v>
      </c>
      <c r="C889" s="24">
        <v>2</v>
      </c>
    </row>
    <row r="890" spans="1:3" x14ac:dyDescent="0.3">
      <c r="A890" s="23">
        <v>6107915</v>
      </c>
      <c r="B890" s="23" t="s">
        <v>2710</v>
      </c>
      <c r="C890" s="24">
        <v>1</v>
      </c>
    </row>
    <row r="891" spans="1:3" x14ac:dyDescent="0.3">
      <c r="A891" s="23">
        <v>6107916</v>
      </c>
      <c r="B891" s="23" t="s">
        <v>1377</v>
      </c>
      <c r="C891" s="24">
        <v>7</v>
      </c>
    </row>
    <row r="892" spans="1:3" x14ac:dyDescent="0.3">
      <c r="A892" s="23">
        <v>6107918</v>
      </c>
      <c r="B892" s="23" t="s">
        <v>1710</v>
      </c>
      <c r="C892" s="24">
        <v>19</v>
      </c>
    </row>
    <row r="893" spans="1:3" x14ac:dyDescent="0.3">
      <c r="A893" s="23">
        <v>6107920</v>
      </c>
      <c r="B893" s="23" t="s">
        <v>2711</v>
      </c>
      <c r="C893" s="24">
        <v>11</v>
      </c>
    </row>
    <row r="894" spans="1:3" x14ac:dyDescent="0.3">
      <c r="A894" s="23">
        <v>6107921</v>
      </c>
      <c r="B894" s="23" t="s">
        <v>1820</v>
      </c>
      <c r="C894" s="24">
        <v>14</v>
      </c>
    </row>
    <row r="895" spans="1:3" x14ac:dyDescent="0.3">
      <c r="A895" s="23">
        <v>6107925</v>
      </c>
      <c r="B895" s="23" t="s">
        <v>1709</v>
      </c>
      <c r="C895" s="24">
        <v>23</v>
      </c>
    </row>
    <row r="896" spans="1:3" x14ac:dyDescent="0.3">
      <c r="A896" s="23">
        <v>6107936</v>
      </c>
      <c r="B896" s="23" t="s">
        <v>2712</v>
      </c>
      <c r="C896" s="24">
        <v>2</v>
      </c>
    </row>
    <row r="897" spans="1:3" x14ac:dyDescent="0.3">
      <c r="A897" s="23">
        <v>6107952</v>
      </c>
      <c r="B897" s="23" t="s">
        <v>1847</v>
      </c>
      <c r="C897" s="24">
        <v>4</v>
      </c>
    </row>
    <row r="898" spans="1:3" x14ac:dyDescent="0.3">
      <c r="A898" s="23">
        <v>6107955</v>
      </c>
      <c r="B898" s="23" t="s">
        <v>1848</v>
      </c>
      <c r="C898" s="24">
        <v>2</v>
      </c>
    </row>
    <row r="899" spans="1:3" x14ac:dyDescent="0.3">
      <c r="A899" s="23">
        <v>6107956</v>
      </c>
      <c r="B899" s="23" t="s">
        <v>1849</v>
      </c>
      <c r="C899" s="24">
        <v>6</v>
      </c>
    </row>
    <row r="900" spans="1:3" x14ac:dyDescent="0.3">
      <c r="A900" s="23">
        <v>6107957</v>
      </c>
      <c r="B900" s="23" t="s">
        <v>1850</v>
      </c>
      <c r="C900" s="24">
        <v>3</v>
      </c>
    </row>
    <row r="901" spans="1:3" x14ac:dyDescent="0.3">
      <c r="A901" s="23">
        <v>6107964</v>
      </c>
      <c r="B901" s="23" t="s">
        <v>1851</v>
      </c>
      <c r="C901" s="24">
        <v>8</v>
      </c>
    </row>
    <row r="902" spans="1:3" x14ac:dyDescent="0.3">
      <c r="A902" s="23">
        <v>6107969</v>
      </c>
      <c r="B902" s="23" t="s">
        <v>1860</v>
      </c>
      <c r="C902" s="24">
        <v>6</v>
      </c>
    </row>
    <row r="903" spans="1:3" x14ac:dyDescent="0.3">
      <c r="A903" s="23">
        <v>6107970</v>
      </c>
      <c r="B903" s="23" t="s">
        <v>1861</v>
      </c>
      <c r="C903" s="24">
        <v>2</v>
      </c>
    </row>
    <row r="904" spans="1:3" x14ac:dyDescent="0.3">
      <c r="A904" s="23">
        <v>6107976</v>
      </c>
      <c r="B904" s="23" t="s">
        <v>1840</v>
      </c>
      <c r="C904" s="24">
        <v>131</v>
      </c>
    </row>
    <row r="905" spans="1:3" x14ac:dyDescent="0.3">
      <c r="A905" s="23">
        <v>6107977</v>
      </c>
      <c r="B905" s="23" t="s">
        <v>1864</v>
      </c>
      <c r="C905" s="24">
        <v>6</v>
      </c>
    </row>
    <row r="906" spans="1:3" x14ac:dyDescent="0.3">
      <c r="A906" s="23">
        <v>6107978</v>
      </c>
      <c r="B906" s="23" t="s">
        <v>1843</v>
      </c>
      <c r="C906" s="24">
        <v>20</v>
      </c>
    </row>
    <row r="907" spans="1:3" x14ac:dyDescent="0.3">
      <c r="A907" s="23">
        <v>6107980</v>
      </c>
      <c r="B907" s="23" t="s">
        <v>2452</v>
      </c>
      <c r="C907" s="24">
        <v>33</v>
      </c>
    </row>
    <row r="908" spans="1:3" x14ac:dyDescent="0.3">
      <c r="A908" s="23">
        <v>6107984</v>
      </c>
      <c r="B908" s="23" t="s">
        <v>1846</v>
      </c>
      <c r="C908" s="24">
        <v>4</v>
      </c>
    </row>
    <row r="909" spans="1:3" x14ac:dyDescent="0.3">
      <c r="A909" s="23">
        <v>6107986</v>
      </c>
      <c r="B909" s="23" t="s">
        <v>1863</v>
      </c>
      <c r="C909" s="24">
        <v>1</v>
      </c>
    </row>
    <row r="910" spans="1:3" x14ac:dyDescent="0.3">
      <c r="A910" s="23">
        <v>6107987</v>
      </c>
      <c r="B910" s="23" t="s">
        <v>2453</v>
      </c>
      <c r="C910" s="24">
        <v>43</v>
      </c>
    </row>
    <row r="911" spans="1:3" x14ac:dyDescent="0.3">
      <c r="A911" s="23">
        <v>6107988</v>
      </c>
      <c r="B911" s="23" t="s">
        <v>2454</v>
      </c>
      <c r="C911" s="24">
        <v>12</v>
      </c>
    </row>
    <row r="912" spans="1:3" x14ac:dyDescent="0.3">
      <c r="A912" s="23">
        <v>6108019</v>
      </c>
      <c r="B912" s="23" t="s">
        <v>1852</v>
      </c>
      <c r="C912" s="24">
        <v>2</v>
      </c>
    </row>
    <row r="913" spans="1:3" x14ac:dyDescent="0.3">
      <c r="A913" s="23">
        <v>6108022</v>
      </c>
      <c r="B913" s="23" t="s">
        <v>1839</v>
      </c>
      <c r="C913" s="24">
        <v>10</v>
      </c>
    </row>
    <row r="914" spans="1:3" x14ac:dyDescent="0.3">
      <c r="A914" s="23">
        <v>6108024</v>
      </c>
      <c r="B914" s="23" t="s">
        <v>2713</v>
      </c>
      <c r="C914" s="24">
        <v>2</v>
      </c>
    </row>
    <row r="915" spans="1:3" x14ac:dyDescent="0.3">
      <c r="A915" s="23">
        <v>6108530</v>
      </c>
      <c r="B915" s="23" t="s">
        <v>2714</v>
      </c>
      <c r="C915" s="24">
        <v>1</v>
      </c>
    </row>
    <row r="916" spans="1:3" x14ac:dyDescent="0.3">
      <c r="A916" s="23">
        <v>6108532</v>
      </c>
      <c r="B916" s="23" t="s">
        <v>1778</v>
      </c>
      <c r="C916" s="24">
        <v>1</v>
      </c>
    </row>
    <row r="917" spans="1:3" x14ac:dyDescent="0.3">
      <c r="A917" s="23">
        <v>6108953</v>
      </c>
      <c r="B917" s="23" t="s">
        <v>2455</v>
      </c>
      <c r="C917" s="24">
        <v>5</v>
      </c>
    </row>
    <row r="918" spans="1:3" x14ac:dyDescent="0.3">
      <c r="A918" s="23">
        <v>6108955</v>
      </c>
      <c r="B918" s="23" t="s">
        <v>2456</v>
      </c>
      <c r="C918" s="24">
        <v>13</v>
      </c>
    </row>
    <row r="919" spans="1:3" x14ac:dyDescent="0.3">
      <c r="A919" s="23">
        <v>6108962</v>
      </c>
      <c r="B919" s="23" t="s">
        <v>2457</v>
      </c>
      <c r="C919" s="24">
        <v>27</v>
      </c>
    </row>
    <row r="920" spans="1:3" x14ac:dyDescent="0.3">
      <c r="A920" s="23">
        <v>6108980</v>
      </c>
      <c r="B920" s="23" t="s">
        <v>2715</v>
      </c>
      <c r="C920" s="24">
        <v>6</v>
      </c>
    </row>
    <row r="921" spans="1:3" x14ac:dyDescent="0.3">
      <c r="A921" s="23">
        <v>6125148</v>
      </c>
      <c r="B921" s="23" t="s">
        <v>2458</v>
      </c>
      <c r="C921" s="24">
        <v>2</v>
      </c>
    </row>
    <row r="922" spans="1:3" x14ac:dyDescent="0.3">
      <c r="A922" s="23">
        <v>6130342</v>
      </c>
      <c r="B922" s="23" t="s">
        <v>2716</v>
      </c>
      <c r="C922" s="24">
        <v>6</v>
      </c>
    </row>
    <row r="923" spans="1:3" x14ac:dyDescent="0.3">
      <c r="A923" s="23">
        <v>6131331</v>
      </c>
      <c r="B923" s="23" t="s">
        <v>2717</v>
      </c>
      <c r="C923" s="24">
        <v>13</v>
      </c>
    </row>
    <row r="924" spans="1:3" x14ac:dyDescent="0.3">
      <c r="A924" s="23">
        <v>6133412</v>
      </c>
      <c r="B924" s="23" t="s">
        <v>1905</v>
      </c>
      <c r="C924" s="24">
        <v>43</v>
      </c>
    </row>
    <row r="925" spans="1:3" x14ac:dyDescent="0.3">
      <c r="A925" s="23">
        <v>6141007</v>
      </c>
      <c r="B925" s="23" t="s">
        <v>1795</v>
      </c>
      <c r="C925" s="24">
        <v>5</v>
      </c>
    </row>
    <row r="926" spans="1:3" x14ac:dyDescent="0.3">
      <c r="A926" s="23">
        <v>6141479</v>
      </c>
      <c r="B926" s="23" t="s">
        <v>1739</v>
      </c>
      <c r="C926" s="24">
        <v>4</v>
      </c>
    </row>
    <row r="927" spans="1:3" x14ac:dyDescent="0.3">
      <c r="A927" s="23">
        <v>6142663</v>
      </c>
      <c r="B927" s="23" t="s">
        <v>1856</v>
      </c>
      <c r="C927" s="24">
        <v>8</v>
      </c>
    </row>
    <row r="928" spans="1:3" x14ac:dyDescent="0.3">
      <c r="A928" s="23">
        <v>6142664</v>
      </c>
      <c r="B928" s="23" t="s">
        <v>2718</v>
      </c>
      <c r="C928" s="24">
        <v>2</v>
      </c>
    </row>
    <row r="929" spans="1:3" x14ac:dyDescent="0.3">
      <c r="A929" s="23">
        <v>6142665</v>
      </c>
      <c r="B929" s="23" t="s">
        <v>1862</v>
      </c>
      <c r="C929" s="24">
        <v>15</v>
      </c>
    </row>
    <row r="930" spans="1:3" x14ac:dyDescent="0.3">
      <c r="A930" s="23">
        <v>6142695</v>
      </c>
      <c r="B930" s="23" t="s">
        <v>1854</v>
      </c>
      <c r="C930" s="24">
        <v>8</v>
      </c>
    </row>
    <row r="931" spans="1:3" x14ac:dyDescent="0.3">
      <c r="A931" s="23">
        <v>6142696</v>
      </c>
      <c r="B931" s="23" t="s">
        <v>1855</v>
      </c>
      <c r="C931" s="24">
        <v>15</v>
      </c>
    </row>
    <row r="932" spans="1:3" x14ac:dyDescent="0.3">
      <c r="A932" s="23">
        <v>6143245</v>
      </c>
      <c r="B932" s="23" t="s">
        <v>2719</v>
      </c>
      <c r="C932" s="24">
        <v>2</v>
      </c>
    </row>
    <row r="933" spans="1:3" x14ac:dyDescent="0.3">
      <c r="A933" s="23">
        <v>6183826</v>
      </c>
      <c r="B933" s="23" t="s">
        <v>1541</v>
      </c>
      <c r="C933" s="24">
        <v>36</v>
      </c>
    </row>
    <row r="934" spans="1:3" x14ac:dyDescent="0.3">
      <c r="A934" s="23">
        <v>6183827</v>
      </c>
      <c r="B934" s="23" t="s">
        <v>1556</v>
      </c>
      <c r="C934" s="24">
        <v>285</v>
      </c>
    </row>
    <row r="935" spans="1:3" x14ac:dyDescent="0.3">
      <c r="A935" s="23">
        <v>6183828</v>
      </c>
      <c r="B935" s="23" t="s">
        <v>1345</v>
      </c>
      <c r="C935" s="24">
        <v>7</v>
      </c>
    </row>
    <row r="936" spans="1:3" x14ac:dyDescent="0.3">
      <c r="A936" s="23">
        <v>6183829</v>
      </c>
      <c r="B936" s="23" t="s">
        <v>1344</v>
      </c>
      <c r="C936" s="24">
        <v>4</v>
      </c>
    </row>
    <row r="937" spans="1:3" x14ac:dyDescent="0.3">
      <c r="A937" s="23">
        <v>6183836</v>
      </c>
      <c r="B937" s="23" t="s">
        <v>2720</v>
      </c>
      <c r="C937" s="24">
        <v>240</v>
      </c>
    </row>
    <row r="938" spans="1:3" x14ac:dyDescent="0.3">
      <c r="A938" s="23">
        <v>6183837</v>
      </c>
      <c r="B938" s="23" t="s">
        <v>2721</v>
      </c>
      <c r="C938" s="24">
        <v>3</v>
      </c>
    </row>
    <row r="939" spans="1:3" x14ac:dyDescent="0.3">
      <c r="A939" s="23">
        <v>6183838</v>
      </c>
      <c r="B939" s="23" t="s">
        <v>2722</v>
      </c>
      <c r="C939" s="24">
        <v>23</v>
      </c>
    </row>
    <row r="940" spans="1:3" x14ac:dyDescent="0.3">
      <c r="A940" s="23">
        <v>6183839</v>
      </c>
      <c r="B940" s="23" t="s">
        <v>2723</v>
      </c>
      <c r="C940" s="24">
        <v>8</v>
      </c>
    </row>
    <row r="941" spans="1:3" x14ac:dyDescent="0.3">
      <c r="A941" s="23">
        <v>6183840</v>
      </c>
      <c r="B941" s="23" t="s">
        <v>2724</v>
      </c>
      <c r="C941" s="24">
        <v>276</v>
      </c>
    </row>
    <row r="942" spans="1:3" x14ac:dyDescent="0.3">
      <c r="A942" s="23">
        <v>6183851</v>
      </c>
      <c r="B942" s="23" t="s">
        <v>2725</v>
      </c>
      <c r="C942" s="24">
        <v>110</v>
      </c>
    </row>
    <row r="943" spans="1:3" x14ac:dyDescent="0.3">
      <c r="A943" s="23">
        <v>6183852</v>
      </c>
      <c r="B943" s="23" t="s">
        <v>2726</v>
      </c>
      <c r="C943" s="24">
        <v>23</v>
      </c>
    </row>
    <row r="944" spans="1:3" x14ac:dyDescent="0.3">
      <c r="A944" s="23">
        <v>6183854</v>
      </c>
      <c r="B944" s="23" t="s">
        <v>1550</v>
      </c>
      <c r="C944" s="24">
        <v>5</v>
      </c>
    </row>
    <row r="945" spans="1:3" x14ac:dyDescent="0.3">
      <c r="A945" s="23">
        <v>6183855</v>
      </c>
      <c r="B945" s="23" t="s">
        <v>1497</v>
      </c>
      <c r="C945" s="24">
        <v>89</v>
      </c>
    </row>
    <row r="946" spans="1:3" x14ac:dyDescent="0.3">
      <c r="A946" s="23">
        <v>6183856</v>
      </c>
      <c r="B946" s="23" t="s">
        <v>1498</v>
      </c>
      <c r="C946" s="24">
        <v>39</v>
      </c>
    </row>
    <row r="947" spans="1:3" x14ac:dyDescent="0.3">
      <c r="A947" s="23">
        <v>6183857</v>
      </c>
      <c r="B947" s="23" t="s">
        <v>1499</v>
      </c>
      <c r="C947" s="24">
        <v>42</v>
      </c>
    </row>
    <row r="948" spans="1:3" x14ac:dyDescent="0.3">
      <c r="A948" s="23">
        <v>6183858</v>
      </c>
      <c r="B948" s="23" t="s">
        <v>1473</v>
      </c>
      <c r="C948" s="24">
        <v>244</v>
      </c>
    </row>
    <row r="949" spans="1:3" x14ac:dyDescent="0.3">
      <c r="A949" s="23">
        <v>6183859</v>
      </c>
      <c r="B949" s="23" t="s">
        <v>1578</v>
      </c>
      <c r="C949" s="24">
        <v>68</v>
      </c>
    </row>
    <row r="950" spans="1:3" x14ac:dyDescent="0.3">
      <c r="A950" s="23">
        <v>6183860</v>
      </c>
      <c r="B950" s="23" t="s">
        <v>1508</v>
      </c>
      <c r="C950" s="24">
        <v>9</v>
      </c>
    </row>
    <row r="951" spans="1:3" x14ac:dyDescent="0.3">
      <c r="A951" s="23">
        <v>6183861</v>
      </c>
      <c r="B951" s="23" t="s">
        <v>1507</v>
      </c>
      <c r="C951" s="24">
        <v>61</v>
      </c>
    </row>
    <row r="952" spans="1:3" x14ac:dyDescent="0.3">
      <c r="A952" s="23">
        <v>6183862</v>
      </c>
      <c r="B952" s="23" t="s">
        <v>1579</v>
      </c>
      <c r="C952" s="24">
        <v>181</v>
      </c>
    </row>
    <row r="953" spans="1:3" x14ac:dyDescent="0.3">
      <c r="A953" s="23">
        <v>6183864</v>
      </c>
      <c r="B953" s="23" t="s">
        <v>1542</v>
      </c>
      <c r="C953" s="24">
        <v>294</v>
      </c>
    </row>
    <row r="954" spans="1:3" x14ac:dyDescent="0.3">
      <c r="A954" s="23">
        <v>6183865</v>
      </c>
      <c r="B954" s="23" t="s">
        <v>1563</v>
      </c>
      <c r="C954" s="24">
        <v>17</v>
      </c>
    </row>
    <row r="955" spans="1:3" x14ac:dyDescent="0.3">
      <c r="A955" s="23">
        <v>6183866</v>
      </c>
      <c r="B955" s="23" t="s">
        <v>1559</v>
      </c>
      <c r="C955" s="24">
        <v>296</v>
      </c>
    </row>
    <row r="956" spans="1:3" x14ac:dyDescent="0.3">
      <c r="A956" s="23">
        <v>6183867</v>
      </c>
      <c r="B956" s="23" t="s">
        <v>1576</v>
      </c>
      <c r="C956" s="24">
        <v>28</v>
      </c>
    </row>
    <row r="957" spans="1:3" x14ac:dyDescent="0.3">
      <c r="A957" s="23">
        <v>6183868</v>
      </c>
      <c r="B957" s="23" t="s">
        <v>1557</v>
      </c>
      <c r="C957" s="24">
        <v>59</v>
      </c>
    </row>
    <row r="958" spans="1:3" x14ac:dyDescent="0.3">
      <c r="A958" s="23">
        <v>6183869</v>
      </c>
      <c r="B958" s="23" t="s">
        <v>1511</v>
      </c>
      <c r="C958" s="24">
        <v>65</v>
      </c>
    </row>
    <row r="959" spans="1:3" x14ac:dyDescent="0.3">
      <c r="A959" s="23">
        <v>6183871</v>
      </c>
      <c r="B959" s="23" t="s">
        <v>1553</v>
      </c>
      <c r="C959" s="24">
        <v>41</v>
      </c>
    </row>
    <row r="960" spans="1:3" x14ac:dyDescent="0.3">
      <c r="A960" s="23">
        <v>6183873</v>
      </c>
      <c r="B960" s="23" t="s">
        <v>1552</v>
      </c>
      <c r="C960" s="24">
        <v>9</v>
      </c>
    </row>
    <row r="961" spans="1:3" x14ac:dyDescent="0.3">
      <c r="A961" s="23">
        <v>6183874</v>
      </c>
      <c r="B961" s="23" t="s">
        <v>1574</v>
      </c>
      <c r="C961" s="24">
        <v>4</v>
      </c>
    </row>
    <row r="962" spans="1:3" x14ac:dyDescent="0.3">
      <c r="A962" s="23">
        <v>6183875</v>
      </c>
      <c r="B962" s="23" t="s">
        <v>1540</v>
      </c>
      <c r="C962" s="24">
        <v>259</v>
      </c>
    </row>
    <row r="963" spans="1:3" x14ac:dyDescent="0.3">
      <c r="A963" s="23">
        <v>6183891</v>
      </c>
      <c r="B963" s="23" t="s">
        <v>1347</v>
      </c>
      <c r="C963" s="24">
        <v>4</v>
      </c>
    </row>
    <row r="964" spans="1:3" x14ac:dyDescent="0.3">
      <c r="A964" s="23">
        <v>6183892</v>
      </c>
      <c r="B964" s="23" t="s">
        <v>1531</v>
      </c>
      <c r="C964" s="24">
        <v>82</v>
      </c>
    </row>
    <row r="965" spans="1:3" x14ac:dyDescent="0.3">
      <c r="A965" s="23">
        <v>6183893</v>
      </c>
      <c r="B965" s="23" t="s">
        <v>1528</v>
      </c>
      <c r="C965" s="24">
        <v>60</v>
      </c>
    </row>
    <row r="966" spans="1:3" x14ac:dyDescent="0.3">
      <c r="A966" s="23">
        <v>6183894</v>
      </c>
      <c r="B966" s="23" t="s">
        <v>1529</v>
      </c>
      <c r="C966" s="24">
        <v>3</v>
      </c>
    </row>
    <row r="967" spans="1:3" x14ac:dyDescent="0.3">
      <c r="A967" s="23">
        <v>6183896</v>
      </c>
      <c r="B967" s="23" t="s">
        <v>1523</v>
      </c>
      <c r="C967" s="24">
        <v>48</v>
      </c>
    </row>
    <row r="968" spans="1:3" x14ac:dyDescent="0.3">
      <c r="A968" s="23">
        <v>6183897</v>
      </c>
      <c r="B968" s="23" t="s">
        <v>1568</v>
      </c>
      <c r="C968" s="24">
        <v>78</v>
      </c>
    </row>
    <row r="969" spans="1:3" x14ac:dyDescent="0.3">
      <c r="A969" s="23">
        <v>6183898</v>
      </c>
      <c r="B969" s="23" t="s">
        <v>1496</v>
      </c>
      <c r="C969" s="24">
        <v>21</v>
      </c>
    </row>
    <row r="970" spans="1:3" x14ac:dyDescent="0.3">
      <c r="A970" s="23">
        <v>6183899</v>
      </c>
      <c r="B970" s="23" t="s">
        <v>1900</v>
      </c>
      <c r="C970" s="24">
        <v>246</v>
      </c>
    </row>
    <row r="971" spans="1:3" x14ac:dyDescent="0.3">
      <c r="A971" s="23">
        <v>6183900</v>
      </c>
      <c r="B971" s="23" t="s">
        <v>1597</v>
      </c>
      <c r="C971" s="24">
        <v>101</v>
      </c>
    </row>
    <row r="972" spans="1:3" x14ac:dyDescent="0.3">
      <c r="A972" s="23">
        <v>6183901</v>
      </c>
      <c r="B972" s="23" t="s">
        <v>1596</v>
      </c>
      <c r="C972" s="24">
        <v>15</v>
      </c>
    </row>
    <row r="973" spans="1:3" x14ac:dyDescent="0.3">
      <c r="A973" s="23">
        <v>6183902</v>
      </c>
      <c r="B973" s="23" t="s">
        <v>1598</v>
      </c>
      <c r="C973" s="24">
        <v>9</v>
      </c>
    </row>
    <row r="974" spans="1:3" x14ac:dyDescent="0.3">
      <c r="A974" s="23">
        <v>6183903</v>
      </c>
      <c r="B974" s="23" t="s">
        <v>1532</v>
      </c>
      <c r="C974" s="24">
        <v>26</v>
      </c>
    </row>
    <row r="975" spans="1:3" x14ac:dyDescent="0.3">
      <c r="A975" s="23">
        <v>6183904</v>
      </c>
      <c r="B975" s="23" t="s">
        <v>1329</v>
      </c>
      <c r="C975" s="24">
        <v>167</v>
      </c>
    </row>
    <row r="976" spans="1:3" x14ac:dyDescent="0.3">
      <c r="A976" s="23">
        <v>6183905</v>
      </c>
      <c r="B976" s="23" t="s">
        <v>1330</v>
      </c>
      <c r="C976" s="24">
        <v>48</v>
      </c>
    </row>
    <row r="977" spans="1:3" x14ac:dyDescent="0.3">
      <c r="A977" s="23">
        <v>6183906</v>
      </c>
      <c r="B977" s="23" t="s">
        <v>1520</v>
      </c>
      <c r="C977" s="24">
        <v>62</v>
      </c>
    </row>
    <row r="978" spans="1:3" x14ac:dyDescent="0.3">
      <c r="A978" s="23">
        <v>6183907</v>
      </c>
      <c r="B978" s="23" t="s">
        <v>1566</v>
      </c>
      <c r="C978" s="24">
        <v>108</v>
      </c>
    </row>
    <row r="979" spans="1:3" x14ac:dyDescent="0.3">
      <c r="A979" s="23">
        <v>6183908</v>
      </c>
      <c r="B979" s="23" t="s">
        <v>1565</v>
      </c>
      <c r="C979" s="24">
        <v>23</v>
      </c>
    </row>
    <row r="980" spans="1:3" x14ac:dyDescent="0.3">
      <c r="A980" s="23">
        <v>6183909</v>
      </c>
      <c r="B980" s="23" t="s">
        <v>1567</v>
      </c>
      <c r="C980" s="24">
        <v>272</v>
      </c>
    </row>
    <row r="981" spans="1:3" x14ac:dyDescent="0.3">
      <c r="A981" s="23">
        <v>6183910</v>
      </c>
      <c r="B981" s="23" t="s">
        <v>1512</v>
      </c>
      <c r="C981" s="24">
        <v>18</v>
      </c>
    </row>
    <row r="982" spans="1:3" x14ac:dyDescent="0.3">
      <c r="A982" s="23">
        <v>6183921</v>
      </c>
      <c r="B982" s="23" t="s">
        <v>1513</v>
      </c>
      <c r="C982" s="24">
        <v>13</v>
      </c>
    </row>
    <row r="983" spans="1:3" x14ac:dyDescent="0.3">
      <c r="A983" s="23">
        <v>6183922</v>
      </c>
      <c r="B983" s="23" t="s">
        <v>1585</v>
      </c>
      <c r="C983" s="24">
        <v>14</v>
      </c>
    </row>
    <row r="984" spans="1:3" x14ac:dyDescent="0.3">
      <c r="A984" s="23">
        <v>6183923</v>
      </c>
      <c r="B984" s="23" t="s">
        <v>1586</v>
      </c>
      <c r="C984" s="24">
        <v>9</v>
      </c>
    </row>
    <row r="985" spans="1:3" x14ac:dyDescent="0.3">
      <c r="A985" s="23">
        <v>6183924</v>
      </c>
      <c r="B985" s="23" t="s">
        <v>1526</v>
      </c>
      <c r="C985" s="24">
        <v>45</v>
      </c>
    </row>
    <row r="986" spans="1:3" x14ac:dyDescent="0.3">
      <c r="A986" s="23">
        <v>6183925</v>
      </c>
      <c r="B986" s="23" t="s">
        <v>1527</v>
      </c>
      <c r="C986" s="24">
        <v>35</v>
      </c>
    </row>
    <row r="987" spans="1:3" x14ac:dyDescent="0.3">
      <c r="A987" s="23">
        <v>6183926</v>
      </c>
      <c r="B987" s="23" t="s">
        <v>1519</v>
      </c>
      <c r="C987" s="24">
        <v>37</v>
      </c>
    </row>
    <row r="988" spans="1:3" x14ac:dyDescent="0.3">
      <c r="A988" s="23">
        <v>6183927</v>
      </c>
      <c r="B988" s="23" t="s">
        <v>1561</v>
      </c>
      <c r="C988" s="24">
        <v>3</v>
      </c>
    </row>
    <row r="989" spans="1:3" x14ac:dyDescent="0.3">
      <c r="A989" s="23">
        <v>6183928</v>
      </c>
      <c r="B989" s="23" t="s">
        <v>1562</v>
      </c>
      <c r="C989" s="24">
        <v>1</v>
      </c>
    </row>
    <row r="990" spans="1:3" x14ac:dyDescent="0.3">
      <c r="A990" s="23">
        <v>6183929</v>
      </c>
      <c r="B990" s="23" t="s">
        <v>2727</v>
      </c>
      <c r="C990" s="24">
        <v>1</v>
      </c>
    </row>
    <row r="991" spans="1:3" x14ac:dyDescent="0.3">
      <c r="A991" s="23">
        <v>6183930</v>
      </c>
      <c r="B991" s="23" t="s">
        <v>1582</v>
      </c>
      <c r="C991" s="24">
        <v>5</v>
      </c>
    </row>
    <row r="992" spans="1:3" x14ac:dyDescent="0.3">
      <c r="A992" s="23">
        <v>6183931</v>
      </c>
      <c r="B992" s="23" t="s">
        <v>1337</v>
      </c>
      <c r="C992" s="24">
        <v>8</v>
      </c>
    </row>
    <row r="993" spans="1:3" x14ac:dyDescent="0.3">
      <c r="A993" s="23">
        <v>6183932</v>
      </c>
      <c r="B993" s="23" t="s">
        <v>1338</v>
      </c>
      <c r="C993" s="24">
        <v>16</v>
      </c>
    </row>
    <row r="994" spans="1:3" x14ac:dyDescent="0.3">
      <c r="A994" s="23">
        <v>6183933</v>
      </c>
      <c r="B994" s="23" t="s">
        <v>1339</v>
      </c>
      <c r="C994" s="24">
        <v>10</v>
      </c>
    </row>
    <row r="995" spans="1:3" x14ac:dyDescent="0.3">
      <c r="A995" s="23">
        <v>6183934</v>
      </c>
      <c r="B995" s="23" t="s">
        <v>1340</v>
      </c>
      <c r="C995" s="24">
        <v>11</v>
      </c>
    </row>
    <row r="996" spans="1:3" x14ac:dyDescent="0.3">
      <c r="A996" s="23">
        <v>6183935</v>
      </c>
      <c r="B996" s="23" t="s">
        <v>1335</v>
      </c>
      <c r="C996" s="24">
        <v>14</v>
      </c>
    </row>
    <row r="997" spans="1:3" x14ac:dyDescent="0.3">
      <c r="A997" s="23">
        <v>6183936</v>
      </c>
      <c r="B997" s="23" t="s">
        <v>1336</v>
      </c>
      <c r="C997" s="24">
        <v>5</v>
      </c>
    </row>
    <row r="998" spans="1:3" x14ac:dyDescent="0.3">
      <c r="A998" s="23">
        <v>6183937</v>
      </c>
      <c r="B998" s="23" t="s">
        <v>1341</v>
      </c>
      <c r="C998" s="24">
        <v>11</v>
      </c>
    </row>
    <row r="999" spans="1:3" x14ac:dyDescent="0.3">
      <c r="A999" s="23">
        <v>6183938</v>
      </c>
      <c r="B999" s="23" t="s">
        <v>1342</v>
      </c>
      <c r="C999" s="24">
        <v>8</v>
      </c>
    </row>
    <row r="1000" spans="1:3" x14ac:dyDescent="0.3">
      <c r="A1000" s="23">
        <v>6183939</v>
      </c>
      <c r="B1000" s="23" t="s">
        <v>1343</v>
      </c>
      <c r="C1000" s="24">
        <v>6</v>
      </c>
    </row>
    <row r="1001" spans="1:3" x14ac:dyDescent="0.3">
      <c r="A1001" s="23">
        <v>6183941</v>
      </c>
      <c r="B1001" s="23" t="s">
        <v>1572</v>
      </c>
      <c r="C1001" s="24">
        <v>2</v>
      </c>
    </row>
    <row r="1002" spans="1:3" x14ac:dyDescent="0.3">
      <c r="A1002" s="23">
        <v>6183942</v>
      </c>
      <c r="B1002" s="23" t="s">
        <v>1487</v>
      </c>
      <c r="C1002" s="24">
        <v>16</v>
      </c>
    </row>
    <row r="1003" spans="1:3" x14ac:dyDescent="0.3">
      <c r="A1003" s="23">
        <v>6183943</v>
      </c>
      <c r="B1003" s="23" t="s">
        <v>1488</v>
      </c>
      <c r="C1003" s="24">
        <v>60</v>
      </c>
    </row>
    <row r="1004" spans="1:3" x14ac:dyDescent="0.3">
      <c r="A1004" s="23">
        <v>6183944</v>
      </c>
      <c r="B1004" s="23" t="s">
        <v>1489</v>
      </c>
      <c r="C1004" s="24">
        <v>211</v>
      </c>
    </row>
    <row r="1005" spans="1:3" x14ac:dyDescent="0.3">
      <c r="A1005" s="23">
        <v>6183945</v>
      </c>
      <c r="B1005" s="23" t="s">
        <v>1485</v>
      </c>
      <c r="C1005" s="24">
        <v>282</v>
      </c>
    </row>
    <row r="1006" spans="1:3" x14ac:dyDescent="0.3">
      <c r="A1006" s="23">
        <v>6183946</v>
      </c>
      <c r="B1006" s="23" t="s">
        <v>1490</v>
      </c>
      <c r="C1006" s="24">
        <v>28</v>
      </c>
    </row>
    <row r="1007" spans="1:3" x14ac:dyDescent="0.3">
      <c r="A1007" s="23">
        <v>6183947</v>
      </c>
      <c r="B1007" s="23" t="s">
        <v>1486</v>
      </c>
      <c r="C1007" s="24">
        <v>35</v>
      </c>
    </row>
    <row r="1008" spans="1:3" x14ac:dyDescent="0.3">
      <c r="A1008" s="23">
        <v>6183948</v>
      </c>
      <c r="B1008" s="23" t="s">
        <v>1558</v>
      </c>
      <c r="C1008" s="24">
        <v>45</v>
      </c>
    </row>
    <row r="1009" spans="1:3" x14ac:dyDescent="0.3">
      <c r="A1009" s="23">
        <v>6183949</v>
      </c>
      <c r="B1009" s="23" t="s">
        <v>1324</v>
      </c>
      <c r="C1009" s="24">
        <v>11</v>
      </c>
    </row>
    <row r="1010" spans="1:3" x14ac:dyDescent="0.3">
      <c r="A1010" s="23">
        <v>6183950</v>
      </c>
      <c r="B1010" s="23" t="s">
        <v>1325</v>
      </c>
      <c r="C1010" s="24">
        <v>19</v>
      </c>
    </row>
    <row r="1011" spans="1:3" x14ac:dyDescent="0.3">
      <c r="A1011" s="23">
        <v>6183951</v>
      </c>
      <c r="B1011" s="23" t="s">
        <v>1326</v>
      </c>
      <c r="C1011" s="24">
        <v>87</v>
      </c>
    </row>
    <row r="1012" spans="1:3" x14ac:dyDescent="0.3">
      <c r="A1012" s="23">
        <v>6183952</v>
      </c>
      <c r="B1012" s="23" t="s">
        <v>1323</v>
      </c>
      <c r="C1012" s="24">
        <v>59</v>
      </c>
    </row>
    <row r="1013" spans="1:3" x14ac:dyDescent="0.3">
      <c r="A1013" s="23">
        <v>6183954</v>
      </c>
      <c r="B1013" s="23" t="s">
        <v>1327</v>
      </c>
      <c r="C1013" s="24">
        <v>57</v>
      </c>
    </row>
    <row r="1014" spans="1:3" x14ac:dyDescent="0.3">
      <c r="A1014" s="23">
        <v>6183955</v>
      </c>
      <c r="B1014" s="23" t="s">
        <v>1328</v>
      </c>
      <c r="C1014" s="24">
        <v>17</v>
      </c>
    </row>
    <row r="1015" spans="1:3" x14ac:dyDescent="0.3">
      <c r="A1015" s="23">
        <v>6183959</v>
      </c>
      <c r="B1015" s="23" t="s">
        <v>1495</v>
      </c>
      <c r="C1015" s="24">
        <v>1</v>
      </c>
    </row>
    <row r="1016" spans="1:3" x14ac:dyDescent="0.3">
      <c r="A1016" s="23">
        <v>6183964</v>
      </c>
      <c r="B1016" s="23" t="s">
        <v>1331</v>
      </c>
      <c r="C1016" s="24">
        <v>24</v>
      </c>
    </row>
    <row r="1017" spans="1:3" x14ac:dyDescent="0.3">
      <c r="A1017" s="23">
        <v>6188290</v>
      </c>
      <c r="B1017" s="23" t="s">
        <v>2728</v>
      </c>
      <c r="C1017" s="24">
        <v>2</v>
      </c>
    </row>
    <row r="1018" spans="1:3" x14ac:dyDescent="0.3">
      <c r="A1018" s="23">
        <v>6188759</v>
      </c>
      <c r="B1018" s="23" t="s">
        <v>1500</v>
      </c>
      <c r="C1018" s="24">
        <v>147</v>
      </c>
    </row>
    <row r="1019" spans="1:3" x14ac:dyDescent="0.3">
      <c r="A1019" s="23">
        <v>6188760</v>
      </c>
      <c r="B1019" s="23" t="s">
        <v>1501</v>
      </c>
      <c r="C1019" s="24">
        <v>229</v>
      </c>
    </row>
    <row r="1020" spans="1:3" x14ac:dyDescent="0.3">
      <c r="A1020" s="23">
        <v>6188818</v>
      </c>
      <c r="B1020" s="23" t="s">
        <v>1575</v>
      </c>
      <c r="C1020" s="24">
        <v>50</v>
      </c>
    </row>
    <row r="1021" spans="1:3" x14ac:dyDescent="0.3">
      <c r="A1021" s="23">
        <v>6188819</v>
      </c>
      <c r="B1021" s="23" t="s">
        <v>1555</v>
      </c>
      <c r="C1021" s="24">
        <v>82</v>
      </c>
    </row>
    <row r="1022" spans="1:3" x14ac:dyDescent="0.3">
      <c r="A1022" s="23">
        <v>6188820</v>
      </c>
      <c r="B1022" s="23" t="s">
        <v>1554</v>
      </c>
      <c r="C1022" s="24">
        <v>30</v>
      </c>
    </row>
    <row r="1023" spans="1:3" x14ac:dyDescent="0.3">
      <c r="A1023" s="23">
        <v>6188829</v>
      </c>
      <c r="B1023" s="23" t="s">
        <v>2459</v>
      </c>
      <c r="C1023" s="24">
        <v>19</v>
      </c>
    </row>
    <row r="1024" spans="1:3" x14ac:dyDescent="0.3">
      <c r="A1024" s="23">
        <v>6188831</v>
      </c>
      <c r="B1024" s="23" t="s">
        <v>1502</v>
      </c>
      <c r="C1024" s="24">
        <v>146</v>
      </c>
    </row>
    <row r="1025" spans="1:3" x14ac:dyDescent="0.3">
      <c r="A1025" s="23">
        <v>6188833</v>
      </c>
      <c r="B1025" s="23" t="s">
        <v>1583</v>
      </c>
      <c r="C1025" s="24">
        <v>49</v>
      </c>
    </row>
    <row r="1026" spans="1:3" x14ac:dyDescent="0.3">
      <c r="A1026" s="23">
        <v>6188834</v>
      </c>
      <c r="B1026" s="23" t="s">
        <v>1584</v>
      </c>
      <c r="C1026" s="24">
        <v>52</v>
      </c>
    </row>
    <row r="1027" spans="1:3" x14ac:dyDescent="0.3">
      <c r="A1027" s="23">
        <v>6188835</v>
      </c>
      <c r="B1027" s="23" t="s">
        <v>1474</v>
      </c>
      <c r="C1027" s="24">
        <v>35</v>
      </c>
    </row>
    <row r="1028" spans="1:3" x14ac:dyDescent="0.3">
      <c r="A1028" s="23">
        <v>6188836</v>
      </c>
      <c r="B1028" s="23" t="s">
        <v>1475</v>
      </c>
      <c r="C1028" s="24">
        <v>316</v>
      </c>
    </row>
    <row r="1029" spans="1:3" x14ac:dyDescent="0.3">
      <c r="A1029" s="23">
        <v>6188838</v>
      </c>
      <c r="B1029" s="23" t="s">
        <v>1476</v>
      </c>
      <c r="C1029" s="24">
        <v>73</v>
      </c>
    </row>
    <row r="1030" spans="1:3" x14ac:dyDescent="0.3">
      <c r="A1030" s="23">
        <v>6188839</v>
      </c>
      <c r="B1030" s="23" t="s">
        <v>1477</v>
      </c>
      <c r="C1030" s="24">
        <v>1</v>
      </c>
    </row>
    <row r="1031" spans="1:3" x14ac:dyDescent="0.3">
      <c r="A1031" s="23">
        <v>6188841</v>
      </c>
      <c r="B1031" s="23" t="s">
        <v>1478</v>
      </c>
      <c r="C1031" s="24">
        <v>21</v>
      </c>
    </row>
    <row r="1032" spans="1:3" x14ac:dyDescent="0.3">
      <c r="A1032" s="23">
        <v>6188843</v>
      </c>
      <c r="B1032" s="23" t="s">
        <v>1479</v>
      </c>
      <c r="C1032" s="24">
        <v>4</v>
      </c>
    </row>
    <row r="1033" spans="1:3" x14ac:dyDescent="0.3">
      <c r="A1033" s="23">
        <v>6188849</v>
      </c>
      <c r="B1033" s="23" t="s">
        <v>1480</v>
      </c>
      <c r="C1033" s="24">
        <v>20</v>
      </c>
    </row>
    <row r="1034" spans="1:3" x14ac:dyDescent="0.3">
      <c r="A1034" s="23">
        <v>6188851</v>
      </c>
      <c r="B1034" s="23" t="s">
        <v>1481</v>
      </c>
      <c r="C1034" s="24">
        <v>29</v>
      </c>
    </row>
    <row r="1035" spans="1:3" x14ac:dyDescent="0.3">
      <c r="A1035" s="23">
        <v>6188854</v>
      </c>
      <c r="B1035" s="23" t="s">
        <v>1522</v>
      </c>
      <c r="C1035" s="25">
        <v>0</v>
      </c>
    </row>
    <row r="1036" spans="1:3" x14ac:dyDescent="0.3">
      <c r="A1036" s="23">
        <v>6188858</v>
      </c>
      <c r="B1036" s="23" t="s">
        <v>1521</v>
      </c>
      <c r="C1036" s="24">
        <v>6</v>
      </c>
    </row>
    <row r="1037" spans="1:3" x14ac:dyDescent="0.3">
      <c r="A1037" s="23">
        <v>6188859</v>
      </c>
      <c r="B1037" s="23" t="s">
        <v>1484</v>
      </c>
      <c r="C1037" s="24">
        <v>382</v>
      </c>
    </row>
    <row r="1038" spans="1:3" x14ac:dyDescent="0.3">
      <c r="A1038" s="23">
        <v>6188860</v>
      </c>
      <c r="B1038" s="23" t="s">
        <v>1482</v>
      </c>
      <c r="C1038" s="24">
        <v>404</v>
      </c>
    </row>
    <row r="1039" spans="1:3" x14ac:dyDescent="0.3">
      <c r="A1039" s="23">
        <v>6188861</v>
      </c>
      <c r="B1039" s="23" t="s">
        <v>1483</v>
      </c>
      <c r="C1039" s="24">
        <v>53</v>
      </c>
    </row>
    <row r="1040" spans="1:3" x14ac:dyDescent="0.3">
      <c r="A1040" s="23">
        <v>6188862</v>
      </c>
      <c r="B1040" s="23" t="s">
        <v>1442</v>
      </c>
      <c r="C1040" s="24">
        <v>26</v>
      </c>
    </row>
    <row r="1041" spans="1:3" x14ac:dyDescent="0.3">
      <c r="A1041" s="23">
        <v>6188863</v>
      </c>
      <c r="B1041" s="23" t="s">
        <v>1711</v>
      </c>
      <c r="C1041" s="24">
        <v>7</v>
      </c>
    </row>
    <row r="1042" spans="1:3" x14ac:dyDescent="0.3">
      <c r="A1042" s="23">
        <v>6188864</v>
      </c>
      <c r="B1042" s="23" t="s">
        <v>1538</v>
      </c>
      <c r="C1042" s="24">
        <v>54</v>
      </c>
    </row>
    <row r="1043" spans="1:3" x14ac:dyDescent="0.3">
      <c r="A1043" s="23">
        <v>6188865</v>
      </c>
      <c r="B1043" s="23" t="s">
        <v>1573</v>
      </c>
      <c r="C1043" s="24">
        <v>71</v>
      </c>
    </row>
    <row r="1044" spans="1:3" x14ac:dyDescent="0.3">
      <c r="A1044" s="23">
        <v>6188866</v>
      </c>
      <c r="B1044" s="23" t="s">
        <v>1569</v>
      </c>
      <c r="C1044" s="24">
        <v>9</v>
      </c>
    </row>
    <row r="1045" spans="1:3" x14ac:dyDescent="0.3">
      <c r="A1045" s="23">
        <v>6188868</v>
      </c>
      <c r="B1045" s="23" t="s">
        <v>1510</v>
      </c>
      <c r="C1045" s="24">
        <v>28</v>
      </c>
    </row>
    <row r="1046" spans="1:3" x14ac:dyDescent="0.3">
      <c r="A1046" s="23">
        <v>6188869</v>
      </c>
      <c r="B1046" s="23" t="s">
        <v>1516</v>
      </c>
      <c r="C1046" s="24">
        <v>19</v>
      </c>
    </row>
    <row r="1047" spans="1:3" x14ac:dyDescent="0.3">
      <c r="A1047" s="23">
        <v>6188870</v>
      </c>
      <c r="B1047" s="23" t="s">
        <v>1525</v>
      </c>
      <c r="C1047" s="24">
        <v>9</v>
      </c>
    </row>
    <row r="1048" spans="1:3" x14ac:dyDescent="0.3">
      <c r="A1048" s="23">
        <v>6188871</v>
      </c>
      <c r="B1048" s="23" t="s">
        <v>1524</v>
      </c>
      <c r="C1048" s="24">
        <v>8</v>
      </c>
    </row>
    <row r="1049" spans="1:3" x14ac:dyDescent="0.3">
      <c r="A1049" s="23">
        <v>6188872</v>
      </c>
      <c r="B1049" s="23" t="s">
        <v>1533</v>
      </c>
      <c r="C1049" s="24">
        <v>38</v>
      </c>
    </row>
    <row r="1050" spans="1:3" x14ac:dyDescent="0.3">
      <c r="A1050" s="23">
        <v>6188873</v>
      </c>
      <c r="B1050" s="23" t="s">
        <v>1534</v>
      </c>
      <c r="C1050" s="24">
        <v>9</v>
      </c>
    </row>
    <row r="1051" spans="1:3" x14ac:dyDescent="0.3">
      <c r="A1051" s="23">
        <v>6188874</v>
      </c>
      <c r="B1051" s="23" t="s">
        <v>1535</v>
      </c>
      <c r="C1051" s="24">
        <v>7</v>
      </c>
    </row>
    <row r="1052" spans="1:3" x14ac:dyDescent="0.3">
      <c r="A1052" s="23">
        <v>6188875</v>
      </c>
      <c r="B1052" s="23" t="s">
        <v>1333</v>
      </c>
      <c r="C1052" s="24">
        <v>3</v>
      </c>
    </row>
    <row r="1053" spans="1:3" x14ac:dyDescent="0.3">
      <c r="A1053" s="23">
        <v>6188877</v>
      </c>
      <c r="B1053" s="23" t="s">
        <v>1517</v>
      </c>
      <c r="C1053" s="24">
        <v>117</v>
      </c>
    </row>
    <row r="1054" spans="1:3" x14ac:dyDescent="0.3">
      <c r="A1054" s="23">
        <v>6188878</v>
      </c>
      <c r="B1054" s="23" t="s">
        <v>1518</v>
      </c>
      <c r="C1054" s="24">
        <v>32</v>
      </c>
    </row>
    <row r="1055" spans="1:3" x14ac:dyDescent="0.3">
      <c r="A1055" s="23">
        <v>6188881</v>
      </c>
      <c r="B1055" s="23" t="s">
        <v>1332</v>
      </c>
      <c r="C1055" s="24">
        <v>14</v>
      </c>
    </row>
    <row r="1056" spans="1:3" x14ac:dyDescent="0.3">
      <c r="A1056" s="23">
        <v>6188882</v>
      </c>
      <c r="B1056" s="23" t="s">
        <v>1334</v>
      </c>
      <c r="C1056" s="24">
        <v>18</v>
      </c>
    </row>
    <row r="1057" spans="1:3" x14ac:dyDescent="0.3">
      <c r="A1057" s="23">
        <v>6188883</v>
      </c>
      <c r="B1057" s="23" t="s">
        <v>1346</v>
      </c>
      <c r="C1057" s="24">
        <v>31</v>
      </c>
    </row>
    <row r="1058" spans="1:3" x14ac:dyDescent="0.3">
      <c r="A1058" s="23">
        <v>6188885</v>
      </c>
      <c r="B1058" s="23" t="s">
        <v>1530</v>
      </c>
      <c r="C1058" s="24">
        <v>74</v>
      </c>
    </row>
    <row r="1059" spans="1:3" x14ac:dyDescent="0.3">
      <c r="A1059" s="23">
        <v>6188886</v>
      </c>
      <c r="B1059" s="23" t="s">
        <v>1580</v>
      </c>
      <c r="C1059" s="24">
        <v>52</v>
      </c>
    </row>
    <row r="1060" spans="1:3" x14ac:dyDescent="0.3">
      <c r="A1060" s="23">
        <v>6188890</v>
      </c>
      <c r="B1060" s="23" t="s">
        <v>1503</v>
      </c>
      <c r="C1060" s="24">
        <v>116</v>
      </c>
    </row>
    <row r="1061" spans="1:3" x14ac:dyDescent="0.3">
      <c r="A1061" s="23">
        <v>6188891</v>
      </c>
      <c r="B1061" s="23" t="s">
        <v>1505</v>
      </c>
      <c r="C1061" s="24">
        <v>12800</v>
      </c>
    </row>
    <row r="1062" spans="1:3" x14ac:dyDescent="0.3">
      <c r="A1062" s="23">
        <v>6188898</v>
      </c>
      <c r="B1062" s="23" t="s">
        <v>1539</v>
      </c>
      <c r="C1062" s="24">
        <v>8</v>
      </c>
    </row>
    <row r="1063" spans="1:3" x14ac:dyDescent="0.3">
      <c r="A1063" s="23">
        <v>6188899</v>
      </c>
      <c r="B1063" s="23" t="s">
        <v>1515</v>
      </c>
      <c r="C1063" s="24">
        <v>1145</v>
      </c>
    </row>
    <row r="1064" spans="1:3" x14ac:dyDescent="0.3">
      <c r="A1064" s="23">
        <v>6188900</v>
      </c>
      <c r="B1064" s="23" t="s">
        <v>1514</v>
      </c>
      <c r="C1064" s="24">
        <v>148</v>
      </c>
    </row>
    <row r="1065" spans="1:3" x14ac:dyDescent="0.3">
      <c r="A1065" s="23">
        <v>6188901</v>
      </c>
      <c r="B1065" s="23" t="s">
        <v>1546</v>
      </c>
      <c r="C1065" s="24">
        <v>97</v>
      </c>
    </row>
    <row r="1066" spans="1:3" x14ac:dyDescent="0.3">
      <c r="A1066" s="23">
        <v>6188902</v>
      </c>
      <c r="B1066" s="23" t="s">
        <v>1547</v>
      </c>
      <c r="C1066" s="24">
        <v>497</v>
      </c>
    </row>
    <row r="1067" spans="1:3" x14ac:dyDescent="0.3">
      <c r="A1067" s="23">
        <v>6188903</v>
      </c>
      <c r="B1067" s="23" t="s">
        <v>1548</v>
      </c>
      <c r="C1067" s="24">
        <v>3246</v>
      </c>
    </row>
    <row r="1068" spans="1:3" x14ac:dyDescent="0.3">
      <c r="A1068" s="23">
        <v>6188904</v>
      </c>
      <c r="B1068" s="23" t="s">
        <v>1549</v>
      </c>
      <c r="C1068" s="24">
        <v>50</v>
      </c>
    </row>
    <row r="1069" spans="1:3" x14ac:dyDescent="0.3">
      <c r="A1069" s="23">
        <v>6188905</v>
      </c>
      <c r="B1069" s="23" t="s">
        <v>1543</v>
      </c>
      <c r="C1069" s="24">
        <v>21</v>
      </c>
    </row>
    <row r="1070" spans="1:3" x14ac:dyDescent="0.3">
      <c r="A1070" s="23">
        <v>6188906</v>
      </c>
      <c r="B1070" s="23" t="s">
        <v>1544</v>
      </c>
      <c r="C1070" s="24">
        <v>66</v>
      </c>
    </row>
    <row r="1071" spans="1:3" x14ac:dyDescent="0.3">
      <c r="A1071" s="23">
        <v>6188907</v>
      </c>
      <c r="B1071" s="23" t="s">
        <v>1545</v>
      </c>
      <c r="C1071" s="24">
        <v>50</v>
      </c>
    </row>
    <row r="1072" spans="1:3" x14ac:dyDescent="0.3">
      <c r="A1072" s="23">
        <v>6188935</v>
      </c>
      <c r="B1072" s="23" t="s">
        <v>1581</v>
      </c>
      <c r="C1072" s="24">
        <v>357</v>
      </c>
    </row>
    <row r="1073" spans="1:3" x14ac:dyDescent="0.3">
      <c r="A1073" s="23">
        <v>6188976</v>
      </c>
      <c r="B1073" s="23" t="s">
        <v>2460</v>
      </c>
      <c r="C1073" s="24">
        <v>17</v>
      </c>
    </row>
    <row r="1074" spans="1:3" x14ac:dyDescent="0.3">
      <c r="A1074" s="23">
        <v>6189788</v>
      </c>
      <c r="B1074" s="23" t="s">
        <v>2729</v>
      </c>
      <c r="C1074" s="24">
        <v>6</v>
      </c>
    </row>
    <row r="1075" spans="1:3" x14ac:dyDescent="0.3">
      <c r="A1075" s="23">
        <v>6189799</v>
      </c>
      <c r="B1075" s="23" t="s">
        <v>2461</v>
      </c>
      <c r="C1075" s="24">
        <v>8</v>
      </c>
    </row>
    <row r="1076" spans="1:3" x14ac:dyDescent="0.3">
      <c r="A1076" s="23">
        <v>6189800</v>
      </c>
      <c r="B1076" s="23" t="s">
        <v>2462</v>
      </c>
      <c r="C1076" s="24">
        <v>23</v>
      </c>
    </row>
    <row r="1077" spans="1:3" x14ac:dyDescent="0.3">
      <c r="A1077" s="23">
        <v>6189826</v>
      </c>
      <c r="B1077" s="23" t="s">
        <v>2463</v>
      </c>
      <c r="C1077" s="24">
        <v>130</v>
      </c>
    </row>
    <row r="1078" spans="1:3" x14ac:dyDescent="0.3">
      <c r="A1078" s="23">
        <v>6189829</v>
      </c>
      <c r="B1078" s="23" t="s">
        <v>2464</v>
      </c>
      <c r="C1078" s="24">
        <v>16</v>
      </c>
    </row>
    <row r="1079" spans="1:3" x14ac:dyDescent="0.3">
      <c r="A1079" s="23">
        <v>6189831</v>
      </c>
      <c r="B1079" s="23" t="s">
        <v>2465</v>
      </c>
      <c r="C1079" s="24">
        <v>66</v>
      </c>
    </row>
    <row r="1080" spans="1:3" x14ac:dyDescent="0.3">
      <c r="A1080" s="23">
        <v>6189833</v>
      </c>
      <c r="B1080" s="23" t="s">
        <v>2730</v>
      </c>
      <c r="C1080" s="24">
        <v>6</v>
      </c>
    </row>
    <row r="1081" spans="1:3" x14ac:dyDescent="0.3">
      <c r="A1081" s="23">
        <v>6189841</v>
      </c>
      <c r="B1081" s="23" t="s">
        <v>2466</v>
      </c>
      <c r="C1081" s="24">
        <v>1</v>
      </c>
    </row>
    <row r="1082" spans="1:3" x14ac:dyDescent="0.3">
      <c r="A1082" s="23">
        <v>6190388</v>
      </c>
      <c r="B1082" s="23" t="s">
        <v>2731</v>
      </c>
      <c r="C1082" s="24">
        <v>1</v>
      </c>
    </row>
    <row r="1083" spans="1:3" x14ac:dyDescent="0.3">
      <c r="A1083" s="23">
        <v>6190524</v>
      </c>
      <c r="B1083" s="23" t="s">
        <v>2467</v>
      </c>
      <c r="C1083" s="24">
        <v>37</v>
      </c>
    </row>
    <row r="1084" spans="1:3" x14ac:dyDescent="0.3">
      <c r="A1084" s="23">
        <v>6196026</v>
      </c>
      <c r="B1084" s="23" t="s">
        <v>2732</v>
      </c>
      <c r="C1084" s="24">
        <v>131</v>
      </c>
    </row>
    <row r="1085" spans="1:3" x14ac:dyDescent="0.3">
      <c r="A1085" s="23">
        <v>6201848</v>
      </c>
      <c r="B1085" s="23" t="s">
        <v>2733</v>
      </c>
      <c r="C1085" s="24">
        <v>2</v>
      </c>
    </row>
    <row r="1086" spans="1:3" x14ac:dyDescent="0.3">
      <c r="A1086" s="23">
        <v>6202944</v>
      </c>
      <c r="B1086" s="23" t="s">
        <v>1713</v>
      </c>
      <c r="C1086" s="24">
        <v>1</v>
      </c>
    </row>
    <row r="1087" spans="1:3" x14ac:dyDescent="0.3">
      <c r="A1087" s="23">
        <v>6203504</v>
      </c>
      <c r="B1087" s="23" t="s">
        <v>1715</v>
      </c>
      <c r="C1087" s="24">
        <v>37</v>
      </c>
    </row>
    <row r="1088" spans="1:3" x14ac:dyDescent="0.3">
      <c r="A1088" s="23">
        <v>6203595</v>
      </c>
      <c r="B1088" s="23" t="s">
        <v>1714</v>
      </c>
      <c r="C1088" s="24">
        <v>101</v>
      </c>
    </row>
    <row r="1089" spans="1:3" x14ac:dyDescent="0.3">
      <c r="A1089" s="23">
        <v>6203618</v>
      </c>
      <c r="B1089" s="23" t="s">
        <v>1712</v>
      </c>
      <c r="C1089" s="24">
        <v>29</v>
      </c>
    </row>
    <row r="1090" spans="1:3" x14ac:dyDescent="0.3">
      <c r="A1090" s="23">
        <v>6203920</v>
      </c>
      <c r="B1090" s="23" t="s">
        <v>1551</v>
      </c>
      <c r="C1090" s="24">
        <v>17</v>
      </c>
    </row>
    <row r="1091" spans="1:3" x14ac:dyDescent="0.3">
      <c r="A1091" s="23">
        <v>6204730</v>
      </c>
      <c r="B1091" s="23" t="s">
        <v>2734</v>
      </c>
      <c r="C1091" s="24">
        <v>1</v>
      </c>
    </row>
    <row r="1092" spans="1:3" x14ac:dyDescent="0.3">
      <c r="A1092" s="23">
        <v>6290858</v>
      </c>
      <c r="B1092" s="23" t="s">
        <v>1941</v>
      </c>
      <c r="C1092" s="24">
        <v>24</v>
      </c>
    </row>
    <row r="1093" spans="1:3" x14ac:dyDescent="0.3">
      <c r="A1093" s="23">
        <v>6290901</v>
      </c>
      <c r="B1093" s="23" t="s">
        <v>1944</v>
      </c>
      <c r="C1093" s="24">
        <v>2</v>
      </c>
    </row>
    <row r="1094" spans="1:3" x14ac:dyDescent="0.3">
      <c r="A1094" s="23">
        <v>6292051</v>
      </c>
      <c r="B1094" s="23" t="s">
        <v>1372</v>
      </c>
      <c r="C1094" s="24">
        <v>34</v>
      </c>
    </row>
    <row r="1095" spans="1:3" x14ac:dyDescent="0.3">
      <c r="A1095" s="23">
        <v>6293113</v>
      </c>
      <c r="B1095" s="23" t="s">
        <v>2735</v>
      </c>
      <c r="C1095" s="24">
        <v>1</v>
      </c>
    </row>
    <row r="1096" spans="1:3" x14ac:dyDescent="0.3">
      <c r="A1096" s="23">
        <v>6293160</v>
      </c>
      <c r="B1096" s="23" t="s">
        <v>1841</v>
      </c>
      <c r="C1096" s="24">
        <v>2</v>
      </c>
    </row>
    <row r="1097" spans="1:3" x14ac:dyDescent="0.3">
      <c r="A1097" s="23">
        <v>6305571</v>
      </c>
      <c r="B1097" s="23" t="s">
        <v>1775</v>
      </c>
      <c r="C1097" s="24">
        <v>1</v>
      </c>
    </row>
    <row r="1098" spans="1:3" x14ac:dyDescent="0.3">
      <c r="A1098" s="23">
        <v>6306043</v>
      </c>
      <c r="B1098" s="23" t="s">
        <v>1844</v>
      </c>
      <c r="C1098" s="24">
        <v>15</v>
      </c>
    </row>
    <row r="1099" spans="1:3" x14ac:dyDescent="0.3">
      <c r="A1099" s="23">
        <v>6307549</v>
      </c>
      <c r="B1099" s="23" t="s">
        <v>2736</v>
      </c>
      <c r="C1099" s="24">
        <v>16</v>
      </c>
    </row>
    <row r="1100" spans="1:3" x14ac:dyDescent="0.3">
      <c r="A1100" s="23">
        <v>6308733</v>
      </c>
      <c r="B1100" s="23" t="s">
        <v>1782</v>
      </c>
      <c r="C1100" s="24">
        <v>2</v>
      </c>
    </row>
    <row r="1101" spans="1:3" x14ac:dyDescent="0.3">
      <c r="A1101" s="23">
        <v>6308812</v>
      </c>
      <c r="B1101" s="23" t="s">
        <v>2468</v>
      </c>
      <c r="C1101" s="24">
        <v>1</v>
      </c>
    </row>
    <row r="1102" spans="1:3" x14ac:dyDescent="0.3">
      <c r="A1102" s="23">
        <v>6309322</v>
      </c>
      <c r="B1102" s="23" t="s">
        <v>1560</v>
      </c>
      <c r="C1102" s="24">
        <v>9</v>
      </c>
    </row>
    <row r="1103" spans="1:3" x14ac:dyDescent="0.3">
      <c r="A1103" s="23">
        <v>6314903</v>
      </c>
      <c r="B1103" s="23" t="s">
        <v>2737</v>
      </c>
      <c r="C1103" s="24">
        <v>4</v>
      </c>
    </row>
    <row r="1104" spans="1:3" x14ac:dyDescent="0.3">
      <c r="A1104" s="23">
        <v>6315732</v>
      </c>
      <c r="B1104" s="23" t="s">
        <v>2469</v>
      </c>
      <c r="C1104" s="24">
        <v>1</v>
      </c>
    </row>
    <row r="1105" spans="1:3" x14ac:dyDescent="0.3">
      <c r="A1105" s="23">
        <v>6316838</v>
      </c>
      <c r="B1105" s="23" t="s">
        <v>1408</v>
      </c>
      <c r="C1105" s="24">
        <v>257</v>
      </c>
    </row>
    <row r="1106" spans="1:3" x14ac:dyDescent="0.3">
      <c r="A1106" s="23">
        <v>6316839</v>
      </c>
      <c r="B1106" s="23" t="s">
        <v>1404</v>
      </c>
      <c r="C1106" s="24">
        <v>47</v>
      </c>
    </row>
    <row r="1107" spans="1:3" x14ac:dyDescent="0.3">
      <c r="A1107" s="23">
        <v>6316840</v>
      </c>
      <c r="B1107" s="23" t="s">
        <v>1405</v>
      </c>
      <c r="C1107" s="24">
        <v>56</v>
      </c>
    </row>
    <row r="1108" spans="1:3" x14ac:dyDescent="0.3">
      <c r="A1108" s="23">
        <v>6316940</v>
      </c>
      <c r="B1108" s="23" t="s">
        <v>1420</v>
      </c>
      <c r="C1108" s="24">
        <v>33</v>
      </c>
    </row>
    <row r="1109" spans="1:3" x14ac:dyDescent="0.3">
      <c r="A1109" s="23">
        <v>6316962</v>
      </c>
      <c r="B1109" s="23" t="s">
        <v>1402</v>
      </c>
      <c r="C1109" s="24">
        <v>21</v>
      </c>
    </row>
    <row r="1110" spans="1:3" x14ac:dyDescent="0.3">
      <c r="A1110" s="23">
        <v>6316965</v>
      </c>
      <c r="B1110" s="23" t="s">
        <v>1407</v>
      </c>
      <c r="C1110" s="24">
        <v>339</v>
      </c>
    </row>
    <row r="1111" spans="1:3" x14ac:dyDescent="0.3">
      <c r="A1111" s="23">
        <v>6316966</v>
      </c>
      <c r="B1111" s="23" t="s">
        <v>1396</v>
      </c>
      <c r="C1111" s="24">
        <v>10</v>
      </c>
    </row>
    <row r="1112" spans="1:3" x14ac:dyDescent="0.3">
      <c r="A1112" s="23">
        <v>6316973</v>
      </c>
      <c r="B1112" s="23" t="s">
        <v>1400</v>
      </c>
      <c r="C1112" s="24">
        <v>20</v>
      </c>
    </row>
    <row r="1113" spans="1:3" x14ac:dyDescent="0.3">
      <c r="A1113" s="23">
        <v>6316977</v>
      </c>
      <c r="B1113" s="23" t="s">
        <v>1393</v>
      </c>
      <c r="C1113" s="24">
        <v>3</v>
      </c>
    </row>
    <row r="1114" spans="1:3" x14ac:dyDescent="0.3">
      <c r="A1114" s="23">
        <v>6316991</v>
      </c>
      <c r="B1114" s="23" t="s">
        <v>1406</v>
      </c>
      <c r="C1114" s="24">
        <v>3</v>
      </c>
    </row>
    <row r="1115" spans="1:3" x14ac:dyDescent="0.3">
      <c r="A1115" s="23">
        <v>6316993</v>
      </c>
      <c r="B1115" s="23" t="s">
        <v>1399</v>
      </c>
      <c r="C1115" s="24">
        <v>37</v>
      </c>
    </row>
    <row r="1116" spans="1:3" x14ac:dyDescent="0.3">
      <c r="A1116" s="23">
        <v>6316994</v>
      </c>
      <c r="B1116" s="23" t="s">
        <v>1394</v>
      </c>
      <c r="C1116" s="24">
        <v>10</v>
      </c>
    </row>
    <row r="1117" spans="1:3" x14ac:dyDescent="0.3">
      <c r="A1117" s="23">
        <v>6316996</v>
      </c>
      <c r="B1117" s="23" t="s">
        <v>1395</v>
      </c>
      <c r="C1117" s="24">
        <v>1</v>
      </c>
    </row>
    <row r="1118" spans="1:3" x14ac:dyDescent="0.3">
      <c r="A1118" s="23">
        <v>6317384</v>
      </c>
      <c r="B1118" s="23" t="s">
        <v>2738</v>
      </c>
      <c r="C1118" s="24">
        <v>2</v>
      </c>
    </row>
    <row r="1119" spans="1:3" x14ac:dyDescent="0.3">
      <c r="A1119" s="23">
        <v>6317435</v>
      </c>
      <c r="B1119" s="23" t="s">
        <v>1589</v>
      </c>
      <c r="C1119" s="24">
        <v>46</v>
      </c>
    </row>
    <row r="1120" spans="1:3" x14ac:dyDescent="0.3">
      <c r="A1120" s="23">
        <v>6317436</v>
      </c>
      <c r="B1120" s="23" t="s">
        <v>1590</v>
      </c>
      <c r="C1120" s="24">
        <v>17</v>
      </c>
    </row>
    <row r="1121" spans="1:3" x14ac:dyDescent="0.3">
      <c r="A1121" s="23">
        <v>6317437</v>
      </c>
      <c r="B1121" s="23" t="s">
        <v>1601</v>
      </c>
      <c r="C1121" s="24">
        <v>69</v>
      </c>
    </row>
    <row r="1122" spans="1:3" x14ac:dyDescent="0.3">
      <c r="A1122" s="23">
        <v>6317438</v>
      </c>
      <c r="B1122" s="23" t="s">
        <v>1472</v>
      </c>
      <c r="C1122" s="24">
        <v>17</v>
      </c>
    </row>
    <row r="1123" spans="1:3" x14ac:dyDescent="0.3">
      <c r="A1123" s="23">
        <v>6317504</v>
      </c>
      <c r="B1123" s="23" t="s">
        <v>1587</v>
      </c>
      <c r="C1123" s="24">
        <v>30</v>
      </c>
    </row>
    <row r="1124" spans="1:3" x14ac:dyDescent="0.3">
      <c r="A1124" s="23">
        <v>6317505</v>
      </c>
      <c r="B1124" s="23" t="s">
        <v>1588</v>
      </c>
      <c r="C1124" s="24">
        <v>59</v>
      </c>
    </row>
    <row r="1125" spans="1:3" x14ac:dyDescent="0.3">
      <c r="A1125" s="23">
        <v>6338110</v>
      </c>
      <c r="B1125" s="23" t="s">
        <v>2739</v>
      </c>
      <c r="C1125" s="24">
        <v>4</v>
      </c>
    </row>
    <row r="1126" spans="1:3" x14ac:dyDescent="0.3">
      <c r="A1126" s="23">
        <v>6338142</v>
      </c>
      <c r="B1126" s="23" t="s">
        <v>1745</v>
      </c>
      <c r="C1126" s="24">
        <v>2</v>
      </c>
    </row>
    <row r="1127" spans="1:3" x14ac:dyDescent="0.3">
      <c r="A1127" s="23">
        <v>6342302</v>
      </c>
      <c r="B1127" s="23" t="s">
        <v>1845</v>
      </c>
      <c r="C1127" s="24">
        <v>7</v>
      </c>
    </row>
    <row r="1128" spans="1:3" x14ac:dyDescent="0.3">
      <c r="A1128" s="23">
        <v>6342386</v>
      </c>
      <c r="B1128" s="23" t="s">
        <v>1908</v>
      </c>
      <c r="C1128" s="24">
        <v>1</v>
      </c>
    </row>
    <row r="1129" spans="1:3" x14ac:dyDescent="0.3">
      <c r="A1129" s="23">
        <v>6342467</v>
      </c>
      <c r="B1129" s="23" t="s">
        <v>1857</v>
      </c>
      <c r="C1129" s="24">
        <v>8</v>
      </c>
    </row>
    <row r="1130" spans="1:3" x14ac:dyDescent="0.3">
      <c r="A1130" s="23">
        <v>6342489</v>
      </c>
      <c r="B1130" s="23" t="s">
        <v>1858</v>
      </c>
      <c r="C1130" s="24">
        <v>3</v>
      </c>
    </row>
    <row r="1131" spans="1:3" x14ac:dyDescent="0.3">
      <c r="A1131" s="23">
        <v>6342500</v>
      </c>
      <c r="B1131" s="23" t="s">
        <v>2470</v>
      </c>
      <c r="C1131" s="24">
        <v>6</v>
      </c>
    </row>
    <row r="1132" spans="1:3" x14ac:dyDescent="0.3">
      <c r="A1132" s="23">
        <v>6342519</v>
      </c>
      <c r="B1132" s="23" t="s">
        <v>1859</v>
      </c>
      <c r="C1132" s="24">
        <v>1</v>
      </c>
    </row>
    <row r="1133" spans="1:3" x14ac:dyDescent="0.3">
      <c r="A1133" s="23">
        <v>6342542</v>
      </c>
      <c r="B1133" s="23" t="s">
        <v>1838</v>
      </c>
      <c r="C1133" s="24">
        <v>11</v>
      </c>
    </row>
    <row r="1134" spans="1:3" x14ac:dyDescent="0.3">
      <c r="A1134" s="23">
        <v>6342551</v>
      </c>
      <c r="B1134" s="23" t="s">
        <v>1842</v>
      </c>
      <c r="C1134" s="24">
        <v>17</v>
      </c>
    </row>
    <row r="1135" spans="1:3" x14ac:dyDescent="0.3">
      <c r="A1135" s="23">
        <v>6342575</v>
      </c>
      <c r="B1135" s="23" t="s">
        <v>1471</v>
      </c>
      <c r="C1135" s="24">
        <v>14</v>
      </c>
    </row>
    <row r="1136" spans="1:3" x14ac:dyDescent="0.3">
      <c r="A1136" s="23">
        <v>6344413</v>
      </c>
      <c r="B1136" s="23" t="s">
        <v>1376</v>
      </c>
      <c r="C1136" s="24">
        <v>10</v>
      </c>
    </row>
    <row r="1137" spans="1:3" x14ac:dyDescent="0.3">
      <c r="A1137" s="23">
        <v>6344594</v>
      </c>
      <c r="B1137" s="23" t="s">
        <v>2471</v>
      </c>
      <c r="C1137" s="24">
        <v>9</v>
      </c>
    </row>
    <row r="1138" spans="1:3" x14ac:dyDescent="0.3">
      <c r="A1138" s="23">
        <v>6344595</v>
      </c>
      <c r="B1138" s="23" t="s">
        <v>2740</v>
      </c>
      <c r="C1138" s="24">
        <v>1</v>
      </c>
    </row>
    <row r="1139" spans="1:3" x14ac:dyDescent="0.3">
      <c r="A1139" s="23">
        <v>6344657</v>
      </c>
      <c r="B1139" s="23" t="s">
        <v>1418</v>
      </c>
      <c r="C1139" s="24">
        <v>27</v>
      </c>
    </row>
    <row r="1140" spans="1:3" x14ac:dyDescent="0.3">
      <c r="A1140" s="23">
        <v>6345257</v>
      </c>
      <c r="B1140" s="23" t="s">
        <v>2741</v>
      </c>
      <c r="C1140" s="24">
        <v>4</v>
      </c>
    </row>
    <row r="1141" spans="1:3" x14ac:dyDescent="0.3">
      <c r="A1141" s="23">
        <v>6345806</v>
      </c>
      <c r="B1141" s="23" t="s">
        <v>2742</v>
      </c>
      <c r="C1141" s="24">
        <v>3</v>
      </c>
    </row>
    <row r="1142" spans="1:3" x14ac:dyDescent="0.3">
      <c r="A1142" s="23">
        <v>6345819</v>
      </c>
      <c r="B1142" s="23" t="s">
        <v>1885</v>
      </c>
      <c r="C1142" s="24">
        <v>4</v>
      </c>
    </row>
    <row r="1143" spans="1:3" x14ac:dyDescent="0.3">
      <c r="A1143" s="23">
        <v>6345821</v>
      </c>
      <c r="B1143" s="23" t="s">
        <v>2472</v>
      </c>
      <c r="C1143" s="24">
        <v>4</v>
      </c>
    </row>
    <row r="1144" spans="1:3" x14ac:dyDescent="0.3">
      <c r="A1144" s="23">
        <v>6345843</v>
      </c>
      <c r="B1144" s="23" t="s">
        <v>1949</v>
      </c>
      <c r="C1144" s="24">
        <v>6</v>
      </c>
    </row>
    <row r="1145" spans="1:3" x14ac:dyDescent="0.3">
      <c r="A1145" s="23">
        <v>6345844</v>
      </c>
      <c r="B1145" s="23" t="s">
        <v>1950</v>
      </c>
      <c r="C1145" s="24">
        <v>12</v>
      </c>
    </row>
    <row r="1146" spans="1:3" x14ac:dyDescent="0.3">
      <c r="A1146" s="23">
        <v>6345855</v>
      </c>
      <c r="B1146" s="23" t="s">
        <v>1920</v>
      </c>
      <c r="C1146" s="24">
        <v>4</v>
      </c>
    </row>
    <row r="1147" spans="1:3" x14ac:dyDescent="0.3">
      <c r="A1147" s="23">
        <v>6345856</v>
      </c>
      <c r="B1147" s="23" t="s">
        <v>1922</v>
      </c>
      <c r="C1147" s="24">
        <v>6</v>
      </c>
    </row>
    <row r="1148" spans="1:3" x14ac:dyDescent="0.3">
      <c r="A1148" s="23">
        <v>6345857</v>
      </c>
      <c r="B1148" s="23" t="s">
        <v>1921</v>
      </c>
      <c r="C1148" s="24">
        <v>7</v>
      </c>
    </row>
    <row r="1149" spans="1:3" x14ac:dyDescent="0.3">
      <c r="A1149" s="23">
        <v>6345858</v>
      </c>
      <c r="B1149" s="23" t="s">
        <v>2743</v>
      </c>
      <c r="C1149" s="24">
        <v>2</v>
      </c>
    </row>
    <row r="1150" spans="1:3" x14ac:dyDescent="0.3">
      <c r="A1150" s="23">
        <v>6345861</v>
      </c>
      <c r="B1150" s="23" t="s">
        <v>2744</v>
      </c>
      <c r="C1150" s="24">
        <v>2</v>
      </c>
    </row>
    <row r="1151" spans="1:3" x14ac:dyDescent="0.3">
      <c r="A1151" s="23">
        <v>6345862</v>
      </c>
      <c r="B1151" s="23" t="s">
        <v>1953</v>
      </c>
      <c r="C1151" s="24">
        <v>2</v>
      </c>
    </row>
    <row r="1152" spans="1:3" x14ac:dyDescent="0.3">
      <c r="A1152" s="23">
        <v>6346496</v>
      </c>
      <c r="B1152" s="23" t="s">
        <v>1811</v>
      </c>
      <c r="C1152" s="24">
        <v>11</v>
      </c>
    </row>
    <row r="1153" spans="1:3" x14ac:dyDescent="0.3">
      <c r="A1153" s="23">
        <v>6346649</v>
      </c>
      <c r="B1153" s="23" t="s">
        <v>2745</v>
      </c>
      <c r="C1153" s="24">
        <v>14</v>
      </c>
    </row>
    <row r="1154" spans="1:3" x14ac:dyDescent="0.3">
      <c r="A1154" s="23">
        <v>6346660</v>
      </c>
      <c r="B1154" s="23" t="s">
        <v>1806</v>
      </c>
      <c r="C1154" s="24">
        <v>3</v>
      </c>
    </row>
    <row r="1155" spans="1:3" x14ac:dyDescent="0.3">
      <c r="A1155" s="23">
        <v>6346663</v>
      </c>
      <c r="B1155" s="23" t="s">
        <v>1810</v>
      </c>
      <c r="C1155" s="24">
        <v>11</v>
      </c>
    </row>
    <row r="1156" spans="1:3" x14ac:dyDescent="0.3">
      <c r="A1156" s="23">
        <v>6346665</v>
      </c>
      <c r="B1156" s="23" t="s">
        <v>1808</v>
      </c>
      <c r="C1156" s="24">
        <v>89</v>
      </c>
    </row>
    <row r="1157" spans="1:3" x14ac:dyDescent="0.3">
      <c r="A1157" s="23">
        <v>6346666</v>
      </c>
      <c r="B1157" s="23" t="s">
        <v>2746</v>
      </c>
      <c r="C1157" s="24">
        <v>2</v>
      </c>
    </row>
    <row r="1158" spans="1:3" x14ac:dyDescent="0.3">
      <c r="A1158" s="23">
        <v>6346669</v>
      </c>
      <c r="B1158" s="23" t="s">
        <v>1812</v>
      </c>
      <c r="C1158" s="24">
        <v>3</v>
      </c>
    </row>
    <row r="1159" spans="1:3" x14ac:dyDescent="0.3">
      <c r="A1159" s="23">
        <v>6346690</v>
      </c>
      <c r="B1159" s="23" t="s">
        <v>2747</v>
      </c>
      <c r="C1159" s="24">
        <v>2</v>
      </c>
    </row>
    <row r="1160" spans="1:3" x14ac:dyDescent="0.3">
      <c r="A1160" s="23">
        <v>6346691</v>
      </c>
      <c r="B1160" s="23" t="s">
        <v>1805</v>
      </c>
      <c r="C1160" s="24">
        <v>39</v>
      </c>
    </row>
    <row r="1161" spans="1:3" x14ac:dyDescent="0.3">
      <c r="A1161" s="23">
        <v>6346701</v>
      </c>
      <c r="B1161" s="23" t="s">
        <v>1809</v>
      </c>
      <c r="C1161" s="24">
        <v>285</v>
      </c>
    </row>
    <row r="1162" spans="1:3" x14ac:dyDescent="0.3">
      <c r="A1162" s="23">
        <v>6346703</v>
      </c>
      <c r="B1162" s="23" t="s">
        <v>1807</v>
      </c>
      <c r="C1162" s="24">
        <v>32</v>
      </c>
    </row>
    <row r="1163" spans="1:3" x14ac:dyDescent="0.3">
      <c r="A1163" s="23">
        <v>6347360</v>
      </c>
      <c r="B1163" s="23" t="s">
        <v>1438</v>
      </c>
      <c r="C1163" s="24">
        <v>1</v>
      </c>
    </row>
    <row r="1164" spans="1:3" x14ac:dyDescent="0.3">
      <c r="A1164" s="23">
        <v>6349873</v>
      </c>
      <c r="B1164" s="23" t="s">
        <v>2748</v>
      </c>
      <c r="C1164" s="24">
        <v>1</v>
      </c>
    </row>
    <row r="1165" spans="1:3" x14ac:dyDescent="0.3">
      <c r="A1165" s="23">
        <v>6350238</v>
      </c>
      <c r="B1165" s="23" t="s">
        <v>1770</v>
      </c>
      <c r="C1165" s="24">
        <v>2</v>
      </c>
    </row>
    <row r="1166" spans="1:3" x14ac:dyDescent="0.3">
      <c r="A1166" s="23">
        <v>6350248</v>
      </c>
      <c r="B1166" s="23" t="s">
        <v>2473</v>
      </c>
      <c r="C1166" s="24">
        <v>4</v>
      </c>
    </row>
    <row r="1167" spans="1:3" x14ac:dyDescent="0.3">
      <c r="A1167" s="23">
        <v>6350264</v>
      </c>
      <c r="B1167" s="23" t="s">
        <v>1766</v>
      </c>
      <c r="C1167" s="24">
        <v>2</v>
      </c>
    </row>
    <row r="1168" spans="1:3" x14ac:dyDescent="0.3">
      <c r="A1168" s="23">
        <v>6350286</v>
      </c>
      <c r="B1168" s="23" t="s">
        <v>2749</v>
      </c>
      <c r="C1168" s="24">
        <v>2</v>
      </c>
    </row>
    <row r="1169" spans="1:3" x14ac:dyDescent="0.3">
      <c r="A1169" s="23">
        <v>6350289</v>
      </c>
      <c r="B1169" s="23" t="s">
        <v>2750</v>
      </c>
      <c r="C1169" s="24">
        <v>3</v>
      </c>
    </row>
    <row r="1170" spans="1:3" x14ac:dyDescent="0.3">
      <c r="A1170" s="23">
        <v>6350290</v>
      </c>
      <c r="B1170" s="23" t="s">
        <v>1768</v>
      </c>
      <c r="C1170" s="24">
        <v>1</v>
      </c>
    </row>
    <row r="1171" spans="1:3" x14ac:dyDescent="0.3">
      <c r="A1171" s="23">
        <v>6350292</v>
      </c>
      <c r="B1171" s="23" t="s">
        <v>2751</v>
      </c>
      <c r="C1171" s="24">
        <v>1</v>
      </c>
    </row>
    <row r="1172" spans="1:3" x14ac:dyDescent="0.3">
      <c r="A1172" s="23">
        <v>6350306</v>
      </c>
      <c r="B1172" s="23" t="s">
        <v>1769</v>
      </c>
      <c r="C1172" s="24">
        <v>1</v>
      </c>
    </row>
    <row r="1173" spans="1:3" x14ac:dyDescent="0.3">
      <c r="A1173" s="23">
        <v>6350308</v>
      </c>
      <c r="B1173" s="23" t="s">
        <v>2752</v>
      </c>
      <c r="C1173" s="24">
        <v>1</v>
      </c>
    </row>
    <row r="1174" spans="1:3" x14ac:dyDescent="0.3">
      <c r="A1174" s="23">
        <v>6350322</v>
      </c>
      <c r="B1174" s="23" t="s">
        <v>2753</v>
      </c>
      <c r="C1174" s="24">
        <v>4</v>
      </c>
    </row>
    <row r="1175" spans="1:3" x14ac:dyDescent="0.3">
      <c r="A1175" s="23">
        <v>6350337</v>
      </c>
      <c r="B1175" s="23" t="s">
        <v>2754</v>
      </c>
      <c r="C1175" s="24">
        <v>1</v>
      </c>
    </row>
    <row r="1176" spans="1:3" x14ac:dyDescent="0.3">
      <c r="A1176" s="23">
        <v>6352781</v>
      </c>
      <c r="B1176" s="23" t="s">
        <v>2755</v>
      </c>
      <c r="C1176" s="24">
        <v>5</v>
      </c>
    </row>
    <row r="1177" spans="1:3" x14ac:dyDescent="0.3">
      <c r="A1177" s="23">
        <v>6352807</v>
      </c>
      <c r="B1177" s="23" t="s">
        <v>1896</v>
      </c>
      <c r="C1177" s="24">
        <v>5</v>
      </c>
    </row>
    <row r="1178" spans="1:3" x14ac:dyDescent="0.3">
      <c r="A1178" s="23">
        <v>6352808</v>
      </c>
      <c r="B1178" s="23" t="s">
        <v>1897</v>
      </c>
      <c r="C1178" s="24">
        <v>3</v>
      </c>
    </row>
    <row r="1179" spans="1:3" x14ac:dyDescent="0.3">
      <c r="A1179" s="23">
        <v>6352809</v>
      </c>
      <c r="B1179" s="23" t="s">
        <v>1898</v>
      </c>
      <c r="C1179" s="24">
        <v>2</v>
      </c>
    </row>
    <row r="1180" spans="1:3" x14ac:dyDescent="0.3">
      <c r="A1180" s="23">
        <v>6352810</v>
      </c>
      <c r="B1180" s="23" t="s">
        <v>1899</v>
      </c>
      <c r="C1180" s="24">
        <v>2</v>
      </c>
    </row>
    <row r="1181" spans="1:3" x14ac:dyDescent="0.3">
      <c r="A1181" s="23">
        <v>6352827</v>
      </c>
      <c r="B1181" s="23" t="s">
        <v>1891</v>
      </c>
      <c r="C1181" s="24">
        <v>1</v>
      </c>
    </row>
    <row r="1182" spans="1:3" x14ac:dyDescent="0.3">
      <c r="A1182" s="23">
        <v>6352847</v>
      </c>
      <c r="B1182" s="23" t="s">
        <v>1493</v>
      </c>
      <c r="C1182" s="24">
        <v>1</v>
      </c>
    </row>
    <row r="1183" spans="1:3" x14ac:dyDescent="0.3">
      <c r="A1183" s="23">
        <v>6352848</v>
      </c>
      <c r="B1183" s="23" t="s">
        <v>1492</v>
      </c>
      <c r="C1183" s="24">
        <v>2</v>
      </c>
    </row>
    <row r="1184" spans="1:3" x14ac:dyDescent="0.3">
      <c r="A1184" s="23">
        <v>6352852</v>
      </c>
      <c r="B1184" s="23" t="s">
        <v>2756</v>
      </c>
      <c r="C1184" s="24">
        <v>1</v>
      </c>
    </row>
    <row r="1185" spans="1:3" x14ac:dyDescent="0.3">
      <c r="A1185" s="23">
        <v>6352919</v>
      </c>
      <c r="B1185" s="23" t="s">
        <v>1592</v>
      </c>
      <c r="C1185" s="24">
        <v>1</v>
      </c>
    </row>
    <row r="1186" spans="1:3" x14ac:dyDescent="0.3">
      <c r="A1186" s="23">
        <v>6352920</v>
      </c>
      <c r="B1186" s="23" t="s">
        <v>1593</v>
      </c>
      <c r="C1186" s="24">
        <v>1</v>
      </c>
    </row>
    <row r="1187" spans="1:3" x14ac:dyDescent="0.3">
      <c r="A1187" s="23">
        <v>6352921</v>
      </c>
      <c r="B1187" s="23" t="s">
        <v>1594</v>
      </c>
      <c r="C1187" s="24">
        <v>4</v>
      </c>
    </row>
    <row r="1188" spans="1:3" x14ac:dyDescent="0.3">
      <c r="A1188" s="23">
        <v>6352922</v>
      </c>
      <c r="B1188" s="23" t="s">
        <v>1595</v>
      </c>
      <c r="C1188" s="24">
        <v>2</v>
      </c>
    </row>
    <row r="1189" spans="1:3" x14ac:dyDescent="0.3">
      <c r="A1189" s="23">
        <v>6352923</v>
      </c>
      <c r="B1189" s="23" t="s">
        <v>2757</v>
      </c>
      <c r="C1189" s="24">
        <v>1</v>
      </c>
    </row>
    <row r="1190" spans="1:3" x14ac:dyDescent="0.3">
      <c r="A1190" s="23">
        <v>6352927</v>
      </c>
      <c r="B1190" s="23" t="s">
        <v>2758</v>
      </c>
      <c r="C1190" s="24">
        <v>1</v>
      </c>
    </row>
    <row r="1191" spans="1:3" x14ac:dyDescent="0.3">
      <c r="A1191" s="23">
        <v>6352941</v>
      </c>
      <c r="B1191" s="23" t="s">
        <v>1494</v>
      </c>
      <c r="C1191" s="24">
        <v>2</v>
      </c>
    </row>
    <row r="1192" spans="1:3" x14ac:dyDescent="0.3">
      <c r="A1192" s="23">
        <v>6352971</v>
      </c>
      <c r="B1192" s="23" t="s">
        <v>2759</v>
      </c>
      <c r="C1192" s="24">
        <v>1</v>
      </c>
    </row>
    <row r="1193" spans="1:3" x14ac:dyDescent="0.3">
      <c r="A1193" s="23">
        <v>6352980</v>
      </c>
      <c r="B1193" s="23" t="s">
        <v>2760</v>
      </c>
      <c r="C1193" s="24">
        <v>1</v>
      </c>
    </row>
    <row r="1194" spans="1:3" x14ac:dyDescent="0.3">
      <c r="A1194" s="23">
        <v>6352982</v>
      </c>
      <c r="B1194" s="23" t="s">
        <v>2761</v>
      </c>
      <c r="C1194" s="24">
        <v>1</v>
      </c>
    </row>
    <row r="1195" spans="1:3" x14ac:dyDescent="0.3">
      <c r="A1195" s="23">
        <v>6353044</v>
      </c>
      <c r="B1195" s="23" t="s">
        <v>2762</v>
      </c>
      <c r="C1195" s="24">
        <v>2</v>
      </c>
    </row>
    <row r="1196" spans="1:3" x14ac:dyDescent="0.3">
      <c r="A1196" s="23">
        <v>6353103</v>
      </c>
      <c r="B1196" s="23" t="s">
        <v>1602</v>
      </c>
      <c r="C1196" s="24">
        <v>15</v>
      </c>
    </row>
    <row r="1197" spans="1:3" x14ac:dyDescent="0.3">
      <c r="A1197" s="23">
        <v>6360746</v>
      </c>
      <c r="B1197" s="23" t="s">
        <v>1423</v>
      </c>
      <c r="C1197" s="24">
        <v>5</v>
      </c>
    </row>
    <row r="1198" spans="1:3" x14ac:dyDescent="0.3">
      <c r="A1198" s="23">
        <v>6360749</v>
      </c>
      <c r="B1198" s="23" t="s">
        <v>1427</v>
      </c>
      <c r="C1198" s="24">
        <v>1</v>
      </c>
    </row>
    <row r="1199" spans="1:3" x14ac:dyDescent="0.3">
      <c r="A1199" s="23">
        <v>6360764</v>
      </c>
      <c r="B1199" s="23" t="s">
        <v>1429</v>
      </c>
      <c r="C1199" s="24">
        <v>1</v>
      </c>
    </row>
    <row r="1200" spans="1:3" x14ac:dyDescent="0.3">
      <c r="A1200" s="23">
        <v>6360781</v>
      </c>
      <c r="B1200" s="23" t="s">
        <v>2763</v>
      </c>
      <c r="C1200" s="24">
        <v>1</v>
      </c>
    </row>
    <row r="1201" spans="1:3" x14ac:dyDescent="0.3">
      <c r="A1201" s="23">
        <v>6360784</v>
      </c>
      <c r="B1201" s="23" t="s">
        <v>1428</v>
      </c>
      <c r="C1201" s="24">
        <v>1</v>
      </c>
    </row>
    <row r="1202" spans="1:3" x14ac:dyDescent="0.3">
      <c r="A1202" s="23">
        <v>6360791</v>
      </c>
      <c r="B1202" s="23" t="s">
        <v>1425</v>
      </c>
      <c r="C1202" s="24">
        <v>7</v>
      </c>
    </row>
    <row r="1203" spans="1:3" x14ac:dyDescent="0.3">
      <c r="A1203" s="23">
        <v>6361275</v>
      </c>
      <c r="B1203" s="23" t="s">
        <v>2764</v>
      </c>
      <c r="C1203" s="24">
        <v>1</v>
      </c>
    </row>
    <row r="1204" spans="1:3" x14ac:dyDescent="0.3">
      <c r="A1204" s="23">
        <v>6361406</v>
      </c>
      <c r="B1204" s="23" t="s">
        <v>1919</v>
      </c>
      <c r="C1204" s="24">
        <v>2</v>
      </c>
    </row>
    <row r="1205" spans="1:3" x14ac:dyDescent="0.3">
      <c r="A1205" s="23">
        <v>6361908</v>
      </c>
      <c r="B1205" s="23" t="s">
        <v>1591</v>
      </c>
      <c r="C1205" s="24">
        <v>249</v>
      </c>
    </row>
    <row r="1206" spans="1:3" x14ac:dyDescent="0.3">
      <c r="A1206" s="23">
        <v>6364102</v>
      </c>
      <c r="B1206" s="23" t="s">
        <v>2765</v>
      </c>
      <c r="C1206" s="24">
        <v>7</v>
      </c>
    </row>
    <row r="1207" spans="1:3" x14ac:dyDescent="0.3">
      <c r="A1207" s="23">
        <v>6364869</v>
      </c>
      <c r="B1207" s="23" t="s">
        <v>1716</v>
      </c>
      <c r="C1207" s="24">
        <v>3</v>
      </c>
    </row>
    <row r="1208" spans="1:3" x14ac:dyDescent="0.3">
      <c r="A1208" s="23">
        <v>6365004</v>
      </c>
      <c r="B1208" s="23" t="s">
        <v>2474</v>
      </c>
      <c r="C1208" s="24">
        <v>2</v>
      </c>
    </row>
    <row r="1209" spans="1:3" x14ac:dyDescent="0.3">
      <c r="A1209" s="23">
        <v>6365220</v>
      </c>
      <c r="B1209" s="23" t="s">
        <v>2475</v>
      </c>
      <c r="C1209" s="24">
        <v>175</v>
      </c>
    </row>
    <row r="1210" spans="1:3" x14ac:dyDescent="0.3">
      <c r="A1210" s="23">
        <v>6365228</v>
      </c>
      <c r="B1210" s="23" t="s">
        <v>1760</v>
      </c>
      <c r="C1210" s="24">
        <v>174</v>
      </c>
    </row>
    <row r="1211" spans="1:3" x14ac:dyDescent="0.3">
      <c r="A1211" s="23">
        <v>6365229</v>
      </c>
      <c r="B1211" s="23" t="s">
        <v>1757</v>
      </c>
      <c r="C1211" s="24">
        <v>3</v>
      </c>
    </row>
    <row r="1212" spans="1:3" x14ac:dyDescent="0.3">
      <c r="A1212" s="23">
        <v>6365251</v>
      </c>
      <c r="B1212" s="23" t="s">
        <v>1761</v>
      </c>
      <c r="C1212" s="24">
        <v>978</v>
      </c>
    </row>
    <row r="1213" spans="1:3" x14ac:dyDescent="0.3">
      <c r="A1213" s="23">
        <v>6365253</v>
      </c>
      <c r="B1213" s="23" t="s">
        <v>1758</v>
      </c>
      <c r="C1213" s="24">
        <v>1</v>
      </c>
    </row>
    <row r="1214" spans="1:3" x14ac:dyDescent="0.3">
      <c r="A1214" s="23">
        <v>6365254</v>
      </c>
      <c r="B1214" s="23" t="s">
        <v>1401</v>
      </c>
      <c r="C1214" s="24">
        <v>34</v>
      </c>
    </row>
    <row r="1215" spans="1:3" x14ac:dyDescent="0.3">
      <c r="A1215" s="23">
        <v>6365256</v>
      </c>
      <c r="B1215" s="23" t="s">
        <v>1403</v>
      </c>
      <c r="C1215" s="24">
        <v>4</v>
      </c>
    </row>
    <row r="1216" spans="1:3" x14ac:dyDescent="0.3">
      <c r="A1216" s="23">
        <v>6365257</v>
      </c>
      <c r="B1216" s="23" t="s">
        <v>2766</v>
      </c>
      <c r="C1216" s="24">
        <v>473</v>
      </c>
    </row>
    <row r="1217" spans="1:3" x14ac:dyDescent="0.3">
      <c r="A1217" s="23">
        <v>6365271</v>
      </c>
      <c r="B1217" s="23" t="s">
        <v>2476</v>
      </c>
      <c r="C1217" s="24">
        <v>142</v>
      </c>
    </row>
    <row r="1218" spans="1:3" x14ac:dyDescent="0.3">
      <c r="A1218" s="23">
        <v>6365272</v>
      </c>
      <c r="B1218" s="23" t="s">
        <v>2477</v>
      </c>
      <c r="C1218" s="24">
        <v>8</v>
      </c>
    </row>
    <row r="1219" spans="1:3" x14ac:dyDescent="0.3">
      <c r="A1219" s="23">
        <v>6365273</v>
      </c>
      <c r="B1219" s="23" t="s">
        <v>2478</v>
      </c>
      <c r="C1219" s="24">
        <v>52</v>
      </c>
    </row>
    <row r="1220" spans="1:3" x14ac:dyDescent="0.3">
      <c r="A1220" s="23">
        <v>6365274</v>
      </c>
      <c r="B1220" s="23" t="s">
        <v>2479</v>
      </c>
      <c r="C1220" s="24">
        <v>5</v>
      </c>
    </row>
    <row r="1221" spans="1:3" x14ac:dyDescent="0.3">
      <c r="A1221" s="23">
        <v>6366646</v>
      </c>
      <c r="B1221" s="23" t="s">
        <v>2767</v>
      </c>
      <c r="C1221" s="24">
        <v>25</v>
      </c>
    </row>
    <row r="1222" spans="1:3" x14ac:dyDescent="0.3">
      <c r="A1222" s="23">
        <v>6369031</v>
      </c>
      <c r="B1222" s="23" t="s">
        <v>1767</v>
      </c>
      <c r="C1222" s="24">
        <v>2</v>
      </c>
    </row>
    <row r="1223" spans="1:3" x14ac:dyDescent="0.3">
      <c r="A1223" s="23">
        <v>6372915</v>
      </c>
      <c r="B1223" s="23" t="s">
        <v>1951</v>
      </c>
      <c r="C1223" s="24">
        <v>14</v>
      </c>
    </row>
    <row r="1224" spans="1:3" x14ac:dyDescent="0.3">
      <c r="A1224" s="23">
        <v>6372916</v>
      </c>
      <c r="B1224" s="23" t="s">
        <v>1943</v>
      </c>
      <c r="C1224" s="24">
        <v>106</v>
      </c>
    </row>
    <row r="1225" spans="1:3" x14ac:dyDescent="0.3">
      <c r="A1225" s="23">
        <v>6372926</v>
      </c>
      <c r="B1225" s="23" t="s">
        <v>1952</v>
      </c>
      <c r="C1225" s="24">
        <v>43</v>
      </c>
    </row>
    <row r="1226" spans="1:3" x14ac:dyDescent="0.3">
      <c r="A1226" s="23">
        <v>6373129</v>
      </c>
      <c r="B1226" s="23" t="s">
        <v>2768</v>
      </c>
      <c r="C1226" s="24">
        <v>1</v>
      </c>
    </row>
    <row r="1227" spans="1:3" x14ac:dyDescent="0.3">
      <c r="A1227" s="23">
        <v>6373135</v>
      </c>
      <c r="B1227" s="23" t="s">
        <v>1914</v>
      </c>
      <c r="C1227" s="24">
        <v>2</v>
      </c>
    </row>
    <row r="1228" spans="1:3" x14ac:dyDescent="0.3">
      <c r="A1228" s="23">
        <v>6373242</v>
      </c>
      <c r="B1228" s="23" t="s">
        <v>1910</v>
      </c>
      <c r="C1228" s="24">
        <v>6</v>
      </c>
    </row>
    <row r="1229" spans="1:3" x14ac:dyDescent="0.3">
      <c r="A1229" s="23">
        <v>6373243</v>
      </c>
      <c r="B1229" s="23" t="s">
        <v>1911</v>
      </c>
      <c r="C1229" s="24">
        <v>4</v>
      </c>
    </row>
    <row r="1230" spans="1:3" x14ac:dyDescent="0.3">
      <c r="A1230" s="23">
        <v>6373251</v>
      </c>
      <c r="B1230" s="23" t="s">
        <v>1912</v>
      </c>
      <c r="C1230" s="24">
        <v>9</v>
      </c>
    </row>
    <row r="1231" spans="1:3" x14ac:dyDescent="0.3">
      <c r="A1231" s="23">
        <v>6373258</v>
      </c>
      <c r="B1231" s="23" t="s">
        <v>2769</v>
      </c>
      <c r="C1231" s="24">
        <v>2</v>
      </c>
    </row>
    <row r="1232" spans="1:3" x14ac:dyDescent="0.3">
      <c r="A1232" s="23">
        <v>6373274</v>
      </c>
      <c r="B1232" s="23" t="s">
        <v>1909</v>
      </c>
      <c r="C1232" s="24">
        <v>1</v>
      </c>
    </row>
    <row r="1233" spans="1:3" x14ac:dyDescent="0.3">
      <c r="A1233" s="23">
        <v>6373282</v>
      </c>
      <c r="B1233" s="23" t="s">
        <v>1913</v>
      </c>
      <c r="C1233" s="24">
        <v>2</v>
      </c>
    </row>
    <row r="1234" spans="1:3" x14ac:dyDescent="0.3">
      <c r="A1234" s="23">
        <v>6373464</v>
      </c>
      <c r="B1234" s="23" t="s">
        <v>1780</v>
      </c>
      <c r="C1234" s="24">
        <v>3</v>
      </c>
    </row>
    <row r="1235" spans="1:3" x14ac:dyDescent="0.3">
      <c r="A1235" s="23">
        <v>6374369</v>
      </c>
      <c r="B1235" s="23" t="s">
        <v>1765</v>
      </c>
      <c r="C1235" s="24">
        <v>3</v>
      </c>
    </row>
    <row r="1236" spans="1:3" x14ac:dyDescent="0.3">
      <c r="A1236" s="23">
        <v>6376206</v>
      </c>
      <c r="B1236" s="23" t="s">
        <v>2770</v>
      </c>
      <c r="C1236" s="24">
        <v>1</v>
      </c>
    </row>
    <row r="1237" spans="1:3" x14ac:dyDescent="0.3">
      <c r="A1237" s="23">
        <v>6376218</v>
      </c>
      <c r="B1237" s="23" t="s">
        <v>2771</v>
      </c>
      <c r="C1237" s="24">
        <v>21</v>
      </c>
    </row>
    <row r="1238" spans="1:3" x14ac:dyDescent="0.3">
      <c r="A1238" s="23">
        <v>6376235</v>
      </c>
      <c r="B1238" s="23" t="s">
        <v>2772</v>
      </c>
      <c r="C1238" s="24">
        <v>3</v>
      </c>
    </row>
    <row r="1239" spans="1:3" x14ac:dyDescent="0.3">
      <c r="A1239" s="23">
        <v>6376242</v>
      </c>
      <c r="B1239" s="23" t="s">
        <v>2773</v>
      </c>
      <c r="C1239" s="24">
        <v>4</v>
      </c>
    </row>
    <row r="1240" spans="1:3" x14ac:dyDescent="0.3">
      <c r="A1240" s="23">
        <v>6376251</v>
      </c>
      <c r="B1240" s="23" t="s">
        <v>1821</v>
      </c>
      <c r="C1240" s="24">
        <v>3</v>
      </c>
    </row>
    <row r="1241" spans="1:3" x14ac:dyDescent="0.3">
      <c r="A1241" s="23">
        <v>6376434</v>
      </c>
      <c r="B1241" s="23" t="s">
        <v>2774</v>
      </c>
      <c r="C1241" s="24">
        <v>1</v>
      </c>
    </row>
    <row r="1242" spans="1:3" x14ac:dyDescent="0.3">
      <c r="A1242" s="23">
        <v>6376480</v>
      </c>
      <c r="B1242" s="23" t="s">
        <v>1374</v>
      </c>
      <c r="C1242" s="24">
        <v>1</v>
      </c>
    </row>
    <row r="1243" spans="1:3" x14ac:dyDescent="0.3">
      <c r="A1243" s="23">
        <v>6376518</v>
      </c>
      <c r="B1243" s="23" t="s">
        <v>2775</v>
      </c>
      <c r="C1243" s="24">
        <v>2</v>
      </c>
    </row>
    <row r="1244" spans="1:3" x14ac:dyDescent="0.3">
      <c r="A1244" s="23">
        <v>6376570</v>
      </c>
      <c r="B1244" s="23" t="s">
        <v>2776</v>
      </c>
      <c r="C1244" s="24">
        <v>1</v>
      </c>
    </row>
    <row r="1245" spans="1:3" x14ac:dyDescent="0.3">
      <c r="A1245" s="23">
        <v>6376584</v>
      </c>
      <c r="B1245" s="23" t="s">
        <v>2777</v>
      </c>
      <c r="C1245" s="24">
        <v>2</v>
      </c>
    </row>
    <row r="1246" spans="1:3" x14ac:dyDescent="0.3">
      <c r="A1246" s="23">
        <v>6376591</v>
      </c>
      <c r="B1246" s="23" t="s">
        <v>2778</v>
      </c>
      <c r="C1246" s="24">
        <v>8</v>
      </c>
    </row>
    <row r="1247" spans="1:3" x14ac:dyDescent="0.3">
      <c r="A1247" s="23">
        <v>6376611</v>
      </c>
      <c r="B1247" s="23" t="s">
        <v>2779</v>
      </c>
      <c r="C1247" s="24">
        <v>1</v>
      </c>
    </row>
    <row r="1248" spans="1:3" x14ac:dyDescent="0.3">
      <c r="A1248" s="23">
        <v>6376669</v>
      </c>
      <c r="B1248" s="23" t="s">
        <v>1880</v>
      </c>
      <c r="C1248" s="24">
        <v>4</v>
      </c>
    </row>
    <row r="1249" spans="1:3" x14ac:dyDescent="0.3">
      <c r="A1249" s="23">
        <v>6376683</v>
      </c>
      <c r="B1249" s="23" t="s">
        <v>2780</v>
      </c>
      <c r="C1249" s="24">
        <v>2</v>
      </c>
    </row>
    <row r="1250" spans="1:3" x14ac:dyDescent="0.3">
      <c r="A1250" s="23">
        <v>6376898</v>
      </c>
      <c r="B1250" s="23" t="s">
        <v>2781</v>
      </c>
      <c r="C1250" s="24">
        <v>2</v>
      </c>
    </row>
    <row r="1251" spans="1:3" x14ac:dyDescent="0.3">
      <c r="A1251" s="23">
        <v>6377078</v>
      </c>
      <c r="B1251" s="23" t="s">
        <v>2782</v>
      </c>
      <c r="C1251" s="25">
        <v>0</v>
      </c>
    </row>
    <row r="1252" spans="1:3" x14ac:dyDescent="0.3">
      <c r="A1252" s="23">
        <v>6377088</v>
      </c>
      <c r="B1252" s="23" t="s">
        <v>2783</v>
      </c>
      <c r="C1252" s="24">
        <v>5</v>
      </c>
    </row>
    <row r="1253" spans="1:3" x14ac:dyDescent="0.3">
      <c r="A1253" s="23">
        <v>6377089</v>
      </c>
      <c r="B1253" s="23" t="s">
        <v>1906</v>
      </c>
      <c r="C1253" s="24">
        <v>2</v>
      </c>
    </row>
    <row r="1254" spans="1:3" x14ac:dyDescent="0.3">
      <c r="A1254" s="23">
        <v>6377091</v>
      </c>
      <c r="B1254" s="23" t="s">
        <v>2784</v>
      </c>
      <c r="C1254" s="24">
        <v>1</v>
      </c>
    </row>
    <row r="1255" spans="1:3" x14ac:dyDescent="0.3">
      <c r="A1255" s="23">
        <v>6377096</v>
      </c>
      <c r="B1255" s="23" t="s">
        <v>2785</v>
      </c>
      <c r="C1255" s="24">
        <v>12</v>
      </c>
    </row>
    <row r="1256" spans="1:3" x14ac:dyDescent="0.3">
      <c r="A1256" s="23">
        <v>6377107</v>
      </c>
      <c r="B1256" s="23" t="s">
        <v>2786</v>
      </c>
      <c r="C1256" s="24">
        <v>3</v>
      </c>
    </row>
    <row r="1257" spans="1:3" x14ac:dyDescent="0.3">
      <c r="A1257" s="23">
        <v>6377195</v>
      </c>
      <c r="B1257" s="23" t="s">
        <v>1755</v>
      </c>
      <c r="C1257" s="24">
        <v>8</v>
      </c>
    </row>
    <row r="1258" spans="1:3" x14ac:dyDescent="0.3">
      <c r="A1258" s="23">
        <v>6377239</v>
      </c>
      <c r="B1258" s="23" t="s">
        <v>2787</v>
      </c>
      <c r="C1258" s="24">
        <v>2</v>
      </c>
    </row>
    <row r="1259" spans="1:3" x14ac:dyDescent="0.3">
      <c r="A1259" s="23">
        <v>6377245</v>
      </c>
      <c r="B1259" s="23" t="s">
        <v>2788</v>
      </c>
      <c r="C1259" s="24">
        <v>3</v>
      </c>
    </row>
    <row r="1260" spans="1:3" x14ac:dyDescent="0.3">
      <c r="A1260" s="23">
        <v>6377283</v>
      </c>
      <c r="B1260" s="23" t="s">
        <v>1764</v>
      </c>
      <c r="C1260" s="24">
        <v>5</v>
      </c>
    </row>
    <row r="1261" spans="1:3" x14ac:dyDescent="0.3">
      <c r="A1261" s="23">
        <v>6377348</v>
      </c>
      <c r="B1261" s="23" t="s">
        <v>2789</v>
      </c>
      <c r="C1261" s="24">
        <v>34</v>
      </c>
    </row>
    <row r="1262" spans="1:3" x14ac:dyDescent="0.3">
      <c r="A1262" s="23">
        <v>6377356</v>
      </c>
      <c r="B1262" s="23" t="s">
        <v>2790</v>
      </c>
      <c r="C1262" s="24">
        <v>1</v>
      </c>
    </row>
    <row r="1263" spans="1:3" x14ac:dyDescent="0.3">
      <c r="A1263" s="23">
        <v>6377478</v>
      </c>
      <c r="B1263" s="23" t="s">
        <v>2791</v>
      </c>
      <c r="C1263" s="24">
        <v>3</v>
      </c>
    </row>
    <row r="1264" spans="1:3" x14ac:dyDescent="0.3">
      <c r="A1264" s="23">
        <v>6377597</v>
      </c>
      <c r="B1264" s="23" t="s">
        <v>2792</v>
      </c>
      <c r="C1264" s="24">
        <v>4</v>
      </c>
    </row>
    <row r="1265" spans="1:3" x14ac:dyDescent="0.3">
      <c r="A1265" s="23">
        <v>6377632</v>
      </c>
      <c r="B1265" s="23" t="s">
        <v>2793</v>
      </c>
      <c r="C1265" s="24">
        <v>1</v>
      </c>
    </row>
    <row r="1266" spans="1:3" x14ac:dyDescent="0.3">
      <c r="A1266" s="23">
        <v>6377659</v>
      </c>
      <c r="B1266" s="23" t="s">
        <v>1397</v>
      </c>
      <c r="C1266" s="24">
        <v>1</v>
      </c>
    </row>
    <row r="1267" spans="1:3" x14ac:dyDescent="0.3">
      <c r="A1267" s="23">
        <v>6377665</v>
      </c>
      <c r="B1267" s="23" t="s">
        <v>2794</v>
      </c>
      <c r="C1267" s="24">
        <v>4</v>
      </c>
    </row>
    <row r="1268" spans="1:3" x14ac:dyDescent="0.3">
      <c r="A1268" s="23">
        <v>6377686</v>
      </c>
      <c r="B1268" s="23" t="s">
        <v>1398</v>
      </c>
      <c r="C1268" s="24">
        <v>7</v>
      </c>
    </row>
    <row r="1269" spans="1:3" x14ac:dyDescent="0.3">
      <c r="A1269" s="23">
        <v>6377725</v>
      </c>
      <c r="B1269" s="23" t="s">
        <v>1411</v>
      </c>
      <c r="C1269" s="24">
        <v>6</v>
      </c>
    </row>
    <row r="1270" spans="1:3" x14ac:dyDescent="0.3">
      <c r="A1270" s="23">
        <v>6377731</v>
      </c>
      <c r="B1270" s="23" t="s">
        <v>2795</v>
      </c>
      <c r="C1270" s="24">
        <v>2</v>
      </c>
    </row>
    <row r="1271" spans="1:3" x14ac:dyDescent="0.3">
      <c r="A1271" s="23">
        <v>6377733</v>
      </c>
      <c r="B1271" s="23" t="s">
        <v>2796</v>
      </c>
      <c r="C1271" s="24">
        <v>2</v>
      </c>
    </row>
    <row r="1272" spans="1:3" x14ac:dyDescent="0.3">
      <c r="A1272" s="23">
        <v>6377736</v>
      </c>
      <c r="B1272" s="23" t="s">
        <v>2797</v>
      </c>
      <c r="C1272" s="24">
        <v>1</v>
      </c>
    </row>
    <row r="1273" spans="1:3" x14ac:dyDescent="0.3">
      <c r="A1273" s="23">
        <v>6377752</v>
      </c>
      <c r="B1273" s="23" t="s">
        <v>1415</v>
      </c>
      <c r="C1273" s="24">
        <v>2</v>
      </c>
    </row>
    <row r="1274" spans="1:3" x14ac:dyDescent="0.3">
      <c r="A1274" s="23">
        <v>6378015</v>
      </c>
      <c r="B1274" s="23" t="s">
        <v>1754</v>
      </c>
      <c r="C1274" s="24">
        <v>21</v>
      </c>
    </row>
    <row r="1275" spans="1:3" x14ac:dyDescent="0.3">
      <c r="A1275" s="23">
        <v>6378030</v>
      </c>
      <c r="B1275" s="23" t="s">
        <v>1752</v>
      </c>
      <c r="C1275" s="24">
        <v>2</v>
      </c>
    </row>
    <row r="1276" spans="1:3" x14ac:dyDescent="0.3">
      <c r="A1276" s="23">
        <v>6378038</v>
      </c>
      <c r="B1276" s="23" t="s">
        <v>1818</v>
      </c>
      <c r="C1276" s="24">
        <v>216</v>
      </c>
    </row>
    <row r="1277" spans="1:3" x14ac:dyDescent="0.3">
      <c r="A1277" s="23">
        <v>6378039</v>
      </c>
      <c r="B1277" s="23" t="s">
        <v>1819</v>
      </c>
      <c r="C1277" s="24">
        <v>58</v>
      </c>
    </row>
    <row r="1278" spans="1:3" x14ac:dyDescent="0.3">
      <c r="A1278" s="23">
        <v>6380386</v>
      </c>
      <c r="B1278" s="23" t="s">
        <v>2798</v>
      </c>
      <c r="C1278" s="24">
        <v>2</v>
      </c>
    </row>
    <row r="1279" spans="1:3" x14ac:dyDescent="0.3">
      <c r="A1279" s="23">
        <v>6380535</v>
      </c>
      <c r="B1279" s="23" t="s">
        <v>2799</v>
      </c>
      <c r="C1279" s="24">
        <v>1</v>
      </c>
    </row>
    <row r="1280" spans="1:3" x14ac:dyDescent="0.3">
      <c r="A1280" s="23">
        <v>6381977</v>
      </c>
      <c r="B1280" s="23" t="s">
        <v>1883</v>
      </c>
      <c r="C1280" s="24">
        <v>24</v>
      </c>
    </row>
    <row r="1281" spans="1:3" x14ac:dyDescent="0.3">
      <c r="A1281" s="23">
        <v>6381978</v>
      </c>
      <c r="B1281" s="23" t="s">
        <v>1881</v>
      </c>
      <c r="C1281" s="24">
        <v>12</v>
      </c>
    </row>
    <row r="1282" spans="1:3" x14ac:dyDescent="0.3">
      <c r="A1282" s="23">
        <v>6382012</v>
      </c>
      <c r="B1282" s="23" t="s">
        <v>1884</v>
      </c>
      <c r="C1282" s="24">
        <v>3</v>
      </c>
    </row>
    <row r="1283" spans="1:3" x14ac:dyDescent="0.3">
      <c r="A1283" s="23">
        <v>6382013</v>
      </c>
      <c r="B1283" s="23" t="s">
        <v>1882</v>
      </c>
      <c r="C1283" s="24">
        <v>4</v>
      </c>
    </row>
    <row r="1284" spans="1:3" x14ac:dyDescent="0.3">
      <c r="A1284" s="23">
        <v>6383049</v>
      </c>
      <c r="B1284" s="23" t="s">
        <v>2800</v>
      </c>
      <c r="C1284" s="24">
        <v>26</v>
      </c>
    </row>
    <row r="1285" spans="1:3" x14ac:dyDescent="0.3">
      <c r="A1285" s="23">
        <v>6383050</v>
      </c>
      <c r="B1285" s="23" t="s">
        <v>2801</v>
      </c>
      <c r="C1285" s="24">
        <v>18</v>
      </c>
    </row>
    <row r="1286" spans="1:3" x14ac:dyDescent="0.3">
      <c r="A1286" s="23">
        <v>6383111</v>
      </c>
      <c r="B1286" s="23" t="s">
        <v>1737</v>
      </c>
      <c r="C1286" s="24">
        <v>9</v>
      </c>
    </row>
    <row r="1287" spans="1:3" x14ac:dyDescent="0.3">
      <c r="A1287" s="23">
        <v>6383745</v>
      </c>
      <c r="B1287" s="23" t="s">
        <v>2802</v>
      </c>
      <c r="C1287" s="24">
        <v>1</v>
      </c>
    </row>
    <row r="1288" spans="1:3" x14ac:dyDescent="0.3">
      <c r="A1288" s="23">
        <v>6383748</v>
      </c>
      <c r="B1288" s="23" t="s">
        <v>2803</v>
      </c>
      <c r="C1288" s="24">
        <v>1</v>
      </c>
    </row>
    <row r="1289" spans="1:3" x14ac:dyDescent="0.3">
      <c r="A1289" s="23">
        <v>6383924</v>
      </c>
      <c r="B1289" s="23" t="s">
        <v>1830</v>
      </c>
      <c r="C1289" s="24">
        <v>22</v>
      </c>
    </row>
    <row r="1290" spans="1:3" x14ac:dyDescent="0.3">
      <c r="A1290" s="23">
        <v>6383925</v>
      </c>
      <c r="B1290" s="23" t="s">
        <v>1833</v>
      </c>
      <c r="C1290" s="24">
        <v>17</v>
      </c>
    </row>
    <row r="1291" spans="1:3" x14ac:dyDescent="0.3">
      <c r="A1291" s="23">
        <v>6383926</v>
      </c>
      <c r="B1291" s="23" t="s">
        <v>1832</v>
      </c>
      <c r="C1291" s="24">
        <v>62</v>
      </c>
    </row>
    <row r="1292" spans="1:3" x14ac:dyDescent="0.3">
      <c r="A1292" s="23">
        <v>6383927</v>
      </c>
      <c r="B1292" s="23" t="s">
        <v>1470</v>
      </c>
      <c r="C1292" s="24">
        <v>15</v>
      </c>
    </row>
    <row r="1293" spans="1:3" x14ac:dyDescent="0.3">
      <c r="A1293" s="23">
        <v>6383929</v>
      </c>
      <c r="B1293" s="23" t="s">
        <v>1437</v>
      </c>
      <c r="C1293" s="24">
        <v>111</v>
      </c>
    </row>
    <row r="1294" spans="1:3" x14ac:dyDescent="0.3">
      <c r="A1294" s="23">
        <v>6383951</v>
      </c>
      <c r="B1294" s="23" t="s">
        <v>1436</v>
      </c>
      <c r="C1294" s="24">
        <v>2</v>
      </c>
    </row>
    <row r="1295" spans="1:3" x14ac:dyDescent="0.3">
      <c r="A1295" s="23">
        <v>6383953</v>
      </c>
      <c r="B1295" s="23" t="s">
        <v>1432</v>
      </c>
      <c r="C1295" s="24">
        <v>72</v>
      </c>
    </row>
    <row r="1296" spans="1:3" x14ac:dyDescent="0.3">
      <c r="A1296" s="23">
        <v>6383954</v>
      </c>
      <c r="B1296" s="23" t="s">
        <v>1433</v>
      </c>
      <c r="C1296" s="24">
        <v>14</v>
      </c>
    </row>
    <row r="1297" spans="1:3" x14ac:dyDescent="0.3">
      <c r="A1297" s="23">
        <v>6383955</v>
      </c>
      <c r="B1297" s="23" t="s">
        <v>1504</v>
      </c>
      <c r="C1297" s="24">
        <v>13</v>
      </c>
    </row>
    <row r="1298" spans="1:3" x14ac:dyDescent="0.3">
      <c r="A1298" s="23">
        <v>6383956</v>
      </c>
      <c r="B1298" s="23" t="s">
        <v>1599</v>
      </c>
      <c r="C1298" s="24">
        <v>19</v>
      </c>
    </row>
    <row r="1299" spans="1:3" x14ac:dyDescent="0.3">
      <c r="A1299" s="23">
        <v>6383958</v>
      </c>
      <c r="B1299" s="23" t="s">
        <v>1570</v>
      </c>
      <c r="C1299" s="24">
        <v>32</v>
      </c>
    </row>
    <row r="1300" spans="1:3" x14ac:dyDescent="0.3">
      <c r="A1300" s="23">
        <v>6383959</v>
      </c>
      <c r="B1300" s="23" t="s">
        <v>1571</v>
      </c>
      <c r="C1300" s="24">
        <v>118</v>
      </c>
    </row>
    <row r="1301" spans="1:3" x14ac:dyDescent="0.3">
      <c r="A1301" s="23">
        <v>6383960</v>
      </c>
      <c r="B1301" s="23" t="s">
        <v>1491</v>
      </c>
      <c r="C1301" s="24">
        <v>2</v>
      </c>
    </row>
    <row r="1302" spans="1:3" x14ac:dyDescent="0.3">
      <c r="A1302" s="23">
        <v>6383962</v>
      </c>
      <c r="B1302" s="23" t="s">
        <v>1506</v>
      </c>
      <c r="C1302" s="24">
        <v>2</v>
      </c>
    </row>
    <row r="1303" spans="1:3" x14ac:dyDescent="0.3">
      <c r="A1303" s="23">
        <v>6383963</v>
      </c>
      <c r="B1303" s="23" t="s">
        <v>1435</v>
      </c>
      <c r="C1303" s="24">
        <v>16</v>
      </c>
    </row>
    <row r="1304" spans="1:3" x14ac:dyDescent="0.3">
      <c r="A1304" s="23">
        <v>6383964</v>
      </c>
      <c r="B1304" s="23" t="s">
        <v>1434</v>
      </c>
      <c r="C1304" s="24">
        <v>3</v>
      </c>
    </row>
    <row r="1305" spans="1:3" x14ac:dyDescent="0.3">
      <c r="A1305" s="23">
        <v>6384971</v>
      </c>
      <c r="B1305" s="23" t="s">
        <v>2804</v>
      </c>
      <c r="C1305" s="24">
        <v>2</v>
      </c>
    </row>
    <row r="1306" spans="1:3" x14ac:dyDescent="0.3">
      <c r="A1306" s="23">
        <v>6385013</v>
      </c>
      <c r="B1306" s="23" t="s">
        <v>2805</v>
      </c>
      <c r="C1306" s="24">
        <v>1</v>
      </c>
    </row>
    <row r="1307" spans="1:3" x14ac:dyDescent="0.3">
      <c r="A1307" s="23">
        <v>6385539</v>
      </c>
      <c r="B1307" s="23" t="s">
        <v>1853</v>
      </c>
      <c r="C1307" s="24">
        <v>4</v>
      </c>
    </row>
    <row r="1308" spans="1:3" x14ac:dyDescent="0.3">
      <c r="A1308" s="23">
        <v>6385545</v>
      </c>
      <c r="B1308" s="23" t="s">
        <v>1837</v>
      </c>
      <c r="C1308" s="24">
        <v>6</v>
      </c>
    </row>
    <row r="1309" spans="1:3" x14ac:dyDescent="0.3">
      <c r="A1309" s="23">
        <v>6385601</v>
      </c>
      <c r="B1309" s="23" t="s">
        <v>2806</v>
      </c>
      <c r="C1309" s="24">
        <v>2</v>
      </c>
    </row>
    <row r="1310" spans="1:3" x14ac:dyDescent="0.3">
      <c r="A1310" s="23">
        <v>6386662</v>
      </c>
      <c r="B1310" s="23" t="s">
        <v>2480</v>
      </c>
      <c r="C1310" s="24">
        <v>6</v>
      </c>
    </row>
    <row r="1311" spans="1:3" x14ac:dyDescent="0.3">
      <c r="A1311" s="23">
        <v>6386665</v>
      </c>
      <c r="B1311" s="23" t="s">
        <v>2481</v>
      </c>
      <c r="C1311" s="24">
        <v>17</v>
      </c>
    </row>
    <row r="1312" spans="1:3" x14ac:dyDescent="0.3">
      <c r="A1312" s="23">
        <v>6386669</v>
      </c>
      <c r="B1312" s="23" t="s">
        <v>2482</v>
      </c>
      <c r="C1312" s="24">
        <v>64</v>
      </c>
    </row>
    <row r="1313" spans="1:3" x14ac:dyDescent="0.3">
      <c r="A1313" s="23">
        <v>6386670</v>
      </c>
      <c r="B1313" s="23" t="s">
        <v>1866</v>
      </c>
      <c r="C1313" s="24">
        <v>23</v>
      </c>
    </row>
    <row r="1314" spans="1:3" x14ac:dyDescent="0.3">
      <c r="A1314" s="23">
        <v>6386671</v>
      </c>
      <c r="B1314" s="23" t="s">
        <v>1873</v>
      </c>
      <c r="C1314" s="24">
        <v>13</v>
      </c>
    </row>
    <row r="1315" spans="1:3" x14ac:dyDescent="0.3">
      <c r="A1315" s="23">
        <v>6386672</v>
      </c>
      <c r="B1315" s="23" t="s">
        <v>2807</v>
      </c>
      <c r="C1315" s="24">
        <v>10</v>
      </c>
    </row>
    <row r="1316" spans="1:3" x14ac:dyDescent="0.3">
      <c r="A1316" s="23">
        <v>6386673</v>
      </c>
      <c r="B1316" s="23" t="s">
        <v>1865</v>
      </c>
      <c r="C1316" s="24">
        <v>3</v>
      </c>
    </row>
    <row r="1317" spans="1:3" x14ac:dyDescent="0.3">
      <c r="A1317" s="23">
        <v>6386831</v>
      </c>
      <c r="B1317" s="23" t="s">
        <v>2808</v>
      </c>
      <c r="C1317" s="24">
        <v>2</v>
      </c>
    </row>
    <row r="1318" spans="1:3" x14ac:dyDescent="0.3">
      <c r="A1318" s="23">
        <v>6389607</v>
      </c>
      <c r="B1318" s="23" t="s">
        <v>2809</v>
      </c>
      <c r="C1318" s="24">
        <v>1</v>
      </c>
    </row>
    <row r="1319" spans="1:3" x14ac:dyDescent="0.3">
      <c r="A1319" s="23">
        <v>6389622</v>
      </c>
      <c r="B1319" s="23" t="s">
        <v>1868</v>
      </c>
      <c r="C1319" s="24">
        <v>2</v>
      </c>
    </row>
    <row r="1320" spans="1:3" x14ac:dyDescent="0.3">
      <c r="A1320" s="23">
        <v>6389626</v>
      </c>
      <c r="B1320" s="23" t="s">
        <v>1413</v>
      </c>
      <c r="C1320" s="24">
        <v>1</v>
      </c>
    </row>
    <row r="1321" spans="1:3" x14ac:dyDescent="0.3">
      <c r="A1321" s="23">
        <v>6390501</v>
      </c>
      <c r="B1321" s="23" t="s">
        <v>1887</v>
      </c>
      <c r="C1321" s="24">
        <v>12</v>
      </c>
    </row>
    <row r="1322" spans="1:3" x14ac:dyDescent="0.3">
      <c r="A1322" s="23">
        <v>6390506</v>
      </c>
      <c r="B1322" s="23" t="s">
        <v>1886</v>
      </c>
      <c r="C1322" s="24">
        <v>1</v>
      </c>
    </row>
    <row r="1323" spans="1:3" x14ac:dyDescent="0.3">
      <c r="A1323" s="23">
        <v>6390514</v>
      </c>
      <c r="B1323" s="23" t="s">
        <v>2810</v>
      </c>
      <c r="C1323" s="24">
        <v>2</v>
      </c>
    </row>
    <row r="1324" spans="1:3" x14ac:dyDescent="0.3">
      <c r="A1324" s="23">
        <v>6390516</v>
      </c>
      <c r="B1324" s="23" t="s">
        <v>2483</v>
      </c>
      <c r="C1324" s="24">
        <v>1</v>
      </c>
    </row>
    <row r="1325" spans="1:3" x14ac:dyDescent="0.3">
      <c r="A1325" s="23">
        <v>6390517</v>
      </c>
      <c r="B1325" s="23" t="s">
        <v>1889</v>
      </c>
      <c r="C1325" s="24">
        <v>1</v>
      </c>
    </row>
    <row r="1326" spans="1:3" x14ac:dyDescent="0.3">
      <c r="A1326" s="23">
        <v>6390519</v>
      </c>
      <c r="B1326" s="23" t="s">
        <v>2484</v>
      </c>
      <c r="C1326" s="24">
        <v>8</v>
      </c>
    </row>
    <row r="1327" spans="1:3" x14ac:dyDescent="0.3">
      <c r="A1327" s="23">
        <v>6390521</v>
      </c>
      <c r="B1327" s="23" t="s">
        <v>2811</v>
      </c>
      <c r="C1327" s="24">
        <v>1</v>
      </c>
    </row>
    <row r="1328" spans="1:3" x14ac:dyDescent="0.3">
      <c r="A1328" s="23">
        <v>6390522</v>
      </c>
      <c r="B1328" s="23" t="s">
        <v>2812</v>
      </c>
      <c r="C1328" s="24">
        <v>1</v>
      </c>
    </row>
    <row r="1329" spans="1:3" x14ac:dyDescent="0.3">
      <c r="A1329" s="23">
        <v>6390523</v>
      </c>
      <c r="B1329" s="23" t="s">
        <v>2485</v>
      </c>
      <c r="C1329" s="24">
        <v>1</v>
      </c>
    </row>
    <row r="1330" spans="1:3" x14ac:dyDescent="0.3">
      <c r="A1330" s="23">
        <v>6390793</v>
      </c>
      <c r="B1330" s="23" t="s">
        <v>1321</v>
      </c>
      <c r="C1330" s="24">
        <v>29</v>
      </c>
    </row>
    <row r="1331" spans="1:3" x14ac:dyDescent="0.3">
      <c r="A1331" s="23">
        <v>6390806</v>
      </c>
      <c r="B1331" s="23" t="s">
        <v>1730</v>
      </c>
      <c r="C1331" s="24">
        <v>29</v>
      </c>
    </row>
    <row r="1332" spans="1:3" x14ac:dyDescent="0.3">
      <c r="A1332" s="23">
        <v>6391871</v>
      </c>
      <c r="B1332" s="23" t="s">
        <v>2813</v>
      </c>
      <c r="C1332" s="24">
        <v>44</v>
      </c>
    </row>
    <row r="1333" spans="1:3" x14ac:dyDescent="0.3">
      <c r="A1333" s="23">
        <v>6391874</v>
      </c>
      <c r="B1333" s="23" t="s">
        <v>2814</v>
      </c>
      <c r="C1333" s="24">
        <v>3</v>
      </c>
    </row>
    <row r="1334" spans="1:3" x14ac:dyDescent="0.3">
      <c r="A1334" s="23">
        <v>6392196</v>
      </c>
      <c r="B1334" s="23" t="s">
        <v>2815</v>
      </c>
      <c r="C1334" s="24">
        <v>52</v>
      </c>
    </row>
    <row r="1335" spans="1:3" x14ac:dyDescent="0.3">
      <c r="A1335" s="23">
        <v>6392197</v>
      </c>
      <c r="B1335" s="23" t="s">
        <v>2816</v>
      </c>
      <c r="C1335" s="24">
        <v>8</v>
      </c>
    </row>
    <row r="1336" spans="1:3" x14ac:dyDescent="0.3">
      <c r="A1336" s="23">
        <v>6392198</v>
      </c>
      <c r="B1336" s="23" t="s">
        <v>2817</v>
      </c>
      <c r="C1336" s="24">
        <v>40</v>
      </c>
    </row>
    <row r="1337" spans="1:3" x14ac:dyDescent="0.3">
      <c r="A1337" s="23">
        <v>6392199</v>
      </c>
      <c r="B1337" s="23" t="s">
        <v>2818</v>
      </c>
      <c r="C1337" s="24">
        <v>5</v>
      </c>
    </row>
    <row r="1338" spans="1:3" x14ac:dyDescent="0.3">
      <c r="A1338" s="23">
        <v>6392200</v>
      </c>
      <c r="B1338" s="23" t="s">
        <v>2819</v>
      </c>
      <c r="C1338" s="24">
        <v>94</v>
      </c>
    </row>
    <row r="1339" spans="1:3" x14ac:dyDescent="0.3">
      <c r="A1339" s="23">
        <v>6392256</v>
      </c>
      <c r="B1339" s="23" t="s">
        <v>2820</v>
      </c>
      <c r="C1339" s="24">
        <v>9</v>
      </c>
    </row>
    <row r="1340" spans="1:3" x14ac:dyDescent="0.3">
      <c r="A1340" s="23">
        <v>6392257</v>
      </c>
      <c r="B1340" s="23" t="s">
        <v>2821</v>
      </c>
      <c r="C1340" s="24">
        <v>8</v>
      </c>
    </row>
    <row r="1341" spans="1:3" x14ac:dyDescent="0.3">
      <c r="A1341" s="23">
        <v>6392291</v>
      </c>
      <c r="B1341" s="23" t="s">
        <v>2822</v>
      </c>
      <c r="C1341" s="24">
        <v>15</v>
      </c>
    </row>
    <row r="1342" spans="1:3" x14ac:dyDescent="0.3">
      <c r="A1342" s="23">
        <v>6392292</v>
      </c>
      <c r="B1342" s="23" t="s">
        <v>2823</v>
      </c>
      <c r="C1342" s="24">
        <v>15</v>
      </c>
    </row>
    <row r="1343" spans="1:3" x14ac:dyDescent="0.3">
      <c r="A1343" s="23">
        <v>6392301</v>
      </c>
      <c r="B1343" s="23" t="s">
        <v>2824</v>
      </c>
      <c r="C1343" s="24">
        <v>140</v>
      </c>
    </row>
    <row r="1344" spans="1:3" x14ac:dyDescent="0.3">
      <c r="A1344" s="23">
        <v>6392302</v>
      </c>
      <c r="B1344" s="23" t="s">
        <v>2825</v>
      </c>
      <c r="C1344" s="24">
        <v>90</v>
      </c>
    </row>
    <row r="1345" spans="1:3" x14ac:dyDescent="0.3">
      <c r="A1345" s="23">
        <v>6392303</v>
      </c>
      <c r="B1345" s="23" t="s">
        <v>2826</v>
      </c>
      <c r="C1345" s="24">
        <v>68</v>
      </c>
    </row>
    <row r="1346" spans="1:3" x14ac:dyDescent="0.3">
      <c r="A1346" s="23">
        <v>6392304</v>
      </c>
      <c r="B1346" s="23" t="s">
        <v>2827</v>
      </c>
      <c r="C1346" s="24">
        <v>78</v>
      </c>
    </row>
    <row r="1347" spans="1:3" x14ac:dyDescent="0.3">
      <c r="A1347" s="23">
        <v>6392305</v>
      </c>
      <c r="B1347" s="23" t="s">
        <v>2828</v>
      </c>
      <c r="C1347" s="24">
        <v>23</v>
      </c>
    </row>
    <row r="1348" spans="1:3" x14ac:dyDescent="0.3">
      <c r="A1348" s="23">
        <v>6392306</v>
      </c>
      <c r="B1348" s="23" t="s">
        <v>2829</v>
      </c>
      <c r="C1348" s="24">
        <v>14</v>
      </c>
    </row>
    <row r="1349" spans="1:3" x14ac:dyDescent="0.3">
      <c r="A1349" s="23">
        <v>6392308</v>
      </c>
      <c r="B1349" s="23" t="s">
        <v>2830</v>
      </c>
      <c r="C1349" s="24">
        <v>27</v>
      </c>
    </row>
    <row r="1350" spans="1:3" x14ac:dyDescent="0.3">
      <c r="A1350" s="23">
        <v>6392586</v>
      </c>
      <c r="B1350" s="23" t="s">
        <v>2831</v>
      </c>
      <c r="C1350" s="25">
        <v>0</v>
      </c>
    </row>
    <row r="1351" spans="1:3" x14ac:dyDescent="0.3">
      <c r="A1351" s="23">
        <v>6392934</v>
      </c>
      <c r="B1351" s="23" t="s">
        <v>1509</v>
      </c>
      <c r="C1351" s="24">
        <v>24</v>
      </c>
    </row>
    <row r="1352" spans="1:3" x14ac:dyDescent="0.3">
      <c r="A1352" s="23">
        <v>6392935</v>
      </c>
      <c r="B1352" s="23" t="s">
        <v>1537</v>
      </c>
      <c r="C1352" s="24">
        <v>1</v>
      </c>
    </row>
    <row r="1353" spans="1:3" x14ac:dyDescent="0.3">
      <c r="A1353" s="23">
        <v>6392936</v>
      </c>
      <c r="B1353" s="23" t="s">
        <v>1536</v>
      </c>
      <c r="C1353" s="24">
        <v>4</v>
      </c>
    </row>
    <row r="1354" spans="1:3" x14ac:dyDescent="0.3">
      <c r="A1354" s="23">
        <v>6393688</v>
      </c>
      <c r="B1354" s="23" t="s">
        <v>1316</v>
      </c>
      <c r="C1354" s="24">
        <v>9</v>
      </c>
    </row>
    <row r="1355" spans="1:3" x14ac:dyDescent="0.3">
      <c r="A1355" s="23">
        <v>6393689</v>
      </c>
      <c r="B1355" s="23" t="s">
        <v>1317</v>
      </c>
      <c r="C1355" s="24">
        <v>5</v>
      </c>
    </row>
    <row r="1356" spans="1:3" x14ac:dyDescent="0.3">
      <c r="A1356" s="23">
        <v>6394164</v>
      </c>
      <c r="B1356" s="23" t="s">
        <v>2832</v>
      </c>
      <c r="C1356" s="24">
        <v>5</v>
      </c>
    </row>
    <row r="1357" spans="1:3" x14ac:dyDescent="0.3">
      <c r="A1357" s="23">
        <v>6394165</v>
      </c>
      <c r="B1357" s="23" t="s">
        <v>2833</v>
      </c>
      <c r="C1357" s="24">
        <v>1</v>
      </c>
    </row>
    <row r="1358" spans="1:3" x14ac:dyDescent="0.3">
      <c r="A1358" s="23">
        <v>6394196</v>
      </c>
      <c r="B1358" s="23" t="s">
        <v>1430</v>
      </c>
      <c r="C1358" s="24">
        <v>11</v>
      </c>
    </row>
    <row r="1359" spans="1:3" x14ac:dyDescent="0.3">
      <c r="A1359" s="23">
        <v>6394214</v>
      </c>
      <c r="B1359" s="23" t="s">
        <v>1923</v>
      </c>
      <c r="C1359" s="24">
        <v>5</v>
      </c>
    </row>
    <row r="1360" spans="1:3" x14ac:dyDescent="0.3">
      <c r="A1360" s="23">
        <v>6394226</v>
      </c>
      <c r="B1360" s="23" t="s">
        <v>1924</v>
      </c>
      <c r="C1360" s="24">
        <v>3</v>
      </c>
    </row>
    <row r="1361" spans="1:3" x14ac:dyDescent="0.3">
      <c r="A1361" s="23">
        <v>6394289</v>
      </c>
      <c r="B1361" s="23" t="s">
        <v>1791</v>
      </c>
      <c r="C1361" s="24">
        <v>8</v>
      </c>
    </row>
    <row r="1362" spans="1:3" x14ac:dyDescent="0.3">
      <c r="A1362" s="23">
        <v>6394290</v>
      </c>
      <c r="B1362" s="23" t="s">
        <v>1823</v>
      </c>
      <c r="C1362" s="24">
        <v>6</v>
      </c>
    </row>
    <row r="1363" spans="1:3" x14ac:dyDescent="0.3">
      <c r="A1363" s="23">
        <v>6394395</v>
      </c>
      <c r="B1363" s="23" t="s">
        <v>1825</v>
      </c>
      <c r="C1363" s="24">
        <v>16</v>
      </c>
    </row>
    <row r="1364" spans="1:3" x14ac:dyDescent="0.3">
      <c r="A1364" s="23">
        <v>6394397</v>
      </c>
      <c r="B1364" s="23" t="s">
        <v>1831</v>
      </c>
      <c r="C1364" s="24">
        <v>1</v>
      </c>
    </row>
    <row r="1365" spans="1:3" x14ac:dyDescent="0.3">
      <c r="A1365" s="23">
        <v>6394415</v>
      </c>
      <c r="B1365" s="23" t="s">
        <v>1792</v>
      </c>
      <c r="C1365" s="24">
        <v>8</v>
      </c>
    </row>
    <row r="1366" spans="1:3" x14ac:dyDescent="0.3">
      <c r="A1366" s="23">
        <v>6394467</v>
      </c>
      <c r="B1366" s="23" t="s">
        <v>2834</v>
      </c>
      <c r="C1366" s="24">
        <v>57</v>
      </c>
    </row>
    <row r="1367" spans="1:3" x14ac:dyDescent="0.3">
      <c r="A1367" s="23">
        <v>6395703</v>
      </c>
      <c r="B1367" s="23" t="s">
        <v>1577</v>
      </c>
      <c r="C1367" s="24">
        <v>100</v>
      </c>
    </row>
    <row r="1368" spans="1:3" x14ac:dyDescent="0.3">
      <c r="A1368" s="23">
        <v>6395772</v>
      </c>
      <c r="B1368" s="23" t="s">
        <v>1723</v>
      </c>
      <c r="C1368" s="24">
        <v>43</v>
      </c>
    </row>
    <row r="1369" spans="1:3" x14ac:dyDescent="0.3">
      <c r="A1369" s="23">
        <v>6395773</v>
      </c>
      <c r="B1369" s="23" t="s">
        <v>1726</v>
      </c>
      <c r="C1369" s="24">
        <v>11</v>
      </c>
    </row>
    <row r="1370" spans="1:3" x14ac:dyDescent="0.3">
      <c r="A1370" s="23">
        <v>6396799</v>
      </c>
      <c r="B1370" s="23" t="s">
        <v>1785</v>
      </c>
      <c r="C1370" s="24">
        <v>4</v>
      </c>
    </row>
    <row r="1371" spans="1:3" x14ac:dyDescent="0.3">
      <c r="A1371" s="23">
        <v>6396802</v>
      </c>
      <c r="B1371" s="23" t="s">
        <v>2835</v>
      </c>
      <c r="C1371" s="24">
        <v>3</v>
      </c>
    </row>
    <row r="1372" spans="1:3" x14ac:dyDescent="0.3">
      <c r="A1372" s="23">
        <v>6396803</v>
      </c>
      <c r="B1372" s="23" t="s">
        <v>1784</v>
      </c>
      <c r="C1372" s="24">
        <v>1</v>
      </c>
    </row>
    <row r="1373" spans="1:3" x14ac:dyDescent="0.3">
      <c r="A1373" s="23">
        <v>6396927</v>
      </c>
      <c r="B1373" s="23" t="s">
        <v>2836</v>
      </c>
      <c r="C1373" s="24">
        <v>2</v>
      </c>
    </row>
    <row r="1374" spans="1:3" x14ac:dyDescent="0.3">
      <c r="A1374" s="23">
        <v>6396928</v>
      </c>
      <c r="B1374" s="23" t="s">
        <v>1800</v>
      </c>
      <c r="C1374" s="24">
        <v>3</v>
      </c>
    </row>
    <row r="1375" spans="1:3" x14ac:dyDescent="0.3">
      <c r="A1375" s="23">
        <v>6396929</v>
      </c>
      <c r="B1375" s="23" t="s">
        <v>2837</v>
      </c>
      <c r="C1375" s="24">
        <v>1</v>
      </c>
    </row>
    <row r="1376" spans="1:3" x14ac:dyDescent="0.3">
      <c r="A1376" s="23">
        <v>6396944</v>
      </c>
      <c r="B1376" s="23" t="s">
        <v>1801</v>
      </c>
      <c r="C1376" s="24">
        <v>25</v>
      </c>
    </row>
    <row r="1377" spans="1:3" x14ac:dyDescent="0.3">
      <c r="A1377" s="23">
        <v>6396945</v>
      </c>
      <c r="B1377" s="23" t="s">
        <v>2838</v>
      </c>
      <c r="C1377" s="24">
        <v>4</v>
      </c>
    </row>
    <row r="1378" spans="1:3" x14ac:dyDescent="0.3">
      <c r="A1378" s="23">
        <v>6396952</v>
      </c>
      <c r="B1378" s="23" t="s">
        <v>2839</v>
      </c>
      <c r="C1378" s="24">
        <v>3</v>
      </c>
    </row>
    <row r="1379" spans="1:3" x14ac:dyDescent="0.3">
      <c r="A1379" s="23">
        <v>6396957</v>
      </c>
      <c r="B1379" s="23" t="s">
        <v>1798</v>
      </c>
      <c r="C1379" s="24">
        <v>4</v>
      </c>
    </row>
    <row r="1380" spans="1:3" x14ac:dyDescent="0.3">
      <c r="A1380" s="23">
        <v>6396958</v>
      </c>
      <c r="B1380" s="23" t="s">
        <v>1799</v>
      </c>
      <c r="C1380" s="24">
        <v>1</v>
      </c>
    </row>
    <row r="1381" spans="1:3" x14ac:dyDescent="0.3">
      <c r="A1381" s="23">
        <v>6398717</v>
      </c>
      <c r="B1381" s="23" t="s">
        <v>1802</v>
      </c>
      <c r="C1381" s="24">
        <v>35</v>
      </c>
    </row>
    <row r="1382" spans="1:3" x14ac:dyDescent="0.3">
      <c r="A1382" s="23">
        <v>6398907</v>
      </c>
      <c r="B1382" s="23" t="s">
        <v>2840</v>
      </c>
      <c r="C1382" s="24">
        <v>4</v>
      </c>
    </row>
    <row r="1383" spans="1:3" x14ac:dyDescent="0.3">
      <c r="A1383" s="23">
        <v>6398932</v>
      </c>
      <c r="B1383" s="23" t="s">
        <v>1446</v>
      </c>
      <c r="C1383" s="24">
        <v>4</v>
      </c>
    </row>
    <row r="1384" spans="1:3" x14ac:dyDescent="0.3">
      <c r="A1384" s="23">
        <v>6399347</v>
      </c>
      <c r="B1384" s="23" t="s">
        <v>1813</v>
      </c>
      <c r="C1384" s="24">
        <v>2</v>
      </c>
    </row>
    <row r="1385" spans="1:3" x14ac:dyDescent="0.3">
      <c r="A1385" s="23">
        <v>6399447</v>
      </c>
      <c r="B1385" s="23" t="s">
        <v>2841</v>
      </c>
      <c r="C1385" s="24">
        <v>1</v>
      </c>
    </row>
    <row r="1386" spans="1:3" x14ac:dyDescent="0.3">
      <c r="A1386" s="23">
        <v>6399623</v>
      </c>
      <c r="B1386" s="23" t="s">
        <v>2842</v>
      </c>
      <c r="C1386" s="24">
        <v>2</v>
      </c>
    </row>
    <row r="1387" spans="1:3" x14ac:dyDescent="0.3">
      <c r="A1387" s="23">
        <v>6399759</v>
      </c>
      <c r="B1387" s="23" t="s">
        <v>1877</v>
      </c>
      <c r="C1387" s="24">
        <v>18</v>
      </c>
    </row>
    <row r="1388" spans="1:3" x14ac:dyDescent="0.3">
      <c r="A1388" s="23">
        <v>6399760</v>
      </c>
      <c r="B1388" s="23" t="s">
        <v>2843</v>
      </c>
      <c r="C1388" s="24">
        <v>2</v>
      </c>
    </row>
    <row r="1389" spans="1:3" x14ac:dyDescent="0.3">
      <c r="A1389" s="23">
        <v>6401600</v>
      </c>
      <c r="B1389" s="23" t="s">
        <v>2486</v>
      </c>
      <c r="C1389" s="24">
        <v>23</v>
      </c>
    </row>
    <row r="1390" spans="1:3" x14ac:dyDescent="0.3">
      <c r="A1390" s="23">
        <v>6403143</v>
      </c>
      <c r="B1390" s="23" t="s">
        <v>2487</v>
      </c>
      <c r="C1390" s="24">
        <v>16</v>
      </c>
    </row>
    <row r="1391" spans="1:3" x14ac:dyDescent="0.3">
      <c r="A1391" s="23">
        <v>6404055</v>
      </c>
      <c r="B1391" s="23" t="s">
        <v>2488</v>
      </c>
      <c r="C1391" s="24">
        <v>12</v>
      </c>
    </row>
    <row r="1392" spans="1:3" x14ac:dyDescent="0.3">
      <c r="A1392" s="23">
        <v>6404056</v>
      </c>
      <c r="B1392" s="23" t="s">
        <v>2489</v>
      </c>
      <c r="C1392" s="24">
        <v>1215</v>
      </c>
    </row>
    <row r="1393" spans="1:3" x14ac:dyDescent="0.3">
      <c r="A1393" s="23">
        <v>6404057</v>
      </c>
      <c r="B1393" s="23" t="s">
        <v>2490</v>
      </c>
      <c r="C1393" s="24">
        <v>112</v>
      </c>
    </row>
    <row r="1394" spans="1:3" x14ac:dyDescent="0.3">
      <c r="A1394" s="23">
        <v>6405103</v>
      </c>
      <c r="B1394" s="23" t="s">
        <v>1319</v>
      </c>
      <c r="C1394" s="24">
        <v>10</v>
      </c>
    </row>
    <row r="1395" spans="1:3" x14ac:dyDescent="0.3">
      <c r="A1395" s="23">
        <v>6405488</v>
      </c>
      <c r="B1395" s="23" t="s">
        <v>1416</v>
      </c>
      <c r="C1395" s="24">
        <v>1</v>
      </c>
    </row>
    <row r="1396" spans="1:3" x14ac:dyDescent="0.3">
      <c r="A1396" s="23">
        <v>6405534</v>
      </c>
      <c r="B1396" s="23" t="s">
        <v>1725</v>
      </c>
      <c r="C1396" s="24">
        <v>22</v>
      </c>
    </row>
    <row r="1397" spans="1:3" x14ac:dyDescent="0.3">
      <c r="A1397" s="23">
        <v>6405546</v>
      </c>
      <c r="B1397" s="23" t="s">
        <v>1727</v>
      </c>
      <c r="C1397" s="24">
        <v>1</v>
      </c>
    </row>
    <row r="1398" spans="1:3" x14ac:dyDescent="0.3">
      <c r="A1398" s="23">
        <v>6405767</v>
      </c>
      <c r="B1398" s="23" t="s">
        <v>2844</v>
      </c>
      <c r="C1398" s="24">
        <v>1</v>
      </c>
    </row>
    <row r="1399" spans="1:3" x14ac:dyDescent="0.3">
      <c r="A1399" s="23">
        <v>6407796</v>
      </c>
      <c r="B1399" s="23" t="s">
        <v>2491</v>
      </c>
      <c r="C1399" s="24">
        <v>216</v>
      </c>
    </row>
    <row r="1400" spans="1:3" x14ac:dyDescent="0.3">
      <c r="A1400" s="23">
        <v>6409830</v>
      </c>
      <c r="B1400" s="23" t="s">
        <v>2492</v>
      </c>
      <c r="C1400" s="24">
        <v>157</v>
      </c>
    </row>
    <row r="1401" spans="1:3" x14ac:dyDescent="0.3">
      <c r="A1401" s="23">
        <v>6409961</v>
      </c>
      <c r="B1401" s="23" t="s">
        <v>2845</v>
      </c>
      <c r="C1401" s="24">
        <v>2</v>
      </c>
    </row>
    <row r="1402" spans="1:3" x14ac:dyDescent="0.3">
      <c r="A1402" s="23">
        <v>6410147</v>
      </c>
      <c r="B1402" s="23" t="s">
        <v>2493</v>
      </c>
      <c r="C1402" s="24">
        <v>11</v>
      </c>
    </row>
    <row r="1403" spans="1:3" x14ac:dyDescent="0.3">
      <c r="A1403" s="23">
        <v>6410148</v>
      </c>
      <c r="B1403" s="23" t="s">
        <v>2494</v>
      </c>
      <c r="C1403" s="24">
        <v>4</v>
      </c>
    </row>
    <row r="1404" spans="1:3" x14ac:dyDescent="0.3">
      <c r="A1404" s="23">
        <v>6410149</v>
      </c>
      <c r="B1404" s="23" t="s">
        <v>2495</v>
      </c>
      <c r="C1404" s="24">
        <v>9</v>
      </c>
    </row>
    <row r="1405" spans="1:3" x14ac:dyDescent="0.3">
      <c r="A1405" s="23">
        <v>6410150</v>
      </c>
      <c r="B1405" s="23" t="s">
        <v>2496</v>
      </c>
      <c r="C1405" s="24">
        <v>9</v>
      </c>
    </row>
    <row r="1406" spans="1:3" x14ac:dyDescent="0.3">
      <c r="A1406" s="23">
        <v>6410161</v>
      </c>
      <c r="B1406" s="23" t="s">
        <v>2497</v>
      </c>
      <c r="C1406" s="24">
        <v>2</v>
      </c>
    </row>
    <row r="1407" spans="1:3" x14ac:dyDescent="0.3">
      <c r="A1407" s="23">
        <v>6410163</v>
      </c>
      <c r="B1407" s="23" t="s">
        <v>2498</v>
      </c>
      <c r="C1407" s="24">
        <v>24</v>
      </c>
    </row>
    <row r="1408" spans="1:3" x14ac:dyDescent="0.3">
      <c r="A1408" s="23">
        <v>6410165</v>
      </c>
      <c r="B1408" s="23" t="s">
        <v>2499</v>
      </c>
      <c r="C1408" s="24">
        <v>27</v>
      </c>
    </row>
    <row r="1409" spans="1:3" x14ac:dyDescent="0.3">
      <c r="A1409" s="23">
        <v>6410166</v>
      </c>
      <c r="B1409" s="23" t="s">
        <v>2846</v>
      </c>
      <c r="C1409" s="24">
        <v>2</v>
      </c>
    </row>
    <row r="1410" spans="1:3" x14ac:dyDescent="0.3">
      <c r="A1410" s="23">
        <v>6410168</v>
      </c>
      <c r="B1410" s="23" t="s">
        <v>1888</v>
      </c>
      <c r="C1410" s="24">
        <v>6</v>
      </c>
    </row>
    <row r="1411" spans="1:3" x14ac:dyDescent="0.3">
      <c r="A1411" s="23">
        <v>6410169</v>
      </c>
      <c r="B1411" s="23" t="s">
        <v>2500</v>
      </c>
      <c r="C1411" s="24">
        <v>11</v>
      </c>
    </row>
    <row r="1412" spans="1:3" x14ac:dyDescent="0.3">
      <c r="A1412" s="23">
        <v>6410170</v>
      </c>
      <c r="B1412" s="23" t="s">
        <v>2501</v>
      </c>
      <c r="C1412" s="24">
        <v>68</v>
      </c>
    </row>
    <row r="1413" spans="1:3" x14ac:dyDescent="0.3">
      <c r="A1413" s="23">
        <v>6410171</v>
      </c>
      <c r="B1413" s="23" t="s">
        <v>2502</v>
      </c>
      <c r="C1413" s="24">
        <v>43</v>
      </c>
    </row>
    <row r="1414" spans="1:3" x14ac:dyDescent="0.3">
      <c r="A1414" s="23">
        <v>6410172</v>
      </c>
      <c r="B1414" s="23" t="s">
        <v>2503</v>
      </c>
      <c r="C1414" s="24">
        <v>10</v>
      </c>
    </row>
    <row r="1415" spans="1:3" x14ac:dyDescent="0.3">
      <c r="A1415" s="23">
        <v>6410174</v>
      </c>
      <c r="B1415" s="23" t="s">
        <v>2504</v>
      </c>
      <c r="C1415" s="24">
        <v>1</v>
      </c>
    </row>
    <row r="1416" spans="1:3" x14ac:dyDescent="0.3">
      <c r="A1416" s="23">
        <v>6410176</v>
      </c>
      <c r="B1416" s="23" t="s">
        <v>2505</v>
      </c>
      <c r="C1416" s="24">
        <v>11</v>
      </c>
    </row>
    <row r="1417" spans="1:3" x14ac:dyDescent="0.3">
      <c r="A1417" s="23">
        <v>6410177</v>
      </c>
      <c r="B1417" s="23" t="s">
        <v>2506</v>
      </c>
      <c r="C1417" s="24">
        <v>54</v>
      </c>
    </row>
    <row r="1418" spans="1:3" x14ac:dyDescent="0.3">
      <c r="A1418" s="23">
        <v>6410179</v>
      </c>
      <c r="B1418" s="23" t="s">
        <v>2507</v>
      </c>
      <c r="C1418" s="24">
        <v>11</v>
      </c>
    </row>
    <row r="1419" spans="1:3" x14ac:dyDescent="0.3">
      <c r="A1419" s="23">
        <v>6410180</v>
      </c>
      <c r="B1419" s="23" t="s">
        <v>1890</v>
      </c>
      <c r="C1419" s="24">
        <v>4</v>
      </c>
    </row>
    <row r="1420" spans="1:3" x14ac:dyDescent="0.3">
      <c r="A1420" s="23">
        <v>6410181</v>
      </c>
      <c r="B1420" s="23" t="s">
        <v>2508</v>
      </c>
      <c r="C1420" s="24">
        <v>194</v>
      </c>
    </row>
    <row r="1421" spans="1:3" x14ac:dyDescent="0.3">
      <c r="A1421" s="23">
        <v>6410329</v>
      </c>
      <c r="B1421" s="23" t="s">
        <v>1604</v>
      </c>
      <c r="C1421" s="24">
        <v>1682</v>
      </c>
    </row>
    <row r="1422" spans="1:3" x14ac:dyDescent="0.3">
      <c r="A1422" s="23">
        <v>6410384</v>
      </c>
      <c r="B1422" s="23" t="s">
        <v>2509</v>
      </c>
      <c r="C1422" s="24">
        <v>273</v>
      </c>
    </row>
    <row r="1423" spans="1:3" x14ac:dyDescent="0.3">
      <c r="A1423" s="23">
        <v>6410860</v>
      </c>
      <c r="B1423" s="23" t="s">
        <v>1447</v>
      </c>
      <c r="C1423" s="24">
        <v>20</v>
      </c>
    </row>
    <row r="1424" spans="1:3" x14ac:dyDescent="0.3">
      <c r="A1424" s="23">
        <v>6411037</v>
      </c>
      <c r="B1424" s="23" t="s">
        <v>1421</v>
      </c>
      <c r="C1424" s="24">
        <v>6</v>
      </c>
    </row>
    <row r="1425" spans="1:3" x14ac:dyDescent="0.3">
      <c r="A1425" s="23">
        <v>6411479</v>
      </c>
      <c r="B1425" s="23" t="s">
        <v>1762</v>
      </c>
      <c r="C1425" s="24">
        <v>4</v>
      </c>
    </row>
    <row r="1426" spans="1:3" x14ac:dyDescent="0.3">
      <c r="A1426" s="23">
        <v>6411493</v>
      </c>
      <c r="B1426" s="23" t="s">
        <v>1371</v>
      </c>
      <c r="C1426" s="24">
        <v>3</v>
      </c>
    </row>
    <row r="1427" spans="1:3" x14ac:dyDescent="0.3">
      <c r="A1427" s="23">
        <v>6411542</v>
      </c>
      <c r="B1427" s="23" t="s">
        <v>1763</v>
      </c>
      <c r="C1427" s="24">
        <v>5</v>
      </c>
    </row>
    <row r="1428" spans="1:3" x14ac:dyDescent="0.3">
      <c r="A1428" s="23">
        <v>6412377</v>
      </c>
      <c r="B1428" s="23" t="s">
        <v>2847</v>
      </c>
      <c r="C1428" s="24">
        <v>4</v>
      </c>
    </row>
    <row r="1429" spans="1:3" x14ac:dyDescent="0.3">
      <c r="A1429" s="23">
        <v>6412379</v>
      </c>
      <c r="B1429" s="23" t="s">
        <v>2848</v>
      </c>
      <c r="C1429" s="24">
        <v>1</v>
      </c>
    </row>
    <row r="1430" spans="1:3" x14ac:dyDescent="0.3">
      <c r="A1430" s="23">
        <v>6412425</v>
      </c>
      <c r="B1430" s="23" t="s">
        <v>2849</v>
      </c>
      <c r="C1430" s="24">
        <v>1</v>
      </c>
    </row>
    <row r="1431" spans="1:3" x14ac:dyDescent="0.3">
      <c r="A1431" s="23">
        <v>6412432</v>
      </c>
      <c r="B1431" s="23" t="s">
        <v>2850</v>
      </c>
      <c r="C1431" s="24">
        <v>1</v>
      </c>
    </row>
    <row r="1432" spans="1:3" x14ac:dyDescent="0.3">
      <c r="A1432" s="23">
        <v>6412642</v>
      </c>
      <c r="B1432" s="23" t="s">
        <v>2851</v>
      </c>
      <c r="C1432" s="24">
        <v>1</v>
      </c>
    </row>
    <row r="1433" spans="1:3" x14ac:dyDescent="0.3">
      <c r="A1433" s="23">
        <v>6412700</v>
      </c>
      <c r="B1433" s="23" t="s">
        <v>1779</v>
      </c>
      <c r="C1433" s="24">
        <v>9</v>
      </c>
    </row>
    <row r="1434" spans="1:3" x14ac:dyDescent="0.3">
      <c r="A1434" s="23">
        <v>6412884</v>
      </c>
      <c r="B1434" s="23" t="s">
        <v>1759</v>
      </c>
      <c r="C1434" s="24">
        <v>13</v>
      </c>
    </row>
    <row r="1435" spans="1:3" x14ac:dyDescent="0.3">
      <c r="A1435" s="23">
        <v>6413308</v>
      </c>
      <c r="B1435" s="23" t="s">
        <v>1564</v>
      </c>
      <c r="C1435" s="24">
        <v>2</v>
      </c>
    </row>
    <row r="1436" spans="1:3" x14ac:dyDescent="0.3">
      <c r="A1436" s="23">
        <v>6413715</v>
      </c>
      <c r="B1436" s="23" t="s">
        <v>1803</v>
      </c>
      <c r="C1436" s="24">
        <v>33</v>
      </c>
    </row>
    <row r="1437" spans="1:3" x14ac:dyDescent="0.3">
      <c r="A1437" s="23">
        <v>6413722</v>
      </c>
      <c r="B1437" s="23" t="s">
        <v>1867</v>
      </c>
      <c r="C1437" s="24">
        <v>22</v>
      </c>
    </row>
    <row r="1438" spans="1:3" x14ac:dyDescent="0.3">
      <c r="A1438" s="23">
        <v>6413753</v>
      </c>
      <c r="B1438" s="23" t="s">
        <v>1804</v>
      </c>
      <c r="C1438" s="24">
        <v>20</v>
      </c>
    </row>
    <row r="1439" spans="1:3" x14ac:dyDescent="0.3">
      <c r="A1439" s="23">
        <v>6413792</v>
      </c>
      <c r="B1439" s="23" t="s">
        <v>1318</v>
      </c>
      <c r="C1439" s="24">
        <v>10</v>
      </c>
    </row>
    <row r="1440" spans="1:3" x14ac:dyDescent="0.3">
      <c r="A1440" s="23">
        <v>6414008</v>
      </c>
      <c r="B1440" s="23" t="s">
        <v>1776</v>
      </c>
      <c r="C1440" s="24">
        <v>9</v>
      </c>
    </row>
    <row r="1441" spans="1:3" x14ac:dyDescent="0.3">
      <c r="A1441" s="23">
        <v>6414009</v>
      </c>
      <c r="B1441" s="23" t="s">
        <v>2852</v>
      </c>
      <c r="C1441" s="24">
        <v>2</v>
      </c>
    </row>
    <row r="1442" spans="1:3" x14ac:dyDescent="0.3">
      <c r="A1442" s="23">
        <v>6414023</v>
      </c>
      <c r="B1442" s="23" t="s">
        <v>2853</v>
      </c>
      <c r="C1442" s="24">
        <v>1</v>
      </c>
    </row>
    <row r="1443" spans="1:3" x14ac:dyDescent="0.3">
      <c r="A1443" s="23">
        <v>6414041</v>
      </c>
      <c r="B1443" s="23" t="s">
        <v>2854</v>
      </c>
      <c r="C1443" s="24">
        <v>1</v>
      </c>
    </row>
    <row r="1444" spans="1:3" x14ac:dyDescent="0.3">
      <c r="A1444" s="23">
        <v>6414042</v>
      </c>
      <c r="B1444" s="23" t="s">
        <v>1774</v>
      </c>
      <c r="C1444" s="24">
        <v>6</v>
      </c>
    </row>
    <row r="1445" spans="1:3" x14ac:dyDescent="0.3">
      <c r="A1445" s="23">
        <v>6414043</v>
      </c>
      <c r="B1445" s="23" t="s">
        <v>2855</v>
      </c>
      <c r="C1445" s="24">
        <v>2</v>
      </c>
    </row>
    <row r="1446" spans="1:3" x14ac:dyDescent="0.3">
      <c r="A1446" s="23">
        <v>6414052</v>
      </c>
      <c r="B1446" s="23" t="s">
        <v>1777</v>
      </c>
      <c r="C1446" s="24">
        <v>1</v>
      </c>
    </row>
    <row r="1447" spans="1:3" x14ac:dyDescent="0.3">
      <c r="A1447" s="23">
        <v>6414375</v>
      </c>
      <c r="B1447" s="23" t="s">
        <v>1375</v>
      </c>
      <c r="C1447" s="24">
        <v>2</v>
      </c>
    </row>
    <row r="1448" spans="1:3" x14ac:dyDescent="0.3">
      <c r="A1448" s="23">
        <v>6414413</v>
      </c>
      <c r="B1448" s="23" t="s">
        <v>1378</v>
      </c>
      <c r="C1448" s="24">
        <v>7</v>
      </c>
    </row>
    <row r="1449" spans="1:3" x14ac:dyDescent="0.3">
      <c r="A1449" s="23">
        <v>6415012</v>
      </c>
      <c r="B1449" s="23" t="s">
        <v>1445</v>
      </c>
      <c r="C1449" s="24">
        <v>60</v>
      </c>
    </row>
    <row r="1450" spans="1:3" x14ac:dyDescent="0.3">
      <c r="A1450" s="23">
        <v>6416399</v>
      </c>
      <c r="B1450" s="23" t="s">
        <v>1822</v>
      </c>
      <c r="C1450" s="24">
        <v>7</v>
      </c>
    </row>
    <row r="1451" spans="1:3" x14ac:dyDescent="0.3">
      <c r="A1451" s="23">
        <v>6416400</v>
      </c>
      <c r="B1451" s="23" t="s">
        <v>1829</v>
      </c>
      <c r="C1451" s="24">
        <v>3</v>
      </c>
    </row>
    <row r="1452" spans="1:3" x14ac:dyDescent="0.3">
      <c r="A1452" s="23">
        <v>6416425</v>
      </c>
      <c r="B1452" s="23" t="s">
        <v>1742</v>
      </c>
      <c r="C1452" s="24">
        <v>13</v>
      </c>
    </row>
    <row r="1453" spans="1:3" x14ac:dyDescent="0.3">
      <c r="A1453" s="23">
        <v>6416430</v>
      </c>
      <c r="B1453" s="23" t="s">
        <v>1741</v>
      </c>
      <c r="C1453" s="24">
        <v>6</v>
      </c>
    </row>
    <row r="1454" spans="1:3" x14ac:dyDescent="0.3">
      <c r="A1454" s="23">
        <v>6416432</v>
      </c>
      <c r="B1454" s="23" t="s">
        <v>1747</v>
      </c>
      <c r="C1454" s="24">
        <v>1</v>
      </c>
    </row>
    <row r="1455" spans="1:3" x14ac:dyDescent="0.3">
      <c r="A1455" s="23">
        <v>6416433</v>
      </c>
      <c r="B1455" s="23" t="s">
        <v>1743</v>
      </c>
      <c r="C1455" s="24">
        <v>1</v>
      </c>
    </row>
    <row r="1456" spans="1:3" x14ac:dyDescent="0.3">
      <c r="A1456" s="23">
        <v>6416435</v>
      </c>
      <c r="B1456" s="23" t="s">
        <v>1740</v>
      </c>
      <c r="C1456" s="24">
        <v>6</v>
      </c>
    </row>
    <row r="1457" spans="1:3" x14ac:dyDescent="0.3">
      <c r="A1457" s="23">
        <v>6416436</v>
      </c>
      <c r="B1457" s="23" t="s">
        <v>1746</v>
      </c>
      <c r="C1457" s="24">
        <v>2</v>
      </c>
    </row>
    <row r="1458" spans="1:3" x14ac:dyDescent="0.3">
      <c r="A1458" s="23">
        <v>6416437</v>
      </c>
      <c r="B1458" s="23" t="s">
        <v>2856</v>
      </c>
      <c r="C1458" s="24">
        <v>2</v>
      </c>
    </row>
    <row r="1459" spans="1:3" x14ac:dyDescent="0.3">
      <c r="A1459" s="23">
        <v>6416438</v>
      </c>
      <c r="B1459" s="23" t="s">
        <v>1748</v>
      </c>
      <c r="C1459" s="24">
        <v>5</v>
      </c>
    </row>
    <row r="1460" spans="1:3" x14ac:dyDescent="0.3">
      <c r="A1460" s="23">
        <v>6416439</v>
      </c>
      <c r="B1460" s="23" t="s">
        <v>1749</v>
      </c>
      <c r="C1460" s="24">
        <v>6</v>
      </c>
    </row>
    <row r="1461" spans="1:3" x14ac:dyDescent="0.3">
      <c r="A1461" s="23">
        <v>6416440</v>
      </c>
      <c r="B1461" s="23" t="s">
        <v>1750</v>
      </c>
      <c r="C1461" s="24">
        <v>29</v>
      </c>
    </row>
    <row r="1462" spans="1:3" x14ac:dyDescent="0.3">
      <c r="A1462" s="23">
        <v>6416441</v>
      </c>
      <c r="B1462" s="23" t="s">
        <v>1751</v>
      </c>
      <c r="C1462" s="24">
        <v>78</v>
      </c>
    </row>
    <row r="1463" spans="1:3" x14ac:dyDescent="0.3">
      <c r="A1463" s="23">
        <v>6416445</v>
      </c>
      <c r="B1463" s="23" t="s">
        <v>1827</v>
      </c>
      <c r="C1463" s="24">
        <v>2</v>
      </c>
    </row>
    <row r="1464" spans="1:3" x14ac:dyDescent="0.3">
      <c r="A1464" s="23">
        <v>6416446</v>
      </c>
      <c r="B1464" s="23" t="s">
        <v>1828</v>
      </c>
      <c r="C1464" s="24">
        <v>1</v>
      </c>
    </row>
    <row r="1465" spans="1:3" x14ac:dyDescent="0.3">
      <c r="A1465" s="23">
        <v>6416451</v>
      </c>
      <c r="B1465" s="23" t="s">
        <v>1790</v>
      </c>
      <c r="C1465" s="24">
        <v>6</v>
      </c>
    </row>
    <row r="1466" spans="1:3" x14ac:dyDescent="0.3">
      <c r="A1466" s="23">
        <v>6416469</v>
      </c>
      <c r="B1466" s="23" t="s">
        <v>1826</v>
      </c>
      <c r="C1466" s="24">
        <v>1</v>
      </c>
    </row>
    <row r="1467" spans="1:3" x14ac:dyDescent="0.3">
      <c r="A1467" s="23">
        <v>6416689</v>
      </c>
      <c r="B1467" s="23" t="s">
        <v>1824</v>
      </c>
      <c r="C1467" s="24">
        <v>1</v>
      </c>
    </row>
    <row r="1468" spans="1:3" x14ac:dyDescent="0.3">
      <c r="A1468" s="23">
        <v>6416943</v>
      </c>
      <c r="B1468" s="23" t="s">
        <v>1744</v>
      </c>
      <c r="C1468" s="24">
        <v>15</v>
      </c>
    </row>
    <row r="1469" spans="1:3" x14ac:dyDescent="0.3">
      <c r="A1469" s="23">
        <v>6420256</v>
      </c>
      <c r="B1469" s="23" t="s">
        <v>2857</v>
      </c>
      <c r="C1469" s="24">
        <v>4</v>
      </c>
    </row>
    <row r="1470" spans="1:3" x14ac:dyDescent="0.3">
      <c r="A1470" s="23">
        <v>6420523</v>
      </c>
      <c r="B1470" s="23" t="s">
        <v>1834</v>
      </c>
      <c r="C1470" s="24">
        <v>4</v>
      </c>
    </row>
    <row r="1471" spans="1:3" x14ac:dyDescent="0.3">
      <c r="A1471" s="23">
        <v>6420776</v>
      </c>
      <c r="B1471" s="23" t="s">
        <v>1836</v>
      </c>
      <c r="C1471" s="24">
        <v>79</v>
      </c>
    </row>
    <row r="1472" spans="1:3" x14ac:dyDescent="0.3">
      <c r="A1472" s="23">
        <v>6421053</v>
      </c>
      <c r="B1472" s="23" t="s">
        <v>2858</v>
      </c>
      <c r="C1472" s="24">
        <v>3</v>
      </c>
    </row>
    <row r="1473" spans="1:3" x14ac:dyDescent="0.3">
      <c r="A1473" s="23">
        <v>6421286</v>
      </c>
      <c r="B1473" s="23" t="s">
        <v>2859</v>
      </c>
      <c r="C1473" s="24">
        <v>6</v>
      </c>
    </row>
    <row r="1474" spans="1:3" x14ac:dyDescent="0.3">
      <c r="A1474" s="23">
        <v>6421302</v>
      </c>
      <c r="B1474" s="23" t="s">
        <v>2860</v>
      </c>
      <c r="C1474" s="24">
        <v>4</v>
      </c>
    </row>
    <row r="1475" spans="1:3" x14ac:dyDescent="0.3">
      <c r="A1475" s="23">
        <v>6421398</v>
      </c>
      <c r="B1475" s="23" t="s">
        <v>1440</v>
      </c>
      <c r="C1475" s="24">
        <v>56</v>
      </c>
    </row>
    <row r="1476" spans="1:3" x14ac:dyDescent="0.3">
      <c r="A1476" s="23">
        <v>6421425</v>
      </c>
      <c r="B1476" s="23" t="s">
        <v>1441</v>
      </c>
      <c r="C1476" s="24">
        <v>4</v>
      </c>
    </row>
    <row r="1477" spans="1:3" x14ac:dyDescent="0.3">
      <c r="A1477" s="23">
        <v>6421455</v>
      </c>
      <c r="B1477" s="23" t="s">
        <v>1439</v>
      </c>
      <c r="C1477" s="24">
        <v>2</v>
      </c>
    </row>
    <row r="1478" spans="1:3" x14ac:dyDescent="0.3">
      <c r="A1478" s="23">
        <v>6421456</v>
      </c>
      <c r="B1478" s="23" t="s">
        <v>1907</v>
      </c>
      <c r="C1478" s="24">
        <v>24</v>
      </c>
    </row>
    <row r="1479" spans="1:3" x14ac:dyDescent="0.3">
      <c r="A1479" s="23">
        <v>6421533</v>
      </c>
      <c r="B1479" s="23" t="s">
        <v>1373</v>
      </c>
      <c r="C1479" s="24">
        <v>174</v>
      </c>
    </row>
    <row r="1480" spans="1:3" x14ac:dyDescent="0.3">
      <c r="A1480" s="23">
        <v>6421542</v>
      </c>
      <c r="B1480" s="23" t="s">
        <v>2861</v>
      </c>
      <c r="C1480" s="24">
        <v>1</v>
      </c>
    </row>
    <row r="1481" spans="1:3" x14ac:dyDescent="0.3">
      <c r="A1481" s="23">
        <v>6422731</v>
      </c>
      <c r="B1481" s="23" t="s">
        <v>1448</v>
      </c>
      <c r="C1481" s="24">
        <v>1</v>
      </c>
    </row>
    <row r="1482" spans="1:3" x14ac:dyDescent="0.3">
      <c r="A1482" s="23">
        <v>6423166</v>
      </c>
      <c r="B1482" s="23" t="s">
        <v>2862</v>
      </c>
      <c r="C1482" s="24">
        <v>2</v>
      </c>
    </row>
    <row r="1483" spans="1:3" x14ac:dyDescent="0.3">
      <c r="A1483" s="23">
        <v>6423522</v>
      </c>
      <c r="B1483" s="23" t="s">
        <v>1756</v>
      </c>
      <c r="C1483" s="24">
        <v>73</v>
      </c>
    </row>
    <row r="1484" spans="1:3" x14ac:dyDescent="0.3">
      <c r="A1484" s="23">
        <v>6424217</v>
      </c>
      <c r="B1484" s="23" t="s">
        <v>2863</v>
      </c>
      <c r="C1484" s="24">
        <v>8</v>
      </c>
    </row>
    <row r="1485" spans="1:3" x14ac:dyDescent="0.3">
      <c r="A1485" s="23">
        <v>6424919</v>
      </c>
      <c r="B1485" s="23" t="s">
        <v>1728</v>
      </c>
      <c r="C1485" s="24">
        <v>129</v>
      </c>
    </row>
    <row r="1486" spans="1:3" x14ac:dyDescent="0.3">
      <c r="A1486" s="23">
        <v>6425628</v>
      </c>
      <c r="B1486" s="23" t="s">
        <v>1738</v>
      </c>
      <c r="C1486" s="24">
        <v>5</v>
      </c>
    </row>
    <row r="1487" spans="1:3" x14ac:dyDescent="0.3">
      <c r="A1487" s="23">
        <v>6426339</v>
      </c>
      <c r="B1487" s="23" t="s">
        <v>2510</v>
      </c>
      <c r="C1487" s="24">
        <v>6</v>
      </c>
    </row>
    <row r="1488" spans="1:3" x14ac:dyDescent="0.3">
      <c r="A1488" s="23">
        <v>6426347</v>
      </c>
      <c r="B1488" s="23" t="s">
        <v>2511</v>
      </c>
      <c r="C1488" s="24">
        <v>7</v>
      </c>
    </row>
    <row r="1489" spans="1:3" x14ac:dyDescent="0.3">
      <c r="A1489" s="23">
        <v>6426354</v>
      </c>
      <c r="B1489" s="23" t="s">
        <v>2864</v>
      </c>
      <c r="C1489" s="24">
        <v>1</v>
      </c>
    </row>
    <row r="1490" spans="1:3" x14ac:dyDescent="0.3">
      <c r="A1490" s="23">
        <v>6426363</v>
      </c>
      <c r="B1490" s="23" t="s">
        <v>2865</v>
      </c>
      <c r="C1490" s="24">
        <v>1</v>
      </c>
    </row>
    <row r="1491" spans="1:3" x14ac:dyDescent="0.3">
      <c r="A1491" s="23">
        <v>6426384</v>
      </c>
      <c r="B1491" s="23" t="s">
        <v>2512</v>
      </c>
      <c r="C1491" s="24">
        <v>109</v>
      </c>
    </row>
    <row r="1492" spans="1:3" x14ac:dyDescent="0.3">
      <c r="A1492" s="23">
        <v>6426385</v>
      </c>
      <c r="B1492" s="23" t="s">
        <v>2513</v>
      </c>
      <c r="C1492" s="24">
        <v>116</v>
      </c>
    </row>
    <row r="1493" spans="1:3" x14ac:dyDescent="0.3">
      <c r="A1493" s="23">
        <v>6426598</v>
      </c>
      <c r="B1493" s="23" t="s">
        <v>2866</v>
      </c>
      <c r="C1493" s="24">
        <v>14</v>
      </c>
    </row>
    <row r="1494" spans="1:3" x14ac:dyDescent="0.3">
      <c r="A1494" s="23">
        <v>6426599</v>
      </c>
      <c r="B1494" s="23" t="s">
        <v>2867</v>
      </c>
      <c r="C1494" s="24">
        <v>5</v>
      </c>
    </row>
    <row r="1495" spans="1:3" x14ac:dyDescent="0.3">
      <c r="A1495" s="23">
        <v>6426603</v>
      </c>
      <c r="B1495" s="23" t="s">
        <v>2868</v>
      </c>
      <c r="C1495" s="24">
        <v>4</v>
      </c>
    </row>
    <row r="1496" spans="1:3" x14ac:dyDescent="0.3">
      <c r="A1496" s="23">
        <v>6426793</v>
      </c>
      <c r="B1496" s="23" t="s">
        <v>2869</v>
      </c>
      <c r="C1496" s="24">
        <v>11</v>
      </c>
    </row>
    <row r="1497" spans="1:3" x14ac:dyDescent="0.3">
      <c r="A1497" s="23">
        <v>6427253</v>
      </c>
      <c r="B1497" s="23" t="s">
        <v>2870</v>
      </c>
      <c r="C1497" s="24">
        <v>1</v>
      </c>
    </row>
    <row r="1498" spans="1:3" x14ac:dyDescent="0.3">
      <c r="A1498" s="23">
        <v>6427260</v>
      </c>
      <c r="B1498" s="23" t="s">
        <v>1431</v>
      </c>
      <c r="C1498" s="24">
        <v>4</v>
      </c>
    </row>
    <row r="1499" spans="1:3" x14ac:dyDescent="0.3">
      <c r="A1499" s="23">
        <v>6427263</v>
      </c>
      <c r="B1499" s="23" t="s">
        <v>2871</v>
      </c>
      <c r="C1499" s="24">
        <v>2</v>
      </c>
    </row>
    <row r="1500" spans="1:3" x14ac:dyDescent="0.3">
      <c r="A1500" s="23">
        <v>6427271</v>
      </c>
      <c r="B1500" s="23" t="s">
        <v>2872</v>
      </c>
      <c r="C1500" s="24">
        <v>2</v>
      </c>
    </row>
    <row r="1501" spans="1:3" x14ac:dyDescent="0.3">
      <c r="A1501" s="23">
        <v>6427316</v>
      </c>
      <c r="B1501" s="23" t="s">
        <v>2873</v>
      </c>
      <c r="C1501" s="24">
        <v>7</v>
      </c>
    </row>
    <row r="1502" spans="1:3" x14ac:dyDescent="0.3">
      <c r="A1502" s="23">
        <v>6427378</v>
      </c>
      <c r="B1502" s="23" t="s">
        <v>2874</v>
      </c>
      <c r="C1502" s="24">
        <v>11</v>
      </c>
    </row>
    <row r="1503" spans="1:3" x14ac:dyDescent="0.3">
      <c r="A1503" s="23">
        <v>6427384</v>
      </c>
      <c r="B1503" s="23" t="s">
        <v>2875</v>
      </c>
      <c r="C1503" s="24">
        <v>2</v>
      </c>
    </row>
    <row r="1504" spans="1:3" x14ac:dyDescent="0.3">
      <c r="A1504" s="23">
        <v>6427414</v>
      </c>
      <c r="B1504" s="23" t="s">
        <v>2876</v>
      </c>
      <c r="C1504" s="24">
        <v>2</v>
      </c>
    </row>
    <row r="1505" spans="1:3" x14ac:dyDescent="0.3">
      <c r="A1505" s="23">
        <v>6427415</v>
      </c>
      <c r="B1505" s="23" t="s">
        <v>2877</v>
      </c>
      <c r="C1505" s="24">
        <v>1</v>
      </c>
    </row>
    <row r="1506" spans="1:3" x14ac:dyDescent="0.3">
      <c r="A1506" s="23">
        <v>6427424</v>
      </c>
      <c r="B1506" s="23" t="s">
        <v>2878</v>
      </c>
      <c r="C1506" s="24">
        <v>5</v>
      </c>
    </row>
    <row r="1507" spans="1:3" x14ac:dyDescent="0.3">
      <c r="A1507" s="23">
        <v>6427432</v>
      </c>
      <c r="B1507" s="23" t="s">
        <v>2879</v>
      </c>
      <c r="C1507" s="24">
        <v>18</v>
      </c>
    </row>
    <row r="1508" spans="1:3" x14ac:dyDescent="0.3">
      <c r="A1508" s="23">
        <v>6427620</v>
      </c>
      <c r="B1508" s="23" t="s">
        <v>2880</v>
      </c>
      <c r="C1508" s="24">
        <v>244</v>
      </c>
    </row>
    <row r="1509" spans="1:3" x14ac:dyDescent="0.3">
      <c r="A1509" s="23">
        <v>6427629</v>
      </c>
      <c r="B1509" s="23" t="s">
        <v>2881</v>
      </c>
      <c r="C1509" s="24">
        <v>192</v>
      </c>
    </row>
    <row r="1510" spans="1:3" x14ac:dyDescent="0.3">
      <c r="A1510" s="23">
        <v>6427644</v>
      </c>
      <c r="B1510" s="23" t="s">
        <v>2882</v>
      </c>
      <c r="C1510" s="24">
        <v>82</v>
      </c>
    </row>
    <row r="1511" spans="1:3" x14ac:dyDescent="0.3">
      <c r="A1511" s="23">
        <v>6428279</v>
      </c>
      <c r="B1511" s="23" t="s">
        <v>2883</v>
      </c>
      <c r="C1511" s="24">
        <v>3</v>
      </c>
    </row>
    <row r="1512" spans="1:3" x14ac:dyDescent="0.3">
      <c r="A1512" s="23">
        <v>6428471</v>
      </c>
      <c r="B1512" s="23" t="s">
        <v>2884</v>
      </c>
      <c r="C1512" s="24">
        <v>2</v>
      </c>
    </row>
    <row r="1513" spans="1:3" x14ac:dyDescent="0.3">
      <c r="A1513" s="23">
        <v>6428894</v>
      </c>
      <c r="B1513" s="23" t="s">
        <v>2885</v>
      </c>
      <c r="C1513" s="24">
        <v>14</v>
      </c>
    </row>
    <row r="1514" spans="1:3" x14ac:dyDescent="0.3">
      <c r="A1514" s="23">
        <v>6430133</v>
      </c>
      <c r="B1514" s="23" t="s">
        <v>2886</v>
      </c>
      <c r="C1514" s="24">
        <v>1</v>
      </c>
    </row>
    <row r="1515" spans="1:3" x14ac:dyDescent="0.3">
      <c r="A1515" s="23">
        <v>6430561</v>
      </c>
      <c r="B1515" s="23" t="s">
        <v>2887</v>
      </c>
      <c r="C1515" s="24">
        <v>3</v>
      </c>
    </row>
    <row r="1516" spans="1:3" x14ac:dyDescent="0.3">
      <c r="A1516" s="23">
        <v>6431820</v>
      </c>
      <c r="B1516" s="23" t="s">
        <v>2888</v>
      </c>
      <c r="C1516" s="24">
        <v>5</v>
      </c>
    </row>
    <row r="1517" spans="1:3" x14ac:dyDescent="0.3">
      <c r="A1517" s="23">
        <v>6431825</v>
      </c>
      <c r="B1517" s="23" t="s">
        <v>2889</v>
      </c>
      <c r="C1517" s="24">
        <v>5</v>
      </c>
    </row>
    <row r="1518" spans="1:3" x14ac:dyDescent="0.3">
      <c r="A1518" s="23">
        <v>6431964</v>
      </c>
      <c r="B1518" s="23" t="s">
        <v>2890</v>
      </c>
      <c r="C1518" s="24">
        <v>7</v>
      </c>
    </row>
    <row r="1519" spans="1:3" x14ac:dyDescent="0.3">
      <c r="A1519" s="23">
        <v>6432207</v>
      </c>
      <c r="B1519" s="23" t="s">
        <v>2891</v>
      </c>
      <c r="C1519" s="24">
        <v>1</v>
      </c>
    </row>
    <row r="1520" spans="1:3" x14ac:dyDescent="0.3">
      <c r="A1520" s="23">
        <v>6432208</v>
      </c>
      <c r="B1520" s="23" t="s">
        <v>2892</v>
      </c>
      <c r="C1520" s="24">
        <v>17</v>
      </c>
    </row>
    <row r="1521" spans="1:3" x14ac:dyDescent="0.3">
      <c r="A1521" s="23">
        <v>6432398</v>
      </c>
      <c r="B1521" s="23" t="s">
        <v>2893</v>
      </c>
      <c r="C1521" s="24">
        <v>1</v>
      </c>
    </row>
    <row r="1522" spans="1:3" x14ac:dyDescent="0.3">
      <c r="A1522" s="23">
        <v>6432399</v>
      </c>
      <c r="B1522" s="23" t="s">
        <v>2894</v>
      </c>
      <c r="C1522" s="24">
        <v>6</v>
      </c>
    </row>
    <row r="1523" spans="1:3" x14ac:dyDescent="0.3">
      <c r="A1523" s="23">
        <v>6432414</v>
      </c>
      <c r="B1523" s="23" t="s">
        <v>2895</v>
      </c>
      <c r="C1523" s="24">
        <v>5</v>
      </c>
    </row>
    <row r="1524" spans="1:3" x14ac:dyDescent="0.3">
      <c r="A1524" s="23">
        <v>6432415</v>
      </c>
      <c r="B1524" s="23" t="s">
        <v>2896</v>
      </c>
      <c r="C1524" s="24">
        <v>4</v>
      </c>
    </row>
    <row r="1525" spans="1:3" x14ac:dyDescent="0.3">
      <c r="A1525" s="23">
        <v>6432418</v>
      </c>
      <c r="B1525" s="23" t="s">
        <v>2897</v>
      </c>
      <c r="C1525" s="24">
        <v>5</v>
      </c>
    </row>
    <row r="1526" spans="1:3" x14ac:dyDescent="0.3">
      <c r="A1526" s="23">
        <v>6432422</v>
      </c>
      <c r="B1526" s="23" t="s">
        <v>2898</v>
      </c>
      <c r="C1526" s="24">
        <v>2</v>
      </c>
    </row>
    <row r="1527" spans="1:3" x14ac:dyDescent="0.3">
      <c r="A1527" s="23">
        <v>6432423</v>
      </c>
      <c r="B1527" s="23" t="s">
        <v>2899</v>
      </c>
      <c r="C1527" s="24">
        <v>4</v>
      </c>
    </row>
    <row r="1528" spans="1:3" x14ac:dyDescent="0.3">
      <c r="A1528" s="23">
        <v>6432433</v>
      </c>
      <c r="B1528" s="23" t="s">
        <v>2900</v>
      </c>
      <c r="C1528" s="24">
        <v>9</v>
      </c>
    </row>
    <row r="1529" spans="1:3" x14ac:dyDescent="0.3">
      <c r="A1529" s="23">
        <v>6432434</v>
      </c>
      <c r="B1529" s="23" t="s">
        <v>2901</v>
      </c>
      <c r="C1529" s="24">
        <v>1</v>
      </c>
    </row>
    <row r="1530" spans="1:3" x14ac:dyDescent="0.3">
      <c r="A1530" s="23">
        <v>6432441</v>
      </c>
      <c r="B1530" s="23" t="s">
        <v>2902</v>
      </c>
      <c r="C1530" s="24">
        <v>2</v>
      </c>
    </row>
    <row r="1531" spans="1:3" x14ac:dyDescent="0.3">
      <c r="A1531" s="23">
        <v>6432442</v>
      </c>
      <c r="B1531" s="23" t="s">
        <v>2903</v>
      </c>
      <c r="C1531" s="24">
        <v>5</v>
      </c>
    </row>
    <row r="1532" spans="1:3" x14ac:dyDescent="0.3">
      <c r="A1532" s="23">
        <v>6432448</v>
      </c>
      <c r="B1532" s="23" t="s">
        <v>2904</v>
      </c>
      <c r="C1532" s="24">
        <v>6</v>
      </c>
    </row>
    <row r="1533" spans="1:3" x14ac:dyDescent="0.3">
      <c r="A1533" s="23">
        <v>6432450</v>
      </c>
      <c r="B1533" s="23" t="s">
        <v>2905</v>
      </c>
      <c r="C1533" s="24">
        <v>6</v>
      </c>
    </row>
    <row r="1534" spans="1:3" x14ac:dyDescent="0.3">
      <c r="A1534" s="23">
        <v>6432488</v>
      </c>
      <c r="B1534" s="23" t="s">
        <v>2906</v>
      </c>
      <c r="C1534" s="24">
        <v>1</v>
      </c>
    </row>
    <row r="1535" spans="1:3" x14ac:dyDescent="0.3">
      <c r="A1535" s="23">
        <v>6432515</v>
      </c>
      <c r="B1535" s="23" t="s">
        <v>2907</v>
      </c>
      <c r="C1535" s="24">
        <v>7</v>
      </c>
    </row>
    <row r="1536" spans="1:3" x14ac:dyDescent="0.3">
      <c r="A1536" s="23">
        <v>6432561</v>
      </c>
      <c r="B1536" s="23" t="s">
        <v>2908</v>
      </c>
      <c r="C1536" s="24">
        <v>4</v>
      </c>
    </row>
    <row r="1537" spans="1:3" x14ac:dyDescent="0.3">
      <c r="A1537" s="23">
        <v>6432745</v>
      </c>
      <c r="B1537" s="23" t="s">
        <v>2909</v>
      </c>
      <c r="C1537" s="24">
        <v>2</v>
      </c>
    </row>
    <row r="1538" spans="1:3" x14ac:dyDescent="0.3">
      <c r="A1538" s="23">
        <v>6432770</v>
      </c>
      <c r="B1538" s="23" t="s">
        <v>2910</v>
      </c>
      <c r="C1538" s="24">
        <v>8</v>
      </c>
    </row>
    <row r="1539" spans="1:3" x14ac:dyDescent="0.3">
      <c r="A1539" s="23">
        <v>6432843</v>
      </c>
      <c r="B1539" s="23" t="s">
        <v>2911</v>
      </c>
      <c r="C1539" s="24">
        <v>1</v>
      </c>
    </row>
    <row r="1540" spans="1:3" x14ac:dyDescent="0.3">
      <c r="A1540" s="23">
        <v>6432950</v>
      </c>
      <c r="B1540" s="23" t="s">
        <v>2912</v>
      </c>
      <c r="C1540" s="24">
        <v>8</v>
      </c>
    </row>
    <row r="1541" spans="1:3" x14ac:dyDescent="0.3">
      <c r="A1541" s="23">
        <v>6433043</v>
      </c>
      <c r="B1541" s="23" t="s">
        <v>2913</v>
      </c>
      <c r="C1541" s="24">
        <v>20</v>
      </c>
    </row>
    <row r="1542" spans="1:3" x14ac:dyDescent="0.3">
      <c r="A1542" s="23">
        <v>6433053</v>
      </c>
      <c r="B1542" s="23" t="s">
        <v>2914</v>
      </c>
      <c r="C1542" s="24">
        <v>594</v>
      </c>
    </row>
    <row r="1543" spans="1:3" x14ac:dyDescent="0.3">
      <c r="A1543" s="23">
        <v>6433071</v>
      </c>
      <c r="B1543" s="23" t="s">
        <v>2915</v>
      </c>
      <c r="C1543" s="24">
        <v>1</v>
      </c>
    </row>
    <row r="1544" spans="1:3" x14ac:dyDescent="0.3">
      <c r="A1544" s="23">
        <v>6433470</v>
      </c>
      <c r="B1544" s="23" t="s">
        <v>2916</v>
      </c>
      <c r="C1544" s="24">
        <v>1</v>
      </c>
    </row>
    <row r="1545" spans="1:3" x14ac:dyDescent="0.3">
      <c r="A1545" s="23">
        <v>6434664</v>
      </c>
      <c r="B1545" s="23" t="s">
        <v>2917</v>
      </c>
      <c r="C1545" s="24">
        <v>28</v>
      </c>
    </row>
    <row r="1546" spans="1:3" x14ac:dyDescent="0.3">
      <c r="A1546" s="23">
        <v>6434667</v>
      </c>
      <c r="B1546" s="23" t="s">
        <v>2918</v>
      </c>
      <c r="C1546" s="24">
        <v>4</v>
      </c>
    </row>
    <row r="1547" spans="1:3" x14ac:dyDescent="0.3">
      <c r="A1547" s="23">
        <v>6434671</v>
      </c>
      <c r="B1547" s="23" t="s">
        <v>2919</v>
      </c>
      <c r="C1547" s="24">
        <v>1</v>
      </c>
    </row>
    <row r="1548" spans="1:3" x14ac:dyDescent="0.3">
      <c r="A1548" s="23">
        <v>6434698</v>
      </c>
      <c r="B1548" s="23" t="s">
        <v>2920</v>
      </c>
      <c r="C1548" s="24">
        <v>1</v>
      </c>
    </row>
    <row r="1549" spans="1:3" x14ac:dyDescent="0.3">
      <c r="A1549" s="23">
        <v>6434699</v>
      </c>
      <c r="B1549" s="23" t="s">
        <v>2921</v>
      </c>
      <c r="C1549" s="24">
        <v>1</v>
      </c>
    </row>
    <row r="1550" spans="1:3" x14ac:dyDescent="0.3">
      <c r="A1550" s="23">
        <v>6434700</v>
      </c>
      <c r="B1550" s="23" t="s">
        <v>2922</v>
      </c>
      <c r="C1550" s="24">
        <v>1</v>
      </c>
    </row>
    <row r="1551" spans="1:3" x14ac:dyDescent="0.3">
      <c r="A1551" s="23">
        <v>6434741</v>
      </c>
      <c r="B1551" s="23" t="s">
        <v>2923</v>
      </c>
      <c r="C1551" s="24">
        <v>1</v>
      </c>
    </row>
    <row r="1552" spans="1:3" x14ac:dyDescent="0.3">
      <c r="A1552" s="23">
        <v>6434743</v>
      </c>
      <c r="B1552" s="23" t="s">
        <v>2924</v>
      </c>
      <c r="C1552" s="24">
        <v>6</v>
      </c>
    </row>
    <row r="1553" spans="1:3" x14ac:dyDescent="0.3">
      <c r="A1553" s="23">
        <v>6434745</v>
      </c>
      <c r="B1553" s="23" t="s">
        <v>2925</v>
      </c>
      <c r="C1553" s="24">
        <v>6</v>
      </c>
    </row>
    <row r="1554" spans="1:3" x14ac:dyDescent="0.3">
      <c r="A1554" s="23">
        <v>6434747</v>
      </c>
      <c r="B1554" s="23" t="s">
        <v>2926</v>
      </c>
      <c r="C1554" s="24">
        <v>6</v>
      </c>
    </row>
    <row r="1555" spans="1:3" ht="91.8" x14ac:dyDescent="0.3">
      <c r="A1555" s="23">
        <v>6434750</v>
      </c>
      <c r="B1555" s="26" t="s">
        <v>2927</v>
      </c>
      <c r="C1555" s="24">
        <v>2</v>
      </c>
    </row>
    <row r="1556" spans="1:3" x14ac:dyDescent="0.3">
      <c r="A1556" s="23">
        <v>6434768</v>
      </c>
      <c r="B1556" s="23" t="s">
        <v>2928</v>
      </c>
      <c r="C1556" s="24">
        <v>2</v>
      </c>
    </row>
    <row r="1557" spans="1:3" x14ac:dyDescent="0.3">
      <c r="A1557" s="23">
        <v>6434799</v>
      </c>
      <c r="B1557" s="23" t="s">
        <v>2929</v>
      </c>
      <c r="C1557" s="24">
        <v>3</v>
      </c>
    </row>
    <row r="1558" spans="1:3" x14ac:dyDescent="0.3">
      <c r="A1558" s="23">
        <v>6434943</v>
      </c>
      <c r="B1558" s="23" t="s">
        <v>2930</v>
      </c>
      <c r="C1558" s="24">
        <v>7</v>
      </c>
    </row>
    <row r="1559" spans="1:3" x14ac:dyDescent="0.3">
      <c r="A1559" s="23">
        <v>6434953</v>
      </c>
      <c r="B1559" s="23" t="s">
        <v>2931</v>
      </c>
      <c r="C1559" s="24">
        <v>4</v>
      </c>
    </row>
    <row r="1560" spans="1:3" x14ac:dyDescent="0.3">
      <c r="A1560" s="23">
        <v>6435516</v>
      </c>
      <c r="B1560" s="23" t="s">
        <v>2932</v>
      </c>
      <c r="C1560" s="24">
        <v>1</v>
      </c>
    </row>
    <row r="1561" spans="1:3" x14ac:dyDescent="0.3">
      <c r="A1561" s="23">
        <v>6435809</v>
      </c>
      <c r="B1561" s="23" t="s">
        <v>2933</v>
      </c>
      <c r="C1561" s="24">
        <v>1</v>
      </c>
    </row>
    <row r="1562" spans="1:3" x14ac:dyDescent="0.3">
      <c r="A1562" s="23">
        <v>6436616</v>
      </c>
      <c r="B1562" s="23" t="s">
        <v>2934</v>
      </c>
      <c r="C1562" s="24">
        <v>3</v>
      </c>
    </row>
    <row r="1563" spans="1:3" x14ac:dyDescent="0.3">
      <c r="A1563" s="23">
        <v>6436882</v>
      </c>
      <c r="B1563" s="23" t="s">
        <v>2771</v>
      </c>
      <c r="C1563" s="24">
        <v>5</v>
      </c>
    </row>
    <row r="1564" spans="1:3" x14ac:dyDescent="0.3">
      <c r="A1564" s="23">
        <v>6437514</v>
      </c>
      <c r="B1564" s="23" t="s">
        <v>2935</v>
      </c>
      <c r="C1564" s="24">
        <v>21</v>
      </c>
    </row>
    <row r="1565" spans="1:3" x14ac:dyDescent="0.3">
      <c r="A1565" s="23">
        <v>6437608</v>
      </c>
      <c r="B1565" s="23" t="s">
        <v>2936</v>
      </c>
      <c r="C1565" s="24">
        <v>2</v>
      </c>
    </row>
    <row r="1566" spans="1:3" x14ac:dyDescent="0.3">
      <c r="A1566" s="23">
        <v>6437836</v>
      </c>
      <c r="B1566" s="23" t="s">
        <v>2937</v>
      </c>
      <c r="C1566" s="24">
        <v>7</v>
      </c>
    </row>
    <row r="1567" spans="1:3" x14ac:dyDescent="0.3">
      <c r="A1567" s="23">
        <v>6437953</v>
      </c>
      <c r="B1567" s="23" t="s">
        <v>2938</v>
      </c>
      <c r="C1567" s="24">
        <v>2</v>
      </c>
    </row>
    <row r="1568" spans="1:3" x14ac:dyDescent="0.3">
      <c r="A1568" s="23">
        <v>6437957</v>
      </c>
      <c r="B1568" s="23" t="s">
        <v>2939</v>
      </c>
      <c r="C1568" s="24">
        <v>1</v>
      </c>
    </row>
    <row r="1569" spans="1:3" x14ac:dyDescent="0.3">
      <c r="A1569" s="23">
        <v>6438020</v>
      </c>
      <c r="B1569" s="23" t="s">
        <v>2940</v>
      </c>
      <c r="C1569" s="24">
        <v>6</v>
      </c>
    </row>
    <row r="1570" spans="1:3" x14ac:dyDescent="0.3">
      <c r="A1570" s="23">
        <v>6438042</v>
      </c>
      <c r="B1570" s="23" t="s">
        <v>2941</v>
      </c>
      <c r="C1570" s="24">
        <v>1</v>
      </c>
    </row>
    <row r="1571" spans="1:3" x14ac:dyDescent="0.3">
      <c r="A1571" s="23">
        <v>6438632</v>
      </c>
      <c r="B1571" s="23" t="s">
        <v>2942</v>
      </c>
      <c r="C1571" s="24">
        <v>6</v>
      </c>
    </row>
    <row r="1572" spans="1:3" x14ac:dyDescent="0.3">
      <c r="A1572" s="23">
        <v>6438712</v>
      </c>
      <c r="B1572" s="23" t="s">
        <v>2943</v>
      </c>
      <c r="C1572" s="24">
        <v>2</v>
      </c>
    </row>
    <row r="1573" spans="1:3" x14ac:dyDescent="0.3">
      <c r="A1573" s="23">
        <v>6440060</v>
      </c>
      <c r="B1573" s="23" t="s">
        <v>2944</v>
      </c>
      <c r="C1573" s="24">
        <v>2</v>
      </c>
    </row>
    <row r="1574" spans="1:3" x14ac:dyDescent="0.3">
      <c r="A1574" s="23">
        <v>8000213</v>
      </c>
      <c r="B1574" s="23" t="s">
        <v>2514</v>
      </c>
      <c r="C1574" s="24">
        <v>-18</v>
      </c>
    </row>
    <row r="1575" spans="1:3" x14ac:dyDescent="0.3">
      <c r="A1575" s="23">
        <v>8000220</v>
      </c>
      <c r="B1575" s="23" t="s">
        <v>2945</v>
      </c>
      <c r="C1575" s="24">
        <v>4</v>
      </c>
    </row>
    <row r="1576" spans="1:3" x14ac:dyDescent="0.3">
      <c r="A1576" s="23">
        <v>8000222</v>
      </c>
      <c r="B1576" s="23" t="s">
        <v>2515</v>
      </c>
      <c r="C1576" s="24">
        <v>10</v>
      </c>
    </row>
    <row r="1577" spans="1:3" x14ac:dyDescent="0.3">
      <c r="A1577" s="23">
        <v>8000228</v>
      </c>
      <c r="B1577" s="23" t="s">
        <v>2516</v>
      </c>
      <c r="C1577" s="24">
        <v>5</v>
      </c>
    </row>
    <row r="1578" spans="1:3" x14ac:dyDescent="0.3">
      <c r="A1578" s="23">
        <v>8000233</v>
      </c>
      <c r="B1578" s="23" t="s">
        <v>2946</v>
      </c>
      <c r="C1578" s="24">
        <v>2</v>
      </c>
    </row>
    <row r="1579" spans="1:3" x14ac:dyDescent="0.3">
      <c r="A1579" s="23">
        <v>8000235</v>
      </c>
      <c r="B1579" s="23" t="s">
        <v>2517</v>
      </c>
      <c r="C1579" s="24">
        <v>74</v>
      </c>
    </row>
    <row r="1580" spans="1:3" x14ac:dyDescent="0.3">
      <c r="A1580" s="23">
        <v>8000238</v>
      </c>
      <c r="B1580" s="23" t="s">
        <v>2518</v>
      </c>
      <c r="C1580" s="24">
        <v>385</v>
      </c>
    </row>
    <row r="1581" spans="1:3" x14ac:dyDescent="0.3">
      <c r="A1581" s="23">
        <v>8000258</v>
      </c>
      <c r="B1581" s="23" t="s">
        <v>2519</v>
      </c>
      <c r="C1581" s="24">
        <v>18</v>
      </c>
    </row>
    <row r="1582" spans="1:3" x14ac:dyDescent="0.3">
      <c r="A1582" s="23">
        <v>8000261</v>
      </c>
      <c r="B1582" s="23" t="s">
        <v>2520</v>
      </c>
      <c r="C1582" s="24">
        <v>2</v>
      </c>
    </row>
    <row r="1583" spans="1:3" x14ac:dyDescent="0.3">
      <c r="A1583" s="23">
        <v>8000264</v>
      </c>
      <c r="B1583" s="23" t="s">
        <v>2521</v>
      </c>
      <c r="C1583" s="24">
        <v>15</v>
      </c>
    </row>
    <row r="1584" spans="1:3" x14ac:dyDescent="0.3">
      <c r="A1584" s="23">
        <v>8000266</v>
      </c>
      <c r="B1584" s="23" t="s">
        <v>2947</v>
      </c>
      <c r="C1584" s="24">
        <v>1</v>
      </c>
    </row>
    <row r="1585" spans="1:3" x14ac:dyDescent="0.3">
      <c r="A1585" s="23">
        <v>8000273</v>
      </c>
      <c r="B1585" s="23" t="s">
        <v>2522</v>
      </c>
      <c r="C1585" s="24">
        <v>21</v>
      </c>
    </row>
    <row r="1586" spans="1:3" x14ac:dyDescent="0.3">
      <c r="A1586" s="23">
        <v>8000294</v>
      </c>
      <c r="B1586" s="23" t="s">
        <v>2948</v>
      </c>
      <c r="C1586" s="24">
        <v>32</v>
      </c>
    </row>
    <row r="1587" spans="1:3" x14ac:dyDescent="0.3">
      <c r="A1587" s="23">
        <v>8000311</v>
      </c>
      <c r="B1587" s="23" t="s">
        <v>2523</v>
      </c>
      <c r="C1587" s="24">
        <v>65</v>
      </c>
    </row>
    <row r="1588" spans="1:3" x14ac:dyDescent="0.3">
      <c r="A1588" s="23">
        <v>8000313</v>
      </c>
      <c r="B1588" s="23" t="s">
        <v>2524</v>
      </c>
      <c r="C1588" s="24">
        <v>4</v>
      </c>
    </row>
    <row r="1589" spans="1:3" x14ac:dyDescent="0.3">
      <c r="A1589" s="23">
        <v>8000318</v>
      </c>
      <c r="B1589" s="23" t="s">
        <v>2525</v>
      </c>
      <c r="C1589" s="24">
        <v>14</v>
      </c>
    </row>
    <row r="1590" spans="1:3" x14ac:dyDescent="0.3">
      <c r="A1590" s="23">
        <v>8000322</v>
      </c>
      <c r="B1590" s="23" t="s">
        <v>2949</v>
      </c>
      <c r="C1590" s="24">
        <v>4</v>
      </c>
    </row>
    <row r="1591" spans="1:3" x14ac:dyDescent="0.3">
      <c r="A1591" s="23">
        <v>8000323</v>
      </c>
      <c r="B1591" s="23" t="s">
        <v>2950</v>
      </c>
      <c r="C1591" s="24">
        <v>11</v>
      </c>
    </row>
    <row r="1592" spans="1:3" x14ac:dyDescent="0.3">
      <c r="A1592" s="23">
        <v>8000328</v>
      </c>
      <c r="B1592" s="23" t="s">
        <v>2526</v>
      </c>
      <c r="C1592" s="24">
        <v>6</v>
      </c>
    </row>
    <row r="1593" spans="1:3" x14ac:dyDescent="0.3">
      <c r="A1593" s="23">
        <v>8000333</v>
      </c>
      <c r="B1593" s="23" t="s">
        <v>2951</v>
      </c>
      <c r="C1593" s="24">
        <v>1</v>
      </c>
    </row>
    <row r="1594" spans="1:3" x14ac:dyDescent="0.3">
      <c r="A1594" s="23">
        <v>8000359</v>
      </c>
      <c r="B1594" s="23" t="s">
        <v>2952</v>
      </c>
      <c r="C1594" s="24">
        <v>967</v>
      </c>
    </row>
    <row r="1595" spans="1:3" x14ac:dyDescent="0.3">
      <c r="A1595" s="23">
        <v>8000362</v>
      </c>
      <c r="B1595" s="23" t="s">
        <v>2953</v>
      </c>
      <c r="C1595" s="24">
        <v>2571</v>
      </c>
    </row>
    <row r="1596" spans="1:3" x14ac:dyDescent="0.3">
      <c r="A1596" s="23">
        <v>8000474</v>
      </c>
      <c r="B1596" s="23" t="s">
        <v>2954</v>
      </c>
      <c r="C1596" s="24">
        <v>2</v>
      </c>
    </row>
    <row r="1597" spans="1:3" x14ac:dyDescent="0.3">
      <c r="A1597" s="23">
        <v>8000850</v>
      </c>
      <c r="B1597" s="23" t="s">
        <v>2955</v>
      </c>
      <c r="C1597" s="24">
        <v>7</v>
      </c>
    </row>
    <row r="1598" spans="1:3" x14ac:dyDescent="0.3">
      <c r="A1598" s="23">
        <v>8001511</v>
      </c>
      <c r="B1598" s="23" t="s">
        <v>2956</v>
      </c>
      <c r="C1598" s="24">
        <v>1</v>
      </c>
    </row>
    <row r="1599" spans="1:3" x14ac:dyDescent="0.3">
      <c r="A1599" s="23">
        <v>8002380</v>
      </c>
      <c r="B1599" s="23" t="s">
        <v>2957</v>
      </c>
      <c r="C1599" s="24">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36D80-8C2D-4911-9177-CE19B5E7CFE8}">
  <dimension ref="A1:E1759"/>
  <sheetViews>
    <sheetView topLeftCell="A1635" workbookViewId="0">
      <selection activeCell="E1635" sqref="E1635"/>
    </sheetView>
  </sheetViews>
  <sheetFormatPr defaultRowHeight="14.4" x14ac:dyDescent="0.3"/>
  <cols>
    <col min="1" max="1" width="18.77734375" bestFit="1" customWidth="1"/>
    <col min="2" max="2" width="58" bestFit="1" customWidth="1"/>
    <col min="3" max="3" width="11.21875" style="41" bestFit="1" customWidth="1"/>
    <col min="4" max="4" width="10.77734375" bestFit="1" customWidth="1"/>
  </cols>
  <sheetData>
    <row r="1" spans="1:5" ht="40.799999999999997" x14ac:dyDescent="0.3">
      <c r="A1" s="21" t="s">
        <v>2572</v>
      </c>
      <c r="B1" s="21" t="s">
        <v>5340</v>
      </c>
      <c r="C1" s="39" t="s">
        <v>5222</v>
      </c>
      <c r="D1" s="22" t="s">
        <v>2574</v>
      </c>
      <c r="E1" t="s">
        <v>5339</v>
      </c>
    </row>
    <row r="2" spans="1:5" x14ac:dyDescent="0.3">
      <c r="A2" s="23">
        <v>5074297</v>
      </c>
      <c r="B2" s="23" t="s">
        <v>2056</v>
      </c>
      <c r="C2" s="40">
        <v>17.989999999999998</v>
      </c>
      <c r="D2" s="24">
        <v>1</v>
      </c>
      <c r="E2" t="e">
        <f>_xlfn.XLOOKUP(A2,'[1]query (5)'!$C:$C,'[1]query (5)'!$A:$A)</f>
        <v>#N/A</v>
      </c>
    </row>
    <row r="3" spans="1:5" x14ac:dyDescent="0.3">
      <c r="A3" s="23">
        <v>5074298</v>
      </c>
      <c r="B3" s="23" t="s">
        <v>2057</v>
      </c>
      <c r="C3" s="40">
        <v>406.11</v>
      </c>
      <c r="D3" s="24">
        <v>11</v>
      </c>
      <c r="E3" t="e">
        <f>_xlfn.XLOOKUP(A3,'[1]query (5)'!$C:$C,'[1]query (5)'!$A:$A)</f>
        <v>#N/A</v>
      </c>
    </row>
    <row r="4" spans="1:5" x14ac:dyDescent="0.3">
      <c r="A4" s="23">
        <v>5074299</v>
      </c>
      <c r="B4" s="23" t="s">
        <v>2575</v>
      </c>
      <c r="C4" s="40">
        <v>55.46</v>
      </c>
      <c r="D4" s="24">
        <v>3</v>
      </c>
      <c r="E4" t="e">
        <f>_xlfn.XLOOKUP(A4,'[1]query (5)'!$C:$C,'[1]query (5)'!$A:$A)</f>
        <v>#N/A</v>
      </c>
    </row>
    <row r="5" spans="1:5" x14ac:dyDescent="0.3">
      <c r="A5" s="23">
        <v>5077776</v>
      </c>
      <c r="B5" s="23" t="s">
        <v>2058</v>
      </c>
      <c r="C5" s="40">
        <v>275.27</v>
      </c>
      <c r="D5" s="24">
        <v>18</v>
      </c>
      <c r="E5" t="e">
        <f>_xlfn.XLOOKUP(A5,'[1]query (5)'!$C:$C,'[1]query (5)'!$A:$A)</f>
        <v>#N/A</v>
      </c>
    </row>
    <row r="6" spans="1:5" x14ac:dyDescent="0.3">
      <c r="A6" s="23">
        <v>5077788</v>
      </c>
      <c r="B6" s="23" t="s">
        <v>2059</v>
      </c>
      <c r="C6" s="40">
        <v>815.26</v>
      </c>
      <c r="D6" s="24">
        <v>25</v>
      </c>
      <c r="E6" t="e">
        <f>_xlfn.XLOOKUP(A6,'[1]query (5)'!$C:$C,'[1]query (5)'!$A:$A)</f>
        <v>#N/A</v>
      </c>
    </row>
    <row r="7" spans="1:5" x14ac:dyDescent="0.3">
      <c r="A7" s="23">
        <v>5081949</v>
      </c>
      <c r="B7" s="23" t="s">
        <v>1655</v>
      </c>
      <c r="C7" s="40">
        <v>1545.06</v>
      </c>
      <c r="D7" s="24">
        <v>66</v>
      </c>
      <c r="E7" t="e">
        <f>_xlfn.XLOOKUP(A7,'[1]query (5)'!$C:$C,'[1]query (5)'!$A:$A)</f>
        <v>#N/A</v>
      </c>
    </row>
    <row r="8" spans="1:5" x14ac:dyDescent="0.3">
      <c r="A8" s="23">
        <v>5081950</v>
      </c>
      <c r="B8" s="23" t="s">
        <v>2060</v>
      </c>
      <c r="C8" s="40">
        <v>35280.97</v>
      </c>
      <c r="D8" s="24">
        <v>902</v>
      </c>
      <c r="E8" t="e">
        <f>_xlfn.XLOOKUP(A8,'[1]query (5)'!$C:$C,'[1]query (5)'!$A:$A)</f>
        <v>#N/A</v>
      </c>
    </row>
    <row r="9" spans="1:5" x14ac:dyDescent="0.3">
      <c r="A9" s="23">
        <v>5081964</v>
      </c>
      <c r="B9" s="23" t="s">
        <v>1657</v>
      </c>
      <c r="C9" s="40">
        <v>546.42999999999995</v>
      </c>
      <c r="D9" s="24">
        <v>19</v>
      </c>
      <c r="E9" t="e">
        <f>_xlfn.XLOOKUP(A9,'[1]query (5)'!$C:$C,'[1]query (5)'!$A:$A)</f>
        <v>#N/A</v>
      </c>
    </row>
    <row r="10" spans="1:5" x14ac:dyDescent="0.3">
      <c r="A10" s="23">
        <v>5081985</v>
      </c>
      <c r="B10" s="23" t="s">
        <v>2576</v>
      </c>
      <c r="C10" s="40">
        <v>30.96</v>
      </c>
      <c r="D10" s="24">
        <v>2</v>
      </c>
      <c r="E10" t="e">
        <f>_xlfn.XLOOKUP(A10,'[1]query (5)'!$C:$C,'[1]query (5)'!$A:$A)</f>
        <v>#N/A</v>
      </c>
    </row>
    <row r="11" spans="1:5" x14ac:dyDescent="0.3">
      <c r="A11" s="23">
        <v>5081986</v>
      </c>
      <c r="B11" s="23" t="s">
        <v>1647</v>
      </c>
      <c r="C11" s="40">
        <v>546.11</v>
      </c>
      <c r="D11" s="24">
        <v>16</v>
      </c>
      <c r="E11" t="e">
        <f>_xlfn.XLOOKUP(A11,'[1]query (5)'!$C:$C,'[1]query (5)'!$A:$A)</f>
        <v>#N/A</v>
      </c>
    </row>
    <row r="12" spans="1:5" x14ac:dyDescent="0.3">
      <c r="A12" s="23">
        <v>5081987</v>
      </c>
      <c r="B12" s="23" t="s">
        <v>1644</v>
      </c>
      <c r="C12" s="40">
        <v>46.44</v>
      </c>
      <c r="D12" s="24">
        <v>3</v>
      </c>
      <c r="E12" t="e">
        <f>_xlfn.XLOOKUP(A12,'[1]query (5)'!$C:$C,'[1]query (5)'!$A:$A)</f>
        <v>#N/A</v>
      </c>
    </row>
    <row r="13" spans="1:5" x14ac:dyDescent="0.3">
      <c r="A13" s="23">
        <v>5081988</v>
      </c>
      <c r="B13" s="23" t="s">
        <v>1645</v>
      </c>
      <c r="C13" s="40">
        <v>1361.28</v>
      </c>
      <c r="D13" s="24">
        <v>40</v>
      </c>
      <c r="E13" t="e">
        <f>_xlfn.XLOOKUP(A13,'[1]query (5)'!$C:$C,'[1]query (5)'!$A:$A)</f>
        <v>#N/A</v>
      </c>
    </row>
    <row r="14" spans="1:5" x14ac:dyDescent="0.3">
      <c r="A14" s="23">
        <v>5081993</v>
      </c>
      <c r="B14" s="23" t="s">
        <v>2061</v>
      </c>
      <c r="C14" s="40">
        <v>1229.1300000000001</v>
      </c>
      <c r="D14" s="24">
        <v>20</v>
      </c>
      <c r="E14" t="e">
        <f>_xlfn.XLOOKUP(A14,'[1]query (5)'!$C:$C,'[1]query (5)'!$A:$A)</f>
        <v>#N/A</v>
      </c>
    </row>
    <row r="15" spans="1:5" x14ac:dyDescent="0.3">
      <c r="A15" s="23">
        <v>5081997</v>
      </c>
      <c r="B15" s="23" t="s">
        <v>1658</v>
      </c>
      <c r="C15" s="40">
        <v>5670.81</v>
      </c>
      <c r="D15" s="24">
        <v>138</v>
      </c>
      <c r="E15" t="e">
        <f>_xlfn.XLOOKUP(A15,'[1]query (5)'!$C:$C,'[1]query (5)'!$A:$A)</f>
        <v>#N/A</v>
      </c>
    </row>
    <row r="16" spans="1:5" x14ac:dyDescent="0.3">
      <c r="A16" s="23">
        <v>5082008</v>
      </c>
      <c r="B16" s="23" t="s">
        <v>1624</v>
      </c>
      <c r="C16" s="40">
        <v>637.38</v>
      </c>
      <c r="D16" s="24">
        <v>27</v>
      </c>
      <c r="E16" t="e">
        <f>_xlfn.XLOOKUP(A16,'[1]query (5)'!$C:$C,'[1]query (5)'!$A:$A)</f>
        <v>#N/A</v>
      </c>
    </row>
    <row r="17" spans="1:5" x14ac:dyDescent="0.3">
      <c r="A17" s="23">
        <v>5082319</v>
      </c>
      <c r="B17" s="23" t="s">
        <v>2062</v>
      </c>
      <c r="C17" s="40">
        <v>340.68</v>
      </c>
      <c r="D17" s="24">
        <v>18</v>
      </c>
      <c r="E17" t="e">
        <f>_xlfn.XLOOKUP(A17,'[1]query (5)'!$C:$C,'[1]query (5)'!$A:$A)</f>
        <v>#N/A</v>
      </c>
    </row>
    <row r="18" spans="1:5" x14ac:dyDescent="0.3">
      <c r="A18" s="23">
        <v>5082320</v>
      </c>
      <c r="B18" s="23" t="s">
        <v>2063</v>
      </c>
      <c r="C18" s="40">
        <v>49689.25</v>
      </c>
      <c r="D18" s="24">
        <v>1590</v>
      </c>
      <c r="E18" t="e">
        <f>_xlfn.XLOOKUP(A18,'[1]query (5)'!$C:$C,'[1]query (5)'!$A:$A)</f>
        <v>#N/A</v>
      </c>
    </row>
    <row r="19" spans="1:5" x14ac:dyDescent="0.3">
      <c r="A19" s="23">
        <v>5082756</v>
      </c>
      <c r="B19" s="23" t="s">
        <v>2064</v>
      </c>
      <c r="C19" s="40">
        <v>39.33</v>
      </c>
      <c r="D19" s="24">
        <v>2</v>
      </c>
      <c r="E19" t="e">
        <f>_xlfn.XLOOKUP(A19,'[1]query (5)'!$C:$C,'[1]query (5)'!$A:$A)</f>
        <v>#N/A</v>
      </c>
    </row>
    <row r="20" spans="1:5" x14ac:dyDescent="0.3">
      <c r="A20" s="23">
        <v>5082932</v>
      </c>
      <c r="B20" s="23" t="s">
        <v>5223</v>
      </c>
      <c r="C20" s="40">
        <v>688.53</v>
      </c>
      <c r="D20" s="24">
        <v>14</v>
      </c>
      <c r="E20" t="e">
        <f>_xlfn.XLOOKUP(A20,'[1]query (5)'!$C:$C,'[1]query (5)'!$A:$A)</f>
        <v>#N/A</v>
      </c>
    </row>
    <row r="21" spans="1:5" x14ac:dyDescent="0.3">
      <c r="A21" s="23">
        <v>5082933</v>
      </c>
      <c r="B21" s="23" t="s">
        <v>1654</v>
      </c>
      <c r="C21" s="40">
        <v>78.760000000000005</v>
      </c>
      <c r="D21" s="24">
        <v>7</v>
      </c>
      <c r="E21" t="e">
        <f>_xlfn.XLOOKUP(A21,'[1]query (5)'!$C:$C,'[1]query (5)'!$A:$A)</f>
        <v>#N/A</v>
      </c>
    </row>
    <row r="22" spans="1:5" x14ac:dyDescent="0.3">
      <c r="A22" s="23">
        <v>5082969</v>
      </c>
      <c r="B22" s="23" t="s">
        <v>1619</v>
      </c>
      <c r="C22" s="40">
        <v>453.1</v>
      </c>
      <c r="D22" s="24">
        <v>9</v>
      </c>
      <c r="E22" t="e">
        <f>_xlfn.XLOOKUP(A22,'[1]query (5)'!$C:$C,'[1]query (5)'!$A:$A)</f>
        <v>#N/A</v>
      </c>
    </row>
    <row r="23" spans="1:5" x14ac:dyDescent="0.3">
      <c r="A23" s="23">
        <v>5082970</v>
      </c>
      <c r="B23" s="23" t="s">
        <v>1621</v>
      </c>
      <c r="C23" s="40">
        <v>604.13</v>
      </c>
      <c r="D23" s="24">
        <v>12</v>
      </c>
      <c r="E23" t="e">
        <f>_xlfn.XLOOKUP(A23,'[1]query (5)'!$C:$C,'[1]query (5)'!$A:$A)</f>
        <v>#N/A</v>
      </c>
    </row>
    <row r="24" spans="1:5" x14ac:dyDescent="0.3">
      <c r="A24" s="23">
        <v>5082971</v>
      </c>
      <c r="B24" s="23" t="s">
        <v>2065</v>
      </c>
      <c r="C24" s="40">
        <v>624.57000000000005</v>
      </c>
      <c r="D24" s="24">
        <v>21</v>
      </c>
      <c r="E24" t="e">
        <f>_xlfn.XLOOKUP(A24,'[1]query (5)'!$C:$C,'[1]query (5)'!$A:$A)</f>
        <v>#N/A</v>
      </c>
    </row>
    <row r="25" spans="1:5" x14ac:dyDescent="0.3">
      <c r="A25" s="23">
        <v>5082976</v>
      </c>
      <c r="B25" s="23" t="s">
        <v>2066</v>
      </c>
      <c r="C25" s="40">
        <v>50.84</v>
      </c>
      <c r="D25" s="24">
        <v>6</v>
      </c>
      <c r="E25" t="e">
        <f>_xlfn.XLOOKUP(A25,'[1]query (5)'!$C:$C,'[1]query (5)'!$A:$A)</f>
        <v>#N/A</v>
      </c>
    </row>
    <row r="26" spans="1:5" x14ac:dyDescent="0.3">
      <c r="A26" s="23">
        <v>5082977</v>
      </c>
      <c r="B26" s="23" t="s">
        <v>2067</v>
      </c>
      <c r="C26" s="40">
        <v>1519.2</v>
      </c>
      <c r="D26" s="24">
        <v>100</v>
      </c>
      <c r="E26" t="e">
        <f>_xlfn.XLOOKUP(A26,'[1]query (5)'!$C:$C,'[1]query (5)'!$A:$A)</f>
        <v>#N/A</v>
      </c>
    </row>
    <row r="27" spans="1:5" x14ac:dyDescent="0.3">
      <c r="A27" s="23">
        <v>5082982</v>
      </c>
      <c r="B27" s="23" t="s">
        <v>1675</v>
      </c>
      <c r="C27" s="40">
        <v>170.62</v>
      </c>
      <c r="D27" s="24">
        <v>6</v>
      </c>
      <c r="E27" t="e">
        <f>_xlfn.XLOOKUP(A27,'[1]query (5)'!$C:$C,'[1]query (5)'!$A:$A)</f>
        <v>#N/A</v>
      </c>
    </row>
    <row r="28" spans="1:5" x14ac:dyDescent="0.3">
      <c r="A28" s="23">
        <v>5083002</v>
      </c>
      <c r="B28" s="23" t="s">
        <v>1618</v>
      </c>
      <c r="C28" s="40">
        <v>24.11</v>
      </c>
      <c r="D28" s="24">
        <v>1</v>
      </c>
      <c r="E28" t="e">
        <f>_xlfn.XLOOKUP(A28,'[1]query (5)'!$C:$C,'[1]query (5)'!$A:$A)</f>
        <v>#N/A</v>
      </c>
    </row>
    <row r="29" spans="1:5" x14ac:dyDescent="0.3">
      <c r="A29" s="23">
        <v>5083003</v>
      </c>
      <c r="B29" s="23" t="s">
        <v>5224</v>
      </c>
      <c r="C29" s="40">
        <v>24.11</v>
      </c>
      <c r="D29" s="24">
        <v>1</v>
      </c>
      <c r="E29" t="e">
        <f>_xlfn.XLOOKUP(A29,'[1]query (5)'!$C:$C,'[1]query (5)'!$A:$A)</f>
        <v>#N/A</v>
      </c>
    </row>
    <row r="30" spans="1:5" x14ac:dyDescent="0.3">
      <c r="A30" s="23">
        <v>5083467</v>
      </c>
      <c r="B30" s="23" t="s">
        <v>2577</v>
      </c>
      <c r="C30" s="40">
        <v>11.45</v>
      </c>
      <c r="D30" s="24">
        <v>1</v>
      </c>
      <c r="E30" t="e">
        <f>_xlfn.XLOOKUP(A30,'[1]query (5)'!$C:$C,'[1]query (5)'!$A:$A)</f>
        <v>#N/A</v>
      </c>
    </row>
    <row r="31" spans="1:5" x14ac:dyDescent="0.3">
      <c r="A31" s="23">
        <v>5083625</v>
      </c>
      <c r="B31" s="23" t="s">
        <v>1628</v>
      </c>
      <c r="C31" s="40">
        <v>470.99</v>
      </c>
      <c r="D31" s="24">
        <v>7</v>
      </c>
      <c r="E31" t="e">
        <f>_xlfn.XLOOKUP(A31,'[1]query (5)'!$C:$C,'[1]query (5)'!$A:$A)</f>
        <v>#N/A</v>
      </c>
    </row>
    <row r="32" spans="1:5" x14ac:dyDescent="0.3">
      <c r="A32" s="23">
        <v>5083626</v>
      </c>
      <c r="B32" s="23" t="s">
        <v>1627</v>
      </c>
      <c r="C32" s="40">
        <v>685.54</v>
      </c>
      <c r="D32" s="24">
        <v>9</v>
      </c>
      <c r="E32" t="e">
        <f>_xlfn.XLOOKUP(A32,'[1]query (5)'!$C:$C,'[1]query (5)'!$A:$A)</f>
        <v>#N/A</v>
      </c>
    </row>
    <row r="33" spans="1:5" x14ac:dyDescent="0.3">
      <c r="A33" s="23">
        <v>5083924</v>
      </c>
      <c r="B33" s="23" t="s">
        <v>1680</v>
      </c>
      <c r="C33" s="40">
        <v>2367.9899999999998</v>
      </c>
      <c r="D33" s="24">
        <v>163</v>
      </c>
      <c r="E33" t="e">
        <f>_xlfn.XLOOKUP(A33,'[1]query (5)'!$C:$C,'[1]query (5)'!$A:$A)</f>
        <v>#N/A</v>
      </c>
    </row>
    <row r="34" spans="1:5" x14ac:dyDescent="0.3">
      <c r="A34" s="23">
        <v>5084141</v>
      </c>
      <c r="B34" s="23" t="s">
        <v>2068</v>
      </c>
      <c r="C34" s="40">
        <v>1485.51</v>
      </c>
      <c r="D34" s="24">
        <v>60</v>
      </c>
      <c r="E34" t="e">
        <f>_xlfn.XLOOKUP(A34,'[1]query (5)'!$C:$C,'[1]query (5)'!$A:$A)</f>
        <v>#N/A</v>
      </c>
    </row>
    <row r="35" spans="1:5" x14ac:dyDescent="0.3">
      <c r="A35" s="23">
        <v>5084780</v>
      </c>
      <c r="B35" s="23" t="s">
        <v>2578</v>
      </c>
      <c r="C35" s="40">
        <v>0</v>
      </c>
      <c r="D35" s="25">
        <v>0</v>
      </c>
      <c r="E35" t="e">
        <f>_xlfn.XLOOKUP(A35,'[1]query (5)'!$C:$C,'[1]query (5)'!$A:$A)</f>
        <v>#N/A</v>
      </c>
    </row>
    <row r="36" spans="1:5" x14ac:dyDescent="0.3">
      <c r="A36" s="23">
        <v>5084782</v>
      </c>
      <c r="B36" s="23" t="s">
        <v>2579</v>
      </c>
      <c r="C36" s="40">
        <v>38.520000000000003</v>
      </c>
      <c r="D36" s="24">
        <v>4</v>
      </c>
      <c r="E36" t="e">
        <f>_xlfn.XLOOKUP(A36,'[1]query (5)'!$C:$C,'[1]query (5)'!$A:$A)</f>
        <v>#N/A</v>
      </c>
    </row>
    <row r="37" spans="1:5" x14ac:dyDescent="0.3">
      <c r="A37" s="23">
        <v>5084785</v>
      </c>
      <c r="B37" s="23" t="s">
        <v>2580</v>
      </c>
      <c r="C37" s="40">
        <v>37.93</v>
      </c>
      <c r="D37" s="24">
        <v>4</v>
      </c>
      <c r="E37" t="e">
        <f>_xlfn.XLOOKUP(A37,'[1]query (5)'!$C:$C,'[1]query (5)'!$A:$A)</f>
        <v>#N/A</v>
      </c>
    </row>
    <row r="38" spans="1:5" x14ac:dyDescent="0.3">
      <c r="A38" s="23">
        <v>5084795</v>
      </c>
      <c r="B38" s="23" t="s">
        <v>2581</v>
      </c>
      <c r="C38" s="40">
        <v>43.62</v>
      </c>
      <c r="D38" s="24">
        <v>1</v>
      </c>
      <c r="E38" t="e">
        <f>_xlfn.XLOOKUP(A38,'[1]query (5)'!$C:$C,'[1]query (5)'!$A:$A)</f>
        <v>#N/A</v>
      </c>
    </row>
    <row r="39" spans="1:5" x14ac:dyDescent="0.3">
      <c r="A39" s="23">
        <v>5084798</v>
      </c>
      <c r="B39" s="23" t="s">
        <v>2582</v>
      </c>
      <c r="C39" s="40">
        <v>30.18</v>
      </c>
      <c r="D39" s="24">
        <v>4</v>
      </c>
      <c r="E39" t="e">
        <f>_xlfn.XLOOKUP(A39,'[1]query (5)'!$C:$C,'[1]query (5)'!$A:$A)</f>
        <v>#N/A</v>
      </c>
    </row>
    <row r="40" spans="1:5" x14ac:dyDescent="0.3">
      <c r="A40" s="23">
        <v>5084860</v>
      </c>
      <c r="B40" s="23" t="s">
        <v>2069</v>
      </c>
      <c r="C40" s="40">
        <v>197.26</v>
      </c>
      <c r="D40" s="24">
        <v>4</v>
      </c>
      <c r="E40" t="e">
        <f>_xlfn.XLOOKUP(A40,'[1]query (5)'!$C:$C,'[1]query (5)'!$A:$A)</f>
        <v>#N/A</v>
      </c>
    </row>
    <row r="41" spans="1:5" x14ac:dyDescent="0.3">
      <c r="A41" s="23">
        <v>5084861</v>
      </c>
      <c r="B41" s="23" t="s">
        <v>2070</v>
      </c>
      <c r="C41" s="40">
        <v>464.9</v>
      </c>
      <c r="D41" s="24">
        <v>6</v>
      </c>
      <c r="E41" t="e">
        <f>_xlfn.XLOOKUP(A41,'[1]query (5)'!$C:$C,'[1]query (5)'!$A:$A)</f>
        <v>#N/A</v>
      </c>
    </row>
    <row r="42" spans="1:5" x14ac:dyDescent="0.3">
      <c r="A42" s="23">
        <v>5084866</v>
      </c>
      <c r="B42" s="23" t="s">
        <v>2071</v>
      </c>
      <c r="C42" s="40">
        <v>641.86</v>
      </c>
      <c r="D42" s="24">
        <v>13</v>
      </c>
      <c r="E42" t="e">
        <f>_xlfn.XLOOKUP(A42,'[1]query (5)'!$C:$C,'[1]query (5)'!$A:$A)</f>
        <v>#N/A</v>
      </c>
    </row>
    <row r="43" spans="1:5" x14ac:dyDescent="0.3">
      <c r="A43" s="23">
        <v>5084867</v>
      </c>
      <c r="B43" s="23" t="s">
        <v>2072</v>
      </c>
      <c r="C43" s="40">
        <v>450.69</v>
      </c>
      <c r="D43" s="24">
        <v>6</v>
      </c>
      <c r="E43" t="e">
        <f>_xlfn.XLOOKUP(A43,'[1]query (5)'!$C:$C,'[1]query (5)'!$A:$A)</f>
        <v>#N/A</v>
      </c>
    </row>
    <row r="44" spans="1:5" x14ac:dyDescent="0.3">
      <c r="A44" s="23">
        <v>5084877</v>
      </c>
      <c r="B44" s="23" t="s">
        <v>2583</v>
      </c>
      <c r="C44" s="40">
        <v>50.08</v>
      </c>
      <c r="D44" s="24">
        <v>1</v>
      </c>
      <c r="E44" t="e">
        <f>_xlfn.XLOOKUP(A44,'[1]query (5)'!$C:$C,'[1]query (5)'!$A:$A)</f>
        <v>#N/A</v>
      </c>
    </row>
    <row r="45" spans="1:5" x14ac:dyDescent="0.3">
      <c r="A45" s="23">
        <v>5084893</v>
      </c>
      <c r="B45" s="23" t="s">
        <v>2584</v>
      </c>
      <c r="C45" s="40">
        <v>300.47000000000003</v>
      </c>
      <c r="D45" s="24">
        <v>4</v>
      </c>
      <c r="E45" t="e">
        <f>_xlfn.XLOOKUP(A45,'[1]query (5)'!$C:$C,'[1]query (5)'!$A:$A)</f>
        <v>#N/A</v>
      </c>
    </row>
    <row r="46" spans="1:5" x14ac:dyDescent="0.3">
      <c r="A46" s="23">
        <v>5084894</v>
      </c>
      <c r="B46" s="23" t="s">
        <v>2073</v>
      </c>
      <c r="C46" s="40">
        <v>135.43</v>
      </c>
      <c r="D46" s="24">
        <v>18</v>
      </c>
      <c r="E46" t="e">
        <f>_xlfn.XLOOKUP(A46,'[1]query (5)'!$C:$C,'[1]query (5)'!$A:$A)</f>
        <v>#N/A</v>
      </c>
    </row>
    <row r="47" spans="1:5" x14ac:dyDescent="0.3">
      <c r="A47" s="23">
        <v>5084897</v>
      </c>
      <c r="B47" s="23" t="s">
        <v>2074</v>
      </c>
      <c r="C47" s="40">
        <v>200.32</v>
      </c>
      <c r="D47" s="24">
        <v>4</v>
      </c>
      <c r="E47" t="e">
        <f>_xlfn.XLOOKUP(A47,'[1]query (5)'!$C:$C,'[1]query (5)'!$A:$A)</f>
        <v>#N/A</v>
      </c>
    </row>
    <row r="48" spans="1:5" x14ac:dyDescent="0.3">
      <c r="A48" s="23">
        <v>5084898</v>
      </c>
      <c r="B48" s="23" t="s">
        <v>2075</v>
      </c>
      <c r="C48" s="40">
        <v>77.48</v>
      </c>
      <c r="D48" s="24">
        <v>1</v>
      </c>
      <c r="E48" t="e">
        <f>_xlfn.XLOOKUP(A48,'[1]query (5)'!$C:$C,'[1]query (5)'!$A:$A)</f>
        <v>#N/A</v>
      </c>
    </row>
    <row r="49" spans="1:5" x14ac:dyDescent="0.3">
      <c r="A49" s="23">
        <v>5084920</v>
      </c>
      <c r="B49" s="23" t="s">
        <v>2076</v>
      </c>
      <c r="C49" s="40">
        <v>67.17</v>
      </c>
      <c r="D49" s="24">
        <v>5</v>
      </c>
      <c r="E49" t="e">
        <f>_xlfn.XLOOKUP(A49,'[1]query (5)'!$C:$C,'[1]query (5)'!$A:$A)</f>
        <v>#N/A</v>
      </c>
    </row>
    <row r="50" spans="1:5" x14ac:dyDescent="0.3">
      <c r="A50" s="23">
        <v>5084921</v>
      </c>
      <c r="B50" s="23" t="s">
        <v>2077</v>
      </c>
      <c r="C50" s="40">
        <v>46.27</v>
      </c>
      <c r="D50" s="24">
        <v>2</v>
      </c>
      <c r="E50" t="e">
        <f>_xlfn.XLOOKUP(A50,'[1]query (5)'!$C:$C,'[1]query (5)'!$A:$A)</f>
        <v>#N/A</v>
      </c>
    </row>
    <row r="51" spans="1:5" x14ac:dyDescent="0.3">
      <c r="A51" s="23">
        <v>5084985</v>
      </c>
      <c r="B51" s="23" t="s">
        <v>2585</v>
      </c>
      <c r="C51" s="40">
        <v>72.16</v>
      </c>
      <c r="D51" s="24">
        <v>12</v>
      </c>
      <c r="E51" t="e">
        <f>_xlfn.XLOOKUP(A51,'[1]query (5)'!$C:$C,'[1]query (5)'!$A:$A)</f>
        <v>#N/A</v>
      </c>
    </row>
    <row r="52" spans="1:5" x14ac:dyDescent="0.3">
      <c r="A52" s="23">
        <v>5084998</v>
      </c>
      <c r="B52" s="23" t="s">
        <v>2078</v>
      </c>
      <c r="C52" s="40">
        <v>166.1</v>
      </c>
      <c r="D52" s="24">
        <v>27</v>
      </c>
      <c r="E52" t="e">
        <f>_xlfn.XLOOKUP(A52,'[1]query (5)'!$C:$C,'[1]query (5)'!$A:$A)</f>
        <v>#N/A</v>
      </c>
    </row>
    <row r="53" spans="1:5" x14ac:dyDescent="0.3">
      <c r="A53" s="23">
        <v>5084999</v>
      </c>
      <c r="B53" s="23" t="s">
        <v>2079</v>
      </c>
      <c r="C53" s="40">
        <v>220.52</v>
      </c>
      <c r="D53" s="24">
        <v>34</v>
      </c>
      <c r="E53" t="e">
        <f>_xlfn.XLOOKUP(A53,'[1]query (5)'!$C:$C,'[1]query (5)'!$A:$A)</f>
        <v>#N/A</v>
      </c>
    </row>
    <row r="54" spans="1:5" x14ac:dyDescent="0.3">
      <c r="A54" s="23">
        <v>5085000</v>
      </c>
      <c r="B54" s="23" t="s">
        <v>2080</v>
      </c>
      <c r="C54" s="40">
        <v>146.13</v>
      </c>
      <c r="D54" s="24">
        <v>12</v>
      </c>
      <c r="E54" t="e">
        <f>_xlfn.XLOOKUP(A54,'[1]query (5)'!$C:$C,'[1]query (5)'!$A:$A)</f>
        <v>#N/A</v>
      </c>
    </row>
    <row r="55" spans="1:5" x14ac:dyDescent="0.3">
      <c r="A55" s="23">
        <v>5085001</v>
      </c>
      <c r="B55" s="23" t="s">
        <v>2081</v>
      </c>
      <c r="C55" s="40">
        <v>783.63</v>
      </c>
      <c r="D55" s="24">
        <v>38</v>
      </c>
      <c r="E55" t="e">
        <f>_xlfn.XLOOKUP(A55,'[1]query (5)'!$C:$C,'[1]query (5)'!$A:$A)</f>
        <v>#N/A</v>
      </c>
    </row>
    <row r="56" spans="1:5" x14ac:dyDescent="0.3">
      <c r="A56" s="23">
        <v>5085002</v>
      </c>
      <c r="B56" s="23" t="s">
        <v>2082</v>
      </c>
      <c r="C56" s="40">
        <v>96.4</v>
      </c>
      <c r="D56" s="24">
        <v>16</v>
      </c>
      <c r="E56" t="e">
        <f>_xlfn.XLOOKUP(A56,'[1]query (5)'!$C:$C,'[1]query (5)'!$A:$A)</f>
        <v>#N/A</v>
      </c>
    </row>
    <row r="57" spans="1:5" x14ac:dyDescent="0.3">
      <c r="A57" s="23">
        <v>5085003</v>
      </c>
      <c r="B57" s="23" t="s">
        <v>2083</v>
      </c>
      <c r="C57" s="40">
        <v>35.700000000000003</v>
      </c>
      <c r="D57" s="24">
        <v>3</v>
      </c>
      <c r="E57" t="e">
        <f>_xlfn.XLOOKUP(A57,'[1]query (5)'!$C:$C,'[1]query (5)'!$A:$A)</f>
        <v>#N/A</v>
      </c>
    </row>
    <row r="58" spans="1:5" x14ac:dyDescent="0.3">
      <c r="A58" s="23">
        <v>5085004</v>
      </c>
      <c r="B58" s="23" t="s">
        <v>2084</v>
      </c>
      <c r="C58" s="40">
        <v>186.15</v>
      </c>
      <c r="D58" s="24">
        <v>53</v>
      </c>
      <c r="E58" t="e">
        <f>_xlfn.XLOOKUP(A58,'[1]query (5)'!$C:$C,'[1]query (5)'!$A:$A)</f>
        <v>#N/A</v>
      </c>
    </row>
    <row r="59" spans="1:5" x14ac:dyDescent="0.3">
      <c r="A59" s="23">
        <v>5085006</v>
      </c>
      <c r="B59" s="23" t="s">
        <v>2085</v>
      </c>
      <c r="C59" s="40">
        <v>157.47</v>
      </c>
      <c r="D59" s="24">
        <v>7</v>
      </c>
      <c r="E59" t="e">
        <f>_xlfn.XLOOKUP(A59,'[1]query (5)'!$C:$C,'[1]query (5)'!$A:$A)</f>
        <v>#N/A</v>
      </c>
    </row>
    <row r="60" spans="1:5" x14ac:dyDescent="0.3">
      <c r="A60" s="23">
        <v>5085009</v>
      </c>
      <c r="B60" s="23" t="s">
        <v>2086</v>
      </c>
      <c r="C60" s="40">
        <v>660.44</v>
      </c>
      <c r="D60" s="24">
        <v>276</v>
      </c>
      <c r="E60" t="e">
        <f>_xlfn.XLOOKUP(A60,'[1]query (5)'!$C:$C,'[1]query (5)'!$A:$A)</f>
        <v>#N/A</v>
      </c>
    </row>
    <row r="61" spans="1:5" x14ac:dyDescent="0.3">
      <c r="A61" s="23">
        <v>5085010</v>
      </c>
      <c r="B61" s="23" t="s">
        <v>2087</v>
      </c>
      <c r="C61" s="40">
        <v>68.44</v>
      </c>
      <c r="D61" s="24">
        <v>29</v>
      </c>
      <c r="E61" t="e">
        <f>_xlfn.XLOOKUP(A61,'[1]query (5)'!$C:$C,'[1]query (5)'!$A:$A)</f>
        <v>#N/A</v>
      </c>
    </row>
    <row r="62" spans="1:5" x14ac:dyDescent="0.3">
      <c r="A62" s="23">
        <v>5085011</v>
      </c>
      <c r="B62" s="23" t="s">
        <v>2088</v>
      </c>
      <c r="C62" s="40">
        <v>24.64</v>
      </c>
      <c r="D62" s="24">
        <v>9</v>
      </c>
      <c r="E62" t="e">
        <f>_xlfn.XLOOKUP(A62,'[1]query (5)'!$C:$C,'[1]query (5)'!$A:$A)</f>
        <v>#N/A</v>
      </c>
    </row>
    <row r="63" spans="1:5" x14ac:dyDescent="0.3">
      <c r="A63" s="23">
        <v>5085014</v>
      </c>
      <c r="B63" s="23" t="s">
        <v>2089</v>
      </c>
      <c r="C63" s="40">
        <v>8.11</v>
      </c>
      <c r="D63" s="24">
        <v>1</v>
      </c>
      <c r="E63" t="e">
        <f>_xlfn.XLOOKUP(A63,'[1]query (5)'!$C:$C,'[1]query (5)'!$A:$A)</f>
        <v>#N/A</v>
      </c>
    </row>
    <row r="64" spans="1:5" x14ac:dyDescent="0.3">
      <c r="A64" s="23">
        <v>5085772</v>
      </c>
      <c r="B64" s="23" t="s">
        <v>2586</v>
      </c>
      <c r="C64" s="40">
        <v>21.11</v>
      </c>
      <c r="D64" s="24">
        <v>1</v>
      </c>
      <c r="E64" t="e">
        <f>_xlfn.XLOOKUP(A64,'[1]query (5)'!$C:$C,'[1]query (5)'!$A:$A)</f>
        <v>#N/A</v>
      </c>
    </row>
    <row r="65" spans="1:5" x14ac:dyDescent="0.3">
      <c r="A65" s="23">
        <v>5085897</v>
      </c>
      <c r="B65" s="23" t="s">
        <v>2587</v>
      </c>
      <c r="C65" s="40">
        <v>73.36</v>
      </c>
      <c r="D65" s="24">
        <v>4</v>
      </c>
      <c r="E65" t="e">
        <f>_xlfn.XLOOKUP(A65,'[1]query (5)'!$C:$C,'[1]query (5)'!$A:$A)</f>
        <v>#N/A</v>
      </c>
    </row>
    <row r="66" spans="1:5" x14ac:dyDescent="0.3">
      <c r="A66" s="23">
        <v>5085898</v>
      </c>
      <c r="B66" s="23" t="s">
        <v>5225</v>
      </c>
      <c r="C66" s="40">
        <v>117.09</v>
      </c>
      <c r="D66" s="24">
        <v>3</v>
      </c>
      <c r="E66" t="e">
        <f>_xlfn.XLOOKUP(A66,'[1]query (5)'!$C:$C,'[1]query (5)'!$A:$A)</f>
        <v>#N/A</v>
      </c>
    </row>
    <row r="67" spans="1:5" x14ac:dyDescent="0.3">
      <c r="A67" s="23">
        <v>5085899</v>
      </c>
      <c r="B67" s="23" t="s">
        <v>2588</v>
      </c>
      <c r="C67" s="40">
        <v>252.96</v>
      </c>
      <c r="D67" s="24">
        <v>4</v>
      </c>
      <c r="E67" t="e">
        <f>_xlfn.XLOOKUP(A67,'[1]query (5)'!$C:$C,'[1]query (5)'!$A:$A)</f>
        <v>#N/A</v>
      </c>
    </row>
    <row r="68" spans="1:5" x14ac:dyDescent="0.3">
      <c r="A68" s="23">
        <v>5085900</v>
      </c>
      <c r="B68" s="23" t="s">
        <v>5226</v>
      </c>
      <c r="C68" s="40">
        <v>26.24</v>
      </c>
      <c r="D68" s="24">
        <v>1</v>
      </c>
      <c r="E68" t="e">
        <f>_xlfn.XLOOKUP(A68,'[1]query (5)'!$C:$C,'[1]query (5)'!$A:$A)</f>
        <v>#N/A</v>
      </c>
    </row>
    <row r="69" spans="1:5" x14ac:dyDescent="0.3">
      <c r="A69" s="23">
        <v>5085901</v>
      </c>
      <c r="B69" s="23" t="s">
        <v>2091</v>
      </c>
      <c r="C69" s="40">
        <v>337.79</v>
      </c>
      <c r="D69" s="24">
        <v>7</v>
      </c>
      <c r="E69" t="e">
        <f>_xlfn.XLOOKUP(A69,'[1]query (5)'!$C:$C,'[1]query (5)'!$A:$A)</f>
        <v>#N/A</v>
      </c>
    </row>
    <row r="70" spans="1:5" x14ac:dyDescent="0.3">
      <c r="A70" s="23">
        <v>5085902</v>
      </c>
      <c r="B70" s="23" t="s">
        <v>2590</v>
      </c>
      <c r="C70" s="40">
        <v>228.6</v>
      </c>
      <c r="D70" s="24">
        <v>3</v>
      </c>
      <c r="E70" t="e">
        <f>_xlfn.XLOOKUP(A70,'[1]query (5)'!$C:$C,'[1]query (5)'!$A:$A)</f>
        <v>#N/A</v>
      </c>
    </row>
    <row r="71" spans="1:5" x14ac:dyDescent="0.3">
      <c r="A71" s="23">
        <v>5085906</v>
      </c>
      <c r="B71" s="23" t="s">
        <v>5227</v>
      </c>
      <c r="C71" s="40">
        <v>26.24</v>
      </c>
      <c r="D71" s="24">
        <v>1</v>
      </c>
      <c r="E71" t="e">
        <f>_xlfn.XLOOKUP(A71,'[1]query (5)'!$C:$C,'[1]query (5)'!$A:$A)</f>
        <v>#N/A</v>
      </c>
    </row>
    <row r="72" spans="1:5" x14ac:dyDescent="0.3">
      <c r="A72" s="23">
        <v>5085912</v>
      </c>
      <c r="B72" s="23" t="s">
        <v>5228</v>
      </c>
      <c r="C72" s="40">
        <v>389.9</v>
      </c>
      <c r="D72" s="24">
        <v>8</v>
      </c>
      <c r="E72" t="e">
        <f>_xlfn.XLOOKUP(A72,'[1]query (5)'!$C:$C,'[1]query (5)'!$A:$A)</f>
        <v>#N/A</v>
      </c>
    </row>
    <row r="73" spans="1:5" x14ac:dyDescent="0.3">
      <c r="A73" s="23">
        <v>5085924</v>
      </c>
      <c r="B73" s="23" t="s">
        <v>5229</v>
      </c>
      <c r="C73" s="40">
        <v>55.02</v>
      </c>
      <c r="D73" s="24">
        <v>3</v>
      </c>
      <c r="E73" t="e">
        <f>_xlfn.XLOOKUP(A73,'[1]query (5)'!$C:$C,'[1]query (5)'!$A:$A)</f>
        <v>#N/A</v>
      </c>
    </row>
    <row r="74" spans="1:5" x14ac:dyDescent="0.3">
      <c r="A74" s="23">
        <v>5085925</v>
      </c>
      <c r="B74" s="23" t="s">
        <v>5230</v>
      </c>
      <c r="C74" s="40">
        <v>39.03</v>
      </c>
      <c r="D74" s="24">
        <v>1</v>
      </c>
      <c r="E74" t="e">
        <f>_xlfn.XLOOKUP(A74,'[1]query (5)'!$C:$C,'[1]query (5)'!$A:$A)</f>
        <v>#N/A</v>
      </c>
    </row>
    <row r="75" spans="1:5" x14ac:dyDescent="0.3">
      <c r="A75" s="23">
        <v>5085936</v>
      </c>
      <c r="B75" s="23" t="s">
        <v>2591</v>
      </c>
      <c r="C75" s="40">
        <v>49.11</v>
      </c>
      <c r="D75" s="24">
        <v>1</v>
      </c>
      <c r="E75" t="e">
        <f>_xlfn.XLOOKUP(A75,'[1]query (5)'!$C:$C,'[1]query (5)'!$A:$A)</f>
        <v>#N/A</v>
      </c>
    </row>
    <row r="76" spans="1:5" x14ac:dyDescent="0.3">
      <c r="A76" s="23">
        <v>5085940</v>
      </c>
      <c r="B76" s="23" t="s">
        <v>2592</v>
      </c>
      <c r="C76" s="40">
        <v>195.16</v>
      </c>
      <c r="D76" s="24">
        <v>5</v>
      </c>
      <c r="E76" t="e">
        <f>_xlfn.XLOOKUP(A76,'[1]query (5)'!$C:$C,'[1]query (5)'!$A:$A)</f>
        <v>#N/A</v>
      </c>
    </row>
    <row r="77" spans="1:5" x14ac:dyDescent="0.3">
      <c r="A77" s="23">
        <v>5085945</v>
      </c>
      <c r="B77" s="23" t="s">
        <v>2593</v>
      </c>
      <c r="C77" s="40">
        <v>18.34</v>
      </c>
      <c r="D77" s="24">
        <v>1</v>
      </c>
      <c r="E77" t="e">
        <f>_xlfn.XLOOKUP(A77,'[1]query (5)'!$C:$C,'[1]query (5)'!$A:$A)</f>
        <v>#N/A</v>
      </c>
    </row>
    <row r="78" spans="1:5" x14ac:dyDescent="0.3">
      <c r="A78" s="23">
        <v>5085951</v>
      </c>
      <c r="B78" s="23" t="s">
        <v>2594</v>
      </c>
      <c r="C78" s="40">
        <v>540.24</v>
      </c>
      <c r="D78" s="24">
        <v>11</v>
      </c>
      <c r="E78" t="e">
        <f>_xlfn.XLOOKUP(A78,'[1]query (5)'!$C:$C,'[1]query (5)'!$A:$A)</f>
        <v>#N/A</v>
      </c>
    </row>
    <row r="79" spans="1:5" x14ac:dyDescent="0.3">
      <c r="A79" s="23">
        <v>5085952</v>
      </c>
      <c r="B79" s="23" t="s">
        <v>2595</v>
      </c>
      <c r="C79" s="40">
        <v>228.61</v>
      </c>
      <c r="D79" s="24">
        <v>3</v>
      </c>
      <c r="E79" t="e">
        <f>_xlfn.XLOOKUP(A79,'[1]query (5)'!$C:$C,'[1]query (5)'!$A:$A)</f>
        <v>#N/A</v>
      </c>
    </row>
    <row r="80" spans="1:5" x14ac:dyDescent="0.3">
      <c r="A80" s="23">
        <v>5085965</v>
      </c>
      <c r="B80" s="23" t="s">
        <v>5231</v>
      </c>
      <c r="C80" s="40">
        <v>18.34</v>
      </c>
      <c r="D80" s="24">
        <v>1</v>
      </c>
      <c r="E80" t="e">
        <f>_xlfn.XLOOKUP(A80,'[1]query (5)'!$C:$C,'[1]query (5)'!$A:$A)</f>
        <v>#N/A</v>
      </c>
    </row>
    <row r="81" spans="1:5" x14ac:dyDescent="0.3">
      <c r="A81" s="23">
        <v>5085966</v>
      </c>
      <c r="B81" s="23" t="s">
        <v>2596</v>
      </c>
      <c r="C81" s="40">
        <v>78.06</v>
      </c>
      <c r="D81" s="24">
        <v>2</v>
      </c>
      <c r="E81" t="e">
        <f>_xlfn.XLOOKUP(A81,'[1]query (5)'!$C:$C,'[1]query (5)'!$A:$A)</f>
        <v>#N/A</v>
      </c>
    </row>
    <row r="82" spans="1:5" x14ac:dyDescent="0.3">
      <c r="A82" s="23">
        <v>5085980</v>
      </c>
      <c r="B82" s="23" t="s">
        <v>2597</v>
      </c>
      <c r="C82" s="40">
        <v>156.13</v>
      </c>
      <c r="D82" s="24">
        <v>4</v>
      </c>
      <c r="E82" t="e">
        <f>_xlfn.XLOOKUP(A82,'[1]query (5)'!$C:$C,'[1]query (5)'!$A:$A)</f>
        <v>#N/A</v>
      </c>
    </row>
    <row r="83" spans="1:5" x14ac:dyDescent="0.3">
      <c r="A83" s="23">
        <v>5086048</v>
      </c>
      <c r="B83" s="23" t="s">
        <v>5232</v>
      </c>
      <c r="C83" s="40">
        <v>22002.3</v>
      </c>
      <c r="D83" s="24">
        <v>406</v>
      </c>
      <c r="E83" t="e">
        <f>_xlfn.XLOOKUP(A83,'[1]query (5)'!$C:$C,'[1]query (5)'!$A:$A)</f>
        <v>#N/A</v>
      </c>
    </row>
    <row r="84" spans="1:5" x14ac:dyDescent="0.3">
      <c r="A84" s="23">
        <v>5086517</v>
      </c>
      <c r="B84" s="23" t="s">
        <v>2598</v>
      </c>
      <c r="C84" s="40">
        <v>171.57</v>
      </c>
      <c r="D84" s="24">
        <v>2</v>
      </c>
      <c r="E84" t="e">
        <f>_xlfn.XLOOKUP(A84,'[1]query (5)'!$C:$C,'[1]query (5)'!$A:$A)</f>
        <v>#N/A</v>
      </c>
    </row>
    <row r="85" spans="1:5" x14ac:dyDescent="0.3">
      <c r="A85" s="23">
        <v>5086544</v>
      </c>
      <c r="B85" s="23" t="s">
        <v>2094</v>
      </c>
      <c r="C85" s="40">
        <v>69.569999999999993</v>
      </c>
      <c r="D85" s="24">
        <v>1</v>
      </c>
      <c r="E85" t="e">
        <f>_xlfn.XLOOKUP(A85,'[1]query (5)'!$C:$C,'[1]query (5)'!$A:$A)</f>
        <v>#N/A</v>
      </c>
    </row>
    <row r="86" spans="1:5" x14ac:dyDescent="0.3">
      <c r="A86" s="23">
        <v>5086581</v>
      </c>
      <c r="B86" s="23" t="s">
        <v>2095</v>
      </c>
      <c r="C86" s="40">
        <v>77.3</v>
      </c>
      <c r="D86" s="24">
        <v>2</v>
      </c>
      <c r="E86" t="e">
        <f>_xlfn.XLOOKUP(A86,'[1]query (5)'!$C:$C,'[1]query (5)'!$A:$A)</f>
        <v>#N/A</v>
      </c>
    </row>
    <row r="87" spans="1:5" x14ac:dyDescent="0.3">
      <c r="A87" s="23">
        <v>5086582</v>
      </c>
      <c r="B87" s="23" t="s">
        <v>2096</v>
      </c>
      <c r="C87" s="40">
        <v>59.09</v>
      </c>
      <c r="D87" s="24">
        <v>1</v>
      </c>
      <c r="E87" t="e">
        <f>_xlfn.XLOOKUP(A87,'[1]query (5)'!$C:$C,'[1]query (5)'!$A:$A)</f>
        <v>#N/A</v>
      </c>
    </row>
    <row r="88" spans="1:5" x14ac:dyDescent="0.3">
      <c r="A88" s="23">
        <v>5086584</v>
      </c>
      <c r="B88" s="23" t="s">
        <v>2097</v>
      </c>
      <c r="C88" s="40">
        <v>38.65</v>
      </c>
      <c r="D88" s="24">
        <v>1</v>
      </c>
      <c r="E88" t="e">
        <f>_xlfn.XLOOKUP(A88,'[1]query (5)'!$C:$C,'[1]query (5)'!$A:$A)</f>
        <v>#N/A</v>
      </c>
    </row>
    <row r="89" spans="1:5" x14ac:dyDescent="0.3">
      <c r="A89" s="23">
        <v>5086585</v>
      </c>
      <c r="B89" s="23" t="s">
        <v>2098</v>
      </c>
      <c r="C89" s="40">
        <v>768.22</v>
      </c>
      <c r="D89" s="24">
        <v>13</v>
      </c>
      <c r="E89" t="e">
        <f>_xlfn.XLOOKUP(A89,'[1]query (5)'!$C:$C,'[1]query (5)'!$A:$A)</f>
        <v>#N/A</v>
      </c>
    </row>
    <row r="90" spans="1:5" x14ac:dyDescent="0.3">
      <c r="A90" s="23">
        <v>5088450</v>
      </c>
      <c r="B90" s="23" t="s">
        <v>2599</v>
      </c>
      <c r="C90" s="40">
        <v>37.25</v>
      </c>
      <c r="D90" s="24">
        <v>1</v>
      </c>
      <c r="E90" t="e">
        <f>_xlfn.XLOOKUP(A90,'[1]query (5)'!$C:$C,'[1]query (5)'!$A:$A)</f>
        <v>#N/A</v>
      </c>
    </row>
    <row r="91" spans="1:5" x14ac:dyDescent="0.3">
      <c r="A91" s="23">
        <v>5089158</v>
      </c>
      <c r="B91" s="23" t="s">
        <v>1686</v>
      </c>
      <c r="C91" s="40">
        <v>1998.74</v>
      </c>
      <c r="D91" s="24">
        <v>46</v>
      </c>
      <c r="E91" t="e">
        <f>_xlfn.XLOOKUP(A91,'[1]query (5)'!$C:$C,'[1]query (5)'!$A:$A)</f>
        <v>#N/A</v>
      </c>
    </row>
    <row r="92" spans="1:5" x14ac:dyDescent="0.3">
      <c r="A92" s="23">
        <v>5089649</v>
      </c>
      <c r="B92" s="23" t="s">
        <v>2099</v>
      </c>
      <c r="C92" s="40">
        <v>83.23</v>
      </c>
      <c r="D92" s="24">
        <v>10</v>
      </c>
      <c r="E92" t="e">
        <f>_xlfn.XLOOKUP(A92,'[1]query (5)'!$C:$C,'[1]query (5)'!$A:$A)</f>
        <v>#N/A</v>
      </c>
    </row>
    <row r="93" spans="1:5" x14ac:dyDescent="0.3">
      <c r="A93" s="23">
        <v>5089681</v>
      </c>
      <c r="B93" s="23" t="s">
        <v>2100</v>
      </c>
      <c r="C93" s="40">
        <v>3149.35</v>
      </c>
      <c r="D93" s="24">
        <v>228</v>
      </c>
      <c r="E93" t="e">
        <f>_xlfn.XLOOKUP(A93,'[1]query (5)'!$C:$C,'[1]query (5)'!$A:$A)</f>
        <v>#N/A</v>
      </c>
    </row>
    <row r="94" spans="1:5" x14ac:dyDescent="0.3">
      <c r="A94" s="23">
        <v>5090371</v>
      </c>
      <c r="B94" s="23" t="s">
        <v>1608</v>
      </c>
      <c r="C94" s="40">
        <v>5795.5</v>
      </c>
      <c r="D94" s="24">
        <v>39</v>
      </c>
      <c r="E94" t="e">
        <f>_xlfn.XLOOKUP(A94,'[1]query (5)'!$C:$C,'[1]query (5)'!$A:$A)</f>
        <v>#N/A</v>
      </c>
    </row>
    <row r="95" spans="1:5" x14ac:dyDescent="0.3">
      <c r="A95" s="23">
        <v>5090451</v>
      </c>
      <c r="B95" s="23" t="s">
        <v>2101</v>
      </c>
      <c r="C95" s="40">
        <v>477.75</v>
      </c>
      <c r="D95" s="24">
        <v>6</v>
      </c>
      <c r="E95" t="e">
        <f>_xlfn.XLOOKUP(A95,'[1]query (5)'!$C:$C,'[1]query (5)'!$A:$A)</f>
        <v>#N/A</v>
      </c>
    </row>
    <row r="96" spans="1:5" x14ac:dyDescent="0.3">
      <c r="A96" s="23">
        <v>5090874</v>
      </c>
      <c r="B96" s="23" t="s">
        <v>1626</v>
      </c>
      <c r="C96" s="40">
        <v>384.07</v>
      </c>
      <c r="D96" s="24">
        <v>9</v>
      </c>
      <c r="E96" t="e">
        <f>_xlfn.XLOOKUP(A96,'[1]query (5)'!$C:$C,'[1]query (5)'!$A:$A)</f>
        <v>#N/A</v>
      </c>
    </row>
    <row r="97" spans="1:5" x14ac:dyDescent="0.3">
      <c r="A97" s="23">
        <v>5090877</v>
      </c>
      <c r="B97" s="23" t="s">
        <v>1625</v>
      </c>
      <c r="C97" s="40">
        <v>675.43</v>
      </c>
      <c r="D97" s="24">
        <v>9</v>
      </c>
      <c r="E97" t="e">
        <f>_xlfn.XLOOKUP(A97,'[1]query (5)'!$C:$C,'[1]query (5)'!$A:$A)</f>
        <v>#N/A</v>
      </c>
    </row>
    <row r="98" spans="1:5" x14ac:dyDescent="0.3">
      <c r="A98" s="23">
        <v>5090885</v>
      </c>
      <c r="B98" s="23" t="s">
        <v>1609</v>
      </c>
      <c r="C98" s="40">
        <v>1502.73</v>
      </c>
      <c r="D98" s="24">
        <v>18</v>
      </c>
      <c r="E98" t="e">
        <f>_xlfn.XLOOKUP(A98,'[1]query (5)'!$C:$C,'[1]query (5)'!$A:$A)</f>
        <v>#N/A</v>
      </c>
    </row>
    <row r="99" spans="1:5" x14ac:dyDescent="0.3">
      <c r="A99" s="23">
        <v>5090886</v>
      </c>
      <c r="B99" s="23" t="s">
        <v>2102</v>
      </c>
      <c r="C99" s="40">
        <v>515.62</v>
      </c>
      <c r="D99" s="24">
        <v>23</v>
      </c>
      <c r="E99" t="e">
        <f>_xlfn.XLOOKUP(A99,'[1]query (5)'!$C:$C,'[1]query (5)'!$A:$A)</f>
        <v>#N/A</v>
      </c>
    </row>
    <row r="100" spans="1:5" x14ac:dyDescent="0.3">
      <c r="A100" s="23">
        <v>5090891</v>
      </c>
      <c r="B100" s="23" t="s">
        <v>1667</v>
      </c>
      <c r="C100" s="40">
        <v>1157.19</v>
      </c>
      <c r="D100" s="24">
        <v>54</v>
      </c>
      <c r="E100" t="e">
        <f>_xlfn.XLOOKUP(A100,'[1]query (5)'!$C:$C,'[1]query (5)'!$A:$A)</f>
        <v>#N/A</v>
      </c>
    </row>
    <row r="101" spans="1:5" x14ac:dyDescent="0.3">
      <c r="A101" s="23">
        <v>5090892</v>
      </c>
      <c r="B101" s="23" t="s">
        <v>1666</v>
      </c>
      <c r="C101" s="40">
        <v>271.33999999999997</v>
      </c>
      <c r="D101" s="24">
        <v>52</v>
      </c>
      <c r="E101" t="e">
        <f>_xlfn.XLOOKUP(A101,'[1]query (5)'!$C:$C,'[1]query (5)'!$A:$A)</f>
        <v>#N/A</v>
      </c>
    </row>
    <row r="102" spans="1:5" x14ac:dyDescent="0.3">
      <c r="A102" s="23">
        <v>5091012</v>
      </c>
      <c r="B102" s="23" t="s">
        <v>2103</v>
      </c>
      <c r="C102" s="40">
        <v>11639.24</v>
      </c>
      <c r="D102" s="24">
        <v>503</v>
      </c>
      <c r="E102" t="e">
        <f>_xlfn.XLOOKUP(A102,'[1]query (5)'!$C:$C,'[1]query (5)'!$A:$A)</f>
        <v>#N/A</v>
      </c>
    </row>
    <row r="103" spans="1:5" x14ac:dyDescent="0.3">
      <c r="A103" s="23">
        <v>5091026</v>
      </c>
      <c r="B103" s="23" t="s">
        <v>2104</v>
      </c>
      <c r="C103" s="40">
        <v>13189.47</v>
      </c>
      <c r="D103" s="24">
        <v>515</v>
      </c>
      <c r="E103" t="e">
        <f>_xlfn.XLOOKUP(A103,'[1]query (5)'!$C:$C,'[1]query (5)'!$A:$A)</f>
        <v>#N/A</v>
      </c>
    </row>
    <row r="104" spans="1:5" x14ac:dyDescent="0.3">
      <c r="A104" s="23">
        <v>5091096</v>
      </c>
      <c r="B104" s="23" t="s">
        <v>2105</v>
      </c>
      <c r="C104" s="40">
        <v>99.85</v>
      </c>
      <c r="D104" s="24">
        <v>4</v>
      </c>
      <c r="E104" t="e">
        <f>_xlfn.XLOOKUP(A104,'[1]query (5)'!$C:$C,'[1]query (5)'!$A:$A)</f>
        <v>#N/A</v>
      </c>
    </row>
    <row r="105" spans="1:5" x14ac:dyDescent="0.3">
      <c r="A105" s="23">
        <v>5091282</v>
      </c>
      <c r="B105" s="23" t="s">
        <v>2106</v>
      </c>
      <c r="C105" s="40">
        <v>4867.7299999999996</v>
      </c>
      <c r="D105" s="24">
        <v>166</v>
      </c>
      <c r="E105" t="e">
        <f>_xlfn.XLOOKUP(A105,'[1]query (5)'!$C:$C,'[1]query (5)'!$A:$A)</f>
        <v>#N/A</v>
      </c>
    </row>
    <row r="106" spans="1:5" x14ac:dyDescent="0.3">
      <c r="A106" s="23">
        <v>5091365</v>
      </c>
      <c r="B106" s="23" t="s">
        <v>1648</v>
      </c>
      <c r="C106" s="40">
        <v>7621.18</v>
      </c>
      <c r="D106" s="24">
        <v>118</v>
      </c>
      <c r="E106" t="e">
        <f>_xlfn.XLOOKUP(A106,'[1]query (5)'!$C:$C,'[1]query (5)'!$A:$A)</f>
        <v>#N/A</v>
      </c>
    </row>
    <row r="107" spans="1:5" x14ac:dyDescent="0.3">
      <c r="A107" s="23">
        <v>5091366</v>
      </c>
      <c r="B107" s="23" t="s">
        <v>1646</v>
      </c>
      <c r="C107" s="40">
        <v>15182.5</v>
      </c>
      <c r="D107" s="24">
        <v>235</v>
      </c>
      <c r="E107" t="e">
        <f>_xlfn.XLOOKUP(A107,'[1]query (5)'!$C:$C,'[1]query (5)'!$A:$A)</f>
        <v>#N/A</v>
      </c>
    </row>
    <row r="108" spans="1:5" x14ac:dyDescent="0.3">
      <c r="A108" s="23">
        <v>5091367</v>
      </c>
      <c r="B108" s="23" t="s">
        <v>1620</v>
      </c>
      <c r="C108" s="40">
        <v>529.63</v>
      </c>
      <c r="D108" s="24">
        <v>6</v>
      </c>
      <c r="E108" t="e">
        <f>_xlfn.XLOOKUP(A108,'[1]query (5)'!$C:$C,'[1]query (5)'!$A:$A)</f>
        <v>#N/A</v>
      </c>
    </row>
    <row r="109" spans="1:5" x14ac:dyDescent="0.3">
      <c r="A109" s="23">
        <v>5091368</v>
      </c>
      <c r="B109" s="23" t="s">
        <v>1622</v>
      </c>
      <c r="C109" s="40">
        <v>614.88</v>
      </c>
      <c r="D109" s="24">
        <v>7</v>
      </c>
      <c r="E109" t="e">
        <f>_xlfn.XLOOKUP(A109,'[1]query (5)'!$C:$C,'[1]query (5)'!$A:$A)</f>
        <v>#N/A</v>
      </c>
    </row>
    <row r="110" spans="1:5" x14ac:dyDescent="0.3">
      <c r="A110" s="23">
        <v>5091535</v>
      </c>
      <c r="B110" s="23" t="s">
        <v>2107</v>
      </c>
      <c r="C110" s="40">
        <v>10908.45</v>
      </c>
      <c r="D110" s="24">
        <v>267</v>
      </c>
      <c r="E110" t="e">
        <f>_xlfn.XLOOKUP(A110,'[1]query (5)'!$C:$C,'[1]query (5)'!$A:$A)</f>
        <v>#N/A</v>
      </c>
    </row>
    <row r="111" spans="1:5" x14ac:dyDescent="0.3">
      <c r="A111" s="23">
        <v>5091630</v>
      </c>
      <c r="B111" s="23" t="s">
        <v>2108</v>
      </c>
      <c r="C111" s="40">
        <v>708.33</v>
      </c>
      <c r="D111" s="24">
        <v>13</v>
      </c>
      <c r="E111" t="e">
        <f>_xlfn.XLOOKUP(A111,'[1]query (5)'!$C:$C,'[1]query (5)'!$A:$A)</f>
        <v>#N/A</v>
      </c>
    </row>
    <row r="112" spans="1:5" x14ac:dyDescent="0.3">
      <c r="A112" s="23">
        <v>5091632</v>
      </c>
      <c r="B112" s="23" t="s">
        <v>1656</v>
      </c>
      <c r="C112" s="40">
        <v>201.32</v>
      </c>
      <c r="D112" s="24">
        <v>7</v>
      </c>
      <c r="E112" t="e">
        <f>_xlfn.XLOOKUP(A112,'[1]query (5)'!$C:$C,'[1]query (5)'!$A:$A)</f>
        <v>#N/A</v>
      </c>
    </row>
    <row r="113" spans="1:5" x14ac:dyDescent="0.3">
      <c r="A113" s="23">
        <v>5091634</v>
      </c>
      <c r="B113" s="23" t="s">
        <v>1677</v>
      </c>
      <c r="C113" s="40">
        <v>101.44</v>
      </c>
      <c r="D113" s="24">
        <v>4</v>
      </c>
      <c r="E113" t="e">
        <f>_xlfn.XLOOKUP(A113,'[1]query (5)'!$C:$C,'[1]query (5)'!$A:$A)</f>
        <v>#N/A</v>
      </c>
    </row>
    <row r="114" spans="1:5" x14ac:dyDescent="0.3">
      <c r="A114" s="23">
        <v>5091636</v>
      </c>
      <c r="B114" s="23" t="s">
        <v>1676</v>
      </c>
      <c r="C114" s="40">
        <v>103.18</v>
      </c>
      <c r="D114" s="24">
        <v>2</v>
      </c>
      <c r="E114" t="e">
        <f>_xlfn.XLOOKUP(A114,'[1]query (5)'!$C:$C,'[1]query (5)'!$A:$A)</f>
        <v>#N/A</v>
      </c>
    </row>
    <row r="115" spans="1:5" x14ac:dyDescent="0.3">
      <c r="A115" s="23">
        <v>5091639</v>
      </c>
      <c r="B115" s="23" t="s">
        <v>1674</v>
      </c>
      <c r="C115" s="40">
        <v>334.5</v>
      </c>
      <c r="D115" s="24">
        <v>12</v>
      </c>
      <c r="E115" t="e">
        <f>_xlfn.XLOOKUP(A115,'[1]query (5)'!$C:$C,'[1]query (5)'!$A:$A)</f>
        <v>#N/A</v>
      </c>
    </row>
    <row r="116" spans="1:5" x14ac:dyDescent="0.3">
      <c r="A116" s="23">
        <v>5091640</v>
      </c>
      <c r="B116" s="23" t="s">
        <v>1673</v>
      </c>
      <c r="C116" s="40">
        <v>295.08</v>
      </c>
      <c r="D116" s="24">
        <v>6</v>
      </c>
      <c r="E116" t="e">
        <f>_xlfn.XLOOKUP(A116,'[1]query (5)'!$C:$C,'[1]query (5)'!$A:$A)</f>
        <v>#N/A</v>
      </c>
    </row>
    <row r="117" spans="1:5" x14ac:dyDescent="0.3">
      <c r="A117" s="23">
        <v>5091646</v>
      </c>
      <c r="B117" s="23" t="s">
        <v>2109</v>
      </c>
      <c r="C117" s="40">
        <v>197.47</v>
      </c>
      <c r="D117" s="24">
        <v>16</v>
      </c>
      <c r="E117" t="e">
        <f>_xlfn.XLOOKUP(A117,'[1]query (5)'!$C:$C,'[1]query (5)'!$A:$A)</f>
        <v>#N/A</v>
      </c>
    </row>
    <row r="118" spans="1:5" x14ac:dyDescent="0.3">
      <c r="A118" s="23">
        <v>5091647</v>
      </c>
      <c r="B118" s="23" t="s">
        <v>2110</v>
      </c>
      <c r="C118" s="40">
        <v>2996.51</v>
      </c>
      <c r="D118" s="24">
        <v>158</v>
      </c>
      <c r="E118" t="e">
        <f>_xlfn.XLOOKUP(A118,'[1]query (5)'!$C:$C,'[1]query (5)'!$A:$A)</f>
        <v>#N/A</v>
      </c>
    </row>
    <row r="119" spans="1:5" x14ac:dyDescent="0.3">
      <c r="A119" s="23">
        <v>5091649</v>
      </c>
      <c r="B119" s="23" t="s">
        <v>1672</v>
      </c>
      <c r="C119" s="40">
        <v>46714.51</v>
      </c>
      <c r="D119" s="24">
        <v>1410</v>
      </c>
      <c r="E119" t="e">
        <f>_xlfn.XLOOKUP(A119,'[1]query (5)'!$C:$C,'[1]query (5)'!$A:$A)</f>
        <v>#N/A</v>
      </c>
    </row>
    <row r="120" spans="1:5" x14ac:dyDescent="0.3">
      <c r="A120" s="23">
        <v>5091650</v>
      </c>
      <c r="B120" s="23" t="s">
        <v>2111</v>
      </c>
      <c r="C120" s="40">
        <v>32.76</v>
      </c>
      <c r="D120" s="24">
        <v>2</v>
      </c>
      <c r="E120" t="e">
        <f>_xlfn.XLOOKUP(A120,'[1]query (5)'!$C:$C,'[1]query (5)'!$A:$A)</f>
        <v>#N/A</v>
      </c>
    </row>
    <row r="121" spans="1:5" x14ac:dyDescent="0.3">
      <c r="A121" s="23">
        <v>5091651</v>
      </c>
      <c r="B121" s="23" t="s">
        <v>2112</v>
      </c>
      <c r="C121" s="40">
        <v>809.31</v>
      </c>
      <c r="D121" s="24">
        <v>30</v>
      </c>
      <c r="E121" t="e">
        <f>_xlfn.XLOOKUP(A121,'[1]query (5)'!$C:$C,'[1]query (5)'!$A:$A)</f>
        <v>#N/A</v>
      </c>
    </row>
    <row r="122" spans="1:5" x14ac:dyDescent="0.3">
      <c r="A122" s="23">
        <v>5091653</v>
      </c>
      <c r="B122" s="23" t="s">
        <v>1669</v>
      </c>
      <c r="C122" s="40">
        <v>1630.65</v>
      </c>
      <c r="D122" s="24">
        <v>83</v>
      </c>
      <c r="E122" t="e">
        <f>_xlfn.XLOOKUP(A122,'[1]query (5)'!$C:$C,'[1]query (5)'!$A:$A)</f>
        <v>#N/A</v>
      </c>
    </row>
    <row r="123" spans="1:5" x14ac:dyDescent="0.3">
      <c r="A123" s="23">
        <v>5091654</v>
      </c>
      <c r="B123" s="23" t="s">
        <v>1668</v>
      </c>
      <c r="C123" s="40">
        <v>12234.05</v>
      </c>
      <c r="D123" s="24">
        <v>338</v>
      </c>
      <c r="E123" t="e">
        <f>_xlfn.XLOOKUP(A123,'[1]query (5)'!$C:$C,'[1]query (5)'!$A:$A)</f>
        <v>#N/A</v>
      </c>
    </row>
    <row r="124" spans="1:5" x14ac:dyDescent="0.3">
      <c r="A124" s="23">
        <v>5091661</v>
      </c>
      <c r="B124" s="23" t="s">
        <v>2113</v>
      </c>
      <c r="C124" s="40">
        <v>723.04</v>
      </c>
      <c r="D124" s="24">
        <v>44</v>
      </c>
      <c r="E124" t="e">
        <f>_xlfn.XLOOKUP(A124,'[1]query (5)'!$C:$C,'[1]query (5)'!$A:$A)</f>
        <v>#N/A</v>
      </c>
    </row>
    <row r="125" spans="1:5" x14ac:dyDescent="0.3">
      <c r="A125" s="23">
        <v>5091663</v>
      </c>
      <c r="B125" s="23" t="s">
        <v>2114</v>
      </c>
      <c r="C125" s="40">
        <v>68395.37</v>
      </c>
      <c r="D125" s="24">
        <v>2692</v>
      </c>
      <c r="E125" t="str">
        <f>_xlfn.XLOOKUP(A125,'[1]query (5)'!$C:$C,'[1]query (5)'!$A:$A)</f>
        <v>5293175</v>
      </c>
    </row>
    <row r="126" spans="1:5" x14ac:dyDescent="0.3">
      <c r="A126" s="23">
        <v>5091668</v>
      </c>
      <c r="B126" s="23" t="s">
        <v>2115</v>
      </c>
      <c r="C126" s="40">
        <v>30.37</v>
      </c>
      <c r="D126" s="24">
        <v>1</v>
      </c>
      <c r="E126" t="e">
        <f>_xlfn.XLOOKUP(A126,'[1]query (5)'!$C:$C,'[1]query (5)'!$A:$A)</f>
        <v>#N/A</v>
      </c>
    </row>
    <row r="127" spans="1:5" x14ac:dyDescent="0.3">
      <c r="A127" s="23">
        <v>5091671</v>
      </c>
      <c r="B127" s="23" t="s">
        <v>2600</v>
      </c>
      <c r="C127" s="40">
        <v>47611.45</v>
      </c>
      <c r="D127" s="24">
        <v>2040</v>
      </c>
      <c r="E127" t="e">
        <f>_xlfn.XLOOKUP(A127,'[1]query (5)'!$C:$C,'[1]query (5)'!$A:$A)</f>
        <v>#N/A</v>
      </c>
    </row>
    <row r="128" spans="1:5" x14ac:dyDescent="0.3">
      <c r="A128" s="23">
        <v>5091677</v>
      </c>
      <c r="B128" s="23" t="s">
        <v>2117</v>
      </c>
      <c r="C128" s="40">
        <v>37.369999999999997</v>
      </c>
      <c r="D128" s="24">
        <v>1</v>
      </c>
      <c r="E128" t="e">
        <f>_xlfn.XLOOKUP(A128,'[1]query (5)'!$C:$C,'[1]query (5)'!$A:$A)</f>
        <v>#N/A</v>
      </c>
    </row>
    <row r="129" spans="1:5" x14ac:dyDescent="0.3">
      <c r="A129" s="23">
        <v>5091679</v>
      </c>
      <c r="B129" s="23" t="s">
        <v>1682</v>
      </c>
      <c r="C129" s="40">
        <v>155.94</v>
      </c>
      <c r="D129" s="24">
        <v>6</v>
      </c>
      <c r="E129" t="e">
        <f>_xlfn.XLOOKUP(A129,'[1]query (5)'!$C:$C,'[1]query (5)'!$A:$A)</f>
        <v>#N/A</v>
      </c>
    </row>
    <row r="130" spans="1:5" x14ac:dyDescent="0.3">
      <c r="A130" s="23">
        <v>5091685</v>
      </c>
      <c r="B130" s="23" t="s">
        <v>5233</v>
      </c>
      <c r="C130" s="40">
        <v>25.99</v>
      </c>
      <c r="D130" s="24">
        <v>1</v>
      </c>
      <c r="E130" t="e">
        <f>_xlfn.XLOOKUP(A130,'[1]query (5)'!$C:$C,'[1]query (5)'!$A:$A)</f>
        <v>#N/A</v>
      </c>
    </row>
    <row r="131" spans="1:5" x14ac:dyDescent="0.3">
      <c r="A131" s="23">
        <v>5091687</v>
      </c>
      <c r="B131" s="23" t="s">
        <v>2120</v>
      </c>
      <c r="C131" s="40">
        <v>200.33</v>
      </c>
      <c r="D131" s="24">
        <v>8</v>
      </c>
      <c r="E131" t="e">
        <f>_xlfn.XLOOKUP(A131,'[1]query (5)'!$C:$C,'[1]query (5)'!$A:$A)</f>
        <v>#N/A</v>
      </c>
    </row>
    <row r="132" spans="1:5" x14ac:dyDescent="0.3">
      <c r="A132" s="23">
        <v>5092085</v>
      </c>
      <c r="B132" s="23" t="s">
        <v>2601</v>
      </c>
      <c r="C132" s="40">
        <v>27.03</v>
      </c>
      <c r="D132" s="24">
        <v>1</v>
      </c>
      <c r="E132" t="e">
        <f>_xlfn.XLOOKUP(A132,'[1]query (5)'!$C:$C,'[1]query (5)'!$A:$A)</f>
        <v>#N/A</v>
      </c>
    </row>
    <row r="133" spans="1:5" x14ac:dyDescent="0.3">
      <c r="A133" s="23">
        <v>5092094</v>
      </c>
      <c r="B133" s="23" t="s">
        <v>1634</v>
      </c>
      <c r="C133" s="40">
        <v>77.459999999999994</v>
      </c>
      <c r="D133" s="24">
        <v>3</v>
      </c>
      <c r="E133" t="e">
        <f>_xlfn.XLOOKUP(A133,'[1]query (5)'!$C:$C,'[1]query (5)'!$A:$A)</f>
        <v>#N/A</v>
      </c>
    </row>
    <row r="134" spans="1:5" x14ac:dyDescent="0.3">
      <c r="A134" s="23">
        <v>5092175</v>
      </c>
      <c r="B134" s="23" t="s">
        <v>2121</v>
      </c>
      <c r="C134" s="40">
        <v>30.59</v>
      </c>
      <c r="D134" s="24">
        <v>2</v>
      </c>
      <c r="E134" t="e">
        <f>_xlfn.XLOOKUP(A134,'[1]query (5)'!$C:$C,'[1]query (5)'!$A:$A)</f>
        <v>#N/A</v>
      </c>
    </row>
    <row r="135" spans="1:5" x14ac:dyDescent="0.3">
      <c r="A135" s="23">
        <v>5092218</v>
      </c>
      <c r="B135" s="23" t="s">
        <v>1650</v>
      </c>
      <c r="C135" s="40">
        <v>77.739999999999995</v>
      </c>
      <c r="D135" s="24">
        <v>5</v>
      </c>
      <c r="E135" t="e">
        <f>_xlfn.XLOOKUP(A135,'[1]query (5)'!$C:$C,'[1]query (5)'!$A:$A)</f>
        <v>#N/A</v>
      </c>
    </row>
    <row r="136" spans="1:5" x14ac:dyDescent="0.3">
      <c r="A136" s="23">
        <v>5092219</v>
      </c>
      <c r="B136" s="23" t="s">
        <v>1651</v>
      </c>
      <c r="C136" s="40">
        <v>1726.02</v>
      </c>
      <c r="D136" s="24">
        <v>57</v>
      </c>
      <c r="E136" t="e">
        <f>_xlfn.XLOOKUP(A136,'[1]query (5)'!$C:$C,'[1]query (5)'!$A:$A)</f>
        <v>#N/A</v>
      </c>
    </row>
    <row r="137" spans="1:5" x14ac:dyDescent="0.3">
      <c r="A137" s="23">
        <v>5092220</v>
      </c>
      <c r="B137" s="23" t="s">
        <v>1652</v>
      </c>
      <c r="C137" s="40">
        <v>246.7</v>
      </c>
      <c r="D137" s="24">
        <v>16</v>
      </c>
      <c r="E137" t="e">
        <f>_xlfn.XLOOKUP(A137,'[1]query (5)'!$C:$C,'[1]query (5)'!$A:$A)</f>
        <v>#N/A</v>
      </c>
    </row>
    <row r="138" spans="1:5" x14ac:dyDescent="0.3">
      <c r="A138" s="23">
        <v>5092221</v>
      </c>
      <c r="B138" s="23" t="s">
        <v>1653</v>
      </c>
      <c r="C138" s="40">
        <v>2197.2399999999998</v>
      </c>
      <c r="D138" s="24">
        <v>73</v>
      </c>
      <c r="E138" t="e">
        <f>_xlfn.XLOOKUP(A138,'[1]query (5)'!$C:$C,'[1]query (5)'!$A:$A)</f>
        <v>#N/A</v>
      </c>
    </row>
    <row r="139" spans="1:5" x14ac:dyDescent="0.3">
      <c r="A139" s="23">
        <v>5092359</v>
      </c>
      <c r="B139" s="23" t="s">
        <v>1617</v>
      </c>
      <c r="C139" s="40">
        <v>17637.53</v>
      </c>
      <c r="D139" s="24">
        <v>729</v>
      </c>
      <c r="E139" t="e">
        <f>_xlfn.XLOOKUP(A139,'[1]query (5)'!$C:$C,'[1]query (5)'!$A:$A)</f>
        <v>#N/A</v>
      </c>
    </row>
    <row r="140" spans="1:5" x14ac:dyDescent="0.3">
      <c r="A140" s="23">
        <v>5092434</v>
      </c>
      <c r="B140" s="23" t="s">
        <v>2122</v>
      </c>
      <c r="C140" s="40">
        <v>762.59</v>
      </c>
      <c r="D140" s="24">
        <v>46</v>
      </c>
      <c r="E140" t="e">
        <f>_xlfn.XLOOKUP(A140,'[1]query (5)'!$C:$C,'[1]query (5)'!$A:$A)</f>
        <v>#N/A</v>
      </c>
    </row>
    <row r="141" spans="1:5" x14ac:dyDescent="0.3">
      <c r="A141" s="23">
        <v>5092436</v>
      </c>
      <c r="B141" s="23" t="s">
        <v>2123</v>
      </c>
      <c r="C141" s="40">
        <v>197.32</v>
      </c>
      <c r="D141" s="24">
        <v>12</v>
      </c>
      <c r="E141" t="e">
        <f>_xlfn.XLOOKUP(A141,'[1]query (5)'!$C:$C,'[1]query (5)'!$A:$A)</f>
        <v>#N/A</v>
      </c>
    </row>
    <row r="142" spans="1:5" x14ac:dyDescent="0.3">
      <c r="A142" s="23">
        <v>5092438</v>
      </c>
      <c r="B142" s="23" t="s">
        <v>2124</v>
      </c>
      <c r="C142" s="40">
        <v>644.51</v>
      </c>
      <c r="D142" s="24">
        <v>38</v>
      </c>
      <c r="E142" t="e">
        <f>_xlfn.XLOOKUP(A142,'[1]query (5)'!$C:$C,'[1]query (5)'!$A:$A)</f>
        <v>#N/A</v>
      </c>
    </row>
    <row r="143" spans="1:5" x14ac:dyDescent="0.3">
      <c r="A143" s="23">
        <v>5092442</v>
      </c>
      <c r="B143" s="23" t="s">
        <v>2125</v>
      </c>
      <c r="C143" s="40">
        <v>31.85</v>
      </c>
      <c r="D143" s="24">
        <v>2</v>
      </c>
      <c r="E143" t="e">
        <f>_xlfn.XLOOKUP(A143,'[1]query (5)'!$C:$C,'[1]query (5)'!$A:$A)</f>
        <v>#N/A</v>
      </c>
    </row>
    <row r="144" spans="1:5" x14ac:dyDescent="0.3">
      <c r="A144" s="23">
        <v>5092479</v>
      </c>
      <c r="B144" s="23" t="s">
        <v>1449</v>
      </c>
      <c r="C144" s="40">
        <v>23.58</v>
      </c>
      <c r="D144" s="24">
        <v>4</v>
      </c>
      <c r="E144" t="e">
        <f>_xlfn.XLOOKUP(A144,'[1]query (5)'!$C:$C,'[1]query (5)'!$A:$A)</f>
        <v>#N/A</v>
      </c>
    </row>
    <row r="145" spans="1:5" x14ac:dyDescent="0.3">
      <c r="A145" s="23">
        <v>5092480</v>
      </c>
      <c r="B145" s="23" t="s">
        <v>1450</v>
      </c>
      <c r="C145" s="40">
        <v>64.86</v>
      </c>
      <c r="D145" s="24">
        <v>11</v>
      </c>
      <c r="E145" t="e">
        <f>_xlfn.XLOOKUP(A145,'[1]query (5)'!$C:$C,'[1]query (5)'!$A:$A)</f>
        <v>#N/A</v>
      </c>
    </row>
    <row r="146" spans="1:5" x14ac:dyDescent="0.3">
      <c r="A146" s="23">
        <v>5092481</v>
      </c>
      <c r="B146" s="23" t="s">
        <v>1451</v>
      </c>
      <c r="C146" s="40">
        <v>97.99</v>
      </c>
      <c r="D146" s="24">
        <v>13</v>
      </c>
      <c r="E146" t="e">
        <f>_xlfn.XLOOKUP(A146,'[1]query (5)'!$C:$C,'[1]query (5)'!$A:$A)</f>
        <v>#N/A</v>
      </c>
    </row>
    <row r="147" spans="1:5" x14ac:dyDescent="0.3">
      <c r="A147" s="23">
        <v>5092488</v>
      </c>
      <c r="B147" s="23" t="s">
        <v>2602</v>
      </c>
      <c r="C147" s="40">
        <v>27.72</v>
      </c>
      <c r="D147" s="24">
        <v>10</v>
      </c>
      <c r="E147" t="e">
        <f>_xlfn.XLOOKUP(A147,'[1]query (5)'!$C:$C,'[1]query (5)'!$A:$A)</f>
        <v>#N/A</v>
      </c>
    </row>
    <row r="148" spans="1:5" x14ac:dyDescent="0.3">
      <c r="A148" s="23">
        <v>5092525</v>
      </c>
      <c r="B148" s="23" t="s">
        <v>1464</v>
      </c>
      <c r="C148" s="40">
        <v>203.45</v>
      </c>
      <c r="D148" s="24">
        <v>23</v>
      </c>
      <c r="E148" t="e">
        <f>_xlfn.XLOOKUP(A148,'[1]query (5)'!$C:$C,'[1]query (5)'!$A:$A)</f>
        <v>#N/A</v>
      </c>
    </row>
    <row r="149" spans="1:5" x14ac:dyDescent="0.3">
      <c r="A149" s="23">
        <v>5092526</v>
      </c>
      <c r="B149" s="23" t="s">
        <v>1465</v>
      </c>
      <c r="C149" s="40">
        <v>555.11</v>
      </c>
      <c r="D149" s="24">
        <v>43</v>
      </c>
      <c r="E149" t="e">
        <f>_xlfn.XLOOKUP(A149,'[1]query (5)'!$C:$C,'[1]query (5)'!$A:$A)</f>
        <v>#N/A</v>
      </c>
    </row>
    <row r="150" spans="1:5" x14ac:dyDescent="0.3">
      <c r="A150" s="23">
        <v>5092527</v>
      </c>
      <c r="B150" s="23" t="s">
        <v>1466</v>
      </c>
      <c r="C150" s="40">
        <v>86.33</v>
      </c>
      <c r="D150" s="24">
        <v>13</v>
      </c>
      <c r="E150" t="e">
        <f>_xlfn.XLOOKUP(A150,'[1]query (5)'!$C:$C,'[1]query (5)'!$A:$A)</f>
        <v>#N/A</v>
      </c>
    </row>
    <row r="151" spans="1:5" x14ac:dyDescent="0.3">
      <c r="A151" s="23">
        <v>5092528</v>
      </c>
      <c r="B151" s="23" t="s">
        <v>1467</v>
      </c>
      <c r="C151" s="40">
        <v>1180.68</v>
      </c>
      <c r="D151" s="24">
        <v>129</v>
      </c>
      <c r="E151" t="e">
        <f>_xlfn.XLOOKUP(A151,'[1]query (5)'!$C:$C,'[1]query (5)'!$A:$A)</f>
        <v>#N/A</v>
      </c>
    </row>
    <row r="152" spans="1:5" x14ac:dyDescent="0.3">
      <c r="A152" s="23">
        <v>5092529</v>
      </c>
      <c r="B152" s="23" t="s">
        <v>1468</v>
      </c>
      <c r="C152" s="40">
        <v>1366.39</v>
      </c>
      <c r="D152" s="24">
        <v>101</v>
      </c>
      <c r="E152" t="e">
        <f>_xlfn.XLOOKUP(A152,'[1]query (5)'!$C:$C,'[1]query (5)'!$A:$A)</f>
        <v>#N/A</v>
      </c>
    </row>
    <row r="153" spans="1:5" x14ac:dyDescent="0.3">
      <c r="A153" s="23">
        <v>5092537</v>
      </c>
      <c r="B153" s="23" t="s">
        <v>1452</v>
      </c>
      <c r="C153" s="40">
        <v>97.66</v>
      </c>
      <c r="D153" s="24">
        <v>14</v>
      </c>
      <c r="E153" t="e">
        <f>_xlfn.XLOOKUP(A153,'[1]query (5)'!$C:$C,'[1]query (5)'!$A:$A)</f>
        <v>#N/A</v>
      </c>
    </row>
    <row r="154" spans="1:5" x14ac:dyDescent="0.3">
      <c r="A154" s="23">
        <v>5092620</v>
      </c>
      <c r="B154" s="23" t="s">
        <v>2603</v>
      </c>
      <c r="C154" s="40">
        <v>404.99</v>
      </c>
      <c r="D154" s="24">
        <v>22</v>
      </c>
      <c r="E154" t="e">
        <f>_xlfn.XLOOKUP(A154,'[1]query (5)'!$C:$C,'[1]query (5)'!$A:$A)</f>
        <v>#N/A</v>
      </c>
    </row>
    <row r="155" spans="1:5" x14ac:dyDescent="0.3">
      <c r="A155" s="23">
        <v>5092709</v>
      </c>
      <c r="B155" s="23" t="s">
        <v>2126</v>
      </c>
      <c r="C155" s="40">
        <v>573.6</v>
      </c>
      <c r="D155" s="24">
        <v>16</v>
      </c>
      <c r="E155" t="e">
        <f>_xlfn.XLOOKUP(A155,'[1]query (5)'!$C:$C,'[1]query (5)'!$A:$A)</f>
        <v>#N/A</v>
      </c>
    </row>
    <row r="156" spans="1:5" x14ac:dyDescent="0.3">
      <c r="A156" s="23">
        <v>5092710</v>
      </c>
      <c r="B156" s="23" t="s">
        <v>2127</v>
      </c>
      <c r="C156" s="40">
        <v>3418.56</v>
      </c>
      <c r="D156" s="24">
        <v>102</v>
      </c>
      <c r="E156" t="e">
        <f>_xlfn.XLOOKUP(A156,'[1]query (5)'!$C:$C,'[1]query (5)'!$A:$A)</f>
        <v>#N/A</v>
      </c>
    </row>
    <row r="157" spans="1:5" x14ac:dyDescent="0.3">
      <c r="A157" s="23">
        <v>5092711</v>
      </c>
      <c r="B157" s="23" t="s">
        <v>2128</v>
      </c>
      <c r="C157" s="40">
        <v>466.05</v>
      </c>
      <c r="D157" s="24">
        <v>13</v>
      </c>
      <c r="E157" t="e">
        <f>_xlfn.XLOOKUP(A157,'[1]query (5)'!$C:$C,'[1]query (5)'!$A:$A)</f>
        <v>#N/A</v>
      </c>
    </row>
    <row r="158" spans="1:5" x14ac:dyDescent="0.3">
      <c r="A158" s="23">
        <v>5092712</v>
      </c>
      <c r="B158" s="23" t="s">
        <v>2604</v>
      </c>
      <c r="C158" s="40">
        <v>78.87</v>
      </c>
      <c r="D158" s="24">
        <v>2</v>
      </c>
      <c r="E158" t="e">
        <f>_xlfn.XLOOKUP(A158,'[1]query (5)'!$C:$C,'[1]query (5)'!$A:$A)</f>
        <v>#N/A</v>
      </c>
    </row>
    <row r="159" spans="1:5" x14ac:dyDescent="0.3">
      <c r="A159" s="23">
        <v>5092713</v>
      </c>
      <c r="B159" s="23" t="s">
        <v>2129</v>
      </c>
      <c r="C159" s="40">
        <v>14555.42</v>
      </c>
      <c r="D159" s="24">
        <v>424</v>
      </c>
      <c r="E159" t="e">
        <f>_xlfn.XLOOKUP(A159,'[1]query (5)'!$C:$C,'[1]query (5)'!$A:$A)</f>
        <v>#N/A</v>
      </c>
    </row>
    <row r="160" spans="1:5" x14ac:dyDescent="0.3">
      <c r="A160" s="23">
        <v>5092714</v>
      </c>
      <c r="B160" s="23" t="s">
        <v>2130</v>
      </c>
      <c r="C160" s="40">
        <v>1549.5</v>
      </c>
      <c r="D160" s="24">
        <v>45</v>
      </c>
      <c r="E160" t="e">
        <f>_xlfn.XLOOKUP(A160,'[1]query (5)'!$C:$C,'[1]query (5)'!$A:$A)</f>
        <v>#N/A</v>
      </c>
    </row>
    <row r="161" spans="1:5" x14ac:dyDescent="0.3">
      <c r="A161" s="23">
        <v>5092808</v>
      </c>
      <c r="B161" s="23" t="s">
        <v>2131</v>
      </c>
      <c r="C161" s="40">
        <v>52.74</v>
      </c>
      <c r="D161" s="24">
        <v>3</v>
      </c>
      <c r="E161" t="e">
        <f>_xlfn.XLOOKUP(A161,'[1]query (5)'!$C:$C,'[1]query (5)'!$A:$A)</f>
        <v>#N/A</v>
      </c>
    </row>
    <row r="162" spans="1:5" x14ac:dyDescent="0.3">
      <c r="A162" s="23">
        <v>5092830</v>
      </c>
      <c r="B162" s="23" t="s">
        <v>2132</v>
      </c>
      <c r="C162" s="40">
        <v>474.6</v>
      </c>
      <c r="D162" s="24">
        <v>27</v>
      </c>
      <c r="E162" t="e">
        <f>_xlfn.XLOOKUP(A162,'[1]query (5)'!$C:$C,'[1]query (5)'!$A:$A)</f>
        <v>#N/A</v>
      </c>
    </row>
    <row r="163" spans="1:5" x14ac:dyDescent="0.3">
      <c r="A163" s="23">
        <v>5092846</v>
      </c>
      <c r="B163" s="23" t="s">
        <v>2133</v>
      </c>
      <c r="C163" s="40">
        <v>357.25</v>
      </c>
      <c r="D163" s="24">
        <v>33</v>
      </c>
      <c r="E163" t="e">
        <f>_xlfn.XLOOKUP(A163,'[1]query (5)'!$C:$C,'[1]query (5)'!$A:$A)</f>
        <v>#N/A</v>
      </c>
    </row>
    <row r="164" spans="1:5" x14ac:dyDescent="0.3">
      <c r="A164" s="23">
        <v>5092965</v>
      </c>
      <c r="B164" s="23" t="s">
        <v>2134</v>
      </c>
      <c r="C164" s="40">
        <v>9.6300000000000008</v>
      </c>
      <c r="D164" s="24">
        <v>1</v>
      </c>
      <c r="E164" t="e">
        <f>_xlfn.XLOOKUP(A164,'[1]query (5)'!$C:$C,'[1]query (5)'!$A:$A)</f>
        <v>#N/A</v>
      </c>
    </row>
    <row r="165" spans="1:5" x14ac:dyDescent="0.3">
      <c r="A165" s="23">
        <v>5092966</v>
      </c>
      <c r="B165" s="23" t="s">
        <v>2135</v>
      </c>
      <c r="C165" s="40">
        <v>52.74</v>
      </c>
      <c r="D165" s="24">
        <v>3</v>
      </c>
      <c r="E165" t="e">
        <f>_xlfn.XLOOKUP(A165,'[1]query (5)'!$C:$C,'[1]query (5)'!$A:$A)</f>
        <v>#N/A</v>
      </c>
    </row>
    <row r="166" spans="1:5" x14ac:dyDescent="0.3">
      <c r="A166" s="23">
        <v>5093017</v>
      </c>
      <c r="B166" s="23" t="s">
        <v>2136</v>
      </c>
      <c r="C166" s="40">
        <v>47.15</v>
      </c>
      <c r="D166" s="24">
        <v>8</v>
      </c>
      <c r="E166" t="e">
        <f>_xlfn.XLOOKUP(A166,'[1]query (5)'!$C:$C,'[1]query (5)'!$A:$A)</f>
        <v>#N/A</v>
      </c>
    </row>
    <row r="167" spans="1:5" x14ac:dyDescent="0.3">
      <c r="A167" s="23">
        <v>5093019</v>
      </c>
      <c r="B167" s="23" t="s">
        <v>2137</v>
      </c>
      <c r="C167" s="40">
        <v>3475.57</v>
      </c>
      <c r="D167" s="24">
        <v>319</v>
      </c>
      <c r="E167" t="e">
        <f>_xlfn.XLOOKUP(A167,'[1]query (5)'!$C:$C,'[1]query (5)'!$A:$A)</f>
        <v>#N/A</v>
      </c>
    </row>
    <row r="168" spans="1:5" x14ac:dyDescent="0.3">
      <c r="A168" s="23">
        <v>5093025</v>
      </c>
      <c r="B168" s="23" t="s">
        <v>2138</v>
      </c>
      <c r="C168" s="40">
        <v>228.04</v>
      </c>
      <c r="D168" s="24">
        <v>25</v>
      </c>
      <c r="E168" t="e">
        <f>_xlfn.XLOOKUP(A168,'[1]query (5)'!$C:$C,'[1]query (5)'!$A:$A)</f>
        <v>#N/A</v>
      </c>
    </row>
    <row r="169" spans="1:5" x14ac:dyDescent="0.3">
      <c r="A169" s="23">
        <v>5093034</v>
      </c>
      <c r="B169" s="23" t="s">
        <v>5234</v>
      </c>
      <c r="C169" s="40">
        <v>23.14</v>
      </c>
      <c r="D169" s="24">
        <v>1</v>
      </c>
      <c r="E169" t="e">
        <f>_xlfn.XLOOKUP(A169,'[1]query (5)'!$C:$C,'[1]query (5)'!$A:$A)</f>
        <v>#N/A</v>
      </c>
    </row>
    <row r="170" spans="1:5" x14ac:dyDescent="0.3">
      <c r="A170" s="23">
        <v>5093068</v>
      </c>
      <c r="B170" s="23" t="s">
        <v>2139</v>
      </c>
      <c r="C170" s="40">
        <v>11.65</v>
      </c>
      <c r="D170" s="24">
        <v>2</v>
      </c>
      <c r="E170" t="e">
        <f>_xlfn.XLOOKUP(A170,'[1]query (5)'!$C:$C,'[1]query (5)'!$A:$A)</f>
        <v>#N/A</v>
      </c>
    </row>
    <row r="171" spans="1:5" x14ac:dyDescent="0.3">
      <c r="A171" s="23">
        <v>5093069</v>
      </c>
      <c r="B171" s="23" t="s">
        <v>2140</v>
      </c>
      <c r="C171" s="40">
        <v>7.8</v>
      </c>
      <c r="D171" s="24">
        <v>3</v>
      </c>
      <c r="E171" t="e">
        <f>_xlfn.XLOOKUP(A171,'[1]query (5)'!$C:$C,'[1]query (5)'!$A:$A)</f>
        <v>#N/A</v>
      </c>
    </row>
    <row r="172" spans="1:5" x14ac:dyDescent="0.3">
      <c r="A172" s="23">
        <v>5094271</v>
      </c>
      <c r="B172" s="23" t="s">
        <v>2141</v>
      </c>
      <c r="C172" s="40">
        <v>215.38</v>
      </c>
      <c r="D172" s="24">
        <v>4</v>
      </c>
      <c r="E172" t="e">
        <f>_xlfn.XLOOKUP(A172,'[1]query (5)'!$C:$C,'[1]query (5)'!$A:$A)</f>
        <v>#N/A</v>
      </c>
    </row>
    <row r="173" spans="1:5" x14ac:dyDescent="0.3">
      <c r="A173" s="23">
        <v>5094278</v>
      </c>
      <c r="B173" s="23" t="s">
        <v>2142</v>
      </c>
      <c r="C173" s="40">
        <v>56.29</v>
      </c>
      <c r="D173" s="24">
        <v>2</v>
      </c>
      <c r="E173" t="e">
        <f>_xlfn.XLOOKUP(A173,'[1]query (5)'!$C:$C,'[1]query (5)'!$A:$A)</f>
        <v>#N/A</v>
      </c>
    </row>
    <row r="174" spans="1:5" x14ac:dyDescent="0.3">
      <c r="A174" s="23">
        <v>5094790</v>
      </c>
      <c r="B174" s="23" t="s">
        <v>2143</v>
      </c>
      <c r="C174" s="40">
        <v>4598.71</v>
      </c>
      <c r="D174" s="24">
        <v>123</v>
      </c>
      <c r="E174" t="str">
        <f>_xlfn.XLOOKUP(A174,'[1]query (5)'!$C:$C,'[1]query (5)'!$A:$A)</f>
        <v>5090718</v>
      </c>
    </row>
    <row r="175" spans="1:5" x14ac:dyDescent="0.3">
      <c r="A175" s="23">
        <v>5094792</v>
      </c>
      <c r="B175" s="23" t="s">
        <v>2144</v>
      </c>
      <c r="C175" s="40">
        <v>1385.21</v>
      </c>
      <c r="D175" s="24">
        <v>37</v>
      </c>
      <c r="E175" t="str">
        <f>_xlfn.XLOOKUP(A175,'[1]query (5)'!$C:$C,'[1]query (5)'!$A:$A)</f>
        <v>5090718</v>
      </c>
    </row>
    <row r="176" spans="1:5" x14ac:dyDescent="0.3">
      <c r="A176" s="23">
        <v>5094794</v>
      </c>
      <c r="B176" s="23" t="s">
        <v>2145</v>
      </c>
      <c r="C176" s="40">
        <v>28801.68</v>
      </c>
      <c r="D176" s="24">
        <v>772</v>
      </c>
      <c r="E176" t="str">
        <f>_xlfn.XLOOKUP(A176,'[1]query (5)'!$C:$C,'[1]query (5)'!$A:$A)</f>
        <v>5090718</v>
      </c>
    </row>
    <row r="177" spans="1:5" x14ac:dyDescent="0.3">
      <c r="A177" s="23">
        <v>5094893</v>
      </c>
      <c r="B177" s="23" t="s">
        <v>2146</v>
      </c>
      <c r="C177" s="40">
        <v>1639.69</v>
      </c>
      <c r="D177" s="24">
        <v>23</v>
      </c>
      <c r="E177" t="str">
        <f>_xlfn.XLOOKUP(A177,'[1]query (5)'!$C:$C,'[1]query (5)'!$A:$A)</f>
        <v>5090742</v>
      </c>
    </row>
    <row r="178" spans="1:5" x14ac:dyDescent="0.3">
      <c r="A178" s="23">
        <v>5094894</v>
      </c>
      <c r="B178" s="23" t="s">
        <v>2147</v>
      </c>
      <c r="C178" s="40">
        <v>735.93</v>
      </c>
      <c r="D178" s="24">
        <v>10</v>
      </c>
      <c r="E178" t="str">
        <f>_xlfn.XLOOKUP(A178,'[1]query (5)'!$C:$C,'[1]query (5)'!$A:$A)</f>
        <v>5090742</v>
      </c>
    </row>
    <row r="179" spans="1:5" x14ac:dyDescent="0.3">
      <c r="A179" s="23">
        <v>5094914</v>
      </c>
      <c r="B179" s="23" t="s">
        <v>2148</v>
      </c>
      <c r="C179" s="40">
        <v>549.95000000000005</v>
      </c>
      <c r="D179" s="24">
        <v>29</v>
      </c>
      <c r="E179" t="str">
        <f>_xlfn.XLOOKUP(A179,'[1]query (5)'!$C:$C,'[1]query (5)'!$A:$A)</f>
        <v>5090750</v>
      </c>
    </row>
    <row r="180" spans="1:5" x14ac:dyDescent="0.3">
      <c r="A180" s="23">
        <v>5094915</v>
      </c>
      <c r="B180" s="23" t="s">
        <v>2149</v>
      </c>
      <c r="C180" s="40">
        <v>9292.75</v>
      </c>
      <c r="D180" s="24">
        <v>303</v>
      </c>
      <c r="E180" t="str">
        <f>_xlfn.XLOOKUP(A180,'[1]query (5)'!$C:$C,'[1]query (5)'!$A:$A)</f>
        <v>5090751</v>
      </c>
    </row>
    <row r="181" spans="1:5" x14ac:dyDescent="0.3">
      <c r="A181" s="23">
        <v>5094931</v>
      </c>
      <c r="B181" s="23" t="s">
        <v>2050</v>
      </c>
      <c r="C181" s="40">
        <v>11.34</v>
      </c>
      <c r="D181" s="24">
        <v>1</v>
      </c>
      <c r="E181" t="str">
        <f>_xlfn.XLOOKUP(A181,'[1]query (5)'!$C:$C,'[1]query (5)'!$A:$A)</f>
        <v>5090758</v>
      </c>
    </row>
    <row r="182" spans="1:5" x14ac:dyDescent="0.3">
      <c r="A182" s="23">
        <v>5094932</v>
      </c>
      <c r="B182" s="23" t="s">
        <v>2019</v>
      </c>
      <c r="C182" s="40">
        <v>317.10000000000002</v>
      </c>
      <c r="D182" s="24">
        <v>14</v>
      </c>
      <c r="E182" t="str">
        <f>_xlfn.XLOOKUP(A182,'[1]query (5)'!$C:$C,'[1]query (5)'!$A:$A)</f>
        <v>5090759</v>
      </c>
    </row>
    <row r="183" spans="1:5" x14ac:dyDescent="0.3">
      <c r="A183" s="23">
        <v>5094933</v>
      </c>
      <c r="B183" s="23" t="s">
        <v>1963</v>
      </c>
      <c r="C183" s="40">
        <v>3082.07</v>
      </c>
      <c r="D183" s="24">
        <v>81</v>
      </c>
      <c r="E183" t="str">
        <f>_xlfn.XLOOKUP(A183,'[1]query (5)'!$C:$C,'[1]query (5)'!$A:$A)</f>
        <v>5090760</v>
      </c>
    </row>
    <row r="184" spans="1:5" x14ac:dyDescent="0.3">
      <c r="A184" s="23">
        <v>5094934</v>
      </c>
      <c r="B184" s="23" t="s">
        <v>1983</v>
      </c>
      <c r="C184" s="40">
        <v>911.13</v>
      </c>
      <c r="D184" s="24">
        <v>13</v>
      </c>
      <c r="E184" t="str">
        <f>_xlfn.XLOOKUP(A184,'[1]query (5)'!$C:$C,'[1]query (5)'!$A:$A)</f>
        <v>5090761</v>
      </c>
    </row>
    <row r="185" spans="1:5" x14ac:dyDescent="0.3">
      <c r="A185" s="23">
        <v>5094936</v>
      </c>
      <c r="B185" s="23" t="s">
        <v>2028</v>
      </c>
      <c r="C185" s="40">
        <v>90.6</v>
      </c>
      <c r="D185" s="24">
        <v>4</v>
      </c>
      <c r="E185" t="str">
        <f>_xlfn.XLOOKUP(A185,'[1]query (5)'!$C:$C,'[1]query (5)'!$A:$A)</f>
        <v>5090759</v>
      </c>
    </row>
    <row r="186" spans="1:5" x14ac:dyDescent="0.3">
      <c r="A186" s="23">
        <v>5094937</v>
      </c>
      <c r="B186" s="23" t="s">
        <v>1995</v>
      </c>
      <c r="C186" s="40">
        <v>566.6</v>
      </c>
      <c r="D186" s="24">
        <v>15</v>
      </c>
      <c r="E186" t="str">
        <f>_xlfn.XLOOKUP(A186,'[1]query (5)'!$C:$C,'[1]query (5)'!$A:$A)</f>
        <v>5090760</v>
      </c>
    </row>
    <row r="187" spans="1:5" x14ac:dyDescent="0.3">
      <c r="A187" s="23">
        <v>5094939</v>
      </c>
      <c r="B187" s="23" t="s">
        <v>2049</v>
      </c>
      <c r="C187" s="40">
        <v>45.3</v>
      </c>
      <c r="D187" s="24">
        <v>2</v>
      </c>
      <c r="E187" t="str">
        <f>_xlfn.XLOOKUP(A187,'[1]query (5)'!$C:$C,'[1]query (5)'!$A:$A)</f>
        <v>5090759</v>
      </c>
    </row>
    <row r="188" spans="1:5" x14ac:dyDescent="0.3">
      <c r="A188" s="23">
        <v>5094940</v>
      </c>
      <c r="B188" s="23" t="s">
        <v>2001</v>
      </c>
      <c r="C188" s="40">
        <v>75.540000000000006</v>
      </c>
      <c r="D188" s="24">
        <v>2</v>
      </c>
      <c r="E188" t="str">
        <f>_xlfn.XLOOKUP(A188,'[1]query (5)'!$C:$C,'[1]query (5)'!$A:$A)</f>
        <v>5090760</v>
      </c>
    </row>
    <row r="189" spans="1:5" x14ac:dyDescent="0.3">
      <c r="A189" s="23">
        <v>5094982</v>
      </c>
      <c r="B189" s="23" t="s">
        <v>2039</v>
      </c>
      <c r="C189" s="40">
        <v>170.1</v>
      </c>
      <c r="D189" s="24">
        <v>11</v>
      </c>
      <c r="E189" t="str">
        <f>_xlfn.XLOOKUP(A189,'[1]query (5)'!$C:$C,'[1]query (5)'!$A:$A)</f>
        <v>5090778</v>
      </c>
    </row>
    <row r="190" spans="1:5" x14ac:dyDescent="0.3">
      <c r="A190" s="23">
        <v>5094983</v>
      </c>
      <c r="B190" s="23" t="s">
        <v>2011</v>
      </c>
      <c r="C190" s="40">
        <v>577.72</v>
      </c>
      <c r="D190" s="24">
        <v>17</v>
      </c>
      <c r="E190" t="str">
        <f>_xlfn.XLOOKUP(A190,'[1]query (5)'!$C:$C,'[1]query (5)'!$A:$A)</f>
        <v>5090779</v>
      </c>
    </row>
    <row r="191" spans="1:5" x14ac:dyDescent="0.3">
      <c r="A191" s="23">
        <v>5094984</v>
      </c>
      <c r="B191" s="23" t="s">
        <v>1973</v>
      </c>
      <c r="C191" s="40">
        <v>4460.84</v>
      </c>
      <c r="D191" s="24">
        <v>69</v>
      </c>
      <c r="E191" t="str">
        <f>_xlfn.XLOOKUP(A191,'[1]query (5)'!$C:$C,'[1]query (5)'!$A:$A)</f>
        <v>5090780</v>
      </c>
    </row>
    <row r="192" spans="1:5" x14ac:dyDescent="0.3">
      <c r="A192" s="23">
        <v>5094985</v>
      </c>
      <c r="B192" s="23" t="s">
        <v>2021</v>
      </c>
      <c r="C192" s="40">
        <v>463.92</v>
      </c>
      <c r="D192" s="24">
        <v>35</v>
      </c>
      <c r="E192" t="str">
        <f>_xlfn.XLOOKUP(A192,'[1]query (5)'!$C:$C,'[1]query (5)'!$A:$A)</f>
        <v>5090778</v>
      </c>
    </row>
    <row r="193" spans="1:5" x14ac:dyDescent="0.3">
      <c r="A193" s="23">
        <v>5094986</v>
      </c>
      <c r="B193" s="23" t="s">
        <v>1979</v>
      </c>
      <c r="C193" s="40">
        <v>3246.67</v>
      </c>
      <c r="D193" s="24">
        <v>97</v>
      </c>
      <c r="E193" t="str">
        <f>_xlfn.XLOOKUP(A193,'[1]query (5)'!$C:$C,'[1]query (5)'!$A:$A)</f>
        <v>5090779</v>
      </c>
    </row>
    <row r="194" spans="1:5" x14ac:dyDescent="0.3">
      <c r="A194" s="23">
        <v>5094987</v>
      </c>
      <c r="B194" s="23" t="s">
        <v>1960</v>
      </c>
      <c r="C194" s="40">
        <v>50842.78</v>
      </c>
      <c r="D194" s="24">
        <v>787</v>
      </c>
      <c r="E194" t="str">
        <f>_xlfn.XLOOKUP(A194,'[1]query (5)'!$C:$C,'[1]query (5)'!$A:$A)</f>
        <v>5090780</v>
      </c>
    </row>
    <row r="195" spans="1:5" x14ac:dyDescent="0.3">
      <c r="A195" s="23">
        <v>5094988</v>
      </c>
      <c r="B195" s="23" t="s">
        <v>2042</v>
      </c>
      <c r="C195" s="40">
        <v>155.54</v>
      </c>
      <c r="D195" s="24">
        <v>10</v>
      </c>
      <c r="E195" t="str">
        <f>_xlfn.XLOOKUP(A195,'[1]query (5)'!$C:$C,'[1]query (5)'!$A:$A)</f>
        <v>5090781</v>
      </c>
    </row>
    <row r="196" spans="1:5" x14ac:dyDescent="0.3">
      <c r="A196" s="23">
        <v>5094989</v>
      </c>
      <c r="B196" s="23" t="s">
        <v>1988</v>
      </c>
      <c r="C196" s="40">
        <v>351.94</v>
      </c>
      <c r="D196" s="24">
        <v>10</v>
      </c>
      <c r="E196" t="str">
        <f>_xlfn.XLOOKUP(A196,'[1]query (5)'!$C:$C,'[1]query (5)'!$A:$A)</f>
        <v>5090782</v>
      </c>
    </row>
    <row r="197" spans="1:5" x14ac:dyDescent="0.3">
      <c r="A197" s="23">
        <v>5094990</v>
      </c>
      <c r="B197" s="23" t="s">
        <v>2037</v>
      </c>
      <c r="C197" s="40">
        <v>2191.06</v>
      </c>
      <c r="D197" s="24">
        <v>34</v>
      </c>
      <c r="E197" t="str">
        <f>_xlfn.XLOOKUP(A197,'[1]query (5)'!$C:$C,'[1]query (5)'!$A:$A)</f>
        <v>5090783</v>
      </c>
    </row>
    <row r="198" spans="1:5" x14ac:dyDescent="0.3">
      <c r="A198" s="23">
        <v>5094991</v>
      </c>
      <c r="B198" s="23" t="s">
        <v>2034</v>
      </c>
      <c r="C198" s="40">
        <v>108.99</v>
      </c>
      <c r="D198" s="24">
        <v>7</v>
      </c>
      <c r="E198" t="str">
        <f>_xlfn.XLOOKUP(A198,'[1]query (5)'!$C:$C,'[1]query (5)'!$A:$A)</f>
        <v>5090781</v>
      </c>
    </row>
    <row r="199" spans="1:5" x14ac:dyDescent="0.3">
      <c r="A199" s="23">
        <v>5094992</v>
      </c>
      <c r="B199" s="23" t="s">
        <v>2006</v>
      </c>
      <c r="C199" s="40">
        <v>768.17</v>
      </c>
      <c r="D199" s="24">
        <v>22</v>
      </c>
      <c r="E199" t="str">
        <f>_xlfn.XLOOKUP(A199,'[1]query (5)'!$C:$C,'[1]query (5)'!$A:$A)</f>
        <v>5090782</v>
      </c>
    </row>
    <row r="200" spans="1:5" x14ac:dyDescent="0.3">
      <c r="A200" s="23">
        <v>5094993</v>
      </c>
      <c r="B200" s="23" t="s">
        <v>1990</v>
      </c>
      <c r="C200" s="40">
        <v>8434.27</v>
      </c>
      <c r="D200" s="24">
        <v>129</v>
      </c>
      <c r="E200" t="str">
        <f>_xlfn.XLOOKUP(A200,'[1]query (5)'!$C:$C,'[1]query (5)'!$A:$A)</f>
        <v>5090783</v>
      </c>
    </row>
    <row r="201" spans="1:5" x14ac:dyDescent="0.3">
      <c r="A201" s="23">
        <v>5094996</v>
      </c>
      <c r="B201" s="23" t="s">
        <v>2606</v>
      </c>
      <c r="C201" s="40">
        <v>57.4</v>
      </c>
      <c r="D201" s="24">
        <v>2</v>
      </c>
      <c r="E201" t="str">
        <f>_xlfn.XLOOKUP(A201,'[1]query (5)'!$C:$C,'[1]query (5)'!$A:$A)</f>
        <v>5090784</v>
      </c>
    </row>
    <row r="202" spans="1:5" x14ac:dyDescent="0.3">
      <c r="A202" s="23">
        <v>5094997</v>
      </c>
      <c r="B202" s="23" t="s">
        <v>2017</v>
      </c>
      <c r="C202" s="40">
        <v>252.92</v>
      </c>
      <c r="D202" s="24">
        <v>5</v>
      </c>
      <c r="E202" t="str">
        <f>_xlfn.XLOOKUP(A202,'[1]query (5)'!$C:$C,'[1]query (5)'!$A:$A)</f>
        <v>5090785</v>
      </c>
    </row>
    <row r="203" spans="1:5" x14ac:dyDescent="0.3">
      <c r="A203" s="23">
        <v>5094998</v>
      </c>
      <c r="B203" s="23" t="s">
        <v>2607</v>
      </c>
      <c r="C203" s="40">
        <v>57.4</v>
      </c>
      <c r="D203" s="24">
        <v>2</v>
      </c>
      <c r="E203" t="str">
        <f>_xlfn.XLOOKUP(A203,'[1]query (5)'!$C:$C,'[1]query (5)'!$A:$A)</f>
        <v>5090784</v>
      </c>
    </row>
    <row r="204" spans="1:5" x14ac:dyDescent="0.3">
      <c r="A204" s="23">
        <v>5094999</v>
      </c>
      <c r="B204" s="23" t="s">
        <v>2608</v>
      </c>
      <c r="C204" s="40">
        <v>124.96</v>
      </c>
      <c r="D204" s="24">
        <v>2</v>
      </c>
      <c r="E204" t="str">
        <f>_xlfn.XLOOKUP(A204,'[1]query (5)'!$C:$C,'[1]query (5)'!$A:$A)</f>
        <v>5090785</v>
      </c>
    </row>
    <row r="205" spans="1:5" x14ac:dyDescent="0.3">
      <c r="A205" s="23">
        <v>5095000</v>
      </c>
      <c r="B205" s="23" t="s">
        <v>2150</v>
      </c>
      <c r="C205" s="40">
        <v>108.31</v>
      </c>
      <c r="D205" s="24">
        <v>5</v>
      </c>
      <c r="E205" t="str">
        <f>_xlfn.XLOOKUP(A205,'[1]query (5)'!$C:$C,'[1]query (5)'!$A:$A)</f>
        <v>5090786</v>
      </c>
    </row>
    <row r="206" spans="1:5" x14ac:dyDescent="0.3">
      <c r="A206" s="23">
        <v>5095001</v>
      </c>
      <c r="B206" s="23" t="s">
        <v>2151</v>
      </c>
      <c r="C206" s="40">
        <v>3941.32</v>
      </c>
      <c r="D206" s="24">
        <v>91</v>
      </c>
      <c r="E206" t="str">
        <f>_xlfn.XLOOKUP(A206,'[1]query (5)'!$C:$C,'[1]query (5)'!$A:$A)</f>
        <v>5090787</v>
      </c>
    </row>
    <row r="207" spans="1:5" x14ac:dyDescent="0.3">
      <c r="A207" s="23">
        <v>5095002</v>
      </c>
      <c r="B207" s="23" t="s">
        <v>2152</v>
      </c>
      <c r="C207" s="40">
        <v>86.64</v>
      </c>
      <c r="D207" s="24">
        <v>4</v>
      </c>
      <c r="E207" t="str">
        <f>_xlfn.XLOOKUP(A207,'[1]query (5)'!$C:$C,'[1]query (5)'!$A:$A)</f>
        <v>5090786</v>
      </c>
    </row>
    <row r="208" spans="1:5" x14ac:dyDescent="0.3">
      <c r="A208" s="23">
        <v>5095003</v>
      </c>
      <c r="B208" s="23" t="s">
        <v>2153</v>
      </c>
      <c r="C208" s="40">
        <v>4953.24</v>
      </c>
      <c r="D208" s="24">
        <v>115</v>
      </c>
      <c r="E208" t="str">
        <f>_xlfn.XLOOKUP(A208,'[1]query (5)'!$C:$C,'[1]query (5)'!$A:$A)</f>
        <v>5090787</v>
      </c>
    </row>
    <row r="209" spans="1:5" x14ac:dyDescent="0.3">
      <c r="A209" s="23">
        <v>5095012</v>
      </c>
      <c r="B209" s="23" t="s">
        <v>1996</v>
      </c>
      <c r="C209" s="40">
        <v>107.06</v>
      </c>
      <c r="D209" s="24">
        <v>2</v>
      </c>
      <c r="E209" t="str">
        <f>_xlfn.XLOOKUP(A209,'[1]query (5)'!$C:$C,'[1]query (5)'!$A:$A)</f>
        <v>5090790</v>
      </c>
    </row>
    <row r="210" spans="1:5" x14ac:dyDescent="0.3">
      <c r="A210" s="23">
        <v>5095014</v>
      </c>
      <c r="B210" s="23" t="s">
        <v>2009</v>
      </c>
      <c r="C210" s="40">
        <v>3051.3</v>
      </c>
      <c r="D210" s="24">
        <v>57</v>
      </c>
      <c r="E210" t="str">
        <f>_xlfn.XLOOKUP(A210,'[1]query (5)'!$C:$C,'[1]query (5)'!$A:$A)</f>
        <v>5090790</v>
      </c>
    </row>
    <row r="211" spans="1:5" x14ac:dyDescent="0.3">
      <c r="A211" s="23">
        <v>5095015</v>
      </c>
      <c r="B211" s="23" t="s">
        <v>2154</v>
      </c>
      <c r="C211" s="40">
        <v>2328.2800000000002</v>
      </c>
      <c r="D211" s="24">
        <v>38</v>
      </c>
      <c r="E211" t="str">
        <f>_xlfn.XLOOKUP(A211,'[1]query (5)'!$C:$C,'[1]query (5)'!$A:$A)</f>
        <v>5090791</v>
      </c>
    </row>
    <row r="212" spans="1:5" x14ac:dyDescent="0.3">
      <c r="A212" s="23">
        <v>5095016</v>
      </c>
      <c r="B212" s="23" t="s">
        <v>2155</v>
      </c>
      <c r="C212" s="40">
        <v>439.81</v>
      </c>
      <c r="D212" s="24">
        <v>7</v>
      </c>
      <c r="E212" t="str">
        <f>_xlfn.XLOOKUP(A212,'[1]query (5)'!$C:$C,'[1]query (5)'!$A:$A)</f>
        <v>5090791</v>
      </c>
    </row>
    <row r="213" spans="1:5" x14ac:dyDescent="0.3">
      <c r="A213" s="23">
        <v>5095017</v>
      </c>
      <c r="B213" s="23" t="s">
        <v>2156</v>
      </c>
      <c r="C213" s="40">
        <v>3136.14</v>
      </c>
      <c r="D213" s="24">
        <v>43</v>
      </c>
      <c r="E213" t="str">
        <f>_xlfn.XLOOKUP(A213,'[1]query (5)'!$C:$C,'[1]query (5)'!$A:$A)</f>
        <v>5090792</v>
      </c>
    </row>
    <row r="214" spans="1:5" x14ac:dyDescent="0.3">
      <c r="A214" s="23">
        <v>5095018</v>
      </c>
      <c r="B214" s="23" t="s">
        <v>2609</v>
      </c>
      <c r="C214" s="40">
        <v>130.75</v>
      </c>
      <c r="D214" s="24">
        <v>2</v>
      </c>
      <c r="E214" t="str">
        <f>_xlfn.XLOOKUP(A214,'[1]query (5)'!$C:$C,'[1]query (5)'!$A:$A)</f>
        <v>5090792</v>
      </c>
    </row>
    <row r="215" spans="1:5" x14ac:dyDescent="0.3">
      <c r="A215" s="23">
        <v>5095023</v>
      </c>
      <c r="B215" s="23" t="s">
        <v>2157</v>
      </c>
      <c r="C215" s="40">
        <v>25361.15</v>
      </c>
      <c r="D215" s="24">
        <v>709</v>
      </c>
      <c r="E215" t="str">
        <f>_xlfn.XLOOKUP(A215,'[1]query (5)'!$C:$C,'[1]query (5)'!$A:$A)</f>
        <v>5090796</v>
      </c>
    </row>
    <row r="216" spans="1:5" x14ac:dyDescent="0.3">
      <c r="A216" s="23">
        <v>5095024</v>
      </c>
      <c r="B216" s="23" t="s">
        <v>1965</v>
      </c>
      <c r="C216" s="40">
        <v>6177.54</v>
      </c>
      <c r="D216" s="24">
        <v>160</v>
      </c>
      <c r="E216" t="str">
        <f>_xlfn.XLOOKUP(A216,'[1]query (5)'!$C:$C,'[1]query (5)'!$A:$A)</f>
        <v>5090797</v>
      </c>
    </row>
    <row r="217" spans="1:5" x14ac:dyDescent="0.3">
      <c r="A217" s="23">
        <v>5095026</v>
      </c>
      <c r="B217" s="23" t="s">
        <v>2610</v>
      </c>
      <c r="C217" s="40">
        <v>849.86</v>
      </c>
      <c r="D217" s="24">
        <v>23</v>
      </c>
      <c r="E217" t="str">
        <f>_xlfn.XLOOKUP(A217,'[1]query (5)'!$C:$C,'[1]query (5)'!$A:$A)</f>
        <v>5090797</v>
      </c>
    </row>
    <row r="218" spans="1:5" x14ac:dyDescent="0.3">
      <c r="A218" s="23">
        <v>5095027</v>
      </c>
      <c r="B218" s="23" t="s">
        <v>1994</v>
      </c>
      <c r="C218" s="40">
        <v>764.93</v>
      </c>
      <c r="D218" s="24">
        <v>12</v>
      </c>
      <c r="E218" t="str">
        <f>_xlfn.XLOOKUP(A218,'[1]query (5)'!$C:$C,'[1]query (5)'!$A:$A)</f>
        <v>5090798</v>
      </c>
    </row>
    <row r="219" spans="1:5" x14ac:dyDescent="0.3">
      <c r="A219" s="23">
        <v>5095028</v>
      </c>
      <c r="B219" s="23" t="s">
        <v>2611</v>
      </c>
      <c r="C219" s="40">
        <v>191.19</v>
      </c>
      <c r="D219" s="24">
        <v>3</v>
      </c>
      <c r="E219" t="str">
        <f>_xlfn.XLOOKUP(A219,'[1]query (5)'!$C:$C,'[1]query (5)'!$A:$A)</f>
        <v>5090798</v>
      </c>
    </row>
    <row r="220" spans="1:5" x14ac:dyDescent="0.3">
      <c r="A220" s="23">
        <v>5095029</v>
      </c>
      <c r="B220" s="23" t="s">
        <v>2612</v>
      </c>
      <c r="C220" s="40">
        <v>127.49</v>
      </c>
      <c r="D220" s="24">
        <v>2</v>
      </c>
      <c r="E220" t="str">
        <f>_xlfn.XLOOKUP(A220,'[1]query (5)'!$C:$C,'[1]query (5)'!$A:$A)</f>
        <v>5090798</v>
      </c>
    </row>
    <row r="221" spans="1:5" x14ac:dyDescent="0.3">
      <c r="A221" s="23">
        <v>5095030</v>
      </c>
      <c r="B221" s="23" t="s">
        <v>2158</v>
      </c>
      <c r="C221" s="40">
        <v>145.33000000000001</v>
      </c>
      <c r="D221" s="24">
        <v>13</v>
      </c>
      <c r="E221" t="str">
        <f>_xlfn.XLOOKUP(A221,'[1]query (5)'!$C:$C,'[1]query (5)'!$A:$A)</f>
        <v>5090807</v>
      </c>
    </row>
    <row r="222" spans="1:5" x14ac:dyDescent="0.3">
      <c r="A222" s="23">
        <v>5095031</v>
      </c>
      <c r="B222" s="23" t="s">
        <v>1975</v>
      </c>
      <c r="C222" s="40">
        <v>2263.2199999999998</v>
      </c>
      <c r="D222" s="24">
        <v>108</v>
      </c>
      <c r="E222" t="str">
        <f>_xlfn.XLOOKUP(A222,'[1]query (5)'!$C:$C,'[1]query (5)'!$A:$A)</f>
        <v>5090808</v>
      </c>
    </row>
    <row r="223" spans="1:5" x14ac:dyDescent="0.3">
      <c r="A223" s="23">
        <v>5095032</v>
      </c>
      <c r="B223" s="23" t="s">
        <v>1956</v>
      </c>
      <c r="C223" s="40">
        <v>100227</v>
      </c>
      <c r="D223" s="24">
        <v>2899</v>
      </c>
      <c r="E223" t="str">
        <f>_xlfn.XLOOKUP(A223,'[1]query (5)'!$C:$C,'[1]query (5)'!$A:$A)</f>
        <v>5090809</v>
      </c>
    </row>
    <row r="224" spans="1:5" x14ac:dyDescent="0.3">
      <c r="A224" s="23">
        <v>5095033</v>
      </c>
      <c r="B224" s="23" t="s">
        <v>2159</v>
      </c>
      <c r="C224" s="40">
        <v>11.65</v>
      </c>
      <c r="D224" s="24">
        <v>1</v>
      </c>
      <c r="E224" t="str">
        <f>_xlfn.XLOOKUP(A224,'[1]query (5)'!$C:$C,'[1]query (5)'!$A:$A)</f>
        <v>5090807</v>
      </c>
    </row>
    <row r="225" spans="1:5" x14ac:dyDescent="0.3">
      <c r="A225" s="23">
        <v>5095034</v>
      </c>
      <c r="B225" s="23" t="s">
        <v>1992</v>
      </c>
      <c r="C225" s="40">
        <v>1027.8900000000001</v>
      </c>
      <c r="D225" s="24">
        <v>49</v>
      </c>
      <c r="E225" t="str">
        <f>_xlfn.XLOOKUP(A225,'[1]query (5)'!$C:$C,'[1]query (5)'!$A:$A)</f>
        <v>5090808</v>
      </c>
    </row>
    <row r="226" spans="1:5" x14ac:dyDescent="0.3">
      <c r="A226" s="23">
        <v>5095035</v>
      </c>
      <c r="B226" s="23" t="s">
        <v>2160</v>
      </c>
      <c r="C226" s="40">
        <v>28826.34</v>
      </c>
      <c r="D226" s="24">
        <v>834</v>
      </c>
      <c r="E226" t="str">
        <f>_xlfn.XLOOKUP(A226,'[1]query (5)'!$C:$C,'[1]query (5)'!$A:$A)</f>
        <v>5090809</v>
      </c>
    </row>
    <row r="227" spans="1:5" x14ac:dyDescent="0.3">
      <c r="A227" s="23">
        <v>5095036</v>
      </c>
      <c r="B227" s="23" t="s">
        <v>2161</v>
      </c>
      <c r="C227" s="40">
        <v>43.54</v>
      </c>
      <c r="D227" s="24">
        <v>4</v>
      </c>
      <c r="E227" t="str">
        <f>_xlfn.XLOOKUP(A227,'[1]query (5)'!$C:$C,'[1]query (5)'!$A:$A)</f>
        <v>5090807</v>
      </c>
    </row>
    <row r="228" spans="1:5" x14ac:dyDescent="0.3">
      <c r="A228" s="23">
        <v>5095037</v>
      </c>
      <c r="B228" s="23" t="s">
        <v>2010</v>
      </c>
      <c r="C228" s="40">
        <v>901.44</v>
      </c>
      <c r="D228" s="24">
        <v>43</v>
      </c>
      <c r="E228" t="str">
        <f>_xlfn.XLOOKUP(A228,'[1]query (5)'!$C:$C,'[1]query (5)'!$A:$A)</f>
        <v>5090808</v>
      </c>
    </row>
    <row r="229" spans="1:5" x14ac:dyDescent="0.3">
      <c r="A229" s="23">
        <v>5095038</v>
      </c>
      <c r="B229" s="23" t="s">
        <v>2162</v>
      </c>
      <c r="C229" s="40">
        <v>15949.4</v>
      </c>
      <c r="D229" s="24">
        <v>463</v>
      </c>
      <c r="E229" t="str">
        <f>_xlfn.XLOOKUP(A229,'[1]query (5)'!$C:$C,'[1]query (5)'!$A:$A)</f>
        <v>5090809</v>
      </c>
    </row>
    <row r="230" spans="1:5" x14ac:dyDescent="0.3">
      <c r="A230" s="23">
        <v>5095039</v>
      </c>
      <c r="B230" s="23" t="s">
        <v>2163</v>
      </c>
      <c r="C230" s="40">
        <v>85.18</v>
      </c>
      <c r="D230" s="24">
        <v>10</v>
      </c>
      <c r="E230" t="str">
        <f>_xlfn.XLOOKUP(A230,'[1]query (5)'!$C:$C,'[1]query (5)'!$A:$A)</f>
        <v>5090799</v>
      </c>
    </row>
    <row r="231" spans="1:5" x14ac:dyDescent="0.3">
      <c r="A231" s="23">
        <v>5095040</v>
      </c>
      <c r="B231" s="23" t="s">
        <v>2164</v>
      </c>
      <c r="C231" s="40">
        <v>973.5</v>
      </c>
      <c r="D231" s="24">
        <v>60</v>
      </c>
      <c r="E231" t="str">
        <f>_xlfn.XLOOKUP(A231,'[1]query (5)'!$C:$C,'[1]query (5)'!$A:$A)</f>
        <v>5090800</v>
      </c>
    </row>
    <row r="232" spans="1:5" x14ac:dyDescent="0.3">
      <c r="A232" s="23">
        <v>5095041</v>
      </c>
      <c r="B232" s="23" t="s">
        <v>2165</v>
      </c>
      <c r="C232" s="40">
        <v>5773.4</v>
      </c>
      <c r="D232" s="24">
        <v>223</v>
      </c>
      <c r="E232" t="str">
        <f>_xlfn.XLOOKUP(A232,'[1]query (5)'!$C:$C,'[1]query (5)'!$A:$A)</f>
        <v>5090801</v>
      </c>
    </row>
    <row r="233" spans="1:5" x14ac:dyDescent="0.3">
      <c r="A233" s="23">
        <v>5095042</v>
      </c>
      <c r="B233" s="23" t="s">
        <v>2166</v>
      </c>
      <c r="C233" s="40">
        <v>120.34</v>
      </c>
      <c r="D233" s="24">
        <v>14</v>
      </c>
      <c r="E233" t="str">
        <f>_xlfn.XLOOKUP(A233,'[1]query (5)'!$C:$C,'[1]query (5)'!$A:$A)</f>
        <v>5090799</v>
      </c>
    </row>
    <row r="234" spans="1:5" x14ac:dyDescent="0.3">
      <c r="A234" s="23">
        <v>5095043</v>
      </c>
      <c r="B234" s="23" t="s">
        <v>2167</v>
      </c>
      <c r="C234" s="40">
        <v>1037.8</v>
      </c>
      <c r="D234" s="24">
        <v>65</v>
      </c>
      <c r="E234" t="str">
        <f>_xlfn.XLOOKUP(A234,'[1]query (5)'!$C:$C,'[1]query (5)'!$A:$A)</f>
        <v>5090800</v>
      </c>
    </row>
    <row r="235" spans="1:5" x14ac:dyDescent="0.3">
      <c r="A235" s="23">
        <v>5095044</v>
      </c>
      <c r="B235" s="23" t="s">
        <v>2168</v>
      </c>
      <c r="C235" s="40">
        <v>6197.91</v>
      </c>
      <c r="D235" s="24">
        <v>241</v>
      </c>
      <c r="E235" t="str">
        <f>_xlfn.XLOOKUP(A235,'[1]query (5)'!$C:$C,'[1]query (5)'!$A:$A)</f>
        <v>5090801</v>
      </c>
    </row>
    <row r="236" spans="1:5" x14ac:dyDescent="0.3">
      <c r="A236" s="23">
        <v>5095045</v>
      </c>
      <c r="B236" s="23" t="s">
        <v>2169</v>
      </c>
      <c r="C236" s="40">
        <v>241.31</v>
      </c>
      <c r="D236" s="24">
        <v>29</v>
      </c>
      <c r="E236" t="str">
        <f>_xlfn.XLOOKUP(A236,'[1]query (5)'!$C:$C,'[1]query (5)'!$A:$A)</f>
        <v>5090799</v>
      </c>
    </row>
    <row r="237" spans="1:5" x14ac:dyDescent="0.3">
      <c r="A237" s="23">
        <v>5095046</v>
      </c>
      <c r="B237" s="23" t="s">
        <v>2170</v>
      </c>
      <c r="C237" s="40">
        <v>2638.31</v>
      </c>
      <c r="D237" s="24">
        <v>161</v>
      </c>
      <c r="E237" t="str">
        <f>_xlfn.XLOOKUP(A237,'[1]query (5)'!$C:$C,'[1]query (5)'!$A:$A)</f>
        <v>5090800</v>
      </c>
    </row>
    <row r="238" spans="1:5" x14ac:dyDescent="0.3">
      <c r="A238" s="23">
        <v>5095047</v>
      </c>
      <c r="B238" s="23" t="s">
        <v>2171</v>
      </c>
      <c r="C238" s="40">
        <v>33480.11</v>
      </c>
      <c r="D238" s="24">
        <v>1294</v>
      </c>
      <c r="E238" t="str">
        <f>_xlfn.XLOOKUP(A238,'[1]query (5)'!$C:$C,'[1]query (5)'!$A:$A)</f>
        <v>5090801</v>
      </c>
    </row>
    <row r="239" spans="1:5" x14ac:dyDescent="0.3">
      <c r="A239" s="23">
        <v>5095048</v>
      </c>
      <c r="B239" s="23" t="s">
        <v>2172</v>
      </c>
      <c r="C239" s="40">
        <v>20456.97</v>
      </c>
      <c r="D239" s="24">
        <v>403</v>
      </c>
      <c r="E239" t="str">
        <f>_xlfn.XLOOKUP(A239,'[1]query (5)'!$C:$C,'[1]query (5)'!$A:$A)</f>
        <v>5090802</v>
      </c>
    </row>
    <row r="240" spans="1:5" x14ac:dyDescent="0.3">
      <c r="A240" s="23">
        <v>5095049</v>
      </c>
      <c r="B240" s="23" t="s">
        <v>2007</v>
      </c>
      <c r="C240" s="40">
        <v>245.49</v>
      </c>
      <c r="D240" s="24">
        <v>69</v>
      </c>
      <c r="E240" t="str">
        <f>_xlfn.XLOOKUP(A240,'[1]query (5)'!$C:$C,'[1]query (5)'!$A:$A)</f>
        <v>5090810</v>
      </c>
    </row>
    <row r="241" spans="1:5" x14ac:dyDescent="0.3">
      <c r="A241" s="23">
        <v>5095050</v>
      </c>
      <c r="B241" s="23" t="s">
        <v>2023</v>
      </c>
      <c r="C241" s="40">
        <v>82.76</v>
      </c>
      <c r="D241" s="24">
        <v>23</v>
      </c>
      <c r="E241" t="str">
        <f>_xlfn.XLOOKUP(A241,'[1]query (5)'!$C:$C,'[1]query (5)'!$A:$A)</f>
        <v>5090810</v>
      </c>
    </row>
    <row r="242" spans="1:5" x14ac:dyDescent="0.3">
      <c r="A242" s="23">
        <v>5095051</v>
      </c>
      <c r="B242" s="23" t="s">
        <v>2030</v>
      </c>
      <c r="C242" s="40">
        <v>144.41</v>
      </c>
      <c r="D242" s="24">
        <v>38</v>
      </c>
      <c r="E242" t="str">
        <f>_xlfn.XLOOKUP(A242,'[1]query (5)'!$C:$C,'[1]query (5)'!$A:$A)</f>
        <v>5090810</v>
      </c>
    </row>
    <row r="243" spans="1:5" x14ac:dyDescent="0.3">
      <c r="A243" s="23">
        <v>5095054</v>
      </c>
      <c r="B243" s="23" t="s">
        <v>2041</v>
      </c>
      <c r="C243" s="40">
        <v>54.81</v>
      </c>
      <c r="D243" s="24">
        <v>1</v>
      </c>
      <c r="E243" t="str">
        <f>_xlfn.XLOOKUP(A243,'[1]query (5)'!$C:$C,'[1]query (5)'!$A:$A)</f>
        <v>5090806</v>
      </c>
    </row>
    <row r="244" spans="1:5" x14ac:dyDescent="0.3">
      <c r="A244" s="23">
        <v>5095059</v>
      </c>
      <c r="B244" s="23" t="s">
        <v>5235</v>
      </c>
      <c r="C244" s="40">
        <v>30.27</v>
      </c>
      <c r="D244" s="24">
        <v>1</v>
      </c>
      <c r="E244" t="str">
        <f>_xlfn.XLOOKUP(A244,'[1]query (5)'!$C:$C,'[1]query (5)'!$A:$A)</f>
        <v>5090803</v>
      </c>
    </row>
    <row r="245" spans="1:5" x14ac:dyDescent="0.3">
      <c r="A245" s="23">
        <v>5095060</v>
      </c>
      <c r="B245" s="23" t="s">
        <v>2173</v>
      </c>
      <c r="C245" s="40">
        <v>181.61</v>
      </c>
      <c r="D245" s="24">
        <v>6</v>
      </c>
      <c r="E245" t="str">
        <f>_xlfn.XLOOKUP(A245,'[1]query (5)'!$C:$C,'[1]query (5)'!$A:$A)</f>
        <v>5090803</v>
      </c>
    </row>
    <row r="246" spans="1:5" x14ac:dyDescent="0.3">
      <c r="A246" s="23">
        <v>5095062</v>
      </c>
      <c r="B246" s="23" t="s">
        <v>2613</v>
      </c>
      <c r="C246" s="40">
        <v>11.78</v>
      </c>
      <c r="D246" s="24">
        <v>1</v>
      </c>
      <c r="E246" t="str">
        <f>_xlfn.XLOOKUP(A246,'[1]query (5)'!$C:$C,'[1]query (5)'!$A:$A)</f>
        <v>5090811</v>
      </c>
    </row>
    <row r="247" spans="1:5" x14ac:dyDescent="0.3">
      <c r="A247" s="23">
        <v>5095063</v>
      </c>
      <c r="B247" s="23" t="s">
        <v>2027</v>
      </c>
      <c r="C247" s="40">
        <v>463.2</v>
      </c>
      <c r="D247" s="24">
        <v>19</v>
      </c>
      <c r="E247" t="str">
        <f>_xlfn.XLOOKUP(A247,'[1]query (5)'!$C:$C,'[1]query (5)'!$A:$A)</f>
        <v>5090812</v>
      </c>
    </row>
    <row r="248" spans="1:5" x14ac:dyDescent="0.3">
      <c r="A248" s="23">
        <v>5095064</v>
      </c>
      <c r="B248" s="23" t="s">
        <v>1969</v>
      </c>
      <c r="C248" s="40">
        <v>14347.68</v>
      </c>
      <c r="D248" s="24">
        <v>370</v>
      </c>
      <c r="E248" t="str">
        <f>_xlfn.XLOOKUP(A248,'[1]query (5)'!$C:$C,'[1]query (5)'!$A:$A)</f>
        <v>5090813</v>
      </c>
    </row>
    <row r="249" spans="1:5" x14ac:dyDescent="0.3">
      <c r="A249" s="23">
        <v>5095066</v>
      </c>
      <c r="B249" s="23" t="s">
        <v>2026</v>
      </c>
      <c r="C249" s="40">
        <v>170.25</v>
      </c>
      <c r="D249" s="24">
        <v>7</v>
      </c>
      <c r="E249" t="str">
        <f>_xlfn.XLOOKUP(A249,'[1]query (5)'!$C:$C,'[1]query (5)'!$A:$A)</f>
        <v>5090812</v>
      </c>
    </row>
    <row r="250" spans="1:5" x14ac:dyDescent="0.3">
      <c r="A250" s="23">
        <v>5095067</v>
      </c>
      <c r="B250" s="23" t="s">
        <v>1993</v>
      </c>
      <c r="C250" s="40">
        <v>1322.15</v>
      </c>
      <c r="D250" s="24">
        <v>34</v>
      </c>
      <c r="E250" t="str">
        <f>_xlfn.XLOOKUP(A250,'[1]query (5)'!$C:$C,'[1]query (5)'!$A:$A)</f>
        <v>5090813</v>
      </c>
    </row>
    <row r="251" spans="1:5" x14ac:dyDescent="0.3">
      <c r="A251" s="23">
        <v>5095069</v>
      </c>
      <c r="B251" s="23" t="s">
        <v>2048</v>
      </c>
      <c r="C251" s="40">
        <v>219.04</v>
      </c>
      <c r="D251" s="24">
        <v>9</v>
      </c>
      <c r="E251" t="str">
        <f>_xlfn.XLOOKUP(A251,'[1]query (5)'!$C:$C,'[1]query (5)'!$A:$A)</f>
        <v>5090812</v>
      </c>
    </row>
    <row r="252" spans="1:5" x14ac:dyDescent="0.3">
      <c r="A252" s="23">
        <v>5095070</v>
      </c>
      <c r="B252" s="23" t="s">
        <v>2015</v>
      </c>
      <c r="C252" s="40">
        <v>427.78</v>
      </c>
      <c r="D252" s="24">
        <v>11</v>
      </c>
      <c r="E252" t="str">
        <f>_xlfn.XLOOKUP(A252,'[1]query (5)'!$C:$C,'[1]query (5)'!$A:$A)</f>
        <v>5090813</v>
      </c>
    </row>
    <row r="253" spans="1:5" x14ac:dyDescent="0.3">
      <c r="A253" s="23">
        <v>5095121</v>
      </c>
      <c r="B253" s="23" t="s">
        <v>2044</v>
      </c>
      <c r="C253" s="40">
        <v>38.26</v>
      </c>
      <c r="D253" s="24">
        <v>1</v>
      </c>
      <c r="E253" t="str">
        <f>_xlfn.XLOOKUP(A253,'[1]query (5)'!$C:$C,'[1]query (5)'!$A:$A)</f>
        <v>5090815</v>
      </c>
    </row>
    <row r="254" spans="1:5" x14ac:dyDescent="0.3">
      <c r="A254" s="23">
        <v>5095122</v>
      </c>
      <c r="B254" s="23" t="s">
        <v>2051</v>
      </c>
      <c r="C254" s="40">
        <v>18.82</v>
      </c>
      <c r="D254" s="24">
        <v>1</v>
      </c>
      <c r="E254" t="str">
        <f>_xlfn.XLOOKUP(A254,'[1]query (5)'!$C:$C,'[1]query (5)'!$A:$A)</f>
        <v>5090814</v>
      </c>
    </row>
    <row r="255" spans="1:5" x14ac:dyDescent="0.3">
      <c r="A255" s="23">
        <v>5095140</v>
      </c>
      <c r="B255" s="23" t="s">
        <v>2054</v>
      </c>
      <c r="C255" s="40">
        <v>63.16</v>
      </c>
      <c r="D255" s="24">
        <v>4</v>
      </c>
      <c r="E255" t="str">
        <f>_xlfn.XLOOKUP(A255,'[1]query (5)'!$C:$C,'[1]query (5)'!$A:$A)</f>
        <v>5090817</v>
      </c>
    </row>
    <row r="256" spans="1:5" x14ac:dyDescent="0.3">
      <c r="A256" s="23">
        <v>5095141</v>
      </c>
      <c r="B256" s="23" t="s">
        <v>2020</v>
      </c>
      <c r="C256" s="40">
        <v>85.83</v>
      </c>
      <c r="D256" s="24">
        <v>3</v>
      </c>
      <c r="E256" t="str">
        <f>_xlfn.XLOOKUP(A256,'[1]query (5)'!$C:$C,'[1]query (5)'!$A:$A)</f>
        <v>5090818</v>
      </c>
    </row>
    <row r="257" spans="1:5" x14ac:dyDescent="0.3">
      <c r="A257" s="23">
        <v>5095142</v>
      </c>
      <c r="B257" s="23" t="s">
        <v>2614</v>
      </c>
      <c r="C257" s="40">
        <v>109.24</v>
      </c>
      <c r="D257" s="24">
        <v>7</v>
      </c>
      <c r="E257" t="str">
        <f>_xlfn.XLOOKUP(A257,'[1]query (5)'!$C:$C,'[1]query (5)'!$A:$A)</f>
        <v>5090817</v>
      </c>
    </row>
    <row r="258" spans="1:5" x14ac:dyDescent="0.3">
      <c r="A258" s="23">
        <v>5095143</v>
      </c>
      <c r="B258" s="23" t="s">
        <v>2032</v>
      </c>
      <c r="C258" s="40">
        <v>468.91</v>
      </c>
      <c r="D258" s="24">
        <v>16</v>
      </c>
      <c r="E258" t="str">
        <f>_xlfn.XLOOKUP(A258,'[1]query (5)'!$C:$C,'[1]query (5)'!$A:$A)</f>
        <v>5090818</v>
      </c>
    </row>
    <row r="259" spans="1:5" x14ac:dyDescent="0.3">
      <c r="A259" s="23">
        <v>5095160</v>
      </c>
      <c r="B259" s="23" t="s">
        <v>2615</v>
      </c>
      <c r="C259" s="40">
        <v>122.63</v>
      </c>
      <c r="D259" s="24">
        <v>3</v>
      </c>
      <c r="E259" t="str">
        <f>_xlfn.XLOOKUP(A259,'[1]query (5)'!$C:$C,'[1]query (5)'!$A:$A)</f>
        <v>5090575</v>
      </c>
    </row>
    <row r="260" spans="1:5" x14ac:dyDescent="0.3">
      <c r="A260" s="23">
        <v>5095165</v>
      </c>
      <c r="B260" s="23" t="s">
        <v>2174</v>
      </c>
      <c r="C260" s="40">
        <v>504.29</v>
      </c>
      <c r="D260" s="24">
        <v>15</v>
      </c>
      <c r="E260" t="str">
        <f>_xlfn.XLOOKUP(A260,'[1]query (5)'!$C:$C,'[1]query (5)'!$A:$A)</f>
        <v>5090590</v>
      </c>
    </row>
    <row r="261" spans="1:5" x14ac:dyDescent="0.3">
      <c r="A261" s="23">
        <v>5095343</v>
      </c>
      <c r="B261" s="23" t="s">
        <v>2175</v>
      </c>
      <c r="C261" s="40">
        <v>2326.0700000000002</v>
      </c>
      <c r="D261" s="24">
        <v>140</v>
      </c>
      <c r="E261" t="e">
        <f>_xlfn.XLOOKUP(A261,'[1]query (5)'!$C:$C,'[1]query (5)'!$A:$A)</f>
        <v>#N/A</v>
      </c>
    </row>
    <row r="262" spans="1:5" x14ac:dyDescent="0.3">
      <c r="A262" s="23">
        <v>5095366</v>
      </c>
      <c r="B262" s="23" t="s">
        <v>2616</v>
      </c>
      <c r="C262" s="40">
        <v>58.39</v>
      </c>
      <c r="D262" s="24">
        <v>3</v>
      </c>
      <c r="E262" t="e">
        <f>_xlfn.XLOOKUP(A262,'[1]query (5)'!$C:$C,'[1]query (5)'!$A:$A)</f>
        <v>#N/A</v>
      </c>
    </row>
    <row r="263" spans="1:5" x14ac:dyDescent="0.3">
      <c r="A263" s="23">
        <v>5114992</v>
      </c>
      <c r="B263" s="23" t="s">
        <v>2617</v>
      </c>
      <c r="C263" s="40">
        <v>71.959999999999994</v>
      </c>
      <c r="D263" s="24">
        <v>4</v>
      </c>
      <c r="E263" t="e">
        <f>_xlfn.XLOOKUP(A263,'[1]query (5)'!$C:$C,'[1]query (5)'!$A:$A)</f>
        <v>#N/A</v>
      </c>
    </row>
    <row r="264" spans="1:5" x14ac:dyDescent="0.3">
      <c r="A264" s="23">
        <v>5115146</v>
      </c>
      <c r="B264" s="23" t="s">
        <v>2176</v>
      </c>
      <c r="C264" s="40">
        <v>2962.17</v>
      </c>
      <c r="D264" s="24">
        <v>107</v>
      </c>
      <c r="E264" t="str">
        <f>_xlfn.XLOOKUP(A264,'[1]query (5)'!$C:$C,'[1]query (5)'!$A:$A)</f>
        <v>5090795</v>
      </c>
    </row>
    <row r="265" spans="1:5" x14ac:dyDescent="0.3">
      <c r="A265" s="23">
        <v>5115445</v>
      </c>
      <c r="B265" s="23" t="s">
        <v>2618</v>
      </c>
      <c r="C265" s="40">
        <v>55.37</v>
      </c>
      <c r="D265" s="24">
        <v>2</v>
      </c>
      <c r="E265" t="str">
        <f>_xlfn.XLOOKUP(A265,'[1]query (5)'!$C:$C,'[1]query (5)'!$A:$A)</f>
        <v>5090795</v>
      </c>
    </row>
    <row r="266" spans="1:5" x14ac:dyDescent="0.3">
      <c r="A266" s="23">
        <v>5118107</v>
      </c>
      <c r="B266" s="23" t="s">
        <v>2619</v>
      </c>
      <c r="C266" s="40">
        <v>21.6</v>
      </c>
      <c r="D266" s="24">
        <v>1</v>
      </c>
      <c r="E266" t="e">
        <f>_xlfn.XLOOKUP(A266,'[1]query (5)'!$C:$C,'[1]query (5)'!$A:$A)</f>
        <v>#N/A</v>
      </c>
    </row>
    <row r="267" spans="1:5" x14ac:dyDescent="0.3">
      <c r="A267" s="23">
        <v>5119154</v>
      </c>
      <c r="B267" s="23" t="s">
        <v>1874</v>
      </c>
      <c r="C267" s="40">
        <v>68.709999999999994</v>
      </c>
      <c r="D267" s="24">
        <v>2</v>
      </c>
      <c r="E267" t="e">
        <f>_xlfn.XLOOKUP(A267,'[1]query (5)'!$C:$C,'[1]query (5)'!$A:$A)</f>
        <v>#N/A</v>
      </c>
    </row>
    <row r="268" spans="1:5" x14ac:dyDescent="0.3">
      <c r="A268" s="23">
        <v>5122395</v>
      </c>
      <c r="B268" s="23" t="s">
        <v>2620</v>
      </c>
      <c r="C268" s="40">
        <v>7.51</v>
      </c>
      <c r="D268" s="24">
        <v>1</v>
      </c>
      <c r="E268" t="e">
        <f>_xlfn.XLOOKUP(A268,'[1]query (5)'!$C:$C,'[1]query (5)'!$A:$A)</f>
        <v>#N/A</v>
      </c>
    </row>
    <row r="269" spans="1:5" x14ac:dyDescent="0.3">
      <c r="A269" s="23">
        <v>5122405</v>
      </c>
      <c r="B269" s="23" t="s">
        <v>1453</v>
      </c>
      <c r="C269" s="40">
        <v>55.23</v>
      </c>
      <c r="D269" s="24">
        <v>3</v>
      </c>
      <c r="E269" t="e">
        <f>_xlfn.XLOOKUP(A269,'[1]query (5)'!$C:$C,'[1]query (5)'!$A:$A)</f>
        <v>#N/A</v>
      </c>
    </row>
    <row r="270" spans="1:5" x14ac:dyDescent="0.3">
      <c r="A270" s="23">
        <v>5122406</v>
      </c>
      <c r="B270" s="23" t="s">
        <v>1454</v>
      </c>
      <c r="C270" s="40">
        <v>55.23</v>
      </c>
      <c r="D270" s="24">
        <v>3</v>
      </c>
      <c r="E270" t="e">
        <f>_xlfn.XLOOKUP(A270,'[1]query (5)'!$C:$C,'[1]query (5)'!$A:$A)</f>
        <v>#N/A</v>
      </c>
    </row>
    <row r="271" spans="1:5" x14ac:dyDescent="0.3">
      <c r="A271" s="23">
        <v>5122407</v>
      </c>
      <c r="B271" s="23" t="s">
        <v>1455</v>
      </c>
      <c r="C271" s="40">
        <v>110.46</v>
      </c>
      <c r="D271" s="24">
        <v>6</v>
      </c>
      <c r="E271" t="e">
        <f>_xlfn.XLOOKUP(A271,'[1]query (5)'!$C:$C,'[1]query (5)'!$A:$A)</f>
        <v>#N/A</v>
      </c>
    </row>
    <row r="272" spans="1:5" x14ac:dyDescent="0.3">
      <c r="A272" s="23">
        <v>5122410</v>
      </c>
      <c r="B272" s="23" t="s">
        <v>1469</v>
      </c>
      <c r="C272" s="40">
        <v>16.86</v>
      </c>
      <c r="D272" s="24">
        <v>1</v>
      </c>
      <c r="E272" t="e">
        <f>_xlfn.XLOOKUP(A272,'[1]query (5)'!$C:$C,'[1]query (5)'!$A:$A)</f>
        <v>#N/A</v>
      </c>
    </row>
    <row r="273" spans="1:5" x14ac:dyDescent="0.3">
      <c r="A273" s="23">
        <v>5122627</v>
      </c>
      <c r="B273" s="23" t="s">
        <v>1623</v>
      </c>
      <c r="C273" s="40">
        <v>17129.66</v>
      </c>
      <c r="D273" s="24">
        <v>809</v>
      </c>
      <c r="E273" t="e">
        <f>_xlfn.XLOOKUP(A273,'[1]query (5)'!$C:$C,'[1]query (5)'!$A:$A)</f>
        <v>#N/A</v>
      </c>
    </row>
    <row r="274" spans="1:5" x14ac:dyDescent="0.3">
      <c r="A274" s="23">
        <v>5149183</v>
      </c>
      <c r="B274" s="23" t="s">
        <v>1671</v>
      </c>
      <c r="C274" s="40">
        <v>1451.97</v>
      </c>
      <c r="D274" s="24">
        <v>74</v>
      </c>
      <c r="E274" t="e">
        <f>_xlfn.XLOOKUP(A274,'[1]query (5)'!$C:$C,'[1]query (5)'!$A:$A)</f>
        <v>#N/A</v>
      </c>
    </row>
    <row r="275" spans="1:5" x14ac:dyDescent="0.3">
      <c r="A275" s="23">
        <v>5149186</v>
      </c>
      <c r="B275" s="23" t="s">
        <v>2177</v>
      </c>
      <c r="C275" s="40">
        <v>1715.34</v>
      </c>
      <c r="D275" s="24">
        <v>66</v>
      </c>
      <c r="E275" t="e">
        <f>_xlfn.XLOOKUP(A275,'[1]query (5)'!$C:$C,'[1]query (5)'!$A:$A)</f>
        <v>#N/A</v>
      </c>
    </row>
    <row r="276" spans="1:5" x14ac:dyDescent="0.3">
      <c r="A276" s="23">
        <v>5149187</v>
      </c>
      <c r="B276" s="23" t="s">
        <v>1670</v>
      </c>
      <c r="C276" s="40">
        <v>38113.64</v>
      </c>
      <c r="D276" s="24">
        <v>1052</v>
      </c>
      <c r="E276" t="e">
        <f>_xlfn.XLOOKUP(A276,'[1]query (5)'!$C:$C,'[1]query (5)'!$A:$A)</f>
        <v>#N/A</v>
      </c>
    </row>
    <row r="277" spans="1:5" x14ac:dyDescent="0.3">
      <c r="A277" s="23">
        <v>5158238</v>
      </c>
      <c r="B277" s="23" t="s">
        <v>2178</v>
      </c>
      <c r="C277" s="40">
        <v>83.01</v>
      </c>
      <c r="D277" s="24">
        <v>11</v>
      </c>
      <c r="E277" t="e">
        <f>_xlfn.XLOOKUP(A277,'[1]query (5)'!$C:$C,'[1]query (5)'!$A:$A)</f>
        <v>#N/A</v>
      </c>
    </row>
    <row r="278" spans="1:5" x14ac:dyDescent="0.3">
      <c r="A278" s="23">
        <v>5159075</v>
      </c>
      <c r="B278" s="23" t="s">
        <v>1463</v>
      </c>
      <c r="C278" s="40">
        <v>1205.71</v>
      </c>
      <c r="D278" s="24">
        <v>73</v>
      </c>
      <c r="E278" t="e">
        <f>_xlfn.XLOOKUP(A278,'[1]query (5)'!$C:$C,'[1]query (5)'!$A:$A)</f>
        <v>#N/A</v>
      </c>
    </row>
    <row r="279" spans="1:5" x14ac:dyDescent="0.3">
      <c r="A279" s="23">
        <v>5180253</v>
      </c>
      <c r="B279" s="23" t="s">
        <v>2179</v>
      </c>
      <c r="C279" s="40">
        <v>158.56</v>
      </c>
      <c r="D279" s="24">
        <v>8</v>
      </c>
      <c r="E279" t="e">
        <f>_xlfn.XLOOKUP(A279,'[1]query (5)'!$C:$C,'[1]query (5)'!$A:$A)</f>
        <v>#N/A</v>
      </c>
    </row>
    <row r="280" spans="1:5" x14ac:dyDescent="0.3">
      <c r="A280" s="23">
        <v>5180254</v>
      </c>
      <c r="B280" s="23" t="s">
        <v>2180</v>
      </c>
      <c r="C280" s="40">
        <v>89.88</v>
      </c>
      <c r="D280" s="24">
        <v>7</v>
      </c>
      <c r="E280" t="e">
        <f>_xlfn.XLOOKUP(A280,'[1]query (5)'!$C:$C,'[1]query (5)'!$A:$A)</f>
        <v>#N/A</v>
      </c>
    </row>
    <row r="281" spans="1:5" x14ac:dyDescent="0.3">
      <c r="A281" s="23">
        <v>5180255</v>
      </c>
      <c r="B281" s="23" t="s">
        <v>2181</v>
      </c>
      <c r="C281" s="40">
        <v>77.319999999999993</v>
      </c>
      <c r="D281" s="24">
        <v>6</v>
      </c>
      <c r="E281" t="e">
        <f>_xlfn.XLOOKUP(A281,'[1]query (5)'!$C:$C,'[1]query (5)'!$A:$A)</f>
        <v>#N/A</v>
      </c>
    </row>
    <row r="282" spans="1:5" x14ac:dyDescent="0.3">
      <c r="A282" s="23">
        <v>5180256</v>
      </c>
      <c r="B282" s="23" t="s">
        <v>2182</v>
      </c>
      <c r="C282" s="40">
        <v>130.13</v>
      </c>
      <c r="D282" s="24">
        <v>7</v>
      </c>
      <c r="E282" t="e">
        <f>_xlfn.XLOOKUP(A282,'[1]query (5)'!$C:$C,'[1]query (5)'!$A:$A)</f>
        <v>#N/A</v>
      </c>
    </row>
    <row r="283" spans="1:5" x14ac:dyDescent="0.3">
      <c r="A283" s="23">
        <v>5180262</v>
      </c>
      <c r="B283" s="23" t="s">
        <v>2183</v>
      </c>
      <c r="C283" s="40">
        <v>4821.3599999999997</v>
      </c>
      <c r="D283" s="24">
        <v>143</v>
      </c>
      <c r="E283" t="e">
        <f>_xlfn.XLOOKUP(A283,'[1]query (5)'!$C:$C,'[1]query (5)'!$A:$A)</f>
        <v>#N/A</v>
      </c>
    </row>
    <row r="284" spans="1:5" x14ac:dyDescent="0.3">
      <c r="A284" s="23">
        <v>5180263</v>
      </c>
      <c r="B284" s="23" t="s">
        <v>2184</v>
      </c>
      <c r="C284" s="40">
        <v>4414.5200000000004</v>
      </c>
      <c r="D284" s="24">
        <v>211</v>
      </c>
      <c r="E284" t="e">
        <f>_xlfn.XLOOKUP(A284,'[1]query (5)'!$C:$C,'[1]query (5)'!$A:$A)</f>
        <v>#N/A</v>
      </c>
    </row>
    <row r="285" spans="1:5" x14ac:dyDescent="0.3">
      <c r="A285" s="23">
        <v>5180264</v>
      </c>
      <c r="B285" s="23" t="s">
        <v>1679</v>
      </c>
      <c r="C285" s="40">
        <v>2097.1799999999998</v>
      </c>
      <c r="D285" s="24">
        <v>102</v>
      </c>
      <c r="E285" t="e">
        <f>_xlfn.XLOOKUP(A285,'[1]query (5)'!$C:$C,'[1]query (5)'!$A:$A)</f>
        <v>#N/A</v>
      </c>
    </row>
    <row r="286" spans="1:5" x14ac:dyDescent="0.3">
      <c r="A286" s="23">
        <v>5180412</v>
      </c>
      <c r="B286" s="23" t="s">
        <v>2185</v>
      </c>
      <c r="C286" s="40">
        <v>1221.3900000000001</v>
      </c>
      <c r="D286" s="24">
        <v>47</v>
      </c>
      <c r="E286" t="e">
        <f>_xlfn.XLOOKUP(A286,'[1]query (5)'!$C:$C,'[1]query (5)'!$A:$A)</f>
        <v>#N/A</v>
      </c>
    </row>
    <row r="287" spans="1:5" x14ac:dyDescent="0.3">
      <c r="A287" s="23">
        <v>5180446</v>
      </c>
      <c r="B287" s="23" t="s">
        <v>5236</v>
      </c>
      <c r="C287" s="40">
        <v>152.1</v>
      </c>
      <c r="D287" s="24">
        <v>3</v>
      </c>
      <c r="E287" t="e">
        <f>_xlfn.XLOOKUP(A287,'[1]query (5)'!$C:$C,'[1]query (5)'!$A:$A)</f>
        <v>#N/A</v>
      </c>
    </row>
    <row r="288" spans="1:5" x14ac:dyDescent="0.3">
      <c r="A288" s="23">
        <v>5180447</v>
      </c>
      <c r="B288" s="23" t="s">
        <v>1678</v>
      </c>
      <c r="C288" s="40">
        <v>12308.74</v>
      </c>
      <c r="D288" s="24">
        <v>229</v>
      </c>
      <c r="E288" t="e">
        <f>_xlfn.XLOOKUP(A288,'[1]query (5)'!$C:$C,'[1]query (5)'!$A:$A)</f>
        <v>#N/A</v>
      </c>
    </row>
    <row r="289" spans="1:5" x14ac:dyDescent="0.3">
      <c r="A289" s="23">
        <v>5180448</v>
      </c>
      <c r="B289" s="23" t="s">
        <v>2186</v>
      </c>
      <c r="C289" s="40">
        <v>24301.93</v>
      </c>
      <c r="D289" s="24">
        <v>696</v>
      </c>
      <c r="E289" t="e">
        <f>_xlfn.XLOOKUP(A289,'[1]query (5)'!$C:$C,'[1]query (5)'!$A:$A)</f>
        <v>#N/A</v>
      </c>
    </row>
    <row r="290" spans="1:5" x14ac:dyDescent="0.3">
      <c r="A290" s="23">
        <v>5180449</v>
      </c>
      <c r="B290" s="23" t="s">
        <v>2187</v>
      </c>
      <c r="C290" s="40">
        <v>20525.88</v>
      </c>
      <c r="D290" s="24">
        <v>544</v>
      </c>
      <c r="E290" t="e">
        <f>_xlfn.XLOOKUP(A290,'[1]query (5)'!$C:$C,'[1]query (5)'!$A:$A)</f>
        <v>#N/A</v>
      </c>
    </row>
    <row r="291" spans="1:5" x14ac:dyDescent="0.3">
      <c r="A291" s="23">
        <v>5180470</v>
      </c>
      <c r="B291" s="23" t="s">
        <v>2188</v>
      </c>
      <c r="C291" s="40">
        <v>4458.67</v>
      </c>
      <c r="D291" s="24">
        <v>103</v>
      </c>
      <c r="E291" t="e">
        <f>_xlfn.XLOOKUP(A291,'[1]query (5)'!$C:$C,'[1]query (5)'!$A:$A)</f>
        <v>#N/A</v>
      </c>
    </row>
    <row r="292" spans="1:5" x14ac:dyDescent="0.3">
      <c r="A292" s="23">
        <v>5180478</v>
      </c>
      <c r="B292" s="23" t="s">
        <v>1637</v>
      </c>
      <c r="C292" s="40">
        <v>91.58</v>
      </c>
      <c r="D292" s="24">
        <v>6</v>
      </c>
      <c r="E292" t="e">
        <f>_xlfn.XLOOKUP(A292,'[1]query (5)'!$C:$C,'[1]query (5)'!$A:$A)</f>
        <v>#N/A</v>
      </c>
    </row>
    <row r="293" spans="1:5" x14ac:dyDescent="0.3">
      <c r="A293" s="23">
        <v>5180479</v>
      </c>
      <c r="B293" s="23" t="s">
        <v>1641</v>
      </c>
      <c r="C293" s="40">
        <v>77.11</v>
      </c>
      <c r="D293" s="24">
        <v>5</v>
      </c>
      <c r="E293" t="e">
        <f>_xlfn.XLOOKUP(A293,'[1]query (5)'!$C:$C,'[1]query (5)'!$A:$A)</f>
        <v>#N/A</v>
      </c>
    </row>
    <row r="294" spans="1:5" x14ac:dyDescent="0.3">
      <c r="A294" s="23">
        <v>5180483</v>
      </c>
      <c r="B294" s="23" t="s">
        <v>1703</v>
      </c>
      <c r="C294" s="40">
        <v>0</v>
      </c>
      <c r="D294" s="25">
        <v>0</v>
      </c>
      <c r="E294" t="e">
        <f>_xlfn.XLOOKUP(A294,'[1]query (5)'!$C:$C,'[1]query (5)'!$A:$A)</f>
        <v>#N/A</v>
      </c>
    </row>
    <row r="295" spans="1:5" x14ac:dyDescent="0.3">
      <c r="A295" s="23">
        <v>5180484</v>
      </c>
      <c r="B295" s="23" t="s">
        <v>1704</v>
      </c>
      <c r="C295" s="40">
        <v>649.84</v>
      </c>
      <c r="D295" s="24">
        <v>19</v>
      </c>
      <c r="E295" t="e">
        <f>_xlfn.XLOOKUP(A295,'[1]query (5)'!$C:$C,'[1]query (5)'!$A:$A)</f>
        <v>#N/A</v>
      </c>
    </row>
    <row r="296" spans="1:5" x14ac:dyDescent="0.3">
      <c r="A296" s="23">
        <v>5180485</v>
      </c>
      <c r="B296" s="23" t="s">
        <v>1640</v>
      </c>
      <c r="C296" s="40">
        <v>29.67</v>
      </c>
      <c r="D296" s="24">
        <v>1</v>
      </c>
      <c r="E296" t="e">
        <f>_xlfn.XLOOKUP(A296,'[1]query (5)'!$C:$C,'[1]query (5)'!$A:$A)</f>
        <v>#N/A</v>
      </c>
    </row>
    <row r="297" spans="1:5" x14ac:dyDescent="0.3">
      <c r="A297" s="23">
        <v>5180486</v>
      </c>
      <c r="B297" s="23" t="s">
        <v>1638</v>
      </c>
      <c r="C297" s="40">
        <v>751.59</v>
      </c>
      <c r="D297" s="24">
        <v>25</v>
      </c>
      <c r="E297" t="e">
        <f>_xlfn.XLOOKUP(A297,'[1]query (5)'!$C:$C,'[1]query (5)'!$A:$A)</f>
        <v>#N/A</v>
      </c>
    </row>
    <row r="298" spans="1:5" x14ac:dyDescent="0.3">
      <c r="A298" s="23">
        <v>5180487</v>
      </c>
      <c r="B298" s="23" t="s">
        <v>1642</v>
      </c>
      <c r="C298" s="40">
        <v>507.18</v>
      </c>
      <c r="D298" s="24">
        <v>17</v>
      </c>
      <c r="E298" t="e">
        <f>_xlfn.XLOOKUP(A298,'[1]query (5)'!$C:$C,'[1]query (5)'!$A:$A)</f>
        <v>#N/A</v>
      </c>
    </row>
    <row r="299" spans="1:5" x14ac:dyDescent="0.3">
      <c r="A299" s="23">
        <v>5180488</v>
      </c>
      <c r="B299" s="23" t="s">
        <v>1643</v>
      </c>
      <c r="C299" s="40">
        <v>215.64</v>
      </c>
      <c r="D299" s="24">
        <v>4</v>
      </c>
      <c r="E299" t="e">
        <f>_xlfn.XLOOKUP(A299,'[1]query (5)'!$C:$C,'[1]query (5)'!$A:$A)</f>
        <v>#N/A</v>
      </c>
    </row>
    <row r="300" spans="1:5" x14ac:dyDescent="0.3">
      <c r="A300" s="23">
        <v>5180489</v>
      </c>
      <c r="B300" s="23" t="s">
        <v>1639</v>
      </c>
      <c r="C300" s="40">
        <v>269.55</v>
      </c>
      <c r="D300" s="24">
        <v>5</v>
      </c>
      <c r="E300" t="e">
        <f>_xlfn.XLOOKUP(A300,'[1]query (5)'!$C:$C,'[1]query (5)'!$A:$A)</f>
        <v>#N/A</v>
      </c>
    </row>
    <row r="301" spans="1:5" x14ac:dyDescent="0.3">
      <c r="A301" s="23">
        <v>5180490</v>
      </c>
      <c r="B301" s="23" t="s">
        <v>1457</v>
      </c>
      <c r="C301" s="40">
        <v>991.3</v>
      </c>
      <c r="D301" s="24">
        <v>28</v>
      </c>
      <c r="E301" t="e">
        <f>_xlfn.XLOOKUP(A301,'[1]query (5)'!$C:$C,'[1]query (5)'!$A:$A)</f>
        <v>#N/A</v>
      </c>
    </row>
    <row r="302" spans="1:5" x14ac:dyDescent="0.3">
      <c r="A302" s="23">
        <v>5180491</v>
      </c>
      <c r="B302" s="23" t="s">
        <v>1456</v>
      </c>
      <c r="C302" s="40">
        <v>3743.95</v>
      </c>
      <c r="D302" s="24">
        <v>105</v>
      </c>
      <c r="E302" t="e">
        <f>_xlfn.XLOOKUP(A302,'[1]query (5)'!$C:$C,'[1]query (5)'!$A:$A)</f>
        <v>#N/A</v>
      </c>
    </row>
    <row r="303" spans="1:5" x14ac:dyDescent="0.3">
      <c r="A303" s="23">
        <v>5180492</v>
      </c>
      <c r="B303" s="23" t="s">
        <v>1458</v>
      </c>
      <c r="C303" s="40">
        <v>6905.55</v>
      </c>
      <c r="D303" s="24">
        <v>195</v>
      </c>
      <c r="E303" t="e">
        <f>_xlfn.XLOOKUP(A303,'[1]query (5)'!$C:$C,'[1]query (5)'!$A:$A)</f>
        <v>#N/A</v>
      </c>
    </row>
    <row r="304" spans="1:5" x14ac:dyDescent="0.3">
      <c r="A304" s="23">
        <v>5180495</v>
      </c>
      <c r="B304" s="23" t="s">
        <v>1459</v>
      </c>
      <c r="C304" s="40">
        <v>743.47</v>
      </c>
      <c r="D304" s="24">
        <v>21</v>
      </c>
      <c r="E304" t="e">
        <f>_xlfn.XLOOKUP(A304,'[1]query (5)'!$C:$C,'[1]query (5)'!$A:$A)</f>
        <v>#N/A</v>
      </c>
    </row>
    <row r="305" spans="1:5" x14ac:dyDescent="0.3">
      <c r="A305" s="23">
        <v>5180496</v>
      </c>
      <c r="B305" s="23" t="s">
        <v>1460</v>
      </c>
      <c r="C305" s="40">
        <v>389.43</v>
      </c>
      <c r="D305" s="24">
        <v>11</v>
      </c>
      <c r="E305" t="e">
        <f>_xlfn.XLOOKUP(A305,'[1]query (5)'!$C:$C,'[1]query (5)'!$A:$A)</f>
        <v>#N/A</v>
      </c>
    </row>
    <row r="306" spans="1:5" x14ac:dyDescent="0.3">
      <c r="A306" s="23">
        <v>5180498</v>
      </c>
      <c r="B306" s="23" t="s">
        <v>1461</v>
      </c>
      <c r="C306" s="40">
        <v>27087.18</v>
      </c>
      <c r="D306" s="24">
        <v>765</v>
      </c>
      <c r="E306" t="e">
        <f>_xlfn.XLOOKUP(A306,'[1]query (5)'!$C:$C,'[1]query (5)'!$A:$A)</f>
        <v>#N/A</v>
      </c>
    </row>
    <row r="307" spans="1:5" x14ac:dyDescent="0.3">
      <c r="A307" s="23">
        <v>5180583</v>
      </c>
      <c r="B307" s="23" t="s">
        <v>2189</v>
      </c>
      <c r="C307" s="40">
        <v>32.58</v>
      </c>
      <c r="D307" s="24">
        <v>2</v>
      </c>
      <c r="E307" t="e">
        <f>_xlfn.XLOOKUP(A307,'[1]query (5)'!$C:$C,'[1]query (5)'!$A:$A)</f>
        <v>#N/A</v>
      </c>
    </row>
    <row r="308" spans="1:5" x14ac:dyDescent="0.3">
      <c r="A308" s="23">
        <v>5180652</v>
      </c>
      <c r="B308" s="23" t="s">
        <v>1687</v>
      </c>
      <c r="C308" s="40">
        <v>1409.36</v>
      </c>
      <c r="D308" s="24">
        <v>39</v>
      </c>
      <c r="E308" t="e">
        <f>_xlfn.XLOOKUP(A308,'[1]query (5)'!$C:$C,'[1]query (5)'!$A:$A)</f>
        <v>#N/A</v>
      </c>
    </row>
    <row r="309" spans="1:5" x14ac:dyDescent="0.3">
      <c r="A309" s="23">
        <v>5180665</v>
      </c>
      <c r="B309" s="23" t="s">
        <v>1689</v>
      </c>
      <c r="C309" s="40">
        <v>389.65</v>
      </c>
      <c r="D309" s="24">
        <v>11</v>
      </c>
      <c r="E309" t="e">
        <f>_xlfn.XLOOKUP(A309,'[1]query (5)'!$C:$C,'[1]query (5)'!$A:$A)</f>
        <v>#N/A</v>
      </c>
    </row>
    <row r="310" spans="1:5" x14ac:dyDescent="0.3">
      <c r="A310" s="23">
        <v>5180701</v>
      </c>
      <c r="B310" s="23" t="s">
        <v>1690</v>
      </c>
      <c r="C310" s="40">
        <v>7795.88</v>
      </c>
      <c r="D310" s="24">
        <v>115</v>
      </c>
      <c r="E310" t="e">
        <f>_xlfn.XLOOKUP(A310,'[1]query (5)'!$C:$C,'[1]query (5)'!$A:$A)</f>
        <v>#N/A</v>
      </c>
    </row>
    <row r="311" spans="1:5" x14ac:dyDescent="0.3">
      <c r="A311" s="23">
        <v>5180702</v>
      </c>
      <c r="B311" s="23" t="s">
        <v>1691</v>
      </c>
      <c r="C311" s="40">
        <v>0</v>
      </c>
      <c r="D311" s="25">
        <v>0</v>
      </c>
      <c r="E311" t="e">
        <f>_xlfn.XLOOKUP(A311,'[1]query (5)'!$C:$C,'[1]query (5)'!$A:$A)</f>
        <v>#N/A</v>
      </c>
    </row>
    <row r="312" spans="1:5" x14ac:dyDescent="0.3">
      <c r="A312" s="23">
        <v>5180704</v>
      </c>
      <c r="B312" s="23" t="s">
        <v>1694</v>
      </c>
      <c r="C312" s="40">
        <v>3543.88</v>
      </c>
      <c r="D312" s="24">
        <v>59</v>
      </c>
      <c r="E312" t="e">
        <f>_xlfn.XLOOKUP(A312,'[1]query (5)'!$C:$C,'[1]query (5)'!$A:$A)</f>
        <v>#N/A</v>
      </c>
    </row>
    <row r="313" spans="1:5" x14ac:dyDescent="0.3">
      <c r="A313" s="23">
        <v>5180705</v>
      </c>
      <c r="B313" s="23" t="s">
        <v>1697</v>
      </c>
      <c r="C313" s="40">
        <v>2766.82</v>
      </c>
      <c r="D313" s="24">
        <v>43</v>
      </c>
      <c r="E313" t="e">
        <f>_xlfn.XLOOKUP(A313,'[1]query (5)'!$C:$C,'[1]query (5)'!$A:$A)</f>
        <v>#N/A</v>
      </c>
    </row>
    <row r="314" spans="1:5" x14ac:dyDescent="0.3">
      <c r="A314" s="23">
        <v>5180706</v>
      </c>
      <c r="B314" s="23" t="s">
        <v>1700</v>
      </c>
      <c r="C314" s="40">
        <v>903.12</v>
      </c>
      <c r="D314" s="24">
        <v>15</v>
      </c>
      <c r="E314" t="e">
        <f>_xlfn.XLOOKUP(A314,'[1]query (5)'!$C:$C,'[1]query (5)'!$A:$A)</f>
        <v>#N/A</v>
      </c>
    </row>
    <row r="315" spans="1:5" x14ac:dyDescent="0.3">
      <c r="A315" s="23">
        <v>5180707</v>
      </c>
      <c r="B315" s="23" t="s">
        <v>1702</v>
      </c>
      <c r="C315" s="40">
        <v>694.33</v>
      </c>
      <c r="D315" s="24">
        <v>11</v>
      </c>
      <c r="E315" t="e">
        <f>_xlfn.XLOOKUP(A315,'[1]query (5)'!$C:$C,'[1]query (5)'!$A:$A)</f>
        <v>#N/A</v>
      </c>
    </row>
    <row r="316" spans="1:5" x14ac:dyDescent="0.3">
      <c r="A316" s="23">
        <v>5180744</v>
      </c>
      <c r="B316" s="23" t="s">
        <v>1688</v>
      </c>
      <c r="C316" s="40">
        <v>29169.38</v>
      </c>
      <c r="D316" s="24">
        <v>431</v>
      </c>
      <c r="E316" t="e">
        <f>_xlfn.XLOOKUP(A316,'[1]query (5)'!$C:$C,'[1]query (5)'!$A:$A)</f>
        <v>#N/A</v>
      </c>
    </row>
    <row r="317" spans="1:5" x14ac:dyDescent="0.3">
      <c r="A317" s="23">
        <v>5183209</v>
      </c>
      <c r="B317" s="23" t="s">
        <v>1630</v>
      </c>
      <c r="C317" s="40">
        <v>41.32</v>
      </c>
      <c r="D317" s="24">
        <v>2</v>
      </c>
      <c r="E317" t="e">
        <f>_xlfn.XLOOKUP(A317,'[1]query (5)'!$C:$C,'[1]query (5)'!$A:$A)</f>
        <v>#N/A</v>
      </c>
    </row>
    <row r="318" spans="1:5" x14ac:dyDescent="0.3">
      <c r="A318" s="23">
        <v>5183260</v>
      </c>
      <c r="B318" s="23" t="s">
        <v>2190</v>
      </c>
      <c r="C318" s="40">
        <v>138.36000000000001</v>
      </c>
      <c r="D318" s="24">
        <v>12</v>
      </c>
      <c r="E318" t="e">
        <f>_xlfn.XLOOKUP(A318,'[1]query (5)'!$C:$C,'[1]query (5)'!$A:$A)</f>
        <v>#N/A</v>
      </c>
    </row>
    <row r="319" spans="1:5" x14ac:dyDescent="0.3">
      <c r="A319" s="23">
        <v>5183261</v>
      </c>
      <c r="B319" s="23" t="s">
        <v>2191</v>
      </c>
      <c r="C319" s="40">
        <v>59.51</v>
      </c>
      <c r="D319" s="24">
        <v>6</v>
      </c>
      <c r="E319" t="e">
        <f>_xlfn.XLOOKUP(A319,'[1]query (5)'!$C:$C,'[1]query (5)'!$A:$A)</f>
        <v>#N/A</v>
      </c>
    </row>
    <row r="320" spans="1:5" x14ac:dyDescent="0.3">
      <c r="A320" s="23">
        <v>5183270</v>
      </c>
      <c r="B320" s="23" t="s">
        <v>1635</v>
      </c>
      <c r="C320" s="40">
        <v>130.83000000000001</v>
      </c>
      <c r="D320" s="24">
        <v>7</v>
      </c>
      <c r="E320" t="e">
        <f>_xlfn.XLOOKUP(A320,'[1]query (5)'!$C:$C,'[1]query (5)'!$A:$A)</f>
        <v>#N/A</v>
      </c>
    </row>
    <row r="321" spans="1:5" x14ac:dyDescent="0.3">
      <c r="A321" s="23">
        <v>5183272</v>
      </c>
      <c r="B321" s="23" t="s">
        <v>1629</v>
      </c>
      <c r="C321" s="40">
        <v>766.47</v>
      </c>
      <c r="D321" s="24">
        <v>41</v>
      </c>
      <c r="E321" t="e">
        <f>_xlfn.XLOOKUP(A321,'[1]query (5)'!$C:$C,'[1]query (5)'!$A:$A)</f>
        <v>#N/A</v>
      </c>
    </row>
    <row r="322" spans="1:5" x14ac:dyDescent="0.3">
      <c r="A322" s="23">
        <v>5183273</v>
      </c>
      <c r="B322" s="23" t="s">
        <v>1614</v>
      </c>
      <c r="C322" s="40">
        <v>14.67</v>
      </c>
      <c r="D322" s="24">
        <v>1</v>
      </c>
      <c r="E322" t="e">
        <f>_xlfn.XLOOKUP(A322,'[1]query (5)'!$C:$C,'[1]query (5)'!$A:$A)</f>
        <v>#N/A</v>
      </c>
    </row>
    <row r="323" spans="1:5" x14ac:dyDescent="0.3">
      <c r="A323" s="23">
        <v>5183274</v>
      </c>
      <c r="B323" s="23" t="s">
        <v>2622</v>
      </c>
      <c r="C323" s="40">
        <v>15.8</v>
      </c>
      <c r="D323" s="24">
        <v>1</v>
      </c>
      <c r="E323" t="e">
        <f>_xlfn.XLOOKUP(A323,'[1]query (5)'!$C:$C,'[1]query (5)'!$A:$A)</f>
        <v>#N/A</v>
      </c>
    </row>
    <row r="324" spans="1:5" x14ac:dyDescent="0.3">
      <c r="A324" s="23">
        <v>5183277</v>
      </c>
      <c r="B324" s="23" t="s">
        <v>1615</v>
      </c>
      <c r="C324" s="40">
        <v>29.12</v>
      </c>
      <c r="D324" s="24">
        <v>1</v>
      </c>
      <c r="E324" t="e">
        <f>_xlfn.XLOOKUP(A324,'[1]query (5)'!$C:$C,'[1]query (5)'!$A:$A)</f>
        <v>#N/A</v>
      </c>
    </row>
    <row r="325" spans="1:5" x14ac:dyDescent="0.3">
      <c r="A325" s="23">
        <v>5183280</v>
      </c>
      <c r="B325" s="23" t="s">
        <v>1706</v>
      </c>
      <c r="C325" s="40">
        <v>12.4</v>
      </c>
      <c r="D325" s="24">
        <v>1</v>
      </c>
      <c r="E325" t="e">
        <f>_xlfn.XLOOKUP(A325,'[1]query (5)'!$C:$C,'[1]query (5)'!$A:$A)</f>
        <v>#N/A</v>
      </c>
    </row>
    <row r="326" spans="1:5" x14ac:dyDescent="0.3">
      <c r="A326" s="23">
        <v>5183281</v>
      </c>
      <c r="B326" s="23" t="s">
        <v>2192</v>
      </c>
      <c r="C326" s="40">
        <v>83.36</v>
      </c>
      <c r="D326" s="24">
        <v>8</v>
      </c>
      <c r="E326" t="e">
        <f>_xlfn.XLOOKUP(A326,'[1]query (5)'!$C:$C,'[1]query (5)'!$A:$A)</f>
        <v>#N/A</v>
      </c>
    </row>
    <row r="327" spans="1:5" x14ac:dyDescent="0.3">
      <c r="A327" s="23">
        <v>5183282</v>
      </c>
      <c r="B327" s="23" t="s">
        <v>2193</v>
      </c>
      <c r="C327" s="40">
        <v>15.1</v>
      </c>
      <c r="D327" s="24">
        <v>2</v>
      </c>
      <c r="E327" t="e">
        <f>_xlfn.XLOOKUP(A327,'[1]query (5)'!$C:$C,'[1]query (5)'!$A:$A)</f>
        <v>#N/A</v>
      </c>
    </row>
    <row r="328" spans="1:5" x14ac:dyDescent="0.3">
      <c r="A328" s="23">
        <v>5183283</v>
      </c>
      <c r="B328" s="23" t="s">
        <v>2194</v>
      </c>
      <c r="C328" s="40">
        <v>17.739999999999998</v>
      </c>
      <c r="D328" s="24">
        <v>2</v>
      </c>
      <c r="E328" t="e">
        <f>_xlfn.XLOOKUP(A328,'[1]query (5)'!$C:$C,'[1]query (5)'!$A:$A)</f>
        <v>#N/A</v>
      </c>
    </row>
    <row r="329" spans="1:5" x14ac:dyDescent="0.3">
      <c r="A329" s="23">
        <v>5183284</v>
      </c>
      <c r="B329" s="23" t="s">
        <v>1660</v>
      </c>
      <c r="C329" s="40">
        <v>53.07</v>
      </c>
      <c r="D329" s="24">
        <v>3</v>
      </c>
      <c r="E329" t="e">
        <f>_xlfn.XLOOKUP(A329,'[1]query (5)'!$C:$C,'[1]query (5)'!$A:$A)</f>
        <v>#N/A</v>
      </c>
    </row>
    <row r="330" spans="1:5" x14ac:dyDescent="0.3">
      <c r="A330" s="23">
        <v>5183285</v>
      </c>
      <c r="B330" s="23" t="s">
        <v>1663</v>
      </c>
      <c r="C330" s="40">
        <v>56.44</v>
      </c>
      <c r="D330" s="24">
        <v>4</v>
      </c>
      <c r="E330" t="e">
        <f>_xlfn.XLOOKUP(A330,'[1]query (5)'!$C:$C,'[1]query (5)'!$A:$A)</f>
        <v>#N/A</v>
      </c>
    </row>
    <row r="331" spans="1:5" x14ac:dyDescent="0.3">
      <c r="A331" s="23">
        <v>5183326</v>
      </c>
      <c r="B331" s="23" t="s">
        <v>2195</v>
      </c>
      <c r="C331" s="40">
        <v>76.48</v>
      </c>
      <c r="D331" s="24">
        <v>4</v>
      </c>
      <c r="E331" t="e">
        <f>_xlfn.XLOOKUP(A331,'[1]query (5)'!$C:$C,'[1]query (5)'!$A:$A)</f>
        <v>#N/A</v>
      </c>
    </row>
    <row r="332" spans="1:5" x14ac:dyDescent="0.3">
      <c r="A332" s="23">
        <v>5183327</v>
      </c>
      <c r="B332" s="23" t="s">
        <v>2196</v>
      </c>
      <c r="C332" s="40">
        <v>159.04</v>
      </c>
      <c r="D332" s="24">
        <v>7</v>
      </c>
      <c r="E332" t="e">
        <f>_xlfn.XLOOKUP(A332,'[1]query (5)'!$C:$C,'[1]query (5)'!$A:$A)</f>
        <v>#N/A</v>
      </c>
    </row>
    <row r="333" spans="1:5" x14ac:dyDescent="0.3">
      <c r="A333" s="23">
        <v>5183328</v>
      </c>
      <c r="B333" s="23" t="s">
        <v>2197</v>
      </c>
      <c r="C333" s="40">
        <v>2994.78</v>
      </c>
      <c r="D333" s="24">
        <v>132</v>
      </c>
      <c r="E333" t="e">
        <f>_xlfn.XLOOKUP(A333,'[1]query (5)'!$C:$C,'[1]query (5)'!$A:$A)</f>
        <v>#N/A</v>
      </c>
    </row>
    <row r="334" spans="1:5" x14ac:dyDescent="0.3">
      <c r="A334" s="23">
        <v>5183329</v>
      </c>
      <c r="B334" s="23" t="s">
        <v>2198</v>
      </c>
      <c r="C334" s="40">
        <v>1312.45</v>
      </c>
      <c r="D334" s="24">
        <v>78</v>
      </c>
      <c r="E334" t="e">
        <f>_xlfn.XLOOKUP(A334,'[1]query (5)'!$C:$C,'[1]query (5)'!$A:$A)</f>
        <v>#N/A</v>
      </c>
    </row>
    <row r="335" spans="1:5" x14ac:dyDescent="0.3">
      <c r="A335" s="23">
        <v>5183358</v>
      </c>
      <c r="B335" s="23" t="s">
        <v>1692</v>
      </c>
      <c r="C335" s="40">
        <v>44.65</v>
      </c>
      <c r="D335" s="24">
        <v>3</v>
      </c>
      <c r="E335" t="e">
        <f>_xlfn.XLOOKUP(A335,'[1]query (5)'!$C:$C,'[1]query (5)'!$A:$A)</f>
        <v>#N/A</v>
      </c>
    </row>
    <row r="336" spans="1:5" x14ac:dyDescent="0.3">
      <c r="A336" s="23">
        <v>5183359</v>
      </c>
      <c r="B336" s="23" t="s">
        <v>1695</v>
      </c>
      <c r="C336" s="40">
        <v>59.31</v>
      </c>
      <c r="D336" s="24">
        <v>4</v>
      </c>
      <c r="E336" t="e">
        <f>_xlfn.XLOOKUP(A336,'[1]query (5)'!$C:$C,'[1]query (5)'!$A:$A)</f>
        <v>#N/A</v>
      </c>
    </row>
    <row r="337" spans="1:5" x14ac:dyDescent="0.3">
      <c r="A337" s="23">
        <v>5183362</v>
      </c>
      <c r="B337" s="23" t="s">
        <v>1631</v>
      </c>
      <c r="C337" s="40">
        <v>711.41</v>
      </c>
      <c r="D337" s="24">
        <v>17</v>
      </c>
      <c r="E337" t="e">
        <f>_xlfn.XLOOKUP(A337,'[1]query (5)'!$C:$C,'[1]query (5)'!$A:$A)</f>
        <v>#N/A</v>
      </c>
    </row>
    <row r="338" spans="1:5" x14ac:dyDescent="0.3">
      <c r="A338" s="23">
        <v>5183363</v>
      </c>
      <c r="B338" s="23" t="s">
        <v>1636</v>
      </c>
      <c r="C338" s="40">
        <v>2713.87</v>
      </c>
      <c r="D338" s="24">
        <v>65</v>
      </c>
      <c r="E338" t="e">
        <f>_xlfn.XLOOKUP(A338,'[1]query (5)'!$C:$C,'[1]query (5)'!$A:$A)</f>
        <v>#N/A</v>
      </c>
    </row>
    <row r="339" spans="1:5" x14ac:dyDescent="0.3">
      <c r="A339" s="23">
        <v>5183368</v>
      </c>
      <c r="B339" s="23" t="s">
        <v>1612</v>
      </c>
      <c r="C339" s="40">
        <v>58.72</v>
      </c>
      <c r="D339" s="24">
        <v>2</v>
      </c>
      <c r="E339" t="e">
        <f>_xlfn.XLOOKUP(A339,'[1]query (5)'!$C:$C,'[1]query (5)'!$A:$A)</f>
        <v>#N/A</v>
      </c>
    </row>
    <row r="340" spans="1:5" x14ac:dyDescent="0.3">
      <c r="A340" s="23">
        <v>5183369</v>
      </c>
      <c r="B340" s="23" t="s">
        <v>1661</v>
      </c>
      <c r="C340" s="40">
        <v>179.88</v>
      </c>
      <c r="D340" s="24">
        <v>6</v>
      </c>
      <c r="E340" t="e">
        <f>_xlfn.XLOOKUP(A340,'[1]query (5)'!$C:$C,'[1]query (5)'!$A:$A)</f>
        <v>#N/A</v>
      </c>
    </row>
    <row r="341" spans="1:5" x14ac:dyDescent="0.3">
      <c r="A341" s="23">
        <v>5183381</v>
      </c>
      <c r="B341" s="23" t="s">
        <v>2199</v>
      </c>
      <c r="C341" s="40">
        <v>1602.02</v>
      </c>
      <c r="D341" s="24">
        <v>83</v>
      </c>
      <c r="E341" t="e">
        <f>_xlfn.XLOOKUP(A341,'[1]query (5)'!$C:$C,'[1]query (5)'!$A:$A)</f>
        <v>#N/A</v>
      </c>
    </row>
    <row r="342" spans="1:5" x14ac:dyDescent="0.3">
      <c r="A342" s="23">
        <v>5183382</v>
      </c>
      <c r="B342" s="23" t="s">
        <v>2200</v>
      </c>
      <c r="C342" s="40">
        <v>1520.04</v>
      </c>
      <c r="D342" s="24">
        <v>110</v>
      </c>
      <c r="E342" t="e">
        <f>_xlfn.XLOOKUP(A342,'[1]query (5)'!$C:$C,'[1]query (5)'!$A:$A)</f>
        <v>#N/A</v>
      </c>
    </row>
    <row r="343" spans="1:5" x14ac:dyDescent="0.3">
      <c r="A343" s="23">
        <v>5183383</v>
      </c>
      <c r="B343" s="23" t="s">
        <v>2201</v>
      </c>
      <c r="C343" s="40">
        <v>252.48</v>
      </c>
      <c r="D343" s="24">
        <v>16</v>
      </c>
      <c r="E343" t="e">
        <f>_xlfn.XLOOKUP(A343,'[1]query (5)'!$C:$C,'[1]query (5)'!$A:$A)</f>
        <v>#N/A</v>
      </c>
    </row>
    <row r="344" spans="1:5" x14ac:dyDescent="0.3">
      <c r="A344" s="23">
        <v>5183384</v>
      </c>
      <c r="B344" s="23" t="s">
        <v>1707</v>
      </c>
      <c r="C344" s="40">
        <v>108.97</v>
      </c>
      <c r="D344" s="24">
        <v>4</v>
      </c>
      <c r="E344" t="e">
        <f>_xlfn.XLOOKUP(A344,'[1]query (5)'!$C:$C,'[1]query (5)'!$A:$A)</f>
        <v>#N/A</v>
      </c>
    </row>
    <row r="345" spans="1:5" x14ac:dyDescent="0.3">
      <c r="A345" s="23">
        <v>5183391</v>
      </c>
      <c r="B345" s="23" t="s">
        <v>1664</v>
      </c>
      <c r="C345" s="40">
        <v>295.94</v>
      </c>
      <c r="D345" s="24">
        <v>9</v>
      </c>
      <c r="E345" t="e">
        <f>_xlfn.XLOOKUP(A345,'[1]query (5)'!$C:$C,'[1]query (5)'!$A:$A)</f>
        <v>#N/A</v>
      </c>
    </row>
    <row r="346" spans="1:5" x14ac:dyDescent="0.3">
      <c r="A346" s="23">
        <v>5183420</v>
      </c>
      <c r="B346" s="23" t="s">
        <v>1698</v>
      </c>
      <c r="C346" s="40">
        <v>44.65</v>
      </c>
      <c r="D346" s="24">
        <v>3</v>
      </c>
      <c r="E346" t="e">
        <f>_xlfn.XLOOKUP(A346,'[1]query (5)'!$C:$C,'[1]query (5)'!$A:$A)</f>
        <v>#N/A</v>
      </c>
    </row>
    <row r="347" spans="1:5" x14ac:dyDescent="0.3">
      <c r="A347" s="23">
        <v>5183423</v>
      </c>
      <c r="B347" s="23" t="s">
        <v>1693</v>
      </c>
      <c r="C347" s="40">
        <v>1233.79</v>
      </c>
      <c r="D347" s="24">
        <v>35</v>
      </c>
      <c r="E347" t="e">
        <f>_xlfn.XLOOKUP(A347,'[1]query (5)'!$C:$C,'[1]query (5)'!$A:$A)</f>
        <v>#N/A</v>
      </c>
    </row>
    <row r="348" spans="1:5" x14ac:dyDescent="0.3">
      <c r="A348" s="23">
        <v>5183424</v>
      </c>
      <c r="B348" s="23" t="s">
        <v>1696</v>
      </c>
      <c r="C348" s="40">
        <v>388.55</v>
      </c>
      <c r="D348" s="24">
        <v>11</v>
      </c>
      <c r="E348" t="e">
        <f>_xlfn.XLOOKUP(A348,'[1]query (5)'!$C:$C,'[1]query (5)'!$A:$A)</f>
        <v>#N/A</v>
      </c>
    </row>
    <row r="349" spans="1:5" x14ac:dyDescent="0.3">
      <c r="A349" s="23">
        <v>5183425</v>
      </c>
      <c r="B349" s="23" t="s">
        <v>1699</v>
      </c>
      <c r="C349" s="40">
        <v>778.43</v>
      </c>
      <c r="D349" s="24">
        <v>22</v>
      </c>
      <c r="E349" t="e">
        <f>_xlfn.XLOOKUP(A349,'[1]query (5)'!$C:$C,'[1]query (5)'!$A:$A)</f>
        <v>#N/A</v>
      </c>
    </row>
    <row r="350" spans="1:5" x14ac:dyDescent="0.3">
      <c r="A350" s="23">
        <v>5183426</v>
      </c>
      <c r="B350" s="23" t="s">
        <v>1701</v>
      </c>
      <c r="C350" s="40">
        <v>1134.6600000000001</v>
      </c>
      <c r="D350" s="24">
        <v>32</v>
      </c>
      <c r="E350" t="e">
        <f>_xlfn.XLOOKUP(A350,'[1]query (5)'!$C:$C,'[1]query (5)'!$A:$A)</f>
        <v>#N/A</v>
      </c>
    </row>
    <row r="351" spans="1:5" x14ac:dyDescent="0.3">
      <c r="A351" s="23">
        <v>5183435</v>
      </c>
      <c r="B351" s="23" t="s">
        <v>1613</v>
      </c>
      <c r="C351" s="40">
        <v>282.64999999999998</v>
      </c>
      <c r="D351" s="24">
        <v>6</v>
      </c>
      <c r="E351" t="e">
        <f>_xlfn.XLOOKUP(A351,'[1]query (5)'!$C:$C,'[1]query (5)'!$A:$A)</f>
        <v>#N/A</v>
      </c>
    </row>
    <row r="352" spans="1:5" x14ac:dyDescent="0.3">
      <c r="A352" s="23">
        <v>5183436</v>
      </c>
      <c r="B352" s="23" t="s">
        <v>2202</v>
      </c>
      <c r="C352" s="40">
        <v>7529.13</v>
      </c>
      <c r="D352" s="24">
        <v>122</v>
      </c>
      <c r="E352" t="e">
        <f>_xlfn.XLOOKUP(A352,'[1]query (5)'!$C:$C,'[1]query (5)'!$A:$A)</f>
        <v>#N/A</v>
      </c>
    </row>
    <row r="353" spans="1:5" x14ac:dyDescent="0.3">
      <c r="A353" s="23">
        <v>5183437</v>
      </c>
      <c r="B353" s="23" t="s">
        <v>2203</v>
      </c>
      <c r="C353" s="40">
        <v>31781.16</v>
      </c>
      <c r="D353" s="24">
        <v>512</v>
      </c>
      <c r="E353" t="e">
        <f>_xlfn.XLOOKUP(A353,'[1]query (5)'!$C:$C,'[1]query (5)'!$A:$A)</f>
        <v>#N/A</v>
      </c>
    </row>
    <row r="354" spans="1:5" x14ac:dyDescent="0.3">
      <c r="A354" s="23">
        <v>5183439</v>
      </c>
      <c r="B354" s="23" t="s">
        <v>2623</v>
      </c>
      <c r="C354" s="40">
        <v>1974.84</v>
      </c>
      <c r="D354" s="24">
        <v>40</v>
      </c>
      <c r="E354" t="e">
        <f>_xlfn.XLOOKUP(A354,'[1]query (5)'!$C:$C,'[1]query (5)'!$A:$A)</f>
        <v>#N/A</v>
      </c>
    </row>
    <row r="355" spans="1:5" x14ac:dyDescent="0.3">
      <c r="A355" s="23">
        <v>5183440</v>
      </c>
      <c r="B355" s="23" t="s">
        <v>1616</v>
      </c>
      <c r="C355" s="40">
        <v>209.26</v>
      </c>
      <c r="D355" s="24">
        <v>4</v>
      </c>
      <c r="E355" t="e">
        <f>_xlfn.XLOOKUP(A355,'[1]query (5)'!$C:$C,'[1]query (5)'!$A:$A)</f>
        <v>#N/A</v>
      </c>
    </row>
    <row r="356" spans="1:5" x14ac:dyDescent="0.3">
      <c r="A356" s="23">
        <v>5183947</v>
      </c>
      <c r="B356" s="23" t="s">
        <v>1665</v>
      </c>
      <c r="C356" s="40">
        <v>3377.78</v>
      </c>
      <c r="D356" s="24">
        <v>58</v>
      </c>
      <c r="E356" t="e">
        <f>_xlfn.XLOOKUP(A356,'[1]query (5)'!$C:$C,'[1]query (5)'!$A:$A)</f>
        <v>#N/A</v>
      </c>
    </row>
    <row r="357" spans="1:5" x14ac:dyDescent="0.3">
      <c r="A357" s="23">
        <v>5183948</v>
      </c>
      <c r="B357" s="23" t="s">
        <v>1662</v>
      </c>
      <c r="C357" s="40">
        <v>1806.79</v>
      </c>
      <c r="D357" s="24">
        <v>32</v>
      </c>
      <c r="E357" t="e">
        <f>_xlfn.XLOOKUP(A357,'[1]query (5)'!$C:$C,'[1]query (5)'!$A:$A)</f>
        <v>#N/A</v>
      </c>
    </row>
    <row r="358" spans="1:5" x14ac:dyDescent="0.3">
      <c r="A358" s="23">
        <v>5183991</v>
      </c>
      <c r="B358" s="23" t="s">
        <v>2204</v>
      </c>
      <c r="C358" s="40">
        <v>7342.7</v>
      </c>
      <c r="D358" s="24">
        <v>277</v>
      </c>
      <c r="E358" t="e">
        <f>_xlfn.XLOOKUP(A358,'[1]query (5)'!$C:$C,'[1]query (5)'!$A:$A)</f>
        <v>#N/A</v>
      </c>
    </row>
    <row r="359" spans="1:5" x14ac:dyDescent="0.3">
      <c r="A359" s="23">
        <v>5183993</v>
      </c>
      <c r="B359" s="23" t="s">
        <v>2205</v>
      </c>
      <c r="C359" s="40">
        <v>8617.2000000000007</v>
      </c>
      <c r="D359" s="24">
        <v>373</v>
      </c>
      <c r="E359" t="e">
        <f>_xlfn.XLOOKUP(A359,'[1]query (5)'!$C:$C,'[1]query (5)'!$A:$A)</f>
        <v>#N/A</v>
      </c>
    </row>
    <row r="360" spans="1:5" x14ac:dyDescent="0.3">
      <c r="A360" s="23">
        <v>5183994</v>
      </c>
      <c r="B360" s="23" t="s">
        <v>2206</v>
      </c>
      <c r="C360" s="40">
        <v>40007.06</v>
      </c>
      <c r="D360" s="24">
        <v>1240</v>
      </c>
      <c r="E360" t="e">
        <f>_xlfn.XLOOKUP(A360,'[1]query (5)'!$C:$C,'[1]query (5)'!$A:$A)</f>
        <v>#N/A</v>
      </c>
    </row>
    <row r="361" spans="1:5" x14ac:dyDescent="0.3">
      <c r="A361" s="23">
        <v>5183995</v>
      </c>
      <c r="B361" s="23" t="s">
        <v>1708</v>
      </c>
      <c r="C361" s="40">
        <v>255.58</v>
      </c>
      <c r="D361" s="24">
        <v>5</v>
      </c>
      <c r="E361" t="e">
        <f>_xlfn.XLOOKUP(A361,'[1]query (5)'!$C:$C,'[1]query (5)'!$A:$A)</f>
        <v>#N/A</v>
      </c>
    </row>
    <row r="362" spans="1:5" x14ac:dyDescent="0.3">
      <c r="A362" s="23">
        <v>5184004</v>
      </c>
      <c r="B362" s="23" t="s">
        <v>2207</v>
      </c>
      <c r="C362" s="40">
        <v>888.96</v>
      </c>
      <c r="D362" s="24">
        <v>32</v>
      </c>
      <c r="E362" t="e">
        <f>_xlfn.XLOOKUP(A362,'[1]query (5)'!$C:$C,'[1]query (5)'!$A:$A)</f>
        <v>#N/A</v>
      </c>
    </row>
    <row r="363" spans="1:5" x14ac:dyDescent="0.3">
      <c r="A363" s="23">
        <v>5184005</v>
      </c>
      <c r="B363" s="23" t="s">
        <v>2208</v>
      </c>
      <c r="C363" s="40">
        <v>502.87</v>
      </c>
      <c r="D363" s="24">
        <v>14</v>
      </c>
      <c r="E363" t="e">
        <f>_xlfn.XLOOKUP(A363,'[1]query (5)'!$C:$C,'[1]query (5)'!$A:$A)</f>
        <v>#N/A</v>
      </c>
    </row>
    <row r="364" spans="1:5" x14ac:dyDescent="0.3">
      <c r="A364" s="23">
        <v>5184006</v>
      </c>
      <c r="B364" s="23" t="s">
        <v>2209</v>
      </c>
      <c r="C364" s="40">
        <v>492.9</v>
      </c>
      <c r="D364" s="24">
        <v>15</v>
      </c>
      <c r="E364" t="e">
        <f>_xlfn.XLOOKUP(A364,'[1]query (5)'!$C:$C,'[1]query (5)'!$A:$A)</f>
        <v>#N/A</v>
      </c>
    </row>
    <row r="365" spans="1:5" x14ac:dyDescent="0.3">
      <c r="A365" s="23">
        <v>5184007</v>
      </c>
      <c r="B365" s="23" t="s">
        <v>2210</v>
      </c>
      <c r="C365" s="40">
        <v>5971.96</v>
      </c>
      <c r="D365" s="24">
        <v>156</v>
      </c>
      <c r="E365" t="e">
        <f>_xlfn.XLOOKUP(A365,'[1]query (5)'!$C:$C,'[1]query (5)'!$A:$A)</f>
        <v>#N/A</v>
      </c>
    </row>
    <row r="366" spans="1:5" x14ac:dyDescent="0.3">
      <c r="A366" s="23">
        <v>5184008</v>
      </c>
      <c r="B366" s="23" t="s">
        <v>1954</v>
      </c>
      <c r="C366" s="40">
        <v>204.88</v>
      </c>
      <c r="D366" s="24">
        <v>5</v>
      </c>
      <c r="E366" t="e">
        <f>_xlfn.XLOOKUP(A366,'[1]query (5)'!$C:$C,'[1]query (5)'!$A:$A)</f>
        <v>#N/A</v>
      </c>
    </row>
    <row r="367" spans="1:5" x14ac:dyDescent="0.3">
      <c r="A367" s="23">
        <v>5184468</v>
      </c>
      <c r="B367" s="23" t="s">
        <v>2211</v>
      </c>
      <c r="C367" s="40">
        <v>941.07</v>
      </c>
      <c r="D367" s="24">
        <v>25</v>
      </c>
      <c r="E367" t="e">
        <f>_xlfn.XLOOKUP(A367,'[1]query (5)'!$C:$C,'[1]query (5)'!$A:$A)</f>
        <v>#N/A</v>
      </c>
    </row>
    <row r="368" spans="1:5" x14ac:dyDescent="0.3">
      <c r="A368" s="23">
        <v>5184469</v>
      </c>
      <c r="B368" s="23" t="s">
        <v>2212</v>
      </c>
      <c r="C368" s="40">
        <v>4004.82</v>
      </c>
      <c r="D368" s="24">
        <v>64</v>
      </c>
      <c r="E368" t="e">
        <f>_xlfn.XLOOKUP(A368,'[1]query (5)'!$C:$C,'[1]query (5)'!$A:$A)</f>
        <v>#N/A</v>
      </c>
    </row>
    <row r="369" spans="1:5" x14ac:dyDescent="0.3">
      <c r="A369" s="23">
        <v>5184501</v>
      </c>
      <c r="B369" s="23" t="s">
        <v>2213</v>
      </c>
      <c r="C369" s="40">
        <v>1730.2</v>
      </c>
      <c r="D369" s="24">
        <v>28</v>
      </c>
      <c r="E369" t="e">
        <f>_xlfn.XLOOKUP(A369,'[1]query (5)'!$C:$C,'[1]query (5)'!$A:$A)</f>
        <v>#N/A</v>
      </c>
    </row>
    <row r="370" spans="1:5" x14ac:dyDescent="0.3">
      <c r="A370" s="23">
        <v>5185095</v>
      </c>
      <c r="B370" s="23" t="s">
        <v>2035</v>
      </c>
      <c r="C370" s="40">
        <v>155.85</v>
      </c>
      <c r="D370" s="24">
        <v>10</v>
      </c>
      <c r="E370" t="str">
        <f>_xlfn.XLOOKUP(A370,'[1]query (5)'!$C:$C,'[1]query (5)'!$A:$A)</f>
        <v>5090752</v>
      </c>
    </row>
    <row r="371" spans="1:5" x14ac:dyDescent="0.3">
      <c r="A371" s="23">
        <v>5185096</v>
      </c>
      <c r="B371" s="23" t="s">
        <v>2012</v>
      </c>
      <c r="C371" s="40">
        <v>595.70000000000005</v>
      </c>
      <c r="D371" s="24">
        <v>19</v>
      </c>
      <c r="E371" t="str">
        <f>_xlfn.XLOOKUP(A371,'[1]query (5)'!$C:$C,'[1]query (5)'!$A:$A)</f>
        <v>5090753</v>
      </c>
    </row>
    <row r="372" spans="1:5" x14ac:dyDescent="0.3">
      <c r="A372" s="23">
        <v>5185097</v>
      </c>
      <c r="B372" s="23" t="s">
        <v>2214</v>
      </c>
      <c r="C372" s="40">
        <v>3318.98</v>
      </c>
      <c r="D372" s="24">
        <v>77</v>
      </c>
      <c r="E372" t="str">
        <f>_xlfn.XLOOKUP(A372,'[1]query (5)'!$C:$C,'[1]query (5)'!$A:$A)</f>
        <v>5090754</v>
      </c>
    </row>
    <row r="373" spans="1:5" x14ac:dyDescent="0.3">
      <c r="A373" s="23">
        <v>5185098</v>
      </c>
      <c r="B373" s="23" t="s">
        <v>2036</v>
      </c>
      <c r="C373" s="40">
        <v>62.85</v>
      </c>
      <c r="D373" s="24">
        <v>4</v>
      </c>
      <c r="E373" t="str">
        <f>_xlfn.XLOOKUP(A373,'[1]query (5)'!$C:$C,'[1]query (5)'!$A:$A)</f>
        <v>5090752</v>
      </c>
    </row>
    <row r="374" spans="1:5" x14ac:dyDescent="0.3">
      <c r="A374" s="23">
        <v>5185102</v>
      </c>
      <c r="B374" s="23" t="s">
        <v>2018</v>
      </c>
      <c r="C374" s="40">
        <v>488.38</v>
      </c>
      <c r="D374" s="24">
        <v>15</v>
      </c>
      <c r="E374" t="str">
        <f>_xlfn.XLOOKUP(A374,'[1]query (5)'!$C:$C,'[1]query (5)'!$A:$A)</f>
        <v>5090753</v>
      </c>
    </row>
    <row r="375" spans="1:5" x14ac:dyDescent="0.3">
      <c r="A375" s="23">
        <v>5185103</v>
      </c>
      <c r="B375" s="23" t="s">
        <v>2215</v>
      </c>
      <c r="C375" s="40">
        <v>1579.59</v>
      </c>
      <c r="D375" s="24">
        <v>38</v>
      </c>
      <c r="E375" t="str">
        <f>_xlfn.XLOOKUP(A375,'[1]query (5)'!$C:$C,'[1]query (5)'!$A:$A)</f>
        <v>5090754</v>
      </c>
    </row>
    <row r="376" spans="1:5" x14ac:dyDescent="0.3">
      <c r="A376" s="23">
        <v>5185104</v>
      </c>
      <c r="B376" s="23" t="s">
        <v>2046</v>
      </c>
      <c r="C376" s="40">
        <v>15.5</v>
      </c>
      <c r="D376" s="24">
        <v>1</v>
      </c>
      <c r="E376" t="str">
        <f>_xlfn.XLOOKUP(A376,'[1]query (5)'!$C:$C,'[1]query (5)'!$A:$A)</f>
        <v>5090752</v>
      </c>
    </row>
    <row r="377" spans="1:5" x14ac:dyDescent="0.3">
      <c r="A377" s="23">
        <v>5185105</v>
      </c>
      <c r="B377" s="23" t="s">
        <v>2033</v>
      </c>
      <c r="C377" s="40">
        <v>160.01</v>
      </c>
      <c r="D377" s="24">
        <v>5</v>
      </c>
      <c r="E377" t="str">
        <f>_xlfn.XLOOKUP(A377,'[1]query (5)'!$C:$C,'[1]query (5)'!$A:$A)</f>
        <v>5090753</v>
      </c>
    </row>
    <row r="378" spans="1:5" x14ac:dyDescent="0.3">
      <c r="A378" s="23">
        <v>5185106</v>
      </c>
      <c r="B378" s="23" t="s">
        <v>2216</v>
      </c>
      <c r="C378" s="40">
        <v>766.07</v>
      </c>
      <c r="D378" s="24">
        <v>19</v>
      </c>
      <c r="E378" t="str">
        <f>_xlfn.XLOOKUP(A378,'[1]query (5)'!$C:$C,'[1]query (5)'!$A:$A)</f>
        <v>5090754</v>
      </c>
    </row>
    <row r="379" spans="1:5" x14ac:dyDescent="0.3">
      <c r="A379" s="23">
        <v>5185108</v>
      </c>
      <c r="B379" s="23" t="s">
        <v>2000</v>
      </c>
      <c r="C379" s="40">
        <v>450.74</v>
      </c>
      <c r="D379" s="24">
        <v>11</v>
      </c>
      <c r="E379" t="str">
        <f>_xlfn.XLOOKUP(A379,'[1]query (5)'!$C:$C,'[1]query (5)'!$A:$A)</f>
        <v>5090746</v>
      </c>
    </row>
    <row r="380" spans="1:5" x14ac:dyDescent="0.3">
      <c r="A380" s="23">
        <v>5185109</v>
      </c>
      <c r="B380" s="23" t="s">
        <v>2217</v>
      </c>
      <c r="C380" s="40">
        <v>604.55999999999995</v>
      </c>
      <c r="D380" s="24">
        <v>55</v>
      </c>
      <c r="E380" t="str">
        <f>_xlfn.XLOOKUP(A380,'[1]query (5)'!$C:$C,'[1]query (5)'!$A:$A)</f>
        <v>5090726</v>
      </c>
    </row>
    <row r="381" spans="1:5" x14ac:dyDescent="0.3">
      <c r="A381" s="23">
        <v>5185110</v>
      </c>
      <c r="B381" s="23" t="s">
        <v>2218</v>
      </c>
      <c r="C381" s="40">
        <v>2891.56</v>
      </c>
      <c r="D381" s="24">
        <v>134</v>
      </c>
      <c r="E381" t="str">
        <f>_xlfn.XLOOKUP(A381,'[1]query (5)'!$C:$C,'[1]query (5)'!$A:$A)</f>
        <v>5090727</v>
      </c>
    </row>
    <row r="382" spans="1:5" x14ac:dyDescent="0.3">
      <c r="A382" s="23">
        <v>5185111</v>
      </c>
      <c r="B382" s="23" t="s">
        <v>2219</v>
      </c>
      <c r="C382" s="40">
        <v>5913.77</v>
      </c>
      <c r="D382" s="24">
        <v>161</v>
      </c>
      <c r="E382" t="str">
        <f>_xlfn.XLOOKUP(A382,'[1]query (5)'!$C:$C,'[1]query (5)'!$A:$A)</f>
        <v>5090728</v>
      </c>
    </row>
    <row r="383" spans="1:5" x14ac:dyDescent="0.3">
      <c r="A383" s="23">
        <v>5185112</v>
      </c>
      <c r="B383" s="23" t="s">
        <v>2220</v>
      </c>
      <c r="C383" s="40">
        <v>365.2</v>
      </c>
      <c r="D383" s="24">
        <v>33</v>
      </c>
      <c r="E383" t="str">
        <f>_xlfn.XLOOKUP(A383,'[1]query (5)'!$C:$C,'[1]query (5)'!$A:$A)</f>
        <v>5090726</v>
      </c>
    </row>
    <row r="384" spans="1:5" x14ac:dyDescent="0.3">
      <c r="A384" s="23">
        <v>5185113</v>
      </c>
      <c r="B384" s="23" t="s">
        <v>2221</v>
      </c>
      <c r="C384" s="40">
        <v>1076.2</v>
      </c>
      <c r="D384" s="24">
        <v>49</v>
      </c>
      <c r="E384" t="str">
        <f>_xlfn.XLOOKUP(A384,'[1]query (5)'!$C:$C,'[1]query (5)'!$A:$A)</f>
        <v>5090727</v>
      </c>
    </row>
    <row r="385" spans="1:5" x14ac:dyDescent="0.3">
      <c r="A385" s="23">
        <v>5185114</v>
      </c>
      <c r="B385" s="23" t="s">
        <v>2222</v>
      </c>
      <c r="C385" s="40">
        <v>4394.92</v>
      </c>
      <c r="D385" s="24">
        <v>120</v>
      </c>
      <c r="E385" t="str">
        <f>_xlfn.XLOOKUP(A385,'[1]query (5)'!$C:$C,'[1]query (5)'!$A:$A)</f>
        <v>5090728</v>
      </c>
    </row>
    <row r="386" spans="1:5" x14ac:dyDescent="0.3">
      <c r="A386" s="23">
        <v>5185115</v>
      </c>
      <c r="B386" s="23" t="s">
        <v>2223</v>
      </c>
      <c r="C386" s="40">
        <v>354</v>
      </c>
      <c r="D386" s="24">
        <v>32</v>
      </c>
      <c r="E386" t="str">
        <f>_xlfn.XLOOKUP(A386,'[1]query (5)'!$C:$C,'[1]query (5)'!$A:$A)</f>
        <v>5090726</v>
      </c>
    </row>
    <row r="387" spans="1:5" x14ac:dyDescent="0.3">
      <c r="A387" s="23">
        <v>5185116</v>
      </c>
      <c r="B387" s="23" t="s">
        <v>2224</v>
      </c>
      <c r="C387" s="40">
        <v>723.64</v>
      </c>
      <c r="D387" s="24">
        <v>33</v>
      </c>
      <c r="E387" t="str">
        <f>_xlfn.XLOOKUP(A387,'[1]query (5)'!$C:$C,'[1]query (5)'!$A:$A)</f>
        <v>5090727</v>
      </c>
    </row>
    <row r="388" spans="1:5" x14ac:dyDescent="0.3">
      <c r="A388" s="23">
        <v>5185117</v>
      </c>
      <c r="B388" s="23" t="s">
        <v>2225</v>
      </c>
      <c r="C388" s="40">
        <v>3468.14</v>
      </c>
      <c r="D388" s="24">
        <v>94</v>
      </c>
      <c r="E388" t="str">
        <f>_xlfn.XLOOKUP(A388,'[1]query (5)'!$C:$C,'[1]query (5)'!$A:$A)</f>
        <v>5090728</v>
      </c>
    </row>
    <row r="389" spans="1:5" x14ac:dyDescent="0.3">
      <c r="A389" s="23">
        <v>5185120</v>
      </c>
      <c r="B389" s="23" t="s">
        <v>2016</v>
      </c>
      <c r="C389" s="40">
        <v>261.66000000000003</v>
      </c>
      <c r="D389" s="24">
        <v>14</v>
      </c>
      <c r="E389" t="str">
        <f>_xlfn.XLOOKUP(A389,'[1]query (5)'!$C:$C,'[1]query (5)'!$A:$A)</f>
        <v>5090743</v>
      </c>
    </row>
    <row r="390" spans="1:5" x14ac:dyDescent="0.3">
      <c r="A390" s="23">
        <v>5185121</v>
      </c>
      <c r="B390" s="23" t="s">
        <v>1980</v>
      </c>
      <c r="C390" s="40">
        <v>2186.0500000000002</v>
      </c>
      <c r="D390" s="24">
        <v>54</v>
      </c>
      <c r="E390" t="str">
        <f>_xlfn.XLOOKUP(A390,'[1]query (5)'!$C:$C,'[1]query (5)'!$A:$A)</f>
        <v>5097225</v>
      </c>
    </row>
    <row r="391" spans="1:5" x14ac:dyDescent="0.3">
      <c r="A391" s="23">
        <v>5185122</v>
      </c>
      <c r="B391" s="23" t="s">
        <v>2226</v>
      </c>
      <c r="C391" s="40">
        <v>28644.55</v>
      </c>
      <c r="D391" s="24">
        <v>461</v>
      </c>
      <c r="E391" t="str">
        <f>_xlfn.XLOOKUP(A391,'[1]query (5)'!$C:$C,'[1]query (5)'!$A:$A)</f>
        <v>5097226</v>
      </c>
    </row>
    <row r="392" spans="1:5" x14ac:dyDescent="0.3">
      <c r="A392" s="23">
        <v>5185123</v>
      </c>
      <c r="B392" s="23" t="s">
        <v>2043</v>
      </c>
      <c r="C392" s="40">
        <v>60.01</v>
      </c>
      <c r="D392" s="24">
        <v>3</v>
      </c>
      <c r="E392" t="str">
        <f>_xlfn.XLOOKUP(A392,'[1]query (5)'!$C:$C,'[1]query (5)'!$A:$A)</f>
        <v>5090743</v>
      </c>
    </row>
    <row r="393" spans="1:5" x14ac:dyDescent="0.3">
      <c r="A393" s="23">
        <v>5185124</v>
      </c>
      <c r="B393" s="23" t="s">
        <v>1987</v>
      </c>
      <c r="C393" s="40">
        <v>583.89</v>
      </c>
      <c r="D393" s="24">
        <v>14</v>
      </c>
      <c r="E393" t="str">
        <f>_xlfn.XLOOKUP(A393,'[1]query (5)'!$C:$C,'[1]query (5)'!$A:$A)</f>
        <v>5097225</v>
      </c>
    </row>
    <row r="394" spans="1:5" x14ac:dyDescent="0.3">
      <c r="A394" s="23">
        <v>5185125</v>
      </c>
      <c r="B394" s="23" t="s">
        <v>2227</v>
      </c>
      <c r="C394" s="40">
        <v>7134.55</v>
      </c>
      <c r="D394" s="24">
        <v>116</v>
      </c>
      <c r="E394" t="str">
        <f>_xlfn.XLOOKUP(A394,'[1]query (5)'!$C:$C,'[1]query (5)'!$A:$A)</f>
        <v>5097226</v>
      </c>
    </row>
    <row r="395" spans="1:5" x14ac:dyDescent="0.3">
      <c r="A395" s="23">
        <v>5185126</v>
      </c>
      <c r="B395" s="23" t="s">
        <v>2228</v>
      </c>
      <c r="C395" s="40">
        <v>724.18</v>
      </c>
      <c r="D395" s="24">
        <v>20</v>
      </c>
      <c r="E395" t="str">
        <f>_xlfn.XLOOKUP(A395,'[1]query (5)'!$C:$C,'[1]query (5)'!$A:$A)</f>
        <v>5097225</v>
      </c>
    </row>
    <row r="396" spans="1:5" x14ac:dyDescent="0.3">
      <c r="A396" s="23">
        <v>5185127</v>
      </c>
      <c r="B396" s="23" t="s">
        <v>2229</v>
      </c>
      <c r="C396" s="40">
        <v>5094.47</v>
      </c>
      <c r="D396" s="24">
        <v>81</v>
      </c>
      <c r="E396" t="str">
        <f>_xlfn.XLOOKUP(A396,'[1]query (5)'!$C:$C,'[1]query (5)'!$A:$A)</f>
        <v>5097226</v>
      </c>
    </row>
    <row r="397" spans="1:5" x14ac:dyDescent="0.3">
      <c r="A397" s="23">
        <v>5185141</v>
      </c>
      <c r="B397" s="23" t="s">
        <v>2230</v>
      </c>
      <c r="C397" s="40">
        <v>257.45</v>
      </c>
      <c r="D397" s="24">
        <v>7</v>
      </c>
      <c r="E397" t="str">
        <f>_xlfn.XLOOKUP(A397,'[1]query (5)'!$C:$C,'[1]query (5)'!$A:$A)</f>
        <v>5097225</v>
      </c>
    </row>
    <row r="398" spans="1:5" x14ac:dyDescent="0.3">
      <c r="A398" s="23">
        <v>5185142</v>
      </c>
      <c r="B398" s="23" t="s">
        <v>2231</v>
      </c>
      <c r="C398" s="40">
        <v>2140.4499999999998</v>
      </c>
      <c r="D398" s="24">
        <v>34</v>
      </c>
      <c r="E398" t="str">
        <f>_xlfn.XLOOKUP(A398,'[1]query (5)'!$C:$C,'[1]query (5)'!$A:$A)</f>
        <v>5097226</v>
      </c>
    </row>
    <row r="399" spans="1:5" x14ac:dyDescent="0.3">
      <c r="A399" s="23">
        <v>5185151</v>
      </c>
      <c r="B399" s="23" t="s">
        <v>2232</v>
      </c>
      <c r="C399" s="40">
        <v>140.62</v>
      </c>
      <c r="D399" s="24">
        <v>10</v>
      </c>
      <c r="E399" t="str">
        <f>_xlfn.XLOOKUP(A399,'[1]query (5)'!$C:$C,'[1]query (5)'!$A:$A)</f>
        <v>5090729</v>
      </c>
    </row>
    <row r="400" spans="1:5" x14ac:dyDescent="0.3">
      <c r="A400" s="23">
        <v>5185152</v>
      </c>
      <c r="B400" s="23" t="s">
        <v>2233</v>
      </c>
      <c r="C400" s="40">
        <v>1202.47</v>
      </c>
      <c r="D400" s="24">
        <v>43</v>
      </c>
      <c r="E400" t="str">
        <f>_xlfn.XLOOKUP(A400,'[1]query (5)'!$C:$C,'[1]query (5)'!$A:$A)</f>
        <v>5217513</v>
      </c>
    </row>
    <row r="401" spans="1:5" x14ac:dyDescent="0.3">
      <c r="A401" s="23">
        <v>5185153</v>
      </c>
      <c r="B401" s="23" t="s">
        <v>2234</v>
      </c>
      <c r="C401" s="40">
        <v>17305.22</v>
      </c>
      <c r="D401" s="24">
        <v>380</v>
      </c>
      <c r="E401" t="str">
        <f>_xlfn.XLOOKUP(A401,'[1]query (5)'!$C:$C,'[1]query (5)'!$A:$A)</f>
        <v>5217517</v>
      </c>
    </row>
    <row r="402" spans="1:5" x14ac:dyDescent="0.3">
      <c r="A402" s="23">
        <v>5185154</v>
      </c>
      <c r="B402" s="23" t="s">
        <v>2235</v>
      </c>
      <c r="C402" s="40">
        <v>28.86</v>
      </c>
      <c r="D402" s="24">
        <v>2</v>
      </c>
      <c r="E402" t="str">
        <f>_xlfn.XLOOKUP(A402,'[1]query (5)'!$C:$C,'[1]query (5)'!$A:$A)</f>
        <v>5090729</v>
      </c>
    </row>
    <row r="403" spans="1:5" x14ac:dyDescent="0.3">
      <c r="A403" s="23">
        <v>5185155</v>
      </c>
      <c r="B403" s="23" t="s">
        <v>2236</v>
      </c>
      <c r="C403" s="40">
        <v>993.9</v>
      </c>
      <c r="D403" s="24">
        <v>35</v>
      </c>
      <c r="E403" t="str">
        <f>_xlfn.XLOOKUP(A403,'[1]query (5)'!$C:$C,'[1]query (5)'!$A:$A)</f>
        <v>5217513</v>
      </c>
    </row>
    <row r="404" spans="1:5" x14ac:dyDescent="0.3">
      <c r="A404" s="23">
        <v>5185156</v>
      </c>
      <c r="B404" s="23" t="s">
        <v>2237</v>
      </c>
      <c r="C404" s="40">
        <v>13533.51</v>
      </c>
      <c r="D404" s="24">
        <v>298</v>
      </c>
      <c r="E404" t="str">
        <f>_xlfn.XLOOKUP(A404,'[1]query (5)'!$C:$C,'[1]query (5)'!$A:$A)</f>
        <v>5217517</v>
      </c>
    </row>
    <row r="405" spans="1:5" x14ac:dyDescent="0.3">
      <c r="A405" s="23">
        <v>5185157</v>
      </c>
      <c r="B405" s="23" t="s">
        <v>2238</v>
      </c>
      <c r="C405" s="40">
        <v>27.02</v>
      </c>
      <c r="D405" s="24">
        <v>2</v>
      </c>
      <c r="E405" t="str">
        <f>_xlfn.XLOOKUP(A405,'[1]query (5)'!$C:$C,'[1]query (5)'!$A:$A)</f>
        <v>5090729</v>
      </c>
    </row>
    <row r="406" spans="1:5" x14ac:dyDescent="0.3">
      <c r="A406" s="23">
        <v>5185159</v>
      </c>
      <c r="B406" s="23" t="s">
        <v>2239</v>
      </c>
      <c r="C406" s="40">
        <v>513.03</v>
      </c>
      <c r="D406" s="24">
        <v>18</v>
      </c>
      <c r="E406" t="str">
        <f>_xlfn.XLOOKUP(A406,'[1]query (5)'!$C:$C,'[1]query (5)'!$A:$A)</f>
        <v>5217513</v>
      </c>
    </row>
    <row r="407" spans="1:5" x14ac:dyDescent="0.3">
      <c r="A407" s="23">
        <v>5185160</v>
      </c>
      <c r="B407" s="23" t="s">
        <v>2240</v>
      </c>
      <c r="C407" s="40">
        <v>5585.42</v>
      </c>
      <c r="D407" s="24">
        <v>122</v>
      </c>
      <c r="E407" t="str">
        <f>_xlfn.XLOOKUP(A407,'[1]query (5)'!$C:$C,'[1]query (5)'!$A:$A)</f>
        <v>5217517</v>
      </c>
    </row>
    <row r="408" spans="1:5" x14ac:dyDescent="0.3">
      <c r="A408" s="23">
        <v>5185163</v>
      </c>
      <c r="B408" s="23" t="s">
        <v>2241</v>
      </c>
      <c r="C408" s="40">
        <v>210.81</v>
      </c>
      <c r="D408" s="24">
        <v>13</v>
      </c>
      <c r="E408" t="str">
        <f>_xlfn.XLOOKUP(A408,'[1]query (5)'!$C:$C,'[1]query (5)'!$A:$A)</f>
        <v>5110678</v>
      </c>
    </row>
    <row r="409" spans="1:5" x14ac:dyDescent="0.3">
      <c r="A409" s="23">
        <v>5185164</v>
      </c>
      <c r="B409" s="23" t="s">
        <v>1977</v>
      </c>
      <c r="C409" s="40">
        <v>2157.88</v>
      </c>
      <c r="D409" s="24">
        <v>62</v>
      </c>
      <c r="E409" t="str">
        <f>_xlfn.XLOOKUP(A409,'[1]query (5)'!$C:$C,'[1]query (5)'!$A:$A)</f>
        <v>5110679</v>
      </c>
    </row>
    <row r="410" spans="1:5" x14ac:dyDescent="0.3">
      <c r="A410" s="23">
        <v>5185167</v>
      </c>
      <c r="B410" s="23" t="s">
        <v>2242</v>
      </c>
      <c r="C410" s="40">
        <v>59826.15</v>
      </c>
      <c r="D410" s="24">
        <v>1149</v>
      </c>
      <c r="E410" t="str">
        <f>_xlfn.XLOOKUP(A410,'[1]query (5)'!$C:$C,'[1]query (5)'!$A:$A)</f>
        <v>5110680</v>
      </c>
    </row>
    <row r="411" spans="1:5" x14ac:dyDescent="0.3">
      <c r="A411" s="23">
        <v>5185170</v>
      </c>
      <c r="B411" s="23" t="s">
        <v>2243</v>
      </c>
      <c r="C411" s="40">
        <v>48.87</v>
      </c>
      <c r="D411" s="24">
        <v>3</v>
      </c>
      <c r="E411" t="str">
        <f>_xlfn.XLOOKUP(A411,'[1]query (5)'!$C:$C,'[1]query (5)'!$A:$A)</f>
        <v>5110678</v>
      </c>
    </row>
    <row r="412" spans="1:5" x14ac:dyDescent="0.3">
      <c r="A412" s="23">
        <v>5185171</v>
      </c>
      <c r="B412" s="23" t="s">
        <v>2003</v>
      </c>
      <c r="C412" s="40">
        <v>850.54</v>
      </c>
      <c r="D412" s="24">
        <v>24</v>
      </c>
      <c r="E412" t="str">
        <f>_xlfn.XLOOKUP(A412,'[1]query (5)'!$C:$C,'[1]query (5)'!$A:$A)</f>
        <v>5110679</v>
      </c>
    </row>
    <row r="413" spans="1:5" x14ac:dyDescent="0.3">
      <c r="A413" s="23">
        <v>5185172</v>
      </c>
      <c r="B413" s="23" t="s">
        <v>2244</v>
      </c>
      <c r="C413" s="40">
        <v>6029.9</v>
      </c>
      <c r="D413" s="24">
        <v>119</v>
      </c>
      <c r="E413" t="str">
        <f>_xlfn.XLOOKUP(A413,'[1]query (5)'!$C:$C,'[1]query (5)'!$A:$A)</f>
        <v>5110680</v>
      </c>
    </row>
    <row r="414" spans="1:5" x14ac:dyDescent="0.3">
      <c r="A414" s="23">
        <v>5185173</v>
      </c>
      <c r="B414" s="23" t="s">
        <v>1991</v>
      </c>
      <c r="C414" s="40">
        <v>474.62</v>
      </c>
      <c r="D414" s="24">
        <v>14</v>
      </c>
      <c r="E414" t="str">
        <f>_xlfn.XLOOKUP(A414,'[1]query (5)'!$C:$C,'[1]query (5)'!$A:$A)</f>
        <v>5110652</v>
      </c>
    </row>
    <row r="415" spans="1:5" x14ac:dyDescent="0.3">
      <c r="A415" s="23">
        <v>5185174</v>
      </c>
      <c r="B415" s="23" t="s">
        <v>1968</v>
      </c>
      <c r="C415" s="40">
        <v>3167.73</v>
      </c>
      <c r="D415" s="24">
        <v>54</v>
      </c>
      <c r="E415" t="str">
        <f>_xlfn.XLOOKUP(A415,'[1]query (5)'!$C:$C,'[1]query (5)'!$A:$A)</f>
        <v>5110653</v>
      </c>
    </row>
    <row r="416" spans="1:5" x14ac:dyDescent="0.3">
      <c r="A416" s="23">
        <v>5185175</v>
      </c>
      <c r="B416" s="23" t="s">
        <v>2047</v>
      </c>
      <c r="C416" s="40">
        <v>73.3</v>
      </c>
      <c r="D416" s="24">
        <v>5</v>
      </c>
      <c r="E416" t="str">
        <f>_xlfn.XLOOKUP(A416,'[1]query (5)'!$C:$C,'[1]query (5)'!$A:$A)</f>
        <v>5110651</v>
      </c>
    </row>
    <row r="417" spans="1:5" x14ac:dyDescent="0.3">
      <c r="A417" s="23">
        <v>5185176</v>
      </c>
      <c r="B417" s="23" t="s">
        <v>2040</v>
      </c>
      <c r="C417" s="40">
        <v>59.31</v>
      </c>
      <c r="D417" s="24">
        <v>4</v>
      </c>
      <c r="E417" t="str">
        <f>_xlfn.XLOOKUP(A417,'[1]query (5)'!$C:$C,'[1]query (5)'!$A:$A)</f>
        <v>5110651</v>
      </c>
    </row>
    <row r="418" spans="1:5" x14ac:dyDescent="0.3">
      <c r="A418" s="23">
        <v>5185177</v>
      </c>
      <c r="B418" s="23" t="s">
        <v>1998</v>
      </c>
      <c r="C418" s="40">
        <v>1761.62</v>
      </c>
      <c r="D418" s="24">
        <v>51</v>
      </c>
      <c r="E418" t="str">
        <f>_xlfn.XLOOKUP(A418,'[1]query (5)'!$C:$C,'[1]query (5)'!$A:$A)</f>
        <v>5110652</v>
      </c>
    </row>
    <row r="419" spans="1:5" x14ac:dyDescent="0.3">
      <c r="A419" s="23">
        <v>5185178</v>
      </c>
      <c r="B419" s="23" t="s">
        <v>1971</v>
      </c>
      <c r="C419" s="40">
        <v>5409.72</v>
      </c>
      <c r="D419" s="24">
        <v>92</v>
      </c>
      <c r="E419" t="str">
        <f>_xlfn.XLOOKUP(A419,'[1]query (5)'!$C:$C,'[1]query (5)'!$A:$A)</f>
        <v>5110653</v>
      </c>
    </row>
    <row r="420" spans="1:5" x14ac:dyDescent="0.3">
      <c r="A420" s="23">
        <v>5185186</v>
      </c>
      <c r="B420" s="23" t="s">
        <v>2245</v>
      </c>
      <c r="C420" s="40">
        <v>68.42</v>
      </c>
      <c r="D420" s="24">
        <v>6</v>
      </c>
      <c r="E420" t="str">
        <f>_xlfn.XLOOKUP(A420,'[1]query (5)'!$C:$C,'[1]query (5)'!$A:$A)</f>
        <v>5090755</v>
      </c>
    </row>
    <row r="421" spans="1:5" x14ac:dyDescent="0.3">
      <c r="A421" s="23">
        <v>5185187</v>
      </c>
      <c r="B421" s="23" t="s">
        <v>2246</v>
      </c>
      <c r="C421" s="40">
        <v>619.02</v>
      </c>
      <c r="D421" s="24">
        <v>28</v>
      </c>
      <c r="E421" t="str">
        <f>_xlfn.XLOOKUP(A421,'[1]query (5)'!$C:$C,'[1]query (5)'!$A:$A)</f>
        <v>5090756</v>
      </c>
    </row>
    <row r="422" spans="1:5" x14ac:dyDescent="0.3">
      <c r="A422" s="23">
        <v>5185188</v>
      </c>
      <c r="B422" s="23" t="s">
        <v>2247</v>
      </c>
      <c r="C422" s="40">
        <v>1943.55</v>
      </c>
      <c r="D422" s="24">
        <v>51</v>
      </c>
      <c r="E422" t="str">
        <f>_xlfn.XLOOKUP(A422,'[1]query (5)'!$C:$C,'[1]query (5)'!$A:$A)</f>
        <v>5090757</v>
      </c>
    </row>
    <row r="423" spans="1:5" x14ac:dyDescent="0.3">
      <c r="A423" s="23">
        <v>5185189</v>
      </c>
      <c r="B423" s="23" t="s">
        <v>2248</v>
      </c>
      <c r="C423" s="40">
        <v>76.14</v>
      </c>
      <c r="D423" s="24">
        <v>7</v>
      </c>
      <c r="E423" t="str">
        <f>_xlfn.XLOOKUP(A423,'[1]query (5)'!$C:$C,'[1]query (5)'!$A:$A)</f>
        <v>5090755</v>
      </c>
    </row>
    <row r="424" spans="1:5" x14ac:dyDescent="0.3">
      <c r="A424" s="23">
        <v>5185220</v>
      </c>
      <c r="B424" s="23" t="s">
        <v>2249</v>
      </c>
      <c r="C424" s="40">
        <v>793.15</v>
      </c>
      <c r="D424" s="24">
        <v>34</v>
      </c>
      <c r="E424" t="str">
        <f>_xlfn.XLOOKUP(A424,'[1]query (5)'!$C:$C,'[1]query (5)'!$A:$A)</f>
        <v>5090756</v>
      </c>
    </row>
    <row r="425" spans="1:5" x14ac:dyDescent="0.3">
      <c r="A425" s="23">
        <v>5185221</v>
      </c>
      <c r="B425" s="23" t="s">
        <v>2250</v>
      </c>
      <c r="C425" s="40">
        <v>4460.1899999999996</v>
      </c>
      <c r="D425" s="24">
        <v>115</v>
      </c>
      <c r="E425" t="str">
        <f>_xlfn.XLOOKUP(A425,'[1]query (5)'!$C:$C,'[1]query (5)'!$A:$A)</f>
        <v>5090757</v>
      </c>
    </row>
    <row r="426" spans="1:5" x14ac:dyDescent="0.3">
      <c r="A426" s="23">
        <v>5185223</v>
      </c>
      <c r="B426" s="23" t="s">
        <v>2251</v>
      </c>
      <c r="C426" s="40">
        <v>431.01</v>
      </c>
      <c r="D426" s="24">
        <v>26</v>
      </c>
      <c r="E426" t="str">
        <f>_xlfn.XLOOKUP(A426,'[1]query (5)'!$C:$C,'[1]query (5)'!$A:$A)</f>
        <v>5090732</v>
      </c>
    </row>
    <row r="427" spans="1:5" x14ac:dyDescent="0.3">
      <c r="A427" s="23">
        <v>5185224</v>
      </c>
      <c r="B427" s="23" t="s">
        <v>2252</v>
      </c>
      <c r="C427" s="40">
        <v>13432.87</v>
      </c>
      <c r="D427" s="24">
        <v>401</v>
      </c>
      <c r="E427" t="str">
        <f>_xlfn.XLOOKUP(A427,'[1]query (5)'!$C:$C,'[1]query (5)'!$A:$A)</f>
        <v>5090733</v>
      </c>
    </row>
    <row r="428" spans="1:5" x14ac:dyDescent="0.3">
      <c r="A428" s="23">
        <v>5185225</v>
      </c>
      <c r="B428" s="23" t="s">
        <v>2253</v>
      </c>
      <c r="C428" s="40">
        <v>13755.24</v>
      </c>
      <c r="D428" s="24">
        <v>252</v>
      </c>
      <c r="E428" t="str">
        <f>_xlfn.XLOOKUP(A428,'[1]query (5)'!$C:$C,'[1]query (5)'!$A:$A)</f>
        <v>5090734</v>
      </c>
    </row>
    <row r="429" spans="1:5" x14ac:dyDescent="0.3">
      <c r="A429" s="23">
        <v>5185226</v>
      </c>
      <c r="B429" s="23" t="s">
        <v>2254</v>
      </c>
      <c r="C429" s="40">
        <v>117.18</v>
      </c>
      <c r="D429" s="24">
        <v>7</v>
      </c>
      <c r="E429" t="str">
        <f>_xlfn.XLOOKUP(A429,'[1]query (5)'!$C:$C,'[1]query (5)'!$A:$A)</f>
        <v>5090732</v>
      </c>
    </row>
    <row r="430" spans="1:5" x14ac:dyDescent="0.3">
      <c r="A430" s="23">
        <v>5185227</v>
      </c>
      <c r="B430" s="23" t="s">
        <v>2255</v>
      </c>
      <c r="C430" s="40">
        <v>3155.54</v>
      </c>
      <c r="D430" s="24">
        <v>95</v>
      </c>
      <c r="E430" t="str">
        <f>_xlfn.XLOOKUP(A430,'[1]query (5)'!$C:$C,'[1]query (5)'!$A:$A)</f>
        <v>5090733</v>
      </c>
    </row>
    <row r="431" spans="1:5" x14ac:dyDescent="0.3">
      <c r="A431" s="23">
        <v>5185228</v>
      </c>
      <c r="B431" s="23" t="s">
        <v>2256</v>
      </c>
      <c r="C431" s="40">
        <v>5021.67</v>
      </c>
      <c r="D431" s="24">
        <v>91</v>
      </c>
      <c r="E431" t="str">
        <f>_xlfn.XLOOKUP(A431,'[1]query (5)'!$C:$C,'[1]query (5)'!$A:$A)</f>
        <v>5090734</v>
      </c>
    </row>
    <row r="432" spans="1:5" x14ac:dyDescent="0.3">
      <c r="A432" s="23">
        <v>5185229</v>
      </c>
      <c r="B432" s="23" t="s">
        <v>2257</v>
      </c>
      <c r="C432" s="40">
        <v>132.5</v>
      </c>
      <c r="D432" s="24">
        <v>8</v>
      </c>
      <c r="E432" t="str">
        <f>_xlfn.XLOOKUP(A432,'[1]query (5)'!$C:$C,'[1]query (5)'!$A:$A)</f>
        <v>5090732</v>
      </c>
    </row>
    <row r="433" spans="1:5" x14ac:dyDescent="0.3">
      <c r="A433" s="23">
        <v>5185240</v>
      </c>
      <c r="B433" s="23" t="s">
        <v>2258</v>
      </c>
      <c r="C433" s="40">
        <v>532.24</v>
      </c>
      <c r="D433" s="24">
        <v>16</v>
      </c>
      <c r="E433" t="str">
        <f>_xlfn.XLOOKUP(A433,'[1]query (5)'!$C:$C,'[1]query (5)'!$A:$A)</f>
        <v>5090733</v>
      </c>
    </row>
    <row r="434" spans="1:5" x14ac:dyDescent="0.3">
      <c r="A434" s="23">
        <v>5185241</v>
      </c>
      <c r="B434" s="23" t="s">
        <v>2259</v>
      </c>
      <c r="C434" s="40">
        <v>1209.6400000000001</v>
      </c>
      <c r="D434" s="24">
        <v>22</v>
      </c>
      <c r="E434" t="str">
        <f>_xlfn.XLOOKUP(A434,'[1]query (5)'!$C:$C,'[1]query (5)'!$A:$A)</f>
        <v>5090734</v>
      </c>
    </row>
    <row r="435" spans="1:5" x14ac:dyDescent="0.3">
      <c r="A435" s="23">
        <v>5185242</v>
      </c>
      <c r="B435" s="23" t="s">
        <v>2260</v>
      </c>
      <c r="C435" s="40">
        <v>145.46</v>
      </c>
      <c r="D435" s="24">
        <v>8</v>
      </c>
      <c r="E435" t="str">
        <f>_xlfn.XLOOKUP(A435,'[1]query (5)'!$C:$C,'[1]query (5)'!$A:$A)</f>
        <v>5090739</v>
      </c>
    </row>
    <row r="436" spans="1:5" x14ac:dyDescent="0.3">
      <c r="A436" s="23">
        <v>5185243</v>
      </c>
      <c r="B436" s="23" t="s">
        <v>2261</v>
      </c>
      <c r="C436" s="40">
        <v>1022.3</v>
      </c>
      <c r="D436" s="24">
        <v>31</v>
      </c>
      <c r="E436" t="str">
        <f>_xlfn.XLOOKUP(A436,'[1]query (5)'!$C:$C,'[1]query (5)'!$A:$A)</f>
        <v>5090740</v>
      </c>
    </row>
    <row r="437" spans="1:5" x14ac:dyDescent="0.3">
      <c r="A437" s="23">
        <v>5185244</v>
      </c>
      <c r="B437" s="23" t="s">
        <v>2262</v>
      </c>
      <c r="C437" s="40">
        <v>4396.42</v>
      </c>
      <c r="D437" s="24">
        <v>79</v>
      </c>
      <c r="E437" t="str">
        <f>_xlfn.XLOOKUP(A437,'[1]query (5)'!$C:$C,'[1]query (5)'!$A:$A)</f>
        <v>5090741</v>
      </c>
    </row>
    <row r="438" spans="1:5" x14ac:dyDescent="0.3">
      <c r="A438" s="23">
        <v>5185245</v>
      </c>
      <c r="B438" s="23" t="s">
        <v>2263</v>
      </c>
      <c r="C438" s="40">
        <v>74.36</v>
      </c>
      <c r="D438" s="24">
        <v>4</v>
      </c>
      <c r="E438" t="str">
        <f>_xlfn.XLOOKUP(A438,'[1]query (5)'!$C:$C,'[1]query (5)'!$A:$A)</f>
        <v>5090739</v>
      </c>
    </row>
    <row r="439" spans="1:5" x14ac:dyDescent="0.3">
      <c r="A439" s="23">
        <v>5185246</v>
      </c>
      <c r="B439" s="23" t="s">
        <v>2264</v>
      </c>
      <c r="C439" s="40">
        <v>632.49</v>
      </c>
      <c r="D439" s="24">
        <v>19</v>
      </c>
      <c r="E439" t="str">
        <f>_xlfn.XLOOKUP(A439,'[1]query (5)'!$C:$C,'[1]query (5)'!$A:$A)</f>
        <v>5090740</v>
      </c>
    </row>
    <row r="440" spans="1:5" x14ac:dyDescent="0.3">
      <c r="A440" s="23">
        <v>5185247</v>
      </c>
      <c r="B440" s="23" t="s">
        <v>2265</v>
      </c>
      <c r="C440" s="40">
        <v>3603.7</v>
      </c>
      <c r="D440" s="24">
        <v>64</v>
      </c>
      <c r="E440" t="str">
        <f>_xlfn.XLOOKUP(A440,'[1]query (5)'!$C:$C,'[1]query (5)'!$A:$A)</f>
        <v>5090741</v>
      </c>
    </row>
    <row r="441" spans="1:5" x14ac:dyDescent="0.3">
      <c r="A441" s="23">
        <v>5186591</v>
      </c>
      <c r="B441" s="23" t="s">
        <v>2052</v>
      </c>
      <c r="C441" s="40">
        <v>57.26</v>
      </c>
      <c r="D441" s="24">
        <v>4</v>
      </c>
      <c r="E441" t="str">
        <f>_xlfn.XLOOKUP(A441,'[1]query (5)'!$C:$C,'[1]query (5)'!$A:$A)</f>
        <v>5313745</v>
      </c>
    </row>
    <row r="442" spans="1:5" x14ac:dyDescent="0.3">
      <c r="A442" s="23">
        <v>5191567</v>
      </c>
      <c r="B442" s="23" t="s">
        <v>2624</v>
      </c>
      <c r="C442" s="40">
        <v>56.68</v>
      </c>
      <c r="D442" s="24">
        <v>3</v>
      </c>
      <c r="E442" t="e">
        <f>_xlfn.XLOOKUP(A442,'[1]query (5)'!$C:$C,'[1]query (5)'!$A:$A)</f>
        <v>#N/A</v>
      </c>
    </row>
    <row r="443" spans="1:5" x14ac:dyDescent="0.3">
      <c r="A443" s="23">
        <v>5191767</v>
      </c>
      <c r="B443" s="23" t="s">
        <v>2266</v>
      </c>
      <c r="C443" s="40">
        <v>53.04</v>
      </c>
      <c r="D443" s="24">
        <v>4</v>
      </c>
      <c r="E443" t="e">
        <f>_xlfn.XLOOKUP(A443,'[1]query (5)'!$C:$C,'[1]query (5)'!$A:$A)</f>
        <v>#N/A</v>
      </c>
    </row>
    <row r="444" spans="1:5" x14ac:dyDescent="0.3">
      <c r="A444" s="23">
        <v>5191768</v>
      </c>
      <c r="B444" s="23" t="s">
        <v>2267</v>
      </c>
      <c r="C444" s="40">
        <v>4070.3</v>
      </c>
      <c r="D444" s="24">
        <v>194</v>
      </c>
      <c r="E444" t="e">
        <f>_xlfn.XLOOKUP(A444,'[1]query (5)'!$C:$C,'[1]query (5)'!$A:$A)</f>
        <v>#N/A</v>
      </c>
    </row>
    <row r="445" spans="1:5" x14ac:dyDescent="0.3">
      <c r="A445" s="23">
        <v>5193078</v>
      </c>
      <c r="B445" s="23" t="s">
        <v>1607</v>
      </c>
      <c r="C445" s="40">
        <v>1262.03</v>
      </c>
      <c r="D445" s="24">
        <v>35</v>
      </c>
      <c r="E445" t="e">
        <f>_xlfn.XLOOKUP(A445,'[1]query (5)'!$C:$C,'[1]query (5)'!$A:$A)</f>
        <v>#N/A</v>
      </c>
    </row>
    <row r="446" spans="1:5" x14ac:dyDescent="0.3">
      <c r="A446" s="23">
        <v>5196657</v>
      </c>
      <c r="B446" s="23" t="s">
        <v>2268</v>
      </c>
      <c r="C446" s="40">
        <v>20740.349999999999</v>
      </c>
      <c r="D446" s="24">
        <v>604</v>
      </c>
      <c r="E446" t="e">
        <f>_xlfn.XLOOKUP(A446,'[1]query (5)'!$C:$C,'[1]query (5)'!$A:$A)</f>
        <v>#N/A</v>
      </c>
    </row>
    <row r="447" spans="1:5" x14ac:dyDescent="0.3">
      <c r="A447" s="23">
        <v>5206086</v>
      </c>
      <c r="B447" s="23" t="s">
        <v>2625</v>
      </c>
      <c r="C447" s="40">
        <v>303.67</v>
      </c>
      <c r="D447" s="24">
        <v>12</v>
      </c>
      <c r="E447" t="e">
        <f>_xlfn.XLOOKUP(A447,'[1]query (5)'!$C:$C,'[1]query (5)'!$A:$A)</f>
        <v>#N/A</v>
      </c>
    </row>
    <row r="448" spans="1:5" x14ac:dyDescent="0.3">
      <c r="A448" s="23">
        <v>5206089</v>
      </c>
      <c r="B448" s="23" t="s">
        <v>2626</v>
      </c>
      <c r="C448" s="40">
        <v>25.31</v>
      </c>
      <c r="D448" s="24">
        <v>1</v>
      </c>
      <c r="E448" t="e">
        <f>_xlfn.XLOOKUP(A448,'[1]query (5)'!$C:$C,'[1]query (5)'!$A:$A)</f>
        <v>#N/A</v>
      </c>
    </row>
    <row r="449" spans="1:5" x14ac:dyDescent="0.3">
      <c r="A449" s="23">
        <v>5207933</v>
      </c>
      <c r="B449" s="23" t="s">
        <v>2269</v>
      </c>
      <c r="C449" s="40">
        <v>961.55</v>
      </c>
      <c r="D449" s="24">
        <v>51</v>
      </c>
      <c r="E449" t="str">
        <f>_xlfn.XLOOKUP(A449,'[1]query (5)'!$C:$C,'[1]query (5)'!$A:$A)</f>
        <v>5090750</v>
      </c>
    </row>
    <row r="450" spans="1:5" x14ac:dyDescent="0.3">
      <c r="A450" s="23">
        <v>5207934</v>
      </c>
      <c r="B450" s="23" t="s">
        <v>1955</v>
      </c>
      <c r="C450" s="40">
        <v>98460.64</v>
      </c>
      <c r="D450" s="24">
        <v>3206</v>
      </c>
      <c r="E450" t="str">
        <f>_xlfn.XLOOKUP(A450,'[1]query (5)'!$C:$C,'[1]query (5)'!$A:$A)</f>
        <v>5090751</v>
      </c>
    </row>
    <row r="451" spans="1:5" x14ac:dyDescent="0.3">
      <c r="A451" s="23">
        <v>5207936</v>
      </c>
      <c r="B451" s="23" t="s">
        <v>2270</v>
      </c>
      <c r="C451" s="40">
        <v>809.14</v>
      </c>
      <c r="D451" s="24">
        <v>43</v>
      </c>
      <c r="E451" t="str">
        <f>_xlfn.XLOOKUP(A451,'[1]query (5)'!$C:$C,'[1]query (5)'!$A:$A)</f>
        <v>5090750</v>
      </c>
    </row>
    <row r="452" spans="1:5" x14ac:dyDescent="0.3">
      <c r="A452" s="23">
        <v>5207937</v>
      </c>
      <c r="B452" s="23" t="s">
        <v>2271</v>
      </c>
      <c r="C452" s="40">
        <v>23411.66</v>
      </c>
      <c r="D452" s="24">
        <v>766</v>
      </c>
      <c r="E452" t="str">
        <f>_xlfn.XLOOKUP(A452,'[1]query (5)'!$C:$C,'[1]query (5)'!$A:$A)</f>
        <v>5090751</v>
      </c>
    </row>
    <row r="453" spans="1:5" x14ac:dyDescent="0.3">
      <c r="A453" s="23">
        <v>5213422</v>
      </c>
      <c r="B453" s="23" t="s">
        <v>2272</v>
      </c>
      <c r="C453" s="40">
        <v>81.67</v>
      </c>
      <c r="D453" s="24">
        <v>11</v>
      </c>
      <c r="E453" t="e">
        <f>_xlfn.XLOOKUP(A453,'[1]query (5)'!$C:$C,'[1]query (5)'!$A:$A)</f>
        <v>#N/A</v>
      </c>
    </row>
    <row r="454" spans="1:5" x14ac:dyDescent="0.3">
      <c r="A454" s="23">
        <v>5218561</v>
      </c>
      <c r="B454" s="23" t="s">
        <v>2273</v>
      </c>
      <c r="C454" s="40">
        <v>16.309999999999999</v>
      </c>
      <c r="D454" s="24">
        <v>3</v>
      </c>
      <c r="E454" t="e">
        <f>_xlfn.XLOOKUP(A454,'[1]query (5)'!$C:$C,'[1]query (5)'!$A:$A)</f>
        <v>#N/A</v>
      </c>
    </row>
    <row r="455" spans="1:5" x14ac:dyDescent="0.3">
      <c r="A455" s="23">
        <v>5218562</v>
      </c>
      <c r="B455" s="23" t="s">
        <v>2274</v>
      </c>
      <c r="C455" s="40">
        <v>391.62</v>
      </c>
      <c r="D455" s="24">
        <v>34</v>
      </c>
      <c r="E455" t="e">
        <f>_xlfn.XLOOKUP(A455,'[1]query (5)'!$C:$C,'[1]query (5)'!$A:$A)</f>
        <v>#N/A</v>
      </c>
    </row>
    <row r="456" spans="1:5" x14ac:dyDescent="0.3">
      <c r="A456" s="23">
        <v>5218563</v>
      </c>
      <c r="B456" s="23" t="s">
        <v>1364</v>
      </c>
      <c r="C456" s="40">
        <v>3664.5</v>
      </c>
      <c r="D456" s="24">
        <v>197</v>
      </c>
      <c r="E456" t="e">
        <f>_xlfn.XLOOKUP(A456,'[1]query (5)'!$C:$C,'[1]query (5)'!$A:$A)</f>
        <v>#N/A</v>
      </c>
    </row>
    <row r="457" spans="1:5" x14ac:dyDescent="0.3">
      <c r="A457" s="23">
        <v>5218565</v>
      </c>
      <c r="B457" s="23" t="s">
        <v>1348</v>
      </c>
      <c r="C457" s="40">
        <v>5000.93</v>
      </c>
      <c r="D457" s="24">
        <v>97</v>
      </c>
      <c r="E457" t="e">
        <f>_xlfn.XLOOKUP(A457,'[1]query (5)'!$C:$C,'[1]query (5)'!$A:$A)</f>
        <v>#N/A</v>
      </c>
    </row>
    <row r="458" spans="1:5" x14ac:dyDescent="0.3">
      <c r="A458" s="23">
        <v>5218567</v>
      </c>
      <c r="B458" s="23" t="s">
        <v>1349</v>
      </c>
      <c r="C458" s="40">
        <v>5427.29</v>
      </c>
      <c r="D458" s="24">
        <v>120</v>
      </c>
      <c r="E458" t="e">
        <f>_xlfn.XLOOKUP(A458,'[1]query (5)'!$C:$C,'[1]query (5)'!$A:$A)</f>
        <v>#N/A</v>
      </c>
    </row>
    <row r="459" spans="1:5" x14ac:dyDescent="0.3">
      <c r="A459" s="23">
        <v>5218568</v>
      </c>
      <c r="B459" s="23" t="s">
        <v>1350</v>
      </c>
      <c r="C459" s="40">
        <v>2149.81</v>
      </c>
      <c r="D459" s="24">
        <v>51</v>
      </c>
      <c r="E459" t="e">
        <f>_xlfn.XLOOKUP(A459,'[1]query (5)'!$C:$C,'[1]query (5)'!$A:$A)</f>
        <v>#N/A</v>
      </c>
    </row>
    <row r="460" spans="1:5" x14ac:dyDescent="0.3">
      <c r="A460" s="23">
        <v>5218569</v>
      </c>
      <c r="B460" s="23" t="s">
        <v>1351</v>
      </c>
      <c r="C460" s="40">
        <v>44.93</v>
      </c>
      <c r="D460" s="24">
        <v>1</v>
      </c>
      <c r="E460" t="e">
        <f>_xlfn.XLOOKUP(A460,'[1]query (5)'!$C:$C,'[1]query (5)'!$A:$A)</f>
        <v>#N/A</v>
      </c>
    </row>
    <row r="461" spans="1:5" x14ac:dyDescent="0.3">
      <c r="A461" s="23">
        <v>5218581</v>
      </c>
      <c r="B461" s="23" t="s">
        <v>2275</v>
      </c>
      <c r="C461" s="40">
        <v>5573.97</v>
      </c>
      <c r="D461" s="24">
        <v>268</v>
      </c>
      <c r="E461" t="e">
        <f>_xlfn.XLOOKUP(A461,'[1]query (5)'!$C:$C,'[1]query (5)'!$A:$A)</f>
        <v>#N/A</v>
      </c>
    </row>
    <row r="462" spans="1:5" x14ac:dyDescent="0.3">
      <c r="A462" s="23">
        <v>5218583</v>
      </c>
      <c r="B462" s="23" t="s">
        <v>1352</v>
      </c>
      <c r="C462" s="40">
        <v>154</v>
      </c>
      <c r="D462" s="24">
        <v>10</v>
      </c>
      <c r="E462" t="e">
        <f>_xlfn.XLOOKUP(A462,'[1]query (5)'!$C:$C,'[1]query (5)'!$A:$A)</f>
        <v>#N/A</v>
      </c>
    </row>
    <row r="463" spans="1:5" x14ac:dyDescent="0.3">
      <c r="A463" s="23">
        <v>5218584</v>
      </c>
      <c r="B463" s="23" t="s">
        <v>1353</v>
      </c>
      <c r="C463" s="40">
        <v>4149.97</v>
      </c>
      <c r="D463" s="24">
        <v>281</v>
      </c>
      <c r="E463" t="e">
        <f>_xlfn.XLOOKUP(A463,'[1]query (5)'!$C:$C,'[1]query (5)'!$A:$A)</f>
        <v>#N/A</v>
      </c>
    </row>
    <row r="464" spans="1:5" x14ac:dyDescent="0.3">
      <c r="A464" s="23">
        <v>5218587</v>
      </c>
      <c r="B464" s="23" t="s">
        <v>1354</v>
      </c>
      <c r="C464" s="40">
        <v>36831.22</v>
      </c>
      <c r="D464" s="24">
        <v>2450</v>
      </c>
      <c r="E464" t="e">
        <f>_xlfn.XLOOKUP(A464,'[1]query (5)'!$C:$C,'[1]query (5)'!$A:$A)</f>
        <v>#N/A</v>
      </c>
    </row>
    <row r="465" spans="1:5" x14ac:dyDescent="0.3">
      <c r="A465" s="23">
        <v>5218588</v>
      </c>
      <c r="B465" s="23" t="s">
        <v>1355</v>
      </c>
      <c r="C465" s="40">
        <v>96.86</v>
      </c>
      <c r="D465" s="24">
        <v>5</v>
      </c>
      <c r="E465" t="e">
        <f>_xlfn.XLOOKUP(A465,'[1]query (5)'!$C:$C,'[1]query (5)'!$A:$A)</f>
        <v>#N/A</v>
      </c>
    </row>
    <row r="466" spans="1:5" x14ac:dyDescent="0.3">
      <c r="A466" s="23">
        <v>5218591</v>
      </c>
      <c r="B466" s="23" t="s">
        <v>1356</v>
      </c>
      <c r="C466" s="40">
        <v>1718.23</v>
      </c>
      <c r="D466" s="24">
        <v>104</v>
      </c>
      <c r="E466" t="e">
        <f>_xlfn.XLOOKUP(A466,'[1]query (5)'!$C:$C,'[1]query (5)'!$A:$A)</f>
        <v>#N/A</v>
      </c>
    </row>
    <row r="467" spans="1:5" x14ac:dyDescent="0.3">
      <c r="A467" s="23">
        <v>5218595</v>
      </c>
      <c r="B467" s="23" t="s">
        <v>1357</v>
      </c>
      <c r="C467" s="40">
        <v>4469.63</v>
      </c>
      <c r="D467" s="24">
        <v>316</v>
      </c>
      <c r="E467" t="e">
        <f>_xlfn.XLOOKUP(A467,'[1]query (5)'!$C:$C,'[1]query (5)'!$A:$A)</f>
        <v>#N/A</v>
      </c>
    </row>
    <row r="468" spans="1:5" x14ac:dyDescent="0.3">
      <c r="A468" s="23">
        <v>5218596</v>
      </c>
      <c r="B468" s="23" t="s">
        <v>2276</v>
      </c>
      <c r="C468" s="40">
        <v>792.98</v>
      </c>
      <c r="D468" s="24">
        <v>60</v>
      </c>
      <c r="E468" t="e">
        <f>_xlfn.XLOOKUP(A468,'[1]query (5)'!$C:$C,'[1]query (5)'!$A:$A)</f>
        <v>#N/A</v>
      </c>
    </row>
    <row r="469" spans="1:5" x14ac:dyDescent="0.3">
      <c r="A469" s="23">
        <v>5218601</v>
      </c>
      <c r="B469" s="23" t="s">
        <v>2277</v>
      </c>
      <c r="C469" s="40">
        <v>201.96</v>
      </c>
      <c r="D469" s="24">
        <v>12</v>
      </c>
      <c r="E469" t="e">
        <f>_xlfn.XLOOKUP(A469,'[1]query (5)'!$C:$C,'[1]query (5)'!$A:$A)</f>
        <v>#N/A</v>
      </c>
    </row>
    <row r="470" spans="1:5" x14ac:dyDescent="0.3">
      <c r="A470" s="23">
        <v>5218602</v>
      </c>
      <c r="B470" s="23" t="s">
        <v>1365</v>
      </c>
      <c r="C470" s="40">
        <v>146.79</v>
      </c>
      <c r="D470" s="24">
        <v>6</v>
      </c>
      <c r="E470" t="e">
        <f>_xlfn.XLOOKUP(A470,'[1]query (5)'!$C:$C,'[1]query (5)'!$A:$A)</f>
        <v>#N/A</v>
      </c>
    </row>
    <row r="471" spans="1:5" x14ac:dyDescent="0.3">
      <c r="A471" s="23">
        <v>5218603</v>
      </c>
      <c r="B471" s="23" t="s">
        <v>1366</v>
      </c>
      <c r="C471" s="40">
        <v>1237.68</v>
      </c>
      <c r="D471" s="24">
        <v>91</v>
      </c>
      <c r="E471" t="e">
        <f>_xlfn.XLOOKUP(A471,'[1]query (5)'!$C:$C,'[1]query (5)'!$A:$A)</f>
        <v>#N/A</v>
      </c>
    </row>
    <row r="472" spans="1:5" x14ac:dyDescent="0.3">
      <c r="A472" s="23">
        <v>5218604</v>
      </c>
      <c r="B472" s="23" t="s">
        <v>1367</v>
      </c>
      <c r="C472" s="40">
        <v>1652.51</v>
      </c>
      <c r="D472" s="24">
        <v>119</v>
      </c>
      <c r="E472" t="e">
        <f>_xlfn.XLOOKUP(A472,'[1]query (5)'!$C:$C,'[1]query (5)'!$A:$A)</f>
        <v>#N/A</v>
      </c>
    </row>
    <row r="473" spans="1:5" x14ac:dyDescent="0.3">
      <c r="A473" s="23">
        <v>5218610</v>
      </c>
      <c r="B473" s="23" t="s">
        <v>1358</v>
      </c>
      <c r="C473" s="40">
        <v>6678.01</v>
      </c>
      <c r="D473" s="24">
        <v>263</v>
      </c>
      <c r="E473" t="e">
        <f>_xlfn.XLOOKUP(A473,'[1]query (5)'!$C:$C,'[1]query (5)'!$A:$A)</f>
        <v>#N/A</v>
      </c>
    </row>
    <row r="474" spans="1:5" x14ac:dyDescent="0.3">
      <c r="A474" s="23">
        <v>5218612</v>
      </c>
      <c r="B474" s="23" t="s">
        <v>2278</v>
      </c>
      <c r="C474" s="40">
        <v>393.7</v>
      </c>
      <c r="D474" s="24">
        <v>20</v>
      </c>
      <c r="E474" t="e">
        <f>_xlfn.XLOOKUP(A474,'[1]query (5)'!$C:$C,'[1]query (5)'!$A:$A)</f>
        <v>#N/A</v>
      </c>
    </row>
    <row r="475" spans="1:5" x14ac:dyDescent="0.3">
      <c r="A475" s="23">
        <v>5218614</v>
      </c>
      <c r="B475" s="23" t="s">
        <v>2279</v>
      </c>
      <c r="C475" s="40">
        <v>6.2</v>
      </c>
      <c r="D475" s="24">
        <v>1</v>
      </c>
      <c r="E475" t="e">
        <f>_xlfn.XLOOKUP(A475,'[1]query (5)'!$C:$C,'[1]query (5)'!$A:$A)</f>
        <v>#N/A</v>
      </c>
    </row>
    <row r="476" spans="1:5" x14ac:dyDescent="0.3">
      <c r="A476" s="23">
        <v>5218615</v>
      </c>
      <c r="B476" s="23" t="s">
        <v>2280</v>
      </c>
      <c r="C476" s="40">
        <v>140.59</v>
      </c>
      <c r="D476" s="24">
        <v>13</v>
      </c>
      <c r="E476" t="e">
        <f>_xlfn.XLOOKUP(A476,'[1]query (5)'!$C:$C,'[1]query (5)'!$A:$A)</f>
        <v>#N/A</v>
      </c>
    </row>
    <row r="477" spans="1:5" x14ac:dyDescent="0.3">
      <c r="A477" s="23">
        <v>5218616</v>
      </c>
      <c r="B477" s="23" t="s">
        <v>2281</v>
      </c>
      <c r="C477" s="40">
        <v>1014.44</v>
      </c>
      <c r="D477" s="24">
        <v>69</v>
      </c>
      <c r="E477" t="e">
        <f>_xlfn.XLOOKUP(A477,'[1]query (5)'!$C:$C,'[1]query (5)'!$A:$A)</f>
        <v>#N/A</v>
      </c>
    </row>
    <row r="478" spans="1:5" x14ac:dyDescent="0.3">
      <c r="A478" s="23">
        <v>5218617</v>
      </c>
      <c r="B478" s="23" t="s">
        <v>2282</v>
      </c>
      <c r="C478" s="40">
        <v>109.41</v>
      </c>
      <c r="D478" s="24">
        <v>18</v>
      </c>
      <c r="E478" t="e">
        <f>_xlfn.XLOOKUP(A478,'[1]query (5)'!$C:$C,'[1]query (5)'!$A:$A)</f>
        <v>#N/A</v>
      </c>
    </row>
    <row r="479" spans="1:5" x14ac:dyDescent="0.3">
      <c r="A479" s="23">
        <v>5218618</v>
      </c>
      <c r="B479" s="23" t="s">
        <v>2283</v>
      </c>
      <c r="C479" s="40">
        <v>583.89</v>
      </c>
      <c r="D479" s="24">
        <v>52</v>
      </c>
      <c r="E479" t="e">
        <f>_xlfn.XLOOKUP(A479,'[1]query (5)'!$C:$C,'[1]query (5)'!$A:$A)</f>
        <v>#N/A</v>
      </c>
    </row>
    <row r="480" spans="1:5" x14ac:dyDescent="0.3">
      <c r="A480" s="23">
        <v>5218619</v>
      </c>
      <c r="B480" s="23" t="s">
        <v>2284</v>
      </c>
      <c r="C480" s="40">
        <v>881</v>
      </c>
      <c r="D480" s="24">
        <v>53</v>
      </c>
      <c r="E480" t="e">
        <f>_xlfn.XLOOKUP(A480,'[1]query (5)'!$C:$C,'[1]query (5)'!$A:$A)</f>
        <v>#N/A</v>
      </c>
    </row>
    <row r="481" spans="1:5" x14ac:dyDescent="0.3">
      <c r="A481" s="23">
        <v>5218640</v>
      </c>
      <c r="B481" s="23" t="s">
        <v>2285</v>
      </c>
      <c r="C481" s="40">
        <v>120.88</v>
      </c>
      <c r="D481" s="24">
        <v>15</v>
      </c>
      <c r="E481" t="e">
        <f>_xlfn.XLOOKUP(A481,'[1]query (5)'!$C:$C,'[1]query (5)'!$A:$A)</f>
        <v>#N/A</v>
      </c>
    </row>
    <row r="482" spans="1:5" x14ac:dyDescent="0.3">
      <c r="A482" s="23">
        <v>5218641</v>
      </c>
      <c r="B482" s="23" t="s">
        <v>2286</v>
      </c>
      <c r="C482" s="40">
        <v>2092.56</v>
      </c>
      <c r="D482" s="24">
        <v>144</v>
      </c>
      <c r="E482" t="e">
        <f>_xlfn.XLOOKUP(A482,'[1]query (5)'!$C:$C,'[1]query (5)'!$A:$A)</f>
        <v>#N/A</v>
      </c>
    </row>
    <row r="483" spans="1:5" x14ac:dyDescent="0.3">
      <c r="A483" s="23">
        <v>5218646</v>
      </c>
      <c r="B483" s="23" t="s">
        <v>1361</v>
      </c>
      <c r="C483" s="40">
        <v>569.59</v>
      </c>
      <c r="D483" s="24">
        <v>41</v>
      </c>
      <c r="E483" t="e">
        <f>_xlfn.XLOOKUP(A483,'[1]query (5)'!$C:$C,'[1]query (5)'!$A:$A)</f>
        <v>#N/A</v>
      </c>
    </row>
    <row r="484" spans="1:5" x14ac:dyDescent="0.3">
      <c r="A484" s="23">
        <v>5218650</v>
      </c>
      <c r="B484" s="23" t="s">
        <v>2287</v>
      </c>
      <c r="C484" s="40">
        <v>140.12</v>
      </c>
      <c r="D484" s="24">
        <v>14</v>
      </c>
      <c r="E484" t="e">
        <f>_xlfn.XLOOKUP(A484,'[1]query (5)'!$C:$C,'[1]query (5)'!$A:$A)</f>
        <v>#N/A</v>
      </c>
    </row>
    <row r="485" spans="1:5" x14ac:dyDescent="0.3">
      <c r="A485" s="23">
        <v>5218651</v>
      </c>
      <c r="B485" s="23" t="s">
        <v>2288</v>
      </c>
      <c r="C485" s="40">
        <v>1947.39</v>
      </c>
      <c r="D485" s="24">
        <v>109</v>
      </c>
      <c r="E485" t="e">
        <f>_xlfn.XLOOKUP(A485,'[1]query (5)'!$C:$C,'[1]query (5)'!$A:$A)</f>
        <v>#N/A</v>
      </c>
    </row>
    <row r="486" spans="1:5" x14ac:dyDescent="0.3">
      <c r="A486" s="23">
        <v>5218657</v>
      </c>
      <c r="B486" s="23" t="s">
        <v>2289</v>
      </c>
      <c r="C486" s="40">
        <v>22.14</v>
      </c>
      <c r="D486" s="24">
        <v>4</v>
      </c>
      <c r="E486" t="e">
        <f>_xlfn.XLOOKUP(A486,'[1]query (5)'!$C:$C,'[1]query (5)'!$A:$A)</f>
        <v>#N/A</v>
      </c>
    </row>
    <row r="487" spans="1:5" x14ac:dyDescent="0.3">
      <c r="A487" s="23">
        <v>5218658</v>
      </c>
      <c r="B487" s="23" t="s">
        <v>2290</v>
      </c>
      <c r="C487" s="40">
        <v>88.02</v>
      </c>
      <c r="D487" s="24">
        <v>9</v>
      </c>
      <c r="E487" t="e">
        <f>_xlfn.XLOOKUP(A487,'[1]query (5)'!$C:$C,'[1]query (5)'!$A:$A)</f>
        <v>#N/A</v>
      </c>
    </row>
    <row r="488" spans="1:5" x14ac:dyDescent="0.3">
      <c r="A488" s="23">
        <v>5218660</v>
      </c>
      <c r="B488" s="23" t="s">
        <v>1368</v>
      </c>
      <c r="C488" s="40">
        <v>505.66</v>
      </c>
      <c r="D488" s="24">
        <v>35</v>
      </c>
      <c r="E488" t="e">
        <f>_xlfn.XLOOKUP(A488,'[1]query (5)'!$C:$C,'[1]query (5)'!$A:$A)</f>
        <v>#N/A</v>
      </c>
    </row>
    <row r="489" spans="1:5" x14ac:dyDescent="0.3">
      <c r="A489" s="23">
        <v>5218665</v>
      </c>
      <c r="B489" s="23" t="s">
        <v>2291</v>
      </c>
      <c r="C489" s="40">
        <v>221.78</v>
      </c>
      <c r="D489" s="24">
        <v>24</v>
      </c>
      <c r="E489" t="e">
        <f>_xlfn.XLOOKUP(A489,'[1]query (5)'!$C:$C,'[1]query (5)'!$A:$A)</f>
        <v>#N/A</v>
      </c>
    </row>
    <row r="490" spans="1:5" x14ac:dyDescent="0.3">
      <c r="A490" s="23">
        <v>5218666</v>
      </c>
      <c r="B490" s="23" t="s">
        <v>1369</v>
      </c>
      <c r="C490" s="40">
        <v>2362.4</v>
      </c>
      <c r="D490" s="24">
        <v>168</v>
      </c>
      <c r="E490" t="e">
        <f>_xlfn.XLOOKUP(A490,'[1]query (5)'!$C:$C,'[1]query (5)'!$A:$A)</f>
        <v>#N/A</v>
      </c>
    </row>
    <row r="491" spans="1:5" x14ac:dyDescent="0.3">
      <c r="A491" s="23">
        <v>5218668</v>
      </c>
      <c r="B491" s="23" t="s">
        <v>2292</v>
      </c>
      <c r="C491" s="40">
        <v>3609.04</v>
      </c>
      <c r="D491" s="24">
        <v>194</v>
      </c>
      <c r="E491" t="e">
        <f>_xlfn.XLOOKUP(A491,'[1]query (5)'!$C:$C,'[1]query (5)'!$A:$A)</f>
        <v>#N/A</v>
      </c>
    </row>
    <row r="492" spans="1:5" x14ac:dyDescent="0.3">
      <c r="A492" s="23">
        <v>5218670</v>
      </c>
      <c r="B492" s="23" t="s">
        <v>2293</v>
      </c>
      <c r="C492" s="40">
        <v>291.02</v>
      </c>
      <c r="D492" s="24">
        <v>28</v>
      </c>
      <c r="E492" t="e">
        <f>_xlfn.XLOOKUP(A492,'[1]query (5)'!$C:$C,'[1]query (5)'!$A:$A)</f>
        <v>#N/A</v>
      </c>
    </row>
    <row r="493" spans="1:5" x14ac:dyDescent="0.3">
      <c r="A493" s="23">
        <v>5218671</v>
      </c>
      <c r="B493" s="23" t="s">
        <v>2294</v>
      </c>
      <c r="C493" s="40">
        <v>846.98</v>
      </c>
      <c r="D493" s="24">
        <v>57</v>
      </c>
      <c r="E493" t="e">
        <f>_xlfn.XLOOKUP(A493,'[1]query (5)'!$C:$C,'[1]query (5)'!$A:$A)</f>
        <v>#N/A</v>
      </c>
    </row>
    <row r="494" spans="1:5" x14ac:dyDescent="0.3">
      <c r="A494" s="23">
        <v>5218672</v>
      </c>
      <c r="B494" s="23" t="s">
        <v>2295</v>
      </c>
      <c r="C494" s="40">
        <v>272.2</v>
      </c>
      <c r="D494" s="24">
        <v>10</v>
      </c>
      <c r="E494" t="e">
        <f>_xlfn.XLOOKUP(A494,'[1]query (5)'!$C:$C,'[1]query (5)'!$A:$A)</f>
        <v>#N/A</v>
      </c>
    </row>
    <row r="495" spans="1:5" x14ac:dyDescent="0.3">
      <c r="A495" s="23">
        <v>5218674</v>
      </c>
      <c r="B495" s="23" t="s">
        <v>2296</v>
      </c>
      <c r="C495" s="40">
        <v>11432.78</v>
      </c>
      <c r="D495" s="24">
        <v>594</v>
      </c>
      <c r="E495" t="e">
        <f>_xlfn.XLOOKUP(A495,'[1]query (5)'!$C:$C,'[1]query (5)'!$A:$A)</f>
        <v>#N/A</v>
      </c>
    </row>
    <row r="496" spans="1:5" x14ac:dyDescent="0.3">
      <c r="A496" s="23">
        <v>5218675</v>
      </c>
      <c r="B496" s="23" t="s">
        <v>2297</v>
      </c>
      <c r="C496" s="40">
        <v>463.68</v>
      </c>
      <c r="D496" s="24">
        <v>39</v>
      </c>
      <c r="E496" t="e">
        <f>_xlfn.XLOOKUP(A496,'[1]query (5)'!$C:$C,'[1]query (5)'!$A:$A)</f>
        <v>#N/A</v>
      </c>
    </row>
    <row r="497" spans="1:5" x14ac:dyDescent="0.3">
      <c r="A497" s="23">
        <v>5218683</v>
      </c>
      <c r="B497" s="23" t="s">
        <v>2298</v>
      </c>
      <c r="C497" s="40">
        <v>12437.27</v>
      </c>
      <c r="D497" s="24">
        <v>718</v>
      </c>
      <c r="E497" t="e">
        <f>_xlfn.XLOOKUP(A497,'[1]query (5)'!$C:$C,'[1]query (5)'!$A:$A)</f>
        <v>#N/A</v>
      </c>
    </row>
    <row r="498" spans="1:5" x14ac:dyDescent="0.3">
      <c r="A498" s="23">
        <v>5218684</v>
      </c>
      <c r="B498" s="23" t="s">
        <v>2299</v>
      </c>
      <c r="C498" s="40">
        <v>524.24</v>
      </c>
      <c r="D498" s="24">
        <v>55</v>
      </c>
      <c r="E498" t="e">
        <f>_xlfn.XLOOKUP(A498,'[1]query (5)'!$C:$C,'[1]query (5)'!$A:$A)</f>
        <v>#N/A</v>
      </c>
    </row>
    <row r="499" spans="1:5" x14ac:dyDescent="0.3">
      <c r="A499" s="23">
        <v>5218685</v>
      </c>
      <c r="B499" s="23" t="s">
        <v>2300</v>
      </c>
      <c r="C499" s="40">
        <v>146.13</v>
      </c>
      <c r="D499" s="24">
        <v>5</v>
      </c>
      <c r="E499" t="e">
        <f>_xlfn.XLOOKUP(A499,'[1]query (5)'!$C:$C,'[1]query (5)'!$A:$A)</f>
        <v>#N/A</v>
      </c>
    </row>
    <row r="500" spans="1:5" x14ac:dyDescent="0.3">
      <c r="A500" s="23">
        <v>5218686</v>
      </c>
      <c r="B500" s="23" t="s">
        <v>2301</v>
      </c>
      <c r="C500" s="40">
        <v>60.58</v>
      </c>
      <c r="D500" s="24">
        <v>4</v>
      </c>
      <c r="E500" t="e">
        <f>_xlfn.XLOOKUP(A500,'[1]query (5)'!$C:$C,'[1]query (5)'!$A:$A)</f>
        <v>#N/A</v>
      </c>
    </row>
    <row r="501" spans="1:5" x14ac:dyDescent="0.3">
      <c r="A501" s="23">
        <v>5218691</v>
      </c>
      <c r="B501" s="23" t="s">
        <v>2302</v>
      </c>
      <c r="C501" s="40">
        <v>424.34</v>
      </c>
      <c r="D501" s="24">
        <v>17</v>
      </c>
      <c r="E501" t="e">
        <f>_xlfn.XLOOKUP(A501,'[1]query (5)'!$C:$C,'[1]query (5)'!$A:$A)</f>
        <v>#N/A</v>
      </c>
    </row>
    <row r="502" spans="1:5" x14ac:dyDescent="0.3">
      <c r="A502" s="23">
        <v>5218692</v>
      </c>
      <c r="B502" s="23" t="s">
        <v>2303</v>
      </c>
      <c r="C502" s="40">
        <v>631.27</v>
      </c>
      <c r="D502" s="24">
        <v>44</v>
      </c>
      <c r="E502" t="e">
        <f>_xlfn.XLOOKUP(A502,'[1]query (5)'!$C:$C,'[1]query (5)'!$A:$A)</f>
        <v>#N/A</v>
      </c>
    </row>
    <row r="503" spans="1:5" x14ac:dyDescent="0.3">
      <c r="A503" s="23">
        <v>5218693</v>
      </c>
      <c r="B503" s="23" t="s">
        <v>2304</v>
      </c>
      <c r="C503" s="40">
        <v>107.78</v>
      </c>
      <c r="D503" s="24">
        <v>6</v>
      </c>
      <c r="E503" t="e">
        <f>_xlfn.XLOOKUP(A503,'[1]query (5)'!$C:$C,'[1]query (5)'!$A:$A)</f>
        <v>#N/A</v>
      </c>
    </row>
    <row r="504" spans="1:5" x14ac:dyDescent="0.3">
      <c r="A504" s="23">
        <v>5218694</v>
      </c>
      <c r="B504" s="23" t="s">
        <v>2305</v>
      </c>
      <c r="C504" s="40">
        <v>100.07</v>
      </c>
      <c r="D504" s="24">
        <v>6</v>
      </c>
      <c r="E504" t="e">
        <f>_xlfn.XLOOKUP(A504,'[1]query (5)'!$C:$C,'[1]query (5)'!$A:$A)</f>
        <v>#N/A</v>
      </c>
    </row>
    <row r="505" spans="1:5" x14ac:dyDescent="0.3">
      <c r="A505" s="23">
        <v>5218709</v>
      </c>
      <c r="B505" s="23" t="s">
        <v>2306</v>
      </c>
      <c r="C505" s="40">
        <v>13389.15</v>
      </c>
      <c r="D505" s="24">
        <v>620</v>
      </c>
      <c r="E505" t="str">
        <f>_xlfn.XLOOKUP(A505,'[1]query (5)'!$C:$C,'[1]query (5)'!$A:$A)</f>
        <v>5219308</v>
      </c>
    </row>
    <row r="506" spans="1:5" x14ac:dyDescent="0.3">
      <c r="A506" s="23">
        <v>5218723</v>
      </c>
      <c r="B506" s="23" t="s">
        <v>2307</v>
      </c>
      <c r="C506" s="40">
        <v>902.1</v>
      </c>
      <c r="D506" s="24">
        <v>40</v>
      </c>
      <c r="E506" t="e">
        <f>_xlfn.XLOOKUP(A506,'[1]query (5)'!$C:$C,'[1]query (5)'!$A:$A)</f>
        <v>#N/A</v>
      </c>
    </row>
    <row r="507" spans="1:5" x14ac:dyDescent="0.3">
      <c r="A507" s="23">
        <v>5218726</v>
      </c>
      <c r="B507" s="23" t="s">
        <v>2308</v>
      </c>
      <c r="C507" s="40">
        <v>4918.09</v>
      </c>
      <c r="D507" s="24">
        <v>255</v>
      </c>
      <c r="E507" t="e">
        <f>_xlfn.XLOOKUP(A507,'[1]query (5)'!$C:$C,'[1]query (5)'!$A:$A)</f>
        <v>#N/A</v>
      </c>
    </row>
    <row r="508" spans="1:5" x14ac:dyDescent="0.3">
      <c r="A508" s="23">
        <v>5218752</v>
      </c>
      <c r="B508" s="23" t="s">
        <v>2309</v>
      </c>
      <c r="C508" s="40">
        <v>142.38999999999999</v>
      </c>
      <c r="D508" s="24">
        <v>10</v>
      </c>
      <c r="E508" t="e">
        <f>_xlfn.XLOOKUP(A508,'[1]query (5)'!$C:$C,'[1]query (5)'!$A:$A)</f>
        <v>#N/A</v>
      </c>
    </row>
    <row r="509" spans="1:5" x14ac:dyDescent="0.3">
      <c r="A509" s="23">
        <v>5218753</v>
      </c>
      <c r="B509" s="23" t="s">
        <v>2310</v>
      </c>
      <c r="C509" s="40">
        <v>1030.26</v>
      </c>
      <c r="D509" s="24">
        <v>48</v>
      </c>
      <c r="E509" t="e">
        <f>_xlfn.XLOOKUP(A509,'[1]query (5)'!$C:$C,'[1]query (5)'!$A:$A)</f>
        <v>#N/A</v>
      </c>
    </row>
    <row r="510" spans="1:5" x14ac:dyDescent="0.3">
      <c r="A510" s="23">
        <v>5218760</v>
      </c>
      <c r="B510" s="23" t="s">
        <v>2311</v>
      </c>
      <c r="C510" s="40">
        <v>3405.66</v>
      </c>
      <c r="D510" s="24">
        <v>151</v>
      </c>
      <c r="E510" t="str">
        <f>_xlfn.XLOOKUP(A510,'[1]query (5)'!$C:$C,'[1]query (5)'!$A:$A)</f>
        <v>5219311</v>
      </c>
    </row>
    <row r="511" spans="1:5" x14ac:dyDescent="0.3">
      <c r="A511" s="23">
        <v>5218761</v>
      </c>
      <c r="B511" s="23" t="s">
        <v>2312</v>
      </c>
      <c r="C511" s="40">
        <v>2866.36</v>
      </c>
      <c r="D511" s="24">
        <v>154</v>
      </c>
      <c r="E511" t="str">
        <f>_xlfn.XLOOKUP(A511,'[1]query (5)'!$C:$C,'[1]query (5)'!$A:$A)</f>
        <v>5219312</v>
      </c>
    </row>
    <row r="512" spans="1:5" x14ac:dyDescent="0.3">
      <c r="A512" s="23">
        <v>5218763</v>
      </c>
      <c r="B512" s="23" t="s">
        <v>2313</v>
      </c>
      <c r="C512" s="40">
        <v>3127.31</v>
      </c>
      <c r="D512" s="24">
        <v>138</v>
      </c>
      <c r="E512" t="str">
        <f>_xlfn.XLOOKUP(A512,'[1]query (5)'!$C:$C,'[1]query (5)'!$A:$A)</f>
        <v>5219308</v>
      </c>
    </row>
    <row r="513" spans="1:5" x14ac:dyDescent="0.3">
      <c r="A513" s="23">
        <v>5218770</v>
      </c>
      <c r="B513" s="23" t="s">
        <v>2314</v>
      </c>
      <c r="C513" s="40">
        <v>571.30999999999995</v>
      </c>
      <c r="D513" s="24">
        <v>28</v>
      </c>
      <c r="E513" t="str">
        <f>_xlfn.XLOOKUP(A513,'[1]query (5)'!$C:$C,'[1]query (5)'!$A:$A)</f>
        <v>5219308</v>
      </c>
    </row>
    <row r="514" spans="1:5" x14ac:dyDescent="0.3">
      <c r="A514" s="23">
        <v>5218771</v>
      </c>
      <c r="B514" s="23" t="s">
        <v>2315</v>
      </c>
      <c r="C514" s="40">
        <v>145.44</v>
      </c>
      <c r="D514" s="24">
        <v>14</v>
      </c>
      <c r="E514" t="str">
        <f>_xlfn.XLOOKUP(A514,'[1]query (5)'!$C:$C,'[1]query (5)'!$A:$A)</f>
        <v>5219314</v>
      </c>
    </row>
    <row r="515" spans="1:5" x14ac:dyDescent="0.3">
      <c r="A515" s="23">
        <v>5218772</v>
      </c>
      <c r="B515" s="23" t="s">
        <v>2316</v>
      </c>
      <c r="C515" s="40">
        <v>5561.64</v>
      </c>
      <c r="D515" s="24">
        <v>352</v>
      </c>
      <c r="E515" t="str">
        <f>_xlfn.XLOOKUP(A515,'[1]query (5)'!$C:$C,'[1]query (5)'!$A:$A)</f>
        <v>5219315</v>
      </c>
    </row>
    <row r="516" spans="1:5" x14ac:dyDescent="0.3">
      <c r="A516" s="23">
        <v>5218773</v>
      </c>
      <c r="B516" s="23" t="s">
        <v>2317</v>
      </c>
      <c r="C516" s="40">
        <v>19.010000000000002</v>
      </c>
      <c r="D516" s="24">
        <v>1</v>
      </c>
      <c r="E516" t="str">
        <f>_xlfn.XLOOKUP(A516,'[1]query (5)'!$C:$C,'[1]query (5)'!$A:$A)</f>
        <v>5219316</v>
      </c>
    </row>
    <row r="517" spans="1:5" x14ac:dyDescent="0.3">
      <c r="A517" s="23">
        <v>5218774</v>
      </c>
      <c r="B517" s="23" t="s">
        <v>2318</v>
      </c>
      <c r="C517" s="40">
        <v>385.67</v>
      </c>
      <c r="D517" s="24">
        <v>20</v>
      </c>
      <c r="E517" t="str">
        <f>_xlfn.XLOOKUP(A517,'[1]query (5)'!$C:$C,'[1]query (5)'!$A:$A)</f>
        <v>5219316</v>
      </c>
    </row>
    <row r="518" spans="1:5" x14ac:dyDescent="0.3">
      <c r="A518" s="23">
        <v>5218775</v>
      </c>
      <c r="B518" s="23" t="s">
        <v>2319</v>
      </c>
      <c r="C518" s="40">
        <v>1127.54</v>
      </c>
      <c r="D518" s="24">
        <v>56</v>
      </c>
      <c r="E518" t="str">
        <f>_xlfn.XLOOKUP(A518,'[1]query (5)'!$C:$C,'[1]query (5)'!$A:$A)</f>
        <v>5219316</v>
      </c>
    </row>
    <row r="519" spans="1:5" x14ac:dyDescent="0.3">
      <c r="A519" s="23">
        <v>5218776</v>
      </c>
      <c r="B519" s="23" t="s">
        <v>2320</v>
      </c>
      <c r="C519" s="40">
        <v>18442.18</v>
      </c>
      <c r="D519" s="24">
        <v>789</v>
      </c>
      <c r="E519" t="str">
        <f>_xlfn.XLOOKUP(A519,'[1]query (5)'!$C:$C,'[1]query (5)'!$A:$A)</f>
        <v>5219306</v>
      </c>
    </row>
    <row r="520" spans="1:5" x14ac:dyDescent="0.3">
      <c r="A520" s="23">
        <v>5218777</v>
      </c>
      <c r="B520" s="23" t="s">
        <v>2321</v>
      </c>
      <c r="C520" s="40">
        <v>4252.8500000000004</v>
      </c>
      <c r="D520" s="24">
        <v>180</v>
      </c>
      <c r="E520" t="str">
        <f>_xlfn.XLOOKUP(A520,'[1]query (5)'!$C:$C,'[1]query (5)'!$A:$A)</f>
        <v>5219306</v>
      </c>
    </row>
    <row r="521" spans="1:5" x14ac:dyDescent="0.3">
      <c r="A521" s="23">
        <v>5218778</v>
      </c>
      <c r="B521" s="23" t="s">
        <v>1972</v>
      </c>
      <c r="C521" s="40">
        <v>11467.57</v>
      </c>
      <c r="D521" s="24">
        <v>684</v>
      </c>
      <c r="E521" t="str">
        <f>_xlfn.XLOOKUP(A521,'[1]query (5)'!$C:$C,'[1]query (5)'!$A:$A)</f>
        <v>5219307</v>
      </c>
    </row>
    <row r="522" spans="1:5" x14ac:dyDescent="0.3">
      <c r="A522" s="23">
        <v>5218779</v>
      </c>
      <c r="B522" s="23" t="s">
        <v>1970</v>
      </c>
      <c r="C522" s="40">
        <v>2790.62</v>
      </c>
      <c r="D522" s="24">
        <v>184</v>
      </c>
      <c r="E522" t="str">
        <f>_xlfn.XLOOKUP(A522,'[1]query (5)'!$C:$C,'[1]query (5)'!$A:$A)</f>
        <v>5219307</v>
      </c>
    </row>
    <row r="523" spans="1:5" x14ac:dyDescent="0.3">
      <c r="A523" s="23">
        <v>5218780</v>
      </c>
      <c r="B523" s="23" t="s">
        <v>1986</v>
      </c>
      <c r="C523" s="40">
        <v>372.2</v>
      </c>
      <c r="D523" s="24">
        <v>24</v>
      </c>
      <c r="E523" t="str">
        <f>_xlfn.XLOOKUP(A523,'[1]query (5)'!$C:$C,'[1]query (5)'!$A:$A)</f>
        <v>5219307</v>
      </c>
    </row>
    <row r="524" spans="1:5" x14ac:dyDescent="0.3">
      <c r="A524" s="23">
        <v>5218781</v>
      </c>
      <c r="B524" s="23" t="s">
        <v>1997</v>
      </c>
      <c r="C524" s="40">
        <v>12000.17</v>
      </c>
      <c r="D524" s="24">
        <v>514</v>
      </c>
      <c r="E524" t="str">
        <f>_xlfn.XLOOKUP(A524,'[1]query (5)'!$C:$C,'[1]query (5)'!$A:$A)</f>
        <v>5219317</v>
      </c>
    </row>
    <row r="525" spans="1:5" x14ac:dyDescent="0.3">
      <c r="A525" s="23">
        <v>5218782</v>
      </c>
      <c r="B525" s="23" t="s">
        <v>1989</v>
      </c>
      <c r="C525" s="40">
        <v>4646.04</v>
      </c>
      <c r="D525" s="24">
        <v>183</v>
      </c>
      <c r="E525" t="str">
        <f>_xlfn.XLOOKUP(A525,'[1]query (5)'!$C:$C,'[1]query (5)'!$A:$A)</f>
        <v>5219317</v>
      </c>
    </row>
    <row r="526" spans="1:5" x14ac:dyDescent="0.3">
      <c r="A526" s="23">
        <v>5218783</v>
      </c>
      <c r="B526" s="23" t="s">
        <v>2322</v>
      </c>
      <c r="C526" s="40">
        <v>25.27</v>
      </c>
      <c r="D526" s="24">
        <v>4</v>
      </c>
      <c r="E526" t="str">
        <f>_xlfn.XLOOKUP(A526,'[1]query (5)'!$C:$C,'[1]query (5)'!$A:$A)</f>
        <v>5219318</v>
      </c>
    </row>
    <row r="527" spans="1:5" x14ac:dyDescent="0.3">
      <c r="A527" s="23">
        <v>5218784</v>
      </c>
      <c r="B527" s="23" t="s">
        <v>2025</v>
      </c>
      <c r="C527" s="40">
        <v>129.62</v>
      </c>
      <c r="D527" s="24">
        <v>11</v>
      </c>
      <c r="E527" t="str">
        <f>_xlfn.XLOOKUP(A527,'[1]query (5)'!$C:$C,'[1]query (5)'!$A:$A)</f>
        <v>5219319</v>
      </c>
    </row>
    <row r="528" spans="1:5" x14ac:dyDescent="0.3">
      <c r="A528" s="23">
        <v>5218785</v>
      </c>
      <c r="B528" s="23" t="s">
        <v>2323</v>
      </c>
      <c r="C528" s="40">
        <v>605.80999999999995</v>
      </c>
      <c r="D528" s="24">
        <v>27</v>
      </c>
      <c r="E528" t="str">
        <f>_xlfn.XLOOKUP(A528,'[1]query (5)'!$C:$C,'[1]query (5)'!$A:$A)</f>
        <v>5219320</v>
      </c>
    </row>
    <row r="529" spans="1:5" x14ac:dyDescent="0.3">
      <c r="A529" s="23">
        <v>5218786</v>
      </c>
      <c r="B529" s="23" t="s">
        <v>2324</v>
      </c>
      <c r="C529" s="40">
        <v>28.56</v>
      </c>
      <c r="D529" s="24">
        <v>4</v>
      </c>
      <c r="E529" t="str">
        <f>_xlfn.XLOOKUP(A529,'[1]query (5)'!$C:$C,'[1]query (5)'!$A:$A)</f>
        <v>5219318</v>
      </c>
    </row>
    <row r="530" spans="1:5" x14ac:dyDescent="0.3">
      <c r="A530" s="23">
        <v>5218787</v>
      </c>
      <c r="B530" s="23" t="s">
        <v>2022</v>
      </c>
      <c r="C530" s="40">
        <v>209.17</v>
      </c>
      <c r="D530" s="24">
        <v>18</v>
      </c>
      <c r="E530" t="str">
        <f>_xlfn.XLOOKUP(A530,'[1]query (5)'!$C:$C,'[1]query (5)'!$A:$A)</f>
        <v>5219319</v>
      </c>
    </row>
    <row r="531" spans="1:5" x14ac:dyDescent="0.3">
      <c r="A531" s="23">
        <v>5218788</v>
      </c>
      <c r="B531" s="23" t="s">
        <v>2325</v>
      </c>
      <c r="C531" s="40">
        <v>964.14</v>
      </c>
      <c r="D531" s="24">
        <v>49</v>
      </c>
      <c r="E531" t="str">
        <f>_xlfn.XLOOKUP(A531,'[1]query (5)'!$C:$C,'[1]query (5)'!$A:$A)</f>
        <v>5219320</v>
      </c>
    </row>
    <row r="532" spans="1:5" x14ac:dyDescent="0.3">
      <c r="A532" s="23">
        <v>5218789</v>
      </c>
      <c r="B532" s="23" t="s">
        <v>2326</v>
      </c>
      <c r="C532" s="40">
        <v>79.91</v>
      </c>
      <c r="D532" s="24">
        <v>12</v>
      </c>
      <c r="E532" t="str">
        <f>_xlfn.XLOOKUP(A532,'[1]query (5)'!$C:$C,'[1]query (5)'!$A:$A)</f>
        <v>5219318</v>
      </c>
    </row>
    <row r="533" spans="1:5" x14ac:dyDescent="0.3">
      <c r="A533" s="23">
        <v>5218790</v>
      </c>
      <c r="B533" s="23" t="s">
        <v>2014</v>
      </c>
      <c r="C533" s="40">
        <v>225.3</v>
      </c>
      <c r="D533" s="24">
        <v>19</v>
      </c>
      <c r="E533" t="str">
        <f>_xlfn.XLOOKUP(A533,'[1]query (5)'!$C:$C,'[1]query (5)'!$A:$A)</f>
        <v>5219319</v>
      </c>
    </row>
    <row r="534" spans="1:5" x14ac:dyDescent="0.3">
      <c r="A534" s="23">
        <v>5218880</v>
      </c>
      <c r="B534" s="23" t="s">
        <v>2327</v>
      </c>
      <c r="C534" s="40">
        <v>1622.96</v>
      </c>
      <c r="D534" s="24">
        <v>76</v>
      </c>
      <c r="E534" t="str">
        <f>_xlfn.XLOOKUP(A534,'[1]query (5)'!$C:$C,'[1]query (5)'!$A:$A)</f>
        <v>5219320</v>
      </c>
    </row>
    <row r="535" spans="1:5" x14ac:dyDescent="0.3">
      <c r="A535" s="23">
        <v>5218882</v>
      </c>
      <c r="B535" s="23" t="s">
        <v>2328</v>
      </c>
      <c r="C535" s="40">
        <v>127.08</v>
      </c>
      <c r="D535" s="24">
        <v>7</v>
      </c>
      <c r="E535" t="str">
        <f>_xlfn.XLOOKUP(A535,'[1]query (5)'!$C:$C,'[1]query (5)'!$A:$A)</f>
        <v>5219309</v>
      </c>
    </row>
    <row r="536" spans="1:5" x14ac:dyDescent="0.3">
      <c r="A536" s="23">
        <v>5218988</v>
      </c>
      <c r="B536" s="23" t="s">
        <v>2329</v>
      </c>
      <c r="C536" s="40">
        <v>22.35</v>
      </c>
      <c r="D536" s="24">
        <v>1</v>
      </c>
      <c r="E536" t="str">
        <f>_xlfn.XLOOKUP(A536,'[1]query (5)'!$C:$C,'[1]query (5)'!$A:$A)</f>
        <v>5219309</v>
      </c>
    </row>
    <row r="537" spans="1:5" x14ac:dyDescent="0.3">
      <c r="A537" s="23">
        <v>5219149</v>
      </c>
      <c r="B537" s="23" t="s">
        <v>2330</v>
      </c>
      <c r="C537" s="40">
        <v>416.39</v>
      </c>
      <c r="D537" s="24">
        <v>22</v>
      </c>
      <c r="E537" t="str">
        <f>_xlfn.XLOOKUP(A537,'[1]query (5)'!$C:$C,'[1]query (5)'!$A:$A)</f>
        <v>5219310</v>
      </c>
    </row>
    <row r="538" spans="1:5" x14ac:dyDescent="0.3">
      <c r="A538" s="23">
        <v>5219167</v>
      </c>
      <c r="B538" s="23" t="s">
        <v>1999</v>
      </c>
      <c r="C538" s="40">
        <v>3127.39</v>
      </c>
      <c r="D538" s="24">
        <v>213</v>
      </c>
      <c r="E538" t="str">
        <f>_xlfn.XLOOKUP(A538,'[1]query (5)'!$C:$C,'[1]query (5)'!$A:$A)</f>
        <v>5219327</v>
      </c>
    </row>
    <row r="539" spans="1:5" x14ac:dyDescent="0.3">
      <c r="A539" s="23">
        <v>5219168</v>
      </c>
      <c r="B539" s="23" t="s">
        <v>2038</v>
      </c>
      <c r="C539" s="40">
        <v>82.42</v>
      </c>
      <c r="D539" s="24">
        <v>5</v>
      </c>
      <c r="E539" t="str">
        <f>_xlfn.XLOOKUP(A539,'[1]query (5)'!$C:$C,'[1]query (5)'!$A:$A)</f>
        <v>5219327</v>
      </c>
    </row>
    <row r="540" spans="1:5" x14ac:dyDescent="0.3">
      <c r="A540" s="23">
        <v>5219169</v>
      </c>
      <c r="B540" s="23" t="s">
        <v>2331</v>
      </c>
      <c r="C540" s="40">
        <v>127.17</v>
      </c>
      <c r="D540" s="24">
        <v>8</v>
      </c>
      <c r="E540" t="str">
        <f>_xlfn.XLOOKUP(A540,'[1]query (5)'!$C:$C,'[1]query (5)'!$A:$A)</f>
        <v>5219329</v>
      </c>
    </row>
    <row r="541" spans="1:5" x14ac:dyDescent="0.3">
      <c r="A541" s="23">
        <v>5219177</v>
      </c>
      <c r="B541" s="23" t="s">
        <v>2332</v>
      </c>
      <c r="C541" s="40">
        <v>314.33</v>
      </c>
      <c r="D541" s="24">
        <v>22</v>
      </c>
      <c r="E541" t="str">
        <f>_xlfn.XLOOKUP(A541,'[1]query (5)'!$C:$C,'[1]query (5)'!$A:$A)</f>
        <v>5219321</v>
      </c>
    </row>
    <row r="542" spans="1:5" x14ac:dyDescent="0.3">
      <c r="A542" s="23">
        <v>5219181</v>
      </c>
      <c r="B542" s="23" t="s">
        <v>2333</v>
      </c>
      <c r="C542" s="40">
        <v>233.96</v>
      </c>
      <c r="D542" s="24">
        <v>15</v>
      </c>
      <c r="E542" t="str">
        <f>_xlfn.XLOOKUP(A542,'[1]query (5)'!$C:$C,'[1]query (5)'!$A:$A)</f>
        <v>5219321</v>
      </c>
    </row>
    <row r="543" spans="1:5" x14ac:dyDescent="0.3">
      <c r="A543" s="23">
        <v>5219183</v>
      </c>
      <c r="B543" s="23" t="s">
        <v>2334</v>
      </c>
      <c r="C543" s="40">
        <v>224.42</v>
      </c>
      <c r="D543" s="24">
        <v>18</v>
      </c>
      <c r="E543" t="str">
        <f>_xlfn.XLOOKUP(A543,'[1]query (5)'!$C:$C,'[1]query (5)'!$A:$A)</f>
        <v>5219322</v>
      </c>
    </row>
    <row r="544" spans="1:5" x14ac:dyDescent="0.3">
      <c r="A544" s="23">
        <v>5219186</v>
      </c>
      <c r="B544" s="23" t="s">
        <v>2335</v>
      </c>
      <c r="C544" s="40">
        <v>360.46</v>
      </c>
      <c r="D544" s="24">
        <v>22</v>
      </c>
      <c r="E544" t="str">
        <f>_xlfn.XLOOKUP(A544,'[1]query (5)'!$C:$C,'[1]query (5)'!$A:$A)</f>
        <v>5219323</v>
      </c>
    </row>
    <row r="545" spans="1:5" x14ac:dyDescent="0.3">
      <c r="A545" s="23">
        <v>5219188</v>
      </c>
      <c r="B545" s="23" t="s">
        <v>2336</v>
      </c>
      <c r="C545" s="40">
        <v>131.12</v>
      </c>
      <c r="D545" s="24">
        <v>11</v>
      </c>
      <c r="E545" t="str">
        <f>_xlfn.XLOOKUP(A545,'[1]query (5)'!$C:$C,'[1]query (5)'!$A:$A)</f>
        <v>5219322</v>
      </c>
    </row>
    <row r="546" spans="1:5" x14ac:dyDescent="0.3">
      <c r="A546" s="23">
        <v>5219191</v>
      </c>
      <c r="B546" s="23" t="s">
        <v>2337</v>
      </c>
      <c r="C546" s="40">
        <v>217.05</v>
      </c>
      <c r="D546" s="24">
        <v>14</v>
      </c>
      <c r="E546" t="str">
        <f>_xlfn.XLOOKUP(A546,'[1]query (5)'!$C:$C,'[1]query (5)'!$A:$A)</f>
        <v>5219323</v>
      </c>
    </row>
    <row r="547" spans="1:5" x14ac:dyDescent="0.3">
      <c r="A547" s="23">
        <v>5219193</v>
      </c>
      <c r="B547" s="23" t="s">
        <v>2338</v>
      </c>
      <c r="C547" s="40">
        <v>57.35</v>
      </c>
      <c r="D547" s="24">
        <v>7</v>
      </c>
      <c r="E547" t="str">
        <f>_xlfn.XLOOKUP(A547,'[1]query (5)'!$C:$C,'[1]query (5)'!$A:$A)</f>
        <v>5219324</v>
      </c>
    </row>
    <row r="548" spans="1:5" x14ac:dyDescent="0.3">
      <c r="A548" s="23">
        <v>5219194</v>
      </c>
      <c r="B548" s="23" t="s">
        <v>2339</v>
      </c>
      <c r="C548" s="40">
        <v>605.67999999999995</v>
      </c>
      <c r="D548" s="24">
        <v>40</v>
      </c>
      <c r="E548" t="str">
        <f>_xlfn.XLOOKUP(A548,'[1]query (5)'!$C:$C,'[1]query (5)'!$A:$A)</f>
        <v>5219325</v>
      </c>
    </row>
    <row r="549" spans="1:5" x14ac:dyDescent="0.3">
      <c r="A549" s="23">
        <v>5219196</v>
      </c>
      <c r="B549" s="23" t="s">
        <v>2340</v>
      </c>
      <c r="C549" s="40">
        <v>396.29</v>
      </c>
      <c r="D549" s="24">
        <v>45</v>
      </c>
      <c r="E549" t="str">
        <f>_xlfn.XLOOKUP(A549,'[1]query (5)'!$C:$C,'[1]query (5)'!$A:$A)</f>
        <v>5219324</v>
      </c>
    </row>
    <row r="550" spans="1:5" x14ac:dyDescent="0.3">
      <c r="A550" s="23">
        <v>5219199</v>
      </c>
      <c r="B550" s="23" t="s">
        <v>2341</v>
      </c>
      <c r="C550" s="40">
        <v>9734.84</v>
      </c>
      <c r="D550" s="24">
        <v>675</v>
      </c>
      <c r="E550" t="str">
        <f>_xlfn.XLOOKUP(A550,'[1]query (5)'!$C:$C,'[1]query (5)'!$A:$A)</f>
        <v>5219325</v>
      </c>
    </row>
    <row r="551" spans="1:5" x14ac:dyDescent="0.3">
      <c r="A551" s="23">
        <v>5219209</v>
      </c>
      <c r="B551" s="23" t="s">
        <v>2342</v>
      </c>
      <c r="C551" s="40">
        <v>65.599999999999994</v>
      </c>
      <c r="D551" s="24">
        <v>7</v>
      </c>
      <c r="E551" t="str">
        <f>_xlfn.XLOOKUP(A551,'[1]query (5)'!$C:$C,'[1]query (5)'!$A:$A)</f>
        <v>5219324</v>
      </c>
    </row>
    <row r="552" spans="1:5" x14ac:dyDescent="0.3">
      <c r="A552" s="23">
        <v>5219210</v>
      </c>
      <c r="B552" s="23" t="s">
        <v>2343</v>
      </c>
      <c r="C552" s="40">
        <v>2284.69</v>
      </c>
      <c r="D552" s="24">
        <v>147</v>
      </c>
      <c r="E552" t="str">
        <f>_xlfn.XLOOKUP(A552,'[1]query (5)'!$C:$C,'[1]query (5)'!$A:$A)</f>
        <v>5219325</v>
      </c>
    </row>
    <row r="553" spans="1:5" x14ac:dyDescent="0.3">
      <c r="A553" s="23">
        <v>5219301</v>
      </c>
      <c r="B553" s="23" t="s">
        <v>2344</v>
      </c>
      <c r="C553" s="40">
        <v>539.67999999999995</v>
      </c>
      <c r="D553" s="24">
        <v>34</v>
      </c>
      <c r="E553" t="str">
        <f>_xlfn.XLOOKUP(A553,'[1]query (5)'!$C:$C,'[1]query (5)'!$A:$A)</f>
        <v>5219329</v>
      </c>
    </row>
    <row r="554" spans="1:5" x14ac:dyDescent="0.3">
      <c r="A554" s="23">
        <v>5219302</v>
      </c>
      <c r="B554" s="23" t="s">
        <v>2627</v>
      </c>
      <c r="C554" s="40">
        <v>73.040000000000006</v>
      </c>
      <c r="D554" s="24">
        <v>4</v>
      </c>
      <c r="E554" t="str">
        <f>_xlfn.XLOOKUP(A554,'[1]query (5)'!$C:$C,'[1]query (5)'!$A:$A)</f>
        <v>5219329</v>
      </c>
    </row>
    <row r="555" spans="1:5" x14ac:dyDescent="0.3">
      <c r="A555" s="23">
        <v>5219303</v>
      </c>
      <c r="B555" s="23" t="s">
        <v>2345</v>
      </c>
      <c r="C555" s="40">
        <v>539.52</v>
      </c>
      <c r="D555" s="24">
        <v>35</v>
      </c>
      <c r="E555" t="str">
        <f>_xlfn.XLOOKUP(A555,'[1]query (5)'!$C:$C,'[1]query (5)'!$A:$A)</f>
        <v>5219315</v>
      </c>
    </row>
    <row r="556" spans="1:5" x14ac:dyDescent="0.3">
      <c r="A556" s="23">
        <v>5219304</v>
      </c>
      <c r="B556" s="23" t="s">
        <v>2346</v>
      </c>
      <c r="C556" s="40">
        <v>392.59</v>
      </c>
      <c r="D556" s="24">
        <v>26</v>
      </c>
      <c r="E556" t="str">
        <f>_xlfn.XLOOKUP(A556,'[1]query (5)'!$C:$C,'[1]query (5)'!$A:$A)</f>
        <v>5219315</v>
      </c>
    </row>
    <row r="557" spans="1:5" x14ac:dyDescent="0.3">
      <c r="A557" s="23">
        <v>5220069</v>
      </c>
      <c r="B557" s="23" t="s">
        <v>2347</v>
      </c>
      <c r="C557" s="40">
        <v>147.15</v>
      </c>
      <c r="D557" s="24">
        <v>15</v>
      </c>
      <c r="E557" t="e">
        <f>_xlfn.XLOOKUP(A557,'[1]query (5)'!$C:$C,'[1]query (5)'!$A:$A)</f>
        <v>#N/A</v>
      </c>
    </row>
    <row r="558" spans="1:5" x14ac:dyDescent="0.3">
      <c r="A558" s="23">
        <v>5220092</v>
      </c>
      <c r="B558" s="23" t="s">
        <v>2348</v>
      </c>
      <c r="C558" s="40">
        <v>2997.54</v>
      </c>
      <c r="D558" s="24">
        <v>157</v>
      </c>
      <c r="E558" t="e">
        <f>_xlfn.XLOOKUP(A558,'[1]query (5)'!$C:$C,'[1]query (5)'!$A:$A)</f>
        <v>#N/A</v>
      </c>
    </row>
    <row r="559" spans="1:5" x14ac:dyDescent="0.3">
      <c r="A559" s="23">
        <v>5220126</v>
      </c>
      <c r="B559" s="23" t="s">
        <v>2349</v>
      </c>
      <c r="C559" s="40">
        <v>14715.77</v>
      </c>
      <c r="D559" s="24">
        <v>462</v>
      </c>
      <c r="E559" t="e">
        <f>_xlfn.XLOOKUP(A559,'[1]query (5)'!$C:$C,'[1]query (5)'!$A:$A)</f>
        <v>#N/A</v>
      </c>
    </row>
    <row r="560" spans="1:5" x14ac:dyDescent="0.3">
      <c r="A560" s="23">
        <v>5220147</v>
      </c>
      <c r="B560" s="23" t="s">
        <v>2350</v>
      </c>
      <c r="C560" s="40">
        <v>169.23</v>
      </c>
      <c r="D560" s="24">
        <v>12</v>
      </c>
      <c r="E560" t="e">
        <f>_xlfn.XLOOKUP(A560,'[1]query (5)'!$C:$C,'[1]query (5)'!$A:$A)</f>
        <v>#N/A</v>
      </c>
    </row>
    <row r="561" spans="1:5" x14ac:dyDescent="0.3">
      <c r="A561" s="23">
        <v>5220148</v>
      </c>
      <c r="B561" s="23" t="s">
        <v>2351</v>
      </c>
      <c r="C561" s="40">
        <v>1268.56</v>
      </c>
      <c r="D561" s="24">
        <v>56</v>
      </c>
      <c r="E561" t="e">
        <f>_xlfn.XLOOKUP(A561,'[1]query (5)'!$C:$C,'[1]query (5)'!$A:$A)</f>
        <v>#N/A</v>
      </c>
    </row>
    <row r="562" spans="1:5" x14ac:dyDescent="0.3">
      <c r="A562" s="23">
        <v>5220149</v>
      </c>
      <c r="B562" s="23" t="s">
        <v>2352</v>
      </c>
      <c r="C562" s="40">
        <v>11481.8</v>
      </c>
      <c r="D562" s="24">
        <v>306</v>
      </c>
      <c r="E562" t="e">
        <f>_xlfn.XLOOKUP(A562,'[1]query (5)'!$C:$C,'[1]query (5)'!$A:$A)</f>
        <v>#N/A</v>
      </c>
    </row>
    <row r="563" spans="1:5" x14ac:dyDescent="0.3">
      <c r="A563" s="23">
        <v>5220150</v>
      </c>
      <c r="B563" s="23" t="s">
        <v>2353</v>
      </c>
      <c r="C563" s="40">
        <v>45.28</v>
      </c>
      <c r="D563" s="24">
        <v>5</v>
      </c>
      <c r="E563" t="e">
        <f>_xlfn.XLOOKUP(A563,'[1]query (5)'!$C:$C,'[1]query (5)'!$A:$A)</f>
        <v>#N/A</v>
      </c>
    </row>
    <row r="564" spans="1:5" x14ac:dyDescent="0.3">
      <c r="A564" s="23">
        <v>5220151</v>
      </c>
      <c r="B564" s="23" t="s">
        <v>1649</v>
      </c>
      <c r="C564" s="40">
        <v>2632.69</v>
      </c>
      <c r="D564" s="24">
        <v>149</v>
      </c>
      <c r="E564" t="e">
        <f>_xlfn.XLOOKUP(A564,'[1]query (5)'!$C:$C,'[1]query (5)'!$A:$A)</f>
        <v>#N/A</v>
      </c>
    </row>
    <row r="565" spans="1:5" x14ac:dyDescent="0.3">
      <c r="A565" s="23">
        <v>5220152</v>
      </c>
      <c r="B565" s="23" t="s">
        <v>2354</v>
      </c>
      <c r="C565" s="40">
        <v>13987.58</v>
      </c>
      <c r="D565" s="24">
        <v>452</v>
      </c>
      <c r="E565" t="e">
        <f>_xlfn.XLOOKUP(A565,'[1]query (5)'!$C:$C,'[1]query (5)'!$A:$A)</f>
        <v>#N/A</v>
      </c>
    </row>
    <row r="566" spans="1:5" x14ac:dyDescent="0.3">
      <c r="A566" s="23">
        <v>5220257</v>
      </c>
      <c r="B566" s="23" t="s">
        <v>2355</v>
      </c>
      <c r="C566" s="40">
        <v>339.9</v>
      </c>
      <c r="D566" s="24">
        <v>25</v>
      </c>
      <c r="E566" t="str">
        <f>_xlfn.XLOOKUP(A566,'[1]query (5)'!$C:$C,'[1]query (5)'!$A:$A)</f>
        <v>5220395</v>
      </c>
    </row>
    <row r="567" spans="1:5" x14ac:dyDescent="0.3">
      <c r="A567" s="23">
        <v>5220258</v>
      </c>
      <c r="B567" s="23" t="s">
        <v>2356</v>
      </c>
      <c r="C567" s="40">
        <v>1438.95</v>
      </c>
      <c r="D567" s="24">
        <v>52</v>
      </c>
      <c r="E567" t="str">
        <f>_xlfn.XLOOKUP(A567,'[1]query (5)'!$C:$C,'[1]query (5)'!$A:$A)</f>
        <v>5220396</v>
      </c>
    </row>
    <row r="568" spans="1:5" x14ac:dyDescent="0.3">
      <c r="A568" s="23">
        <v>5220259</v>
      </c>
      <c r="B568" s="23" t="s">
        <v>2357</v>
      </c>
      <c r="C568" s="40">
        <v>5535.74</v>
      </c>
      <c r="D568" s="24">
        <v>120</v>
      </c>
      <c r="E568" t="str">
        <f>_xlfn.XLOOKUP(A568,'[1]query (5)'!$C:$C,'[1]query (5)'!$A:$A)</f>
        <v>5220397</v>
      </c>
    </row>
    <row r="569" spans="1:5" x14ac:dyDescent="0.3">
      <c r="A569" s="23">
        <v>5220290</v>
      </c>
      <c r="B569" s="23" t="s">
        <v>2358</v>
      </c>
      <c r="C569" s="40">
        <v>231.26</v>
      </c>
      <c r="D569" s="24">
        <v>17</v>
      </c>
      <c r="E569" t="str">
        <f>_xlfn.XLOOKUP(A569,'[1]query (5)'!$C:$C,'[1]query (5)'!$A:$A)</f>
        <v>5220395</v>
      </c>
    </row>
    <row r="570" spans="1:5" x14ac:dyDescent="0.3">
      <c r="A570" s="23">
        <v>5220291</v>
      </c>
      <c r="B570" s="23" t="s">
        <v>2359</v>
      </c>
      <c r="C570" s="40">
        <v>990.33</v>
      </c>
      <c r="D570" s="24">
        <v>37</v>
      </c>
      <c r="E570" t="str">
        <f>_xlfn.XLOOKUP(A570,'[1]query (5)'!$C:$C,'[1]query (5)'!$A:$A)</f>
        <v>5220396</v>
      </c>
    </row>
    <row r="571" spans="1:5" x14ac:dyDescent="0.3">
      <c r="A571" s="23">
        <v>5220293</v>
      </c>
      <c r="B571" s="23" t="s">
        <v>2360</v>
      </c>
      <c r="C571" s="40">
        <v>1117.55</v>
      </c>
      <c r="D571" s="24">
        <v>25</v>
      </c>
      <c r="E571" t="str">
        <f>_xlfn.XLOOKUP(A571,'[1]query (5)'!$C:$C,'[1]query (5)'!$A:$A)</f>
        <v>5220397</v>
      </c>
    </row>
    <row r="572" spans="1:5" x14ac:dyDescent="0.3">
      <c r="A572" s="23">
        <v>5220294</v>
      </c>
      <c r="B572" s="23" t="s">
        <v>2361</v>
      </c>
      <c r="C572" s="40">
        <v>264.02</v>
      </c>
      <c r="D572" s="24">
        <v>19</v>
      </c>
      <c r="E572" t="str">
        <f>_xlfn.XLOOKUP(A572,'[1]query (5)'!$C:$C,'[1]query (5)'!$A:$A)</f>
        <v>5220395</v>
      </c>
    </row>
    <row r="573" spans="1:5" x14ac:dyDescent="0.3">
      <c r="A573" s="23">
        <v>5220296</v>
      </c>
      <c r="B573" s="23" t="s">
        <v>2362</v>
      </c>
      <c r="C573" s="40">
        <v>1062.3399999999999</v>
      </c>
      <c r="D573" s="24">
        <v>39</v>
      </c>
      <c r="E573" t="str">
        <f>_xlfn.XLOOKUP(A573,'[1]query (5)'!$C:$C,'[1]query (5)'!$A:$A)</f>
        <v>5220396</v>
      </c>
    </row>
    <row r="574" spans="1:5" x14ac:dyDescent="0.3">
      <c r="A574" s="23">
        <v>5220297</v>
      </c>
      <c r="B574" s="23" t="s">
        <v>2363</v>
      </c>
      <c r="C574" s="40">
        <v>3287.38</v>
      </c>
      <c r="D574" s="24">
        <v>72</v>
      </c>
      <c r="E574" t="str">
        <f>_xlfn.XLOOKUP(A574,'[1]query (5)'!$C:$C,'[1]query (5)'!$A:$A)</f>
        <v>5220397</v>
      </c>
    </row>
    <row r="575" spans="1:5" x14ac:dyDescent="0.3">
      <c r="A575" s="23">
        <v>5220323</v>
      </c>
      <c r="B575" s="23" t="s">
        <v>2364</v>
      </c>
      <c r="C575" s="40">
        <v>308.24</v>
      </c>
      <c r="D575" s="24">
        <v>18</v>
      </c>
      <c r="E575" t="str">
        <f>_xlfn.XLOOKUP(A575,'[1]query (5)'!$C:$C,'[1]query (5)'!$A:$A)</f>
        <v>5220398</v>
      </c>
    </row>
    <row r="576" spans="1:5" x14ac:dyDescent="0.3">
      <c r="A576" s="23">
        <v>5220324</v>
      </c>
      <c r="B576" s="23" t="s">
        <v>2365</v>
      </c>
      <c r="C576" s="40">
        <v>1995.89</v>
      </c>
      <c r="D576" s="24">
        <v>59</v>
      </c>
      <c r="E576" t="str">
        <f>_xlfn.XLOOKUP(A576,'[1]query (5)'!$C:$C,'[1]query (5)'!$A:$A)</f>
        <v>5220399</v>
      </c>
    </row>
    <row r="577" spans="1:5" x14ac:dyDescent="0.3">
      <c r="A577" s="23">
        <v>5220325</v>
      </c>
      <c r="B577" s="23" t="s">
        <v>2366</v>
      </c>
      <c r="C577" s="40">
        <v>7001.44</v>
      </c>
      <c r="D577" s="24">
        <v>125</v>
      </c>
      <c r="E577" t="str">
        <f>_xlfn.XLOOKUP(A577,'[1]query (5)'!$C:$C,'[1]query (5)'!$A:$A)</f>
        <v>5220433</v>
      </c>
    </row>
    <row r="578" spans="1:5" x14ac:dyDescent="0.3">
      <c r="A578" s="23">
        <v>5220326</v>
      </c>
      <c r="B578" s="23" t="s">
        <v>2367</v>
      </c>
      <c r="C578" s="40">
        <v>219.98</v>
      </c>
      <c r="D578" s="24">
        <v>13</v>
      </c>
      <c r="E578" t="str">
        <f>_xlfn.XLOOKUP(A578,'[1]query (5)'!$C:$C,'[1]query (5)'!$A:$A)</f>
        <v>5220398</v>
      </c>
    </row>
    <row r="579" spans="1:5" x14ac:dyDescent="0.3">
      <c r="A579" s="23">
        <v>5220327</v>
      </c>
      <c r="B579" s="23" t="s">
        <v>2368</v>
      </c>
      <c r="C579" s="40">
        <v>530.91999999999996</v>
      </c>
      <c r="D579" s="24">
        <v>16</v>
      </c>
      <c r="E579" t="str">
        <f>_xlfn.XLOOKUP(A579,'[1]query (5)'!$C:$C,'[1]query (5)'!$A:$A)</f>
        <v>5220399</v>
      </c>
    </row>
    <row r="580" spans="1:5" x14ac:dyDescent="0.3">
      <c r="A580" s="23">
        <v>5220328</v>
      </c>
      <c r="B580" s="23" t="s">
        <v>2369</v>
      </c>
      <c r="C580" s="40">
        <v>4994.3100000000004</v>
      </c>
      <c r="D580" s="24">
        <v>89</v>
      </c>
      <c r="E580" t="str">
        <f>_xlfn.XLOOKUP(A580,'[1]query (5)'!$C:$C,'[1]query (5)'!$A:$A)</f>
        <v>5220433</v>
      </c>
    </row>
    <row r="581" spans="1:5" x14ac:dyDescent="0.3">
      <c r="A581" s="23">
        <v>5220329</v>
      </c>
      <c r="B581" s="23" t="s">
        <v>2370</v>
      </c>
      <c r="C581" s="40">
        <v>204.81</v>
      </c>
      <c r="D581" s="24">
        <v>12</v>
      </c>
      <c r="E581" t="str">
        <f>_xlfn.XLOOKUP(A581,'[1]query (5)'!$C:$C,'[1]query (5)'!$A:$A)</f>
        <v>5220398</v>
      </c>
    </row>
    <row r="582" spans="1:5" x14ac:dyDescent="0.3">
      <c r="A582" s="23">
        <v>5220330</v>
      </c>
      <c r="B582" s="23" t="s">
        <v>2371</v>
      </c>
      <c r="C582" s="40">
        <v>709.54</v>
      </c>
      <c r="D582" s="24">
        <v>21</v>
      </c>
      <c r="E582" t="str">
        <f>_xlfn.XLOOKUP(A582,'[1]query (5)'!$C:$C,'[1]query (5)'!$A:$A)</f>
        <v>5220399</v>
      </c>
    </row>
    <row r="583" spans="1:5" x14ac:dyDescent="0.3">
      <c r="A583" s="23">
        <v>5220331</v>
      </c>
      <c r="B583" s="23" t="s">
        <v>2372</v>
      </c>
      <c r="C583" s="40">
        <v>3346.81</v>
      </c>
      <c r="D583" s="24">
        <v>58</v>
      </c>
      <c r="E583" t="str">
        <f>_xlfn.XLOOKUP(A583,'[1]query (5)'!$C:$C,'[1]query (5)'!$A:$A)</f>
        <v>5220433</v>
      </c>
    </row>
    <row r="584" spans="1:5" x14ac:dyDescent="0.3">
      <c r="A584" s="23">
        <v>5220826</v>
      </c>
      <c r="B584" s="23" t="s">
        <v>2373</v>
      </c>
      <c r="C584" s="40">
        <v>4642</v>
      </c>
      <c r="D584" s="24">
        <v>130</v>
      </c>
      <c r="E584" t="e">
        <f>_xlfn.XLOOKUP(A584,'[1]query (5)'!$C:$C,'[1]query (5)'!$A:$A)</f>
        <v>#N/A</v>
      </c>
    </row>
    <row r="585" spans="1:5" x14ac:dyDescent="0.3">
      <c r="A585" s="23">
        <v>5221384</v>
      </c>
      <c r="B585" s="23" t="s">
        <v>2024</v>
      </c>
      <c r="C585" s="40">
        <v>505.6</v>
      </c>
      <c r="D585" s="24">
        <v>35</v>
      </c>
      <c r="E585" t="str">
        <f>_xlfn.XLOOKUP(A585,'[1]query (5)'!$C:$C,'[1]query (5)'!$A:$A)</f>
        <v>5219327</v>
      </c>
    </row>
    <row r="586" spans="1:5" x14ac:dyDescent="0.3">
      <c r="A586" s="23">
        <v>5222318</v>
      </c>
      <c r="B586" s="23" t="s">
        <v>1932</v>
      </c>
      <c r="C586" s="40">
        <v>2710.22</v>
      </c>
      <c r="D586" s="24">
        <v>52</v>
      </c>
      <c r="E586" t="e">
        <f>_xlfn.XLOOKUP(A586,'[1]query (5)'!$C:$C,'[1]query (5)'!$A:$A)</f>
        <v>#N/A</v>
      </c>
    </row>
    <row r="587" spans="1:5" x14ac:dyDescent="0.3">
      <c r="A587" s="23">
        <v>5222319</v>
      </c>
      <c r="B587" s="23" t="s">
        <v>1931</v>
      </c>
      <c r="C587" s="40">
        <v>646.17999999999995</v>
      </c>
      <c r="D587" s="24">
        <v>18</v>
      </c>
      <c r="E587" t="e">
        <f>_xlfn.XLOOKUP(A587,'[1]query (5)'!$C:$C,'[1]query (5)'!$A:$A)</f>
        <v>#N/A</v>
      </c>
    </row>
    <row r="588" spans="1:5" x14ac:dyDescent="0.3">
      <c r="A588" s="23">
        <v>5222320</v>
      </c>
      <c r="B588" s="23" t="s">
        <v>1930</v>
      </c>
      <c r="C588" s="40">
        <v>53.53</v>
      </c>
      <c r="D588" s="24">
        <v>3</v>
      </c>
      <c r="E588" t="e">
        <f>_xlfn.XLOOKUP(A588,'[1]query (5)'!$C:$C,'[1]query (5)'!$A:$A)</f>
        <v>#N/A</v>
      </c>
    </row>
    <row r="589" spans="1:5" x14ac:dyDescent="0.3">
      <c r="A589" s="23">
        <v>5222323</v>
      </c>
      <c r="B589" s="23" t="s">
        <v>1927</v>
      </c>
      <c r="C589" s="40">
        <v>654.62</v>
      </c>
      <c r="D589" s="24">
        <v>54</v>
      </c>
      <c r="E589" t="e">
        <f>_xlfn.XLOOKUP(A589,'[1]query (5)'!$C:$C,'[1]query (5)'!$A:$A)</f>
        <v>#N/A</v>
      </c>
    </row>
    <row r="590" spans="1:5" x14ac:dyDescent="0.3">
      <c r="A590" s="23">
        <v>5222325</v>
      </c>
      <c r="B590" s="23" t="s">
        <v>1929</v>
      </c>
      <c r="C590" s="40">
        <v>15650.78</v>
      </c>
      <c r="D590" s="24">
        <v>199</v>
      </c>
      <c r="E590" t="e">
        <f>_xlfn.XLOOKUP(A590,'[1]query (5)'!$C:$C,'[1]query (5)'!$A:$A)</f>
        <v>#N/A</v>
      </c>
    </row>
    <row r="591" spans="1:5" x14ac:dyDescent="0.3">
      <c r="A591" s="23">
        <v>5222326</v>
      </c>
      <c r="B591" s="23" t="s">
        <v>1926</v>
      </c>
      <c r="C591" s="40">
        <v>5127.66</v>
      </c>
      <c r="D591" s="24">
        <v>122</v>
      </c>
      <c r="E591" t="e">
        <f>_xlfn.XLOOKUP(A591,'[1]query (5)'!$C:$C,'[1]query (5)'!$A:$A)</f>
        <v>#N/A</v>
      </c>
    </row>
    <row r="592" spans="1:5" x14ac:dyDescent="0.3">
      <c r="A592" s="23">
        <v>5222327</v>
      </c>
      <c r="B592" s="23" t="s">
        <v>1925</v>
      </c>
      <c r="C592" s="40">
        <v>1213.54</v>
      </c>
      <c r="D592" s="24">
        <v>60</v>
      </c>
      <c r="E592" t="e">
        <f>_xlfn.XLOOKUP(A592,'[1]query (5)'!$C:$C,'[1]query (5)'!$A:$A)</f>
        <v>#N/A</v>
      </c>
    </row>
    <row r="593" spans="1:5" x14ac:dyDescent="0.3">
      <c r="A593" s="23">
        <v>5222328</v>
      </c>
      <c r="B593" s="23" t="s">
        <v>1928</v>
      </c>
      <c r="C593" s="40">
        <v>54.31</v>
      </c>
      <c r="D593" s="24">
        <v>4</v>
      </c>
      <c r="E593" t="e">
        <f>_xlfn.XLOOKUP(A593,'[1]query (5)'!$C:$C,'[1]query (5)'!$A:$A)</f>
        <v>#N/A</v>
      </c>
    </row>
    <row r="594" spans="1:5" x14ac:dyDescent="0.3">
      <c r="A594" s="23">
        <v>5222330</v>
      </c>
      <c r="B594" s="23" t="s">
        <v>1939</v>
      </c>
      <c r="C594" s="40">
        <v>5075.82</v>
      </c>
      <c r="D594" s="24">
        <v>111</v>
      </c>
      <c r="E594" t="e">
        <f>_xlfn.XLOOKUP(A594,'[1]query (5)'!$C:$C,'[1]query (5)'!$A:$A)</f>
        <v>#N/A</v>
      </c>
    </row>
    <row r="595" spans="1:5" x14ac:dyDescent="0.3">
      <c r="A595" s="23">
        <v>5222331</v>
      </c>
      <c r="B595" s="23" t="s">
        <v>1937</v>
      </c>
      <c r="C595" s="40">
        <v>2455.17</v>
      </c>
      <c r="D595" s="24">
        <v>103</v>
      </c>
      <c r="E595" t="e">
        <f>_xlfn.XLOOKUP(A595,'[1]query (5)'!$C:$C,'[1]query (5)'!$A:$A)</f>
        <v>#N/A</v>
      </c>
    </row>
    <row r="596" spans="1:5" x14ac:dyDescent="0.3">
      <c r="A596" s="23">
        <v>5222332</v>
      </c>
      <c r="B596" s="23" t="s">
        <v>1936</v>
      </c>
      <c r="C596" s="40">
        <v>98.3</v>
      </c>
      <c r="D596" s="24">
        <v>7</v>
      </c>
      <c r="E596" t="e">
        <f>_xlfn.XLOOKUP(A596,'[1]query (5)'!$C:$C,'[1]query (5)'!$A:$A)</f>
        <v>#N/A</v>
      </c>
    </row>
    <row r="597" spans="1:5" x14ac:dyDescent="0.3">
      <c r="A597" s="23">
        <v>5222333</v>
      </c>
      <c r="B597" s="23" t="s">
        <v>1938</v>
      </c>
      <c r="C597" s="40">
        <v>30.57</v>
      </c>
      <c r="D597" s="24">
        <v>4</v>
      </c>
      <c r="E597" t="e">
        <f>_xlfn.XLOOKUP(A597,'[1]query (5)'!$C:$C,'[1]query (5)'!$A:$A)</f>
        <v>#N/A</v>
      </c>
    </row>
    <row r="598" spans="1:5" x14ac:dyDescent="0.3">
      <c r="A598" s="23">
        <v>5222334</v>
      </c>
      <c r="B598" s="23" t="s">
        <v>1940</v>
      </c>
      <c r="C598" s="40">
        <v>311.16000000000003</v>
      </c>
      <c r="D598" s="24">
        <v>32</v>
      </c>
      <c r="E598" t="e">
        <f>_xlfn.XLOOKUP(A598,'[1]query (5)'!$C:$C,'[1]query (5)'!$A:$A)</f>
        <v>#N/A</v>
      </c>
    </row>
    <row r="599" spans="1:5" x14ac:dyDescent="0.3">
      <c r="A599" s="23">
        <v>5222344</v>
      </c>
      <c r="B599" s="23" t="s">
        <v>2628</v>
      </c>
      <c r="C599" s="40">
        <v>128.32</v>
      </c>
      <c r="D599" s="24">
        <v>2</v>
      </c>
      <c r="E599" t="e">
        <f>_xlfn.XLOOKUP(A599,'[1]query (5)'!$C:$C,'[1]query (5)'!$A:$A)</f>
        <v>#N/A</v>
      </c>
    </row>
    <row r="600" spans="1:5" x14ac:dyDescent="0.3">
      <c r="A600" s="23">
        <v>5222347</v>
      </c>
      <c r="B600" s="23" t="s">
        <v>1942</v>
      </c>
      <c r="C600" s="40">
        <v>348.19</v>
      </c>
      <c r="D600" s="24">
        <v>11</v>
      </c>
      <c r="E600" t="e">
        <f>_xlfn.XLOOKUP(A600,'[1]query (5)'!$C:$C,'[1]query (5)'!$A:$A)</f>
        <v>#N/A</v>
      </c>
    </row>
    <row r="601" spans="1:5" x14ac:dyDescent="0.3">
      <c r="A601" s="23">
        <v>5222351</v>
      </c>
      <c r="B601" s="23" t="s">
        <v>5237</v>
      </c>
      <c r="C601" s="40">
        <v>6.01</v>
      </c>
      <c r="D601" s="24">
        <v>1</v>
      </c>
      <c r="E601" t="e">
        <f>_xlfn.XLOOKUP(A601,'[1]query (5)'!$C:$C,'[1]query (5)'!$A:$A)</f>
        <v>#N/A</v>
      </c>
    </row>
    <row r="602" spans="1:5" x14ac:dyDescent="0.3">
      <c r="A602" s="23">
        <v>5222429</v>
      </c>
      <c r="B602" s="23" t="s">
        <v>1424</v>
      </c>
      <c r="C602" s="40">
        <v>8.42</v>
      </c>
      <c r="D602" s="24">
        <v>1</v>
      </c>
      <c r="E602" t="e">
        <f>_xlfn.XLOOKUP(A602,'[1]query (5)'!$C:$C,'[1]query (5)'!$A:$A)</f>
        <v>#N/A</v>
      </c>
    </row>
    <row r="603" spans="1:5" x14ac:dyDescent="0.3">
      <c r="A603" s="23">
        <v>5222441</v>
      </c>
      <c r="B603" s="23" t="s">
        <v>2630</v>
      </c>
      <c r="C603" s="40">
        <v>25.81</v>
      </c>
      <c r="D603" s="24">
        <v>1</v>
      </c>
      <c r="E603" t="e">
        <f>_xlfn.XLOOKUP(A603,'[1]query (5)'!$C:$C,'[1]query (5)'!$A:$A)</f>
        <v>#N/A</v>
      </c>
    </row>
    <row r="604" spans="1:5" x14ac:dyDescent="0.3">
      <c r="A604" s="23">
        <v>5222443</v>
      </c>
      <c r="B604" s="23" t="s">
        <v>5238</v>
      </c>
      <c r="C604" s="40">
        <v>35.479999999999997</v>
      </c>
      <c r="D604" s="24">
        <v>2</v>
      </c>
      <c r="E604" t="e">
        <f>_xlfn.XLOOKUP(A604,'[1]query (5)'!$C:$C,'[1]query (5)'!$A:$A)</f>
        <v>#N/A</v>
      </c>
    </row>
    <row r="605" spans="1:5" x14ac:dyDescent="0.3">
      <c r="A605" s="23">
        <v>5222494</v>
      </c>
      <c r="B605" s="23" t="s">
        <v>2631</v>
      </c>
      <c r="C605" s="40">
        <v>32.28</v>
      </c>
      <c r="D605" s="24">
        <v>1</v>
      </c>
      <c r="E605" t="e">
        <f>_xlfn.XLOOKUP(A605,'[1]query (5)'!$C:$C,'[1]query (5)'!$A:$A)</f>
        <v>#N/A</v>
      </c>
    </row>
    <row r="606" spans="1:5" x14ac:dyDescent="0.3">
      <c r="A606" s="23">
        <v>5222622</v>
      </c>
      <c r="B606" s="23" t="s">
        <v>2374</v>
      </c>
      <c r="C606" s="40">
        <v>2268.67</v>
      </c>
      <c r="D606" s="24">
        <v>83</v>
      </c>
      <c r="E606" t="e">
        <f>_xlfn.XLOOKUP(A606,'[1]query (5)'!$C:$C,'[1]query (5)'!$A:$A)</f>
        <v>#N/A</v>
      </c>
    </row>
    <row r="607" spans="1:5" x14ac:dyDescent="0.3">
      <c r="A607" s="23">
        <v>5222629</v>
      </c>
      <c r="B607" s="23" t="s">
        <v>1733</v>
      </c>
      <c r="C607" s="40">
        <v>25.76</v>
      </c>
      <c r="D607" s="24">
        <v>1</v>
      </c>
      <c r="E607" t="e">
        <f>_xlfn.XLOOKUP(A607,'[1]query (5)'!$C:$C,'[1]query (5)'!$A:$A)</f>
        <v>#N/A</v>
      </c>
    </row>
    <row r="608" spans="1:5" x14ac:dyDescent="0.3">
      <c r="A608" s="23">
        <v>5222636</v>
      </c>
      <c r="B608" s="23" t="s">
        <v>1410</v>
      </c>
      <c r="C608" s="40">
        <v>1794.98</v>
      </c>
      <c r="D608" s="24">
        <v>60</v>
      </c>
      <c r="E608" t="e">
        <f>_xlfn.XLOOKUP(A608,'[1]query (5)'!$C:$C,'[1]query (5)'!$A:$A)</f>
        <v>#N/A</v>
      </c>
    </row>
    <row r="609" spans="1:5" x14ac:dyDescent="0.3">
      <c r="A609" s="23">
        <v>5222637</v>
      </c>
      <c r="B609" s="23" t="s">
        <v>1412</v>
      </c>
      <c r="C609" s="40">
        <v>1708.92</v>
      </c>
      <c r="D609" s="24">
        <v>57</v>
      </c>
      <c r="E609" t="e">
        <f>_xlfn.XLOOKUP(A609,'[1]query (5)'!$C:$C,'[1]query (5)'!$A:$A)</f>
        <v>#N/A</v>
      </c>
    </row>
    <row r="610" spans="1:5" x14ac:dyDescent="0.3">
      <c r="A610" s="23">
        <v>5222639</v>
      </c>
      <c r="B610" s="23" t="s">
        <v>1414</v>
      </c>
      <c r="C610" s="40">
        <v>269.82</v>
      </c>
      <c r="D610" s="24">
        <v>9</v>
      </c>
      <c r="E610" t="e">
        <f>_xlfn.XLOOKUP(A610,'[1]query (5)'!$C:$C,'[1]query (5)'!$A:$A)</f>
        <v>#N/A</v>
      </c>
    </row>
    <row r="611" spans="1:5" x14ac:dyDescent="0.3">
      <c r="A611" s="23">
        <v>5222640</v>
      </c>
      <c r="B611" s="23" t="s">
        <v>1417</v>
      </c>
      <c r="C611" s="40">
        <v>298.52</v>
      </c>
      <c r="D611" s="24">
        <v>10</v>
      </c>
      <c r="E611" t="e">
        <f>_xlfn.XLOOKUP(A611,'[1]query (5)'!$C:$C,'[1]query (5)'!$A:$A)</f>
        <v>#N/A</v>
      </c>
    </row>
    <row r="612" spans="1:5" x14ac:dyDescent="0.3">
      <c r="A612" s="23">
        <v>5222655</v>
      </c>
      <c r="B612" s="23" t="s">
        <v>1731</v>
      </c>
      <c r="C612" s="40">
        <v>5302.34</v>
      </c>
      <c r="D612" s="24">
        <v>163</v>
      </c>
      <c r="E612" t="e">
        <f>_xlfn.XLOOKUP(A612,'[1]query (5)'!$C:$C,'[1]query (5)'!$A:$A)</f>
        <v>#N/A</v>
      </c>
    </row>
    <row r="613" spans="1:5" x14ac:dyDescent="0.3">
      <c r="A613" s="23">
        <v>5222757</v>
      </c>
      <c r="B613" s="23" t="s">
        <v>2632</v>
      </c>
      <c r="C613" s="40">
        <v>212.86</v>
      </c>
      <c r="D613" s="24">
        <v>24</v>
      </c>
      <c r="E613" t="e">
        <f>_xlfn.XLOOKUP(A613,'[1]query (5)'!$C:$C,'[1]query (5)'!$A:$A)</f>
        <v>#N/A</v>
      </c>
    </row>
    <row r="614" spans="1:5" x14ac:dyDescent="0.3">
      <c r="A614" s="23">
        <v>5223014</v>
      </c>
      <c r="B614" s="23" t="s">
        <v>2375</v>
      </c>
      <c r="C614" s="40">
        <v>6.64</v>
      </c>
      <c r="D614" s="24">
        <v>3</v>
      </c>
      <c r="E614" t="e">
        <f>_xlfn.XLOOKUP(A614,'[1]query (5)'!$C:$C,'[1]query (5)'!$A:$A)</f>
        <v>#N/A</v>
      </c>
    </row>
    <row r="615" spans="1:5" x14ac:dyDescent="0.3">
      <c r="A615" s="23">
        <v>5223032</v>
      </c>
      <c r="B615" s="23" t="s">
        <v>2376</v>
      </c>
      <c r="C615" s="40">
        <v>37.22</v>
      </c>
      <c r="D615" s="24">
        <v>28</v>
      </c>
      <c r="E615" t="e">
        <f>_xlfn.XLOOKUP(A615,'[1]query (5)'!$C:$C,'[1]query (5)'!$A:$A)</f>
        <v>#N/A</v>
      </c>
    </row>
    <row r="616" spans="1:5" x14ac:dyDescent="0.3">
      <c r="A616" s="23">
        <v>5223255</v>
      </c>
      <c r="B616" s="23" t="s">
        <v>2633</v>
      </c>
      <c r="C616" s="40">
        <v>10.54</v>
      </c>
      <c r="D616" s="24">
        <v>1</v>
      </c>
      <c r="E616" t="e">
        <f>_xlfn.XLOOKUP(A616,'[1]query (5)'!$C:$C,'[1]query (5)'!$A:$A)</f>
        <v>#N/A</v>
      </c>
    </row>
    <row r="617" spans="1:5" x14ac:dyDescent="0.3">
      <c r="A617" s="23">
        <v>5223663</v>
      </c>
      <c r="B617" s="23" t="s">
        <v>1386</v>
      </c>
      <c r="C617" s="40">
        <v>0</v>
      </c>
      <c r="D617" s="25">
        <v>0</v>
      </c>
      <c r="E617" t="e">
        <f>_xlfn.XLOOKUP(A617,'[1]query (5)'!$C:$C,'[1]query (5)'!$A:$A)</f>
        <v>#N/A</v>
      </c>
    </row>
    <row r="618" spans="1:5" x14ac:dyDescent="0.3">
      <c r="A618" s="23">
        <v>5223675</v>
      </c>
      <c r="B618" s="23" t="s">
        <v>2634</v>
      </c>
      <c r="C618" s="40">
        <v>33.32</v>
      </c>
      <c r="D618" s="24">
        <v>1</v>
      </c>
      <c r="E618" t="e">
        <f>_xlfn.XLOOKUP(A618,'[1]query (5)'!$C:$C,'[1]query (5)'!$A:$A)</f>
        <v>#N/A</v>
      </c>
    </row>
    <row r="619" spans="1:5" x14ac:dyDescent="0.3">
      <c r="A619" s="23">
        <v>5223681</v>
      </c>
      <c r="B619" s="23" t="s">
        <v>2635</v>
      </c>
      <c r="C619" s="40">
        <v>340.13</v>
      </c>
      <c r="D619" s="24">
        <v>10</v>
      </c>
      <c r="E619" t="e">
        <f>_xlfn.XLOOKUP(A619,'[1]query (5)'!$C:$C,'[1]query (5)'!$A:$A)</f>
        <v>#N/A</v>
      </c>
    </row>
    <row r="620" spans="1:5" x14ac:dyDescent="0.3">
      <c r="A620" s="23">
        <v>5223718</v>
      </c>
      <c r="B620" s="23" t="s">
        <v>2636</v>
      </c>
      <c r="C620" s="40">
        <v>48.85</v>
      </c>
      <c r="D620" s="24">
        <v>1</v>
      </c>
      <c r="E620" t="e">
        <f>_xlfn.XLOOKUP(A620,'[1]query (5)'!$C:$C,'[1]query (5)'!$A:$A)</f>
        <v>#N/A</v>
      </c>
    </row>
    <row r="621" spans="1:5" x14ac:dyDescent="0.3">
      <c r="A621" s="23">
        <v>5223719</v>
      </c>
      <c r="B621" s="23" t="s">
        <v>2637</v>
      </c>
      <c r="C621" s="40">
        <v>74.34</v>
      </c>
      <c r="D621" s="24">
        <v>6</v>
      </c>
      <c r="E621" t="e">
        <f>_xlfn.XLOOKUP(A621,'[1]query (5)'!$C:$C,'[1]query (5)'!$A:$A)</f>
        <v>#N/A</v>
      </c>
    </row>
    <row r="622" spans="1:5" x14ac:dyDescent="0.3">
      <c r="A622" s="23">
        <v>5223720</v>
      </c>
      <c r="B622" s="23" t="s">
        <v>2377</v>
      </c>
      <c r="C622" s="40">
        <v>3740.38</v>
      </c>
      <c r="D622" s="24">
        <v>147</v>
      </c>
      <c r="E622" t="e">
        <f>_xlfn.XLOOKUP(A622,'[1]query (5)'!$C:$C,'[1]query (5)'!$A:$A)</f>
        <v>#N/A</v>
      </c>
    </row>
    <row r="623" spans="1:5" x14ac:dyDescent="0.3">
      <c r="A623" s="23">
        <v>5223722</v>
      </c>
      <c r="B623" s="23" t="s">
        <v>2378</v>
      </c>
      <c r="C623" s="40">
        <v>993.47</v>
      </c>
      <c r="D623" s="24">
        <v>36</v>
      </c>
      <c r="E623" t="e">
        <f>_xlfn.XLOOKUP(A623,'[1]query (5)'!$C:$C,'[1]query (5)'!$A:$A)</f>
        <v>#N/A</v>
      </c>
    </row>
    <row r="624" spans="1:5" x14ac:dyDescent="0.3">
      <c r="A624" s="23">
        <v>5223733</v>
      </c>
      <c r="B624" s="23" t="s">
        <v>2379</v>
      </c>
      <c r="C624" s="40">
        <v>1583.23</v>
      </c>
      <c r="D624" s="24">
        <v>31</v>
      </c>
      <c r="E624" t="e">
        <f>_xlfn.XLOOKUP(A624,'[1]query (5)'!$C:$C,'[1]query (5)'!$A:$A)</f>
        <v>#N/A</v>
      </c>
    </row>
    <row r="625" spans="1:5" x14ac:dyDescent="0.3">
      <c r="A625" s="23">
        <v>5223737</v>
      </c>
      <c r="B625" s="23" t="s">
        <v>2638</v>
      </c>
      <c r="C625" s="40">
        <v>13.12</v>
      </c>
      <c r="D625" s="24">
        <v>1</v>
      </c>
      <c r="E625" t="e">
        <f>_xlfn.XLOOKUP(A625,'[1]query (5)'!$C:$C,'[1]query (5)'!$A:$A)</f>
        <v>#N/A</v>
      </c>
    </row>
    <row r="626" spans="1:5" x14ac:dyDescent="0.3">
      <c r="A626" s="23">
        <v>5223738</v>
      </c>
      <c r="B626" s="23" t="s">
        <v>2380</v>
      </c>
      <c r="C626" s="40">
        <v>66.5</v>
      </c>
      <c r="D626" s="24">
        <v>5</v>
      </c>
      <c r="E626" t="e">
        <f>_xlfn.XLOOKUP(A626,'[1]query (5)'!$C:$C,'[1]query (5)'!$A:$A)</f>
        <v>#N/A</v>
      </c>
    </row>
    <row r="627" spans="1:5" x14ac:dyDescent="0.3">
      <c r="A627" s="23">
        <v>5223743</v>
      </c>
      <c r="B627" s="23" t="s">
        <v>2639</v>
      </c>
      <c r="C627" s="40">
        <v>17.440000000000001</v>
      </c>
      <c r="D627" s="24">
        <v>2</v>
      </c>
      <c r="E627" t="e">
        <f>_xlfn.XLOOKUP(A627,'[1]query (5)'!$C:$C,'[1]query (5)'!$A:$A)</f>
        <v>#N/A</v>
      </c>
    </row>
    <row r="628" spans="1:5" x14ac:dyDescent="0.3">
      <c r="A628" s="23">
        <v>5223744</v>
      </c>
      <c r="B628" s="23" t="s">
        <v>2381</v>
      </c>
      <c r="C628" s="40">
        <v>93.05</v>
      </c>
      <c r="D628" s="24">
        <v>4</v>
      </c>
      <c r="E628" t="e">
        <f>_xlfn.XLOOKUP(A628,'[1]query (5)'!$C:$C,'[1]query (5)'!$A:$A)</f>
        <v>#N/A</v>
      </c>
    </row>
    <row r="629" spans="1:5" x14ac:dyDescent="0.3">
      <c r="A629" s="23">
        <v>5223745</v>
      </c>
      <c r="B629" s="23" t="s">
        <v>2382</v>
      </c>
      <c r="C629" s="40">
        <v>62.1</v>
      </c>
      <c r="D629" s="24">
        <v>2</v>
      </c>
      <c r="E629" t="e">
        <f>_xlfn.XLOOKUP(A629,'[1]query (5)'!$C:$C,'[1]query (5)'!$A:$A)</f>
        <v>#N/A</v>
      </c>
    </row>
    <row r="630" spans="1:5" x14ac:dyDescent="0.3">
      <c r="A630" s="23">
        <v>5223746</v>
      </c>
      <c r="B630" s="23" t="s">
        <v>2640</v>
      </c>
      <c r="C630" s="40">
        <v>58.84</v>
      </c>
      <c r="D630" s="24">
        <v>4</v>
      </c>
      <c r="E630" t="e">
        <f>_xlfn.XLOOKUP(A630,'[1]query (5)'!$C:$C,'[1]query (5)'!$A:$A)</f>
        <v>#N/A</v>
      </c>
    </row>
    <row r="631" spans="1:5" x14ac:dyDescent="0.3">
      <c r="A631" s="23">
        <v>5224645</v>
      </c>
      <c r="B631" s="23" t="s">
        <v>2383</v>
      </c>
      <c r="C631" s="40">
        <v>39031.040000000001</v>
      </c>
      <c r="D631" s="24">
        <v>979</v>
      </c>
      <c r="E631" t="e">
        <f>_xlfn.XLOOKUP(A631,'[1]query (5)'!$C:$C,'[1]query (5)'!$A:$A)</f>
        <v>#N/A</v>
      </c>
    </row>
    <row r="632" spans="1:5" x14ac:dyDescent="0.3">
      <c r="A632" s="23">
        <v>5224811</v>
      </c>
      <c r="B632" s="23" t="s">
        <v>1957</v>
      </c>
      <c r="C632" s="40">
        <v>110788.03</v>
      </c>
      <c r="D632" s="24">
        <v>1922</v>
      </c>
      <c r="E632" t="str">
        <f>_xlfn.XLOOKUP(A632,'[1]query (5)'!$C:$C,'[1]query (5)'!$A:$A)</f>
        <v>5224812</v>
      </c>
    </row>
    <row r="633" spans="1:5" x14ac:dyDescent="0.3">
      <c r="A633" s="23">
        <v>5232478</v>
      </c>
      <c r="B633" s="23" t="s">
        <v>2641</v>
      </c>
      <c r="C633" s="40">
        <v>374.02</v>
      </c>
      <c r="D633" s="24">
        <v>2</v>
      </c>
      <c r="E633" t="e">
        <f>_xlfn.XLOOKUP(A633,'[1]query (5)'!$C:$C,'[1]query (5)'!$A:$A)</f>
        <v>#N/A</v>
      </c>
    </row>
    <row r="634" spans="1:5" x14ac:dyDescent="0.3">
      <c r="A634" s="23">
        <v>5232513</v>
      </c>
      <c r="B634" s="23" t="s">
        <v>1915</v>
      </c>
      <c r="C634" s="40">
        <v>178.64</v>
      </c>
      <c r="D634" s="24">
        <v>6</v>
      </c>
      <c r="E634" t="e">
        <f>_xlfn.XLOOKUP(A634,'[1]query (5)'!$C:$C,'[1]query (5)'!$A:$A)</f>
        <v>#N/A</v>
      </c>
    </row>
    <row r="635" spans="1:5" ht="20.399999999999999" x14ac:dyDescent="0.3">
      <c r="A635" s="23">
        <v>5232514</v>
      </c>
      <c r="B635" s="26" t="s">
        <v>2642</v>
      </c>
      <c r="C635" s="40">
        <v>32.450000000000003</v>
      </c>
      <c r="D635" s="24">
        <v>1</v>
      </c>
      <c r="E635" t="e">
        <f>_xlfn.XLOOKUP(A635,'[1]query (5)'!$C:$C,'[1]query (5)'!$A:$A)</f>
        <v>#N/A</v>
      </c>
    </row>
    <row r="636" spans="1:5" x14ac:dyDescent="0.3">
      <c r="A636" s="23">
        <v>5232569</v>
      </c>
      <c r="B636" s="23" t="s">
        <v>1916</v>
      </c>
      <c r="C636" s="40">
        <v>317.87</v>
      </c>
      <c r="D636" s="24">
        <v>6</v>
      </c>
      <c r="E636" t="e">
        <f>_xlfn.XLOOKUP(A636,'[1]query (5)'!$C:$C,'[1]query (5)'!$A:$A)</f>
        <v>#N/A</v>
      </c>
    </row>
    <row r="637" spans="1:5" x14ac:dyDescent="0.3">
      <c r="A637" s="23">
        <v>5232585</v>
      </c>
      <c r="B637" s="23" t="s">
        <v>2055</v>
      </c>
      <c r="C637" s="40">
        <v>0</v>
      </c>
      <c r="D637" s="25">
        <v>0</v>
      </c>
      <c r="E637" t="e">
        <f>_xlfn.XLOOKUP(A637,'[1]query (5)'!$C:$C,'[1]query (5)'!$A:$A)</f>
        <v>#N/A</v>
      </c>
    </row>
    <row r="638" spans="1:5" x14ac:dyDescent="0.3">
      <c r="A638" s="23">
        <v>5232635</v>
      </c>
      <c r="B638" s="23" t="s">
        <v>1917</v>
      </c>
      <c r="C638" s="40">
        <v>592.91999999999996</v>
      </c>
      <c r="D638" s="24">
        <v>35</v>
      </c>
      <c r="E638" t="e">
        <f>_xlfn.XLOOKUP(A638,'[1]query (5)'!$C:$C,'[1]query (5)'!$A:$A)</f>
        <v>#N/A</v>
      </c>
    </row>
    <row r="639" spans="1:5" x14ac:dyDescent="0.3">
      <c r="A639" s="23">
        <v>5236667</v>
      </c>
      <c r="B639" s="23" t="s">
        <v>2384</v>
      </c>
      <c r="C639" s="40">
        <v>2252.2399999999998</v>
      </c>
      <c r="D639" s="24">
        <v>91</v>
      </c>
      <c r="E639" t="e">
        <f>_xlfn.XLOOKUP(A639,'[1]query (5)'!$C:$C,'[1]query (5)'!$A:$A)</f>
        <v>#N/A</v>
      </c>
    </row>
    <row r="640" spans="1:5" x14ac:dyDescent="0.3">
      <c r="A640" s="23">
        <v>5236668</v>
      </c>
      <c r="B640" s="23" t="s">
        <v>2385</v>
      </c>
      <c r="C640" s="40">
        <v>48.27</v>
      </c>
      <c r="D640" s="24">
        <v>4</v>
      </c>
      <c r="E640" t="e">
        <f>_xlfn.XLOOKUP(A640,'[1]query (5)'!$C:$C,'[1]query (5)'!$A:$A)</f>
        <v>#N/A</v>
      </c>
    </row>
    <row r="641" spans="1:5" x14ac:dyDescent="0.3">
      <c r="A641" s="23">
        <v>5236702</v>
      </c>
      <c r="B641" s="23" t="s">
        <v>2386</v>
      </c>
      <c r="C641" s="40">
        <v>26.18</v>
      </c>
      <c r="D641" s="24">
        <v>4</v>
      </c>
      <c r="E641" t="e">
        <f>_xlfn.XLOOKUP(A641,'[1]query (5)'!$C:$C,'[1]query (5)'!$A:$A)</f>
        <v>#N/A</v>
      </c>
    </row>
    <row r="642" spans="1:5" x14ac:dyDescent="0.3">
      <c r="A642" s="23">
        <v>5236721</v>
      </c>
      <c r="B642" s="23" t="s">
        <v>2387</v>
      </c>
      <c r="C642" s="40">
        <v>6.04</v>
      </c>
      <c r="D642" s="24">
        <v>1</v>
      </c>
      <c r="E642" t="e">
        <f>_xlfn.XLOOKUP(A642,'[1]query (5)'!$C:$C,'[1]query (5)'!$A:$A)</f>
        <v>#N/A</v>
      </c>
    </row>
    <row r="643" spans="1:5" x14ac:dyDescent="0.3">
      <c r="A643" s="23">
        <v>5236722</v>
      </c>
      <c r="B643" s="23" t="s">
        <v>1362</v>
      </c>
      <c r="C643" s="40">
        <v>2432.6</v>
      </c>
      <c r="D643" s="24">
        <v>103</v>
      </c>
      <c r="E643" t="e">
        <f>_xlfn.XLOOKUP(A643,'[1]query (5)'!$C:$C,'[1]query (5)'!$A:$A)</f>
        <v>#N/A</v>
      </c>
    </row>
    <row r="644" spans="1:5" x14ac:dyDescent="0.3">
      <c r="A644" s="23">
        <v>5236724</v>
      </c>
      <c r="B644" s="23" t="s">
        <v>2388</v>
      </c>
      <c r="C644" s="40">
        <v>6672.95</v>
      </c>
      <c r="D644" s="24">
        <v>243</v>
      </c>
      <c r="E644" t="str">
        <f>_xlfn.XLOOKUP(A644,'[1]query (5)'!$C:$C,'[1]query (5)'!$A:$A)</f>
        <v>5236726</v>
      </c>
    </row>
    <row r="645" spans="1:5" x14ac:dyDescent="0.3">
      <c r="A645" s="23">
        <v>5236725</v>
      </c>
      <c r="B645" s="23" t="s">
        <v>2389</v>
      </c>
      <c r="C645" s="40">
        <v>1634.69</v>
      </c>
      <c r="D645" s="24">
        <v>55</v>
      </c>
      <c r="E645" t="str">
        <f>_xlfn.XLOOKUP(A645,'[1]query (5)'!$C:$C,'[1]query (5)'!$A:$A)</f>
        <v>5236727</v>
      </c>
    </row>
    <row r="646" spans="1:5" x14ac:dyDescent="0.3">
      <c r="A646" s="23">
        <v>5241252</v>
      </c>
      <c r="B646" s="23" t="s">
        <v>1632</v>
      </c>
      <c r="C646" s="40">
        <v>508.51</v>
      </c>
      <c r="D646" s="24">
        <v>18</v>
      </c>
      <c r="E646" t="e">
        <f>_xlfn.XLOOKUP(A646,'[1]query (5)'!$C:$C,'[1]query (5)'!$A:$A)</f>
        <v>#N/A</v>
      </c>
    </row>
    <row r="647" spans="1:5" x14ac:dyDescent="0.3">
      <c r="A647" s="23">
        <v>5241253</v>
      </c>
      <c r="B647" s="23" t="s">
        <v>1633</v>
      </c>
      <c r="C647" s="40">
        <v>3828.07</v>
      </c>
      <c r="D647" s="24">
        <v>42</v>
      </c>
      <c r="E647" t="e">
        <f>_xlfn.XLOOKUP(A647,'[1]query (5)'!$C:$C,'[1]query (5)'!$A:$A)</f>
        <v>#N/A</v>
      </c>
    </row>
    <row r="648" spans="1:5" x14ac:dyDescent="0.3">
      <c r="A648" s="23">
        <v>5242768</v>
      </c>
      <c r="B648" s="23" t="s">
        <v>2390</v>
      </c>
      <c r="C648" s="40">
        <v>119.76</v>
      </c>
      <c r="D648" s="24">
        <v>9</v>
      </c>
      <c r="E648" t="str">
        <f>_xlfn.XLOOKUP(A648,'[1]query (5)'!$C:$C,'[1]query (5)'!$A:$A)</f>
        <v>5242767</v>
      </c>
    </row>
    <row r="649" spans="1:5" x14ac:dyDescent="0.3">
      <c r="A649" s="23">
        <v>5242769</v>
      </c>
      <c r="B649" s="23" t="s">
        <v>2391</v>
      </c>
      <c r="C649" s="40">
        <v>199.6</v>
      </c>
      <c r="D649" s="24">
        <v>15</v>
      </c>
      <c r="E649" t="str">
        <f>_xlfn.XLOOKUP(A649,'[1]query (5)'!$C:$C,'[1]query (5)'!$A:$A)</f>
        <v>5242767</v>
      </c>
    </row>
    <row r="650" spans="1:5" x14ac:dyDescent="0.3">
      <c r="A650" s="23">
        <v>5242770</v>
      </c>
      <c r="B650" s="23" t="s">
        <v>2392</v>
      </c>
      <c r="C650" s="40">
        <v>179.01</v>
      </c>
      <c r="D650" s="24">
        <v>13</v>
      </c>
      <c r="E650" t="str">
        <f>_xlfn.XLOOKUP(A650,'[1]query (5)'!$C:$C,'[1]query (5)'!$A:$A)</f>
        <v>5242767</v>
      </c>
    </row>
    <row r="651" spans="1:5" x14ac:dyDescent="0.3">
      <c r="A651" s="23">
        <v>5242784</v>
      </c>
      <c r="B651" s="23" t="s">
        <v>2393</v>
      </c>
      <c r="C651" s="40">
        <v>812.1</v>
      </c>
      <c r="D651" s="24">
        <v>30</v>
      </c>
      <c r="E651" t="str">
        <f>_xlfn.XLOOKUP(A651,'[1]query (5)'!$C:$C,'[1]query (5)'!$A:$A)</f>
        <v>5242783</v>
      </c>
    </row>
    <row r="652" spans="1:5" x14ac:dyDescent="0.3">
      <c r="A652" s="23">
        <v>5242785</v>
      </c>
      <c r="B652" s="23" t="s">
        <v>2394</v>
      </c>
      <c r="C652" s="40">
        <v>1057.07</v>
      </c>
      <c r="D652" s="24">
        <v>40</v>
      </c>
      <c r="E652" t="str">
        <f>_xlfn.XLOOKUP(A652,'[1]query (5)'!$C:$C,'[1]query (5)'!$A:$A)</f>
        <v>5242783</v>
      </c>
    </row>
    <row r="653" spans="1:5" x14ac:dyDescent="0.3">
      <c r="A653" s="23">
        <v>5242792</v>
      </c>
      <c r="B653" s="23" t="s">
        <v>1985</v>
      </c>
      <c r="C653" s="40">
        <v>1760.48</v>
      </c>
      <c r="D653" s="24">
        <v>41</v>
      </c>
      <c r="E653" t="str">
        <f>_xlfn.XLOOKUP(A653,'[1]query (5)'!$C:$C,'[1]query (5)'!$A:$A)</f>
        <v>5242791</v>
      </c>
    </row>
    <row r="654" spans="1:5" x14ac:dyDescent="0.3">
      <c r="A654" s="23">
        <v>5242793</v>
      </c>
      <c r="B654" s="23" t="s">
        <v>1982</v>
      </c>
      <c r="C654" s="40">
        <v>3005.65</v>
      </c>
      <c r="D654" s="24">
        <v>70</v>
      </c>
      <c r="E654" t="str">
        <f>_xlfn.XLOOKUP(A654,'[1]query (5)'!$C:$C,'[1]query (5)'!$A:$A)</f>
        <v>5242791</v>
      </c>
    </row>
    <row r="655" spans="1:5" x14ac:dyDescent="0.3">
      <c r="A655" s="23">
        <v>5242794</v>
      </c>
      <c r="B655" s="23" t="s">
        <v>1974</v>
      </c>
      <c r="C655" s="40">
        <v>4817.34</v>
      </c>
      <c r="D655" s="24">
        <v>112</v>
      </c>
      <c r="E655" t="str">
        <f>_xlfn.XLOOKUP(A655,'[1]query (5)'!$C:$C,'[1]query (5)'!$A:$A)</f>
        <v>5242791</v>
      </c>
    </row>
    <row r="656" spans="1:5" x14ac:dyDescent="0.3">
      <c r="A656" s="23">
        <v>5242800</v>
      </c>
      <c r="B656" s="23" t="s">
        <v>2395</v>
      </c>
      <c r="C656" s="40">
        <v>483.8</v>
      </c>
      <c r="D656" s="24">
        <v>29</v>
      </c>
      <c r="E656" t="e">
        <f>_xlfn.XLOOKUP(A656,'[1]query (5)'!$C:$C,'[1]query (5)'!$A:$A)</f>
        <v>#N/A</v>
      </c>
    </row>
    <row r="657" spans="1:5" x14ac:dyDescent="0.3">
      <c r="A657" s="23">
        <v>5242831</v>
      </c>
      <c r="B657" s="23" t="s">
        <v>2396</v>
      </c>
      <c r="C657" s="40">
        <v>703.26</v>
      </c>
      <c r="D657" s="24">
        <v>25</v>
      </c>
      <c r="E657" t="e">
        <f>_xlfn.XLOOKUP(A657,'[1]query (5)'!$C:$C,'[1]query (5)'!$A:$A)</f>
        <v>#N/A</v>
      </c>
    </row>
    <row r="658" spans="1:5" x14ac:dyDescent="0.3">
      <c r="A658" s="23">
        <v>5243741</v>
      </c>
      <c r="B658" s="23" t="s">
        <v>2397</v>
      </c>
      <c r="C658" s="40">
        <v>207.92</v>
      </c>
      <c r="D658" s="24">
        <v>8</v>
      </c>
      <c r="E658" t="e">
        <f>_xlfn.XLOOKUP(A658,'[1]query (5)'!$C:$C,'[1]query (5)'!$A:$A)</f>
        <v>#N/A</v>
      </c>
    </row>
    <row r="659" spans="1:5" x14ac:dyDescent="0.3">
      <c r="A659" s="23">
        <v>5244438</v>
      </c>
      <c r="B659" s="23" t="s">
        <v>1462</v>
      </c>
      <c r="C659" s="40">
        <v>264.27</v>
      </c>
      <c r="D659" s="24">
        <v>16</v>
      </c>
      <c r="E659" t="e">
        <f>_xlfn.XLOOKUP(A659,'[1]query (5)'!$C:$C,'[1]query (5)'!$A:$A)</f>
        <v>#N/A</v>
      </c>
    </row>
    <row r="660" spans="1:5" x14ac:dyDescent="0.3">
      <c r="A660" s="23">
        <v>5244557</v>
      </c>
      <c r="B660" s="23" t="s">
        <v>2398</v>
      </c>
      <c r="C660" s="40">
        <v>33.92</v>
      </c>
      <c r="D660" s="24">
        <v>2</v>
      </c>
      <c r="E660" t="e">
        <f>_xlfn.XLOOKUP(A660,'[1]query (5)'!$C:$C,'[1]query (5)'!$A:$A)</f>
        <v>#N/A</v>
      </c>
    </row>
    <row r="661" spans="1:5" x14ac:dyDescent="0.3">
      <c r="A661" s="23">
        <v>5245438</v>
      </c>
      <c r="B661" s="23" t="s">
        <v>2399</v>
      </c>
      <c r="C661" s="40">
        <v>869.92</v>
      </c>
      <c r="D661" s="24">
        <v>32</v>
      </c>
      <c r="E661" t="str">
        <f>_xlfn.XLOOKUP(A661,'[1]query (5)'!$C:$C,'[1]query (5)'!$A:$A)</f>
        <v>5242783</v>
      </c>
    </row>
    <row r="662" spans="1:5" x14ac:dyDescent="0.3">
      <c r="A662" s="23">
        <v>5249007</v>
      </c>
      <c r="B662" s="23" t="s">
        <v>1359</v>
      </c>
      <c r="C662" s="40">
        <v>748.37</v>
      </c>
      <c r="D662" s="24">
        <v>28</v>
      </c>
      <c r="E662" t="e">
        <f>_xlfn.XLOOKUP(A662,'[1]query (5)'!$C:$C,'[1]query (5)'!$A:$A)</f>
        <v>#N/A</v>
      </c>
    </row>
    <row r="663" spans="1:5" x14ac:dyDescent="0.3">
      <c r="A663" s="23">
        <v>5254525</v>
      </c>
      <c r="B663" s="23" t="s">
        <v>2400</v>
      </c>
      <c r="C663" s="40">
        <v>54.78</v>
      </c>
      <c r="D663" s="24">
        <v>4</v>
      </c>
      <c r="E663" t="e">
        <f>_xlfn.XLOOKUP(A663,'[1]query (5)'!$C:$C,'[1]query (5)'!$A:$A)</f>
        <v>#N/A</v>
      </c>
    </row>
    <row r="664" spans="1:5" x14ac:dyDescent="0.3">
      <c r="A664" s="23">
        <v>5255621</v>
      </c>
      <c r="B664" s="23" t="s">
        <v>2401</v>
      </c>
      <c r="C664" s="40">
        <v>962.45</v>
      </c>
      <c r="D664" s="24">
        <v>14</v>
      </c>
      <c r="E664" t="e">
        <f>_xlfn.XLOOKUP(A664,'[1]query (5)'!$C:$C,'[1]query (5)'!$A:$A)</f>
        <v>#N/A</v>
      </c>
    </row>
    <row r="665" spans="1:5" x14ac:dyDescent="0.3">
      <c r="A665" s="23">
        <v>5255624</v>
      </c>
      <c r="B665" s="23" t="s">
        <v>2402</v>
      </c>
      <c r="C665" s="40">
        <v>170.38</v>
      </c>
      <c r="D665" s="24">
        <v>6</v>
      </c>
      <c r="E665" t="e">
        <f>_xlfn.XLOOKUP(A665,'[1]query (5)'!$C:$C,'[1]query (5)'!$A:$A)</f>
        <v>#N/A</v>
      </c>
    </row>
    <row r="666" spans="1:5" x14ac:dyDescent="0.3">
      <c r="A666" s="23">
        <v>5257268</v>
      </c>
      <c r="B666" s="23" t="s">
        <v>5239</v>
      </c>
      <c r="C666" s="40">
        <v>0</v>
      </c>
      <c r="D666" s="25">
        <v>0</v>
      </c>
      <c r="E666" t="e">
        <f>_xlfn.XLOOKUP(A666,'[1]query (5)'!$C:$C,'[1]query (5)'!$A:$A)</f>
        <v>#N/A</v>
      </c>
    </row>
    <row r="667" spans="1:5" x14ac:dyDescent="0.3">
      <c r="A667" s="23">
        <v>5259331</v>
      </c>
      <c r="B667" s="23" t="s">
        <v>1603</v>
      </c>
      <c r="C667" s="40">
        <v>104.37</v>
      </c>
      <c r="D667" s="24">
        <v>2</v>
      </c>
      <c r="E667" t="e">
        <f>_xlfn.XLOOKUP(A667,'[1]query (5)'!$C:$C,'[1]query (5)'!$A:$A)</f>
        <v>#N/A</v>
      </c>
    </row>
    <row r="668" spans="1:5" x14ac:dyDescent="0.3">
      <c r="A668" s="23">
        <v>5275861</v>
      </c>
      <c r="B668" s="23" t="s">
        <v>2644</v>
      </c>
      <c r="C668" s="40">
        <v>41.43</v>
      </c>
      <c r="D668" s="24">
        <v>2</v>
      </c>
      <c r="E668" t="e">
        <f>_xlfn.XLOOKUP(A668,'[1]query (5)'!$C:$C,'[1]query (5)'!$A:$A)</f>
        <v>#N/A</v>
      </c>
    </row>
    <row r="669" spans="1:5" x14ac:dyDescent="0.3">
      <c r="A669" s="23">
        <v>5282518</v>
      </c>
      <c r="B669" s="23" t="s">
        <v>2053</v>
      </c>
      <c r="C669" s="40">
        <v>14.32</v>
      </c>
      <c r="D669" s="24">
        <v>1</v>
      </c>
      <c r="E669" t="str">
        <f>_xlfn.XLOOKUP(A669,'[1]query (5)'!$C:$C,'[1]query (5)'!$A:$A)</f>
        <v>5313745</v>
      </c>
    </row>
    <row r="670" spans="1:5" x14ac:dyDescent="0.3">
      <c r="A670" s="23">
        <v>5282520</v>
      </c>
      <c r="B670" s="23" t="s">
        <v>1360</v>
      </c>
      <c r="C670" s="40">
        <v>12.51</v>
      </c>
      <c r="D670" s="24">
        <v>2</v>
      </c>
      <c r="E670" t="e">
        <f>_xlfn.XLOOKUP(A670,'[1]query (5)'!$C:$C,'[1]query (5)'!$A:$A)</f>
        <v>#N/A</v>
      </c>
    </row>
    <row r="671" spans="1:5" x14ac:dyDescent="0.3">
      <c r="A671" s="23">
        <v>5282521</v>
      </c>
      <c r="B671" s="23" t="s">
        <v>1363</v>
      </c>
      <c r="C671" s="40">
        <v>8.93</v>
      </c>
      <c r="D671" s="24">
        <v>1</v>
      </c>
      <c r="E671" t="e">
        <f>_xlfn.XLOOKUP(A671,'[1]query (5)'!$C:$C,'[1]query (5)'!$A:$A)</f>
        <v>#N/A</v>
      </c>
    </row>
    <row r="672" spans="1:5" x14ac:dyDescent="0.3">
      <c r="A672" s="23">
        <v>5282772</v>
      </c>
      <c r="B672" s="23" t="s">
        <v>2403</v>
      </c>
      <c r="C672" s="40">
        <v>14.79</v>
      </c>
      <c r="D672" s="24">
        <v>1</v>
      </c>
      <c r="E672" t="e">
        <f>_xlfn.XLOOKUP(A672,'[1]query (5)'!$C:$C,'[1]query (5)'!$A:$A)</f>
        <v>#N/A</v>
      </c>
    </row>
    <row r="673" spans="1:5" x14ac:dyDescent="0.3">
      <c r="A673" s="23">
        <v>5282774</v>
      </c>
      <c r="B673" s="23" t="s">
        <v>2404</v>
      </c>
      <c r="C673" s="40">
        <v>236.88</v>
      </c>
      <c r="D673" s="24">
        <v>8</v>
      </c>
      <c r="E673" t="e">
        <f>_xlfn.XLOOKUP(A673,'[1]query (5)'!$C:$C,'[1]query (5)'!$A:$A)</f>
        <v>#N/A</v>
      </c>
    </row>
    <row r="674" spans="1:5" x14ac:dyDescent="0.3">
      <c r="A674" s="23">
        <v>5282776</v>
      </c>
      <c r="B674" s="23" t="s">
        <v>2405</v>
      </c>
      <c r="C674" s="40">
        <v>3319.17</v>
      </c>
      <c r="D674" s="24">
        <v>75</v>
      </c>
      <c r="E674" t="e">
        <f>_xlfn.XLOOKUP(A674,'[1]query (5)'!$C:$C,'[1]query (5)'!$A:$A)</f>
        <v>#N/A</v>
      </c>
    </row>
    <row r="675" spans="1:5" x14ac:dyDescent="0.3">
      <c r="A675" s="23">
        <v>5287993</v>
      </c>
      <c r="B675" s="23" t="s">
        <v>2406</v>
      </c>
      <c r="C675" s="40">
        <v>40.020000000000003</v>
      </c>
      <c r="D675" s="24">
        <v>2</v>
      </c>
      <c r="E675" t="str">
        <f>_xlfn.XLOOKUP(A675,'[1]query (5)'!$C:$C,'[1]query (5)'!$A:$A)</f>
        <v>5326056</v>
      </c>
    </row>
    <row r="676" spans="1:5" x14ac:dyDescent="0.3">
      <c r="A676" s="23">
        <v>5287998</v>
      </c>
      <c r="B676" s="23" t="s">
        <v>2407</v>
      </c>
      <c r="C676" s="40">
        <v>222.04</v>
      </c>
      <c r="D676" s="24">
        <v>5</v>
      </c>
      <c r="E676" t="str">
        <f>_xlfn.XLOOKUP(A676,'[1]query (5)'!$C:$C,'[1]query (5)'!$A:$A)</f>
        <v>5326057</v>
      </c>
    </row>
    <row r="677" spans="1:5" x14ac:dyDescent="0.3">
      <c r="A677" s="23">
        <v>5288069</v>
      </c>
      <c r="B677" s="23" t="s">
        <v>1981</v>
      </c>
      <c r="C677" s="40">
        <v>8154.21</v>
      </c>
      <c r="D677" s="24">
        <v>132</v>
      </c>
      <c r="E677" t="str">
        <f>_xlfn.XLOOKUP(A677,'[1]query (5)'!$C:$C,'[1]query (5)'!$A:$A)</f>
        <v>5326058</v>
      </c>
    </row>
    <row r="678" spans="1:5" x14ac:dyDescent="0.3">
      <c r="A678" s="23">
        <v>5288070</v>
      </c>
      <c r="B678" s="23" t="s">
        <v>5240</v>
      </c>
      <c r="C678" s="40">
        <v>17.62</v>
      </c>
      <c r="D678" s="24">
        <v>1</v>
      </c>
      <c r="E678" t="str">
        <f>_xlfn.XLOOKUP(A678,'[1]query (5)'!$C:$C,'[1]query (5)'!$A:$A)</f>
        <v>5326056</v>
      </c>
    </row>
    <row r="679" spans="1:5" x14ac:dyDescent="0.3">
      <c r="A679" s="23">
        <v>5288071</v>
      </c>
      <c r="B679" s="23" t="s">
        <v>2408</v>
      </c>
      <c r="C679" s="40">
        <v>283.27</v>
      </c>
      <c r="D679" s="24">
        <v>7</v>
      </c>
      <c r="E679" t="str">
        <f>_xlfn.XLOOKUP(A679,'[1]query (5)'!$C:$C,'[1]query (5)'!$A:$A)</f>
        <v>5326057</v>
      </c>
    </row>
    <row r="680" spans="1:5" x14ac:dyDescent="0.3">
      <c r="A680" s="23">
        <v>5288073</v>
      </c>
      <c r="B680" s="23" t="s">
        <v>2002</v>
      </c>
      <c r="C680" s="40">
        <v>432.6</v>
      </c>
      <c r="D680" s="24">
        <v>7</v>
      </c>
      <c r="E680" t="str">
        <f>_xlfn.XLOOKUP(A680,'[1]query (5)'!$C:$C,'[1]query (5)'!$A:$A)</f>
        <v>5326058</v>
      </c>
    </row>
    <row r="681" spans="1:5" x14ac:dyDescent="0.3">
      <c r="A681" s="23">
        <v>5315778</v>
      </c>
      <c r="B681" s="23" t="s">
        <v>2645</v>
      </c>
      <c r="C681" s="40">
        <v>39.35</v>
      </c>
      <c r="D681" s="24">
        <v>3</v>
      </c>
      <c r="E681" t="e">
        <f>_xlfn.XLOOKUP(A681,'[1]query (5)'!$C:$C,'[1]query (5)'!$A:$A)</f>
        <v>#N/A</v>
      </c>
    </row>
    <row r="682" spans="1:5" x14ac:dyDescent="0.3">
      <c r="A682" s="23">
        <v>5315853</v>
      </c>
      <c r="B682" s="23" t="s">
        <v>5241</v>
      </c>
      <c r="C682" s="40">
        <v>15.1</v>
      </c>
      <c r="D682" s="24">
        <v>1</v>
      </c>
      <c r="E682" t="e">
        <f>_xlfn.XLOOKUP(A682,'[1]query (5)'!$C:$C,'[1]query (5)'!$A:$A)</f>
        <v>#N/A</v>
      </c>
    </row>
    <row r="683" spans="1:5" x14ac:dyDescent="0.3">
      <c r="A683" s="23">
        <v>5315855</v>
      </c>
      <c r="B683" s="23" t="s">
        <v>2646</v>
      </c>
      <c r="C683" s="40">
        <v>19.25</v>
      </c>
      <c r="D683" s="24">
        <v>1</v>
      </c>
      <c r="E683" t="e">
        <f>_xlfn.XLOOKUP(A683,'[1]query (5)'!$C:$C,'[1]query (5)'!$A:$A)</f>
        <v>#N/A</v>
      </c>
    </row>
    <row r="684" spans="1:5" x14ac:dyDescent="0.3">
      <c r="A684" s="23">
        <v>5315856</v>
      </c>
      <c r="B684" s="23" t="s">
        <v>1945</v>
      </c>
      <c r="C684" s="40">
        <v>80.95</v>
      </c>
      <c r="D684" s="24">
        <v>8</v>
      </c>
      <c r="E684" t="e">
        <f>_xlfn.XLOOKUP(A684,'[1]query (5)'!$C:$C,'[1]query (5)'!$A:$A)</f>
        <v>#N/A</v>
      </c>
    </row>
    <row r="685" spans="1:5" x14ac:dyDescent="0.3">
      <c r="A685" s="23">
        <v>5315859</v>
      </c>
      <c r="B685" s="23" t="s">
        <v>1946</v>
      </c>
      <c r="C685" s="40">
        <v>286.24</v>
      </c>
      <c r="D685" s="24">
        <v>13</v>
      </c>
      <c r="E685" t="e">
        <f>_xlfn.XLOOKUP(A685,'[1]query (5)'!$C:$C,'[1]query (5)'!$A:$A)</f>
        <v>#N/A</v>
      </c>
    </row>
    <row r="686" spans="1:5" x14ac:dyDescent="0.3">
      <c r="A686" s="23">
        <v>5315861</v>
      </c>
      <c r="B686" s="23" t="s">
        <v>1935</v>
      </c>
      <c r="C686" s="40">
        <v>55.01</v>
      </c>
      <c r="D686" s="24">
        <v>2</v>
      </c>
      <c r="E686" t="e">
        <f>_xlfn.XLOOKUP(A686,'[1]query (5)'!$C:$C,'[1]query (5)'!$A:$A)</f>
        <v>#N/A</v>
      </c>
    </row>
    <row r="687" spans="1:5" x14ac:dyDescent="0.3">
      <c r="A687" s="23">
        <v>5315864</v>
      </c>
      <c r="B687" s="23" t="s">
        <v>2647</v>
      </c>
      <c r="C687" s="40">
        <v>17.37</v>
      </c>
      <c r="D687" s="24">
        <v>1</v>
      </c>
      <c r="E687" t="e">
        <f>_xlfn.XLOOKUP(A687,'[1]query (5)'!$C:$C,'[1]query (5)'!$A:$A)</f>
        <v>#N/A</v>
      </c>
    </row>
    <row r="688" spans="1:5" x14ac:dyDescent="0.3">
      <c r="A688" s="23">
        <v>5315918</v>
      </c>
      <c r="B688" s="23" t="s">
        <v>1947</v>
      </c>
      <c r="C688" s="40">
        <v>1025.4100000000001</v>
      </c>
      <c r="D688" s="24">
        <v>30</v>
      </c>
      <c r="E688" t="e">
        <f>_xlfn.XLOOKUP(A688,'[1]query (5)'!$C:$C,'[1]query (5)'!$A:$A)</f>
        <v>#N/A</v>
      </c>
    </row>
    <row r="689" spans="1:5" x14ac:dyDescent="0.3">
      <c r="A689" s="23">
        <v>5315921</v>
      </c>
      <c r="B689" s="23" t="s">
        <v>1948</v>
      </c>
      <c r="C689" s="40">
        <v>1958.59</v>
      </c>
      <c r="D689" s="24">
        <v>39</v>
      </c>
      <c r="E689" t="e">
        <f>_xlfn.XLOOKUP(A689,'[1]query (5)'!$C:$C,'[1]query (5)'!$A:$A)</f>
        <v>#N/A</v>
      </c>
    </row>
    <row r="690" spans="1:5" x14ac:dyDescent="0.3">
      <c r="A690" s="23">
        <v>5315937</v>
      </c>
      <c r="B690" s="23" t="s">
        <v>1426</v>
      </c>
      <c r="C690" s="40">
        <v>63.09</v>
      </c>
      <c r="D690" s="24">
        <v>3</v>
      </c>
      <c r="E690" t="e">
        <f>_xlfn.XLOOKUP(A690,'[1]query (5)'!$C:$C,'[1]query (5)'!$A:$A)</f>
        <v>#N/A</v>
      </c>
    </row>
    <row r="691" spans="1:5" x14ac:dyDescent="0.3">
      <c r="A691" s="23">
        <v>5317077</v>
      </c>
      <c r="B691" s="23" t="s">
        <v>2648</v>
      </c>
      <c r="C691" s="40">
        <v>660.79</v>
      </c>
      <c r="D691" s="24">
        <v>24</v>
      </c>
      <c r="E691" t="e">
        <f>_xlfn.XLOOKUP(A691,'[1]query (5)'!$C:$C,'[1]query (5)'!$A:$A)</f>
        <v>#N/A</v>
      </c>
    </row>
    <row r="692" spans="1:5" x14ac:dyDescent="0.3">
      <c r="A692" s="23">
        <v>5317755</v>
      </c>
      <c r="B692" s="23" t="s">
        <v>2649</v>
      </c>
      <c r="C692" s="40">
        <v>72.430000000000007</v>
      </c>
      <c r="D692" s="24">
        <v>1</v>
      </c>
      <c r="E692" t="e">
        <f>_xlfn.XLOOKUP(A692,'[1]query (5)'!$C:$C,'[1]query (5)'!$A:$A)</f>
        <v>#N/A</v>
      </c>
    </row>
    <row r="693" spans="1:5" x14ac:dyDescent="0.3">
      <c r="A693" s="23">
        <v>5317764</v>
      </c>
      <c r="B693" s="23" t="s">
        <v>2650</v>
      </c>
      <c r="C693" s="40">
        <v>61.46</v>
      </c>
      <c r="D693" s="24">
        <v>1</v>
      </c>
      <c r="E693" t="e">
        <f>_xlfn.XLOOKUP(A693,'[1]query (5)'!$C:$C,'[1]query (5)'!$A:$A)</f>
        <v>#N/A</v>
      </c>
    </row>
    <row r="694" spans="1:5" x14ac:dyDescent="0.3">
      <c r="A694" s="23">
        <v>5317875</v>
      </c>
      <c r="B694" s="23" t="s">
        <v>2651</v>
      </c>
      <c r="C694" s="40">
        <v>250.53</v>
      </c>
      <c r="D694" s="24">
        <v>5</v>
      </c>
      <c r="E694" t="e">
        <f>_xlfn.XLOOKUP(A694,'[1]query (5)'!$C:$C,'[1]query (5)'!$A:$A)</f>
        <v>#N/A</v>
      </c>
    </row>
    <row r="695" spans="1:5" x14ac:dyDescent="0.3">
      <c r="A695" s="23">
        <v>5320602</v>
      </c>
      <c r="B695" s="23" t="s">
        <v>1611</v>
      </c>
      <c r="C695" s="40">
        <v>2092.77</v>
      </c>
      <c r="D695" s="24">
        <v>37</v>
      </c>
      <c r="E695" t="e">
        <f>_xlfn.XLOOKUP(A695,'[1]query (5)'!$C:$C,'[1]query (5)'!$A:$A)</f>
        <v>#N/A</v>
      </c>
    </row>
    <row r="696" spans="1:5" x14ac:dyDescent="0.3">
      <c r="A696" s="23">
        <v>5321297</v>
      </c>
      <c r="B696" s="23" t="s">
        <v>1370</v>
      </c>
      <c r="C696" s="40">
        <v>317.33999999999997</v>
      </c>
      <c r="D696" s="24">
        <v>14</v>
      </c>
      <c r="E696" t="e">
        <f>_xlfn.XLOOKUP(A696,'[1]query (5)'!$C:$C,'[1]query (5)'!$A:$A)</f>
        <v>#N/A</v>
      </c>
    </row>
    <row r="697" spans="1:5" x14ac:dyDescent="0.3">
      <c r="A697" s="23">
        <v>5321363</v>
      </c>
      <c r="B697" s="23" t="s">
        <v>1705</v>
      </c>
      <c r="C697" s="40">
        <v>1795.49</v>
      </c>
      <c r="D697" s="24">
        <v>65</v>
      </c>
      <c r="E697" t="e">
        <f>_xlfn.XLOOKUP(A697,'[1]query (5)'!$C:$C,'[1]query (5)'!$A:$A)</f>
        <v>#N/A</v>
      </c>
    </row>
    <row r="698" spans="1:5" x14ac:dyDescent="0.3">
      <c r="A698" s="23">
        <v>5321442</v>
      </c>
      <c r="B698" s="23" t="s">
        <v>1934</v>
      </c>
      <c r="C698" s="40">
        <v>379.4</v>
      </c>
      <c r="D698" s="24">
        <v>5</v>
      </c>
      <c r="E698" t="e">
        <f>_xlfn.XLOOKUP(A698,'[1]query (5)'!$C:$C,'[1]query (5)'!$A:$A)</f>
        <v>#N/A</v>
      </c>
    </row>
    <row r="699" spans="1:5" x14ac:dyDescent="0.3">
      <c r="A699" s="23">
        <v>5321443</v>
      </c>
      <c r="B699" s="23" t="s">
        <v>1933</v>
      </c>
      <c r="C699" s="40">
        <v>306.72000000000003</v>
      </c>
      <c r="D699" s="24">
        <v>8</v>
      </c>
      <c r="E699" t="e">
        <f>_xlfn.XLOOKUP(A699,'[1]query (5)'!$C:$C,'[1]query (5)'!$A:$A)</f>
        <v>#N/A</v>
      </c>
    </row>
    <row r="700" spans="1:5" x14ac:dyDescent="0.3">
      <c r="A700" s="23">
        <v>5330418</v>
      </c>
      <c r="B700" s="23" t="s">
        <v>2409</v>
      </c>
      <c r="C700" s="40">
        <v>337.76</v>
      </c>
      <c r="D700" s="24">
        <v>9</v>
      </c>
      <c r="E700" t="e">
        <f>_xlfn.XLOOKUP(A700,'[1]query (5)'!$C:$C,'[1]query (5)'!$A:$A)</f>
        <v>#N/A</v>
      </c>
    </row>
    <row r="701" spans="1:5" x14ac:dyDescent="0.3">
      <c r="A701" s="23">
        <v>5330419</v>
      </c>
      <c r="B701" s="23" t="s">
        <v>1606</v>
      </c>
      <c r="C701" s="40">
        <v>37.92</v>
      </c>
      <c r="D701" s="24">
        <v>4</v>
      </c>
      <c r="E701" t="e">
        <f>_xlfn.XLOOKUP(A701,'[1]query (5)'!$C:$C,'[1]query (5)'!$A:$A)</f>
        <v>#N/A</v>
      </c>
    </row>
    <row r="702" spans="1:5" x14ac:dyDescent="0.3">
      <c r="A702" s="23">
        <v>5330420</v>
      </c>
      <c r="B702" s="23" t="s">
        <v>1605</v>
      </c>
      <c r="C702" s="40">
        <v>382.36</v>
      </c>
      <c r="D702" s="24">
        <v>22</v>
      </c>
      <c r="E702" t="e">
        <f>_xlfn.XLOOKUP(A702,'[1]query (5)'!$C:$C,'[1]query (5)'!$A:$A)</f>
        <v>#N/A</v>
      </c>
    </row>
    <row r="703" spans="1:5" x14ac:dyDescent="0.3">
      <c r="A703" s="23">
        <v>5362487</v>
      </c>
      <c r="B703" s="23" t="s">
        <v>2652</v>
      </c>
      <c r="C703" s="40">
        <v>225.3</v>
      </c>
      <c r="D703" s="24">
        <v>5</v>
      </c>
      <c r="E703" t="e">
        <f>_xlfn.XLOOKUP(A703,'[1]query (5)'!$C:$C,'[1]query (5)'!$A:$A)</f>
        <v>#N/A</v>
      </c>
    </row>
    <row r="704" spans="1:5" x14ac:dyDescent="0.3">
      <c r="A704" s="23">
        <v>5362527</v>
      </c>
      <c r="B704" s="23" t="s">
        <v>2653</v>
      </c>
      <c r="C704" s="40">
        <v>42.34</v>
      </c>
      <c r="D704" s="24">
        <v>2</v>
      </c>
      <c r="E704" t="e">
        <f>_xlfn.XLOOKUP(A704,'[1]query (5)'!$C:$C,'[1]query (5)'!$A:$A)</f>
        <v>#N/A</v>
      </c>
    </row>
    <row r="705" spans="1:5" x14ac:dyDescent="0.3">
      <c r="A705" s="23">
        <v>5381197</v>
      </c>
      <c r="B705" s="23" t="s">
        <v>2654</v>
      </c>
      <c r="C705" s="40">
        <v>2.2400000000000002</v>
      </c>
      <c r="D705" s="24">
        <v>1</v>
      </c>
      <c r="E705" t="str">
        <f>_xlfn.XLOOKUP(A705,'[1]query (5)'!$C:$C,'[1]query (5)'!$A:$A)</f>
        <v>6412815</v>
      </c>
    </row>
    <row r="706" spans="1:5" x14ac:dyDescent="0.3">
      <c r="A706" s="23">
        <v>5381201</v>
      </c>
      <c r="B706" s="23" t="s">
        <v>2655</v>
      </c>
      <c r="C706" s="40">
        <v>2.2400000000000002</v>
      </c>
      <c r="D706" s="24">
        <v>1</v>
      </c>
      <c r="E706" t="str">
        <f>_xlfn.XLOOKUP(A706,'[1]query (5)'!$C:$C,'[1]query (5)'!$A:$A)</f>
        <v>6412815</v>
      </c>
    </row>
    <row r="707" spans="1:5" x14ac:dyDescent="0.3">
      <c r="A707" s="23">
        <v>5381208</v>
      </c>
      <c r="B707" s="23" t="s">
        <v>2656</v>
      </c>
      <c r="C707" s="40">
        <v>4.4800000000000004</v>
      </c>
      <c r="D707" s="24">
        <v>2</v>
      </c>
      <c r="E707" t="str">
        <f>_xlfn.XLOOKUP(A707,'[1]query (5)'!$C:$C,'[1]query (5)'!$A:$A)</f>
        <v>6412815</v>
      </c>
    </row>
    <row r="708" spans="1:5" x14ac:dyDescent="0.3">
      <c r="A708" s="23">
        <v>5381215</v>
      </c>
      <c r="B708" s="23" t="s">
        <v>2657</v>
      </c>
      <c r="C708" s="40">
        <v>2.2400000000000002</v>
      </c>
      <c r="D708" s="24">
        <v>1</v>
      </c>
      <c r="E708" t="str">
        <f>_xlfn.XLOOKUP(A708,'[1]query (5)'!$C:$C,'[1]query (5)'!$A:$A)</f>
        <v>6412815</v>
      </c>
    </row>
    <row r="709" spans="1:5" x14ac:dyDescent="0.3">
      <c r="A709" s="23">
        <v>5381216</v>
      </c>
      <c r="B709" s="23" t="s">
        <v>2658</v>
      </c>
      <c r="C709" s="40">
        <v>2.2400000000000002</v>
      </c>
      <c r="D709" s="24">
        <v>1</v>
      </c>
      <c r="E709" t="str">
        <f>_xlfn.XLOOKUP(A709,'[1]query (5)'!$C:$C,'[1]query (5)'!$A:$A)</f>
        <v>6412815</v>
      </c>
    </row>
    <row r="710" spans="1:5" x14ac:dyDescent="0.3">
      <c r="A710" s="23">
        <v>5381225</v>
      </c>
      <c r="B710" s="23" t="s">
        <v>2659</v>
      </c>
      <c r="C710" s="40">
        <v>2.2400000000000002</v>
      </c>
      <c r="D710" s="24">
        <v>1</v>
      </c>
      <c r="E710" t="str">
        <f>_xlfn.XLOOKUP(A710,'[1]query (5)'!$C:$C,'[1]query (5)'!$A:$A)</f>
        <v>6412815</v>
      </c>
    </row>
    <row r="711" spans="1:5" x14ac:dyDescent="0.3">
      <c r="A711" s="23">
        <v>5381226</v>
      </c>
      <c r="B711" s="23" t="s">
        <v>2660</v>
      </c>
      <c r="C711" s="40">
        <v>2.2400000000000002</v>
      </c>
      <c r="D711" s="24">
        <v>1</v>
      </c>
      <c r="E711" t="str">
        <f>_xlfn.XLOOKUP(A711,'[1]query (5)'!$C:$C,'[1]query (5)'!$A:$A)</f>
        <v>6412815</v>
      </c>
    </row>
    <row r="712" spans="1:5" x14ac:dyDescent="0.3">
      <c r="A712" s="23">
        <v>5381261</v>
      </c>
      <c r="B712" s="23" t="s">
        <v>2661</v>
      </c>
      <c r="C712" s="40">
        <v>2.2400000000000002</v>
      </c>
      <c r="D712" s="24">
        <v>1</v>
      </c>
      <c r="E712" t="str">
        <f>_xlfn.XLOOKUP(A712,'[1]query (5)'!$C:$C,'[1]query (5)'!$A:$A)</f>
        <v>6412815</v>
      </c>
    </row>
    <row r="713" spans="1:5" x14ac:dyDescent="0.3">
      <c r="A713" s="23">
        <v>5381275</v>
      </c>
      <c r="B713" s="23" t="s">
        <v>2662</v>
      </c>
      <c r="C713" s="40">
        <v>2.2400000000000002</v>
      </c>
      <c r="D713" s="24">
        <v>1</v>
      </c>
      <c r="E713" t="str">
        <f>_xlfn.XLOOKUP(A713,'[1]query (5)'!$C:$C,'[1]query (5)'!$A:$A)</f>
        <v>6412815</v>
      </c>
    </row>
    <row r="714" spans="1:5" x14ac:dyDescent="0.3">
      <c r="A714" s="23">
        <v>5381294</v>
      </c>
      <c r="B714" s="23" t="s">
        <v>2410</v>
      </c>
      <c r="C714" s="40">
        <v>4.4800000000000004</v>
      </c>
      <c r="D714" s="24">
        <v>2</v>
      </c>
      <c r="E714" t="str">
        <f>_xlfn.XLOOKUP(A714,'[1]query (5)'!$C:$C,'[1]query (5)'!$A:$A)</f>
        <v>6412815</v>
      </c>
    </row>
    <row r="715" spans="1:5" x14ac:dyDescent="0.3">
      <c r="A715" s="23">
        <v>5381302</v>
      </c>
      <c r="B715" s="23" t="s">
        <v>2663</v>
      </c>
      <c r="C715" s="40">
        <v>2.2400000000000002</v>
      </c>
      <c r="D715" s="24">
        <v>1</v>
      </c>
      <c r="E715" t="str">
        <f>_xlfn.XLOOKUP(A715,'[1]query (5)'!$C:$C,'[1]query (5)'!$A:$A)</f>
        <v>6412815</v>
      </c>
    </row>
    <row r="716" spans="1:5" x14ac:dyDescent="0.3">
      <c r="A716" s="23">
        <v>5480543</v>
      </c>
      <c r="B716" s="23" t="s">
        <v>2005</v>
      </c>
      <c r="C716" s="40">
        <v>37.21</v>
      </c>
      <c r="D716" s="24">
        <v>1</v>
      </c>
      <c r="E716" t="str">
        <f>_xlfn.XLOOKUP(A716,'[1]query (5)'!$C:$C,'[1]query (5)'!$A:$A)</f>
        <v>5480753</v>
      </c>
    </row>
    <row r="717" spans="1:5" x14ac:dyDescent="0.3">
      <c r="A717" s="23">
        <v>5480746</v>
      </c>
      <c r="B717" s="23" t="s">
        <v>2045</v>
      </c>
      <c r="C717" s="40">
        <v>74.37</v>
      </c>
      <c r="D717" s="24">
        <v>2</v>
      </c>
      <c r="E717" t="str">
        <f>_xlfn.XLOOKUP(A717,'[1]query (5)'!$C:$C,'[1]query (5)'!$A:$A)</f>
        <v>5480753</v>
      </c>
    </row>
    <row r="718" spans="1:5" x14ac:dyDescent="0.3">
      <c r="A718" s="23">
        <v>5480907</v>
      </c>
      <c r="B718" s="23" t="s">
        <v>2013</v>
      </c>
      <c r="C718" s="40">
        <v>136.13999999999999</v>
      </c>
      <c r="D718" s="24">
        <v>6</v>
      </c>
      <c r="E718" t="str">
        <f>_xlfn.XLOOKUP(A718,'[1]query (5)'!$C:$C,'[1]query (5)'!$A:$A)</f>
        <v>5480938</v>
      </c>
    </row>
    <row r="719" spans="1:5" x14ac:dyDescent="0.3">
      <c r="A719" s="23">
        <v>5480925</v>
      </c>
      <c r="B719" s="23" t="s">
        <v>1976</v>
      </c>
      <c r="C719" s="40">
        <v>992.96</v>
      </c>
      <c r="D719" s="24">
        <v>27</v>
      </c>
      <c r="E719" t="str">
        <f>_xlfn.XLOOKUP(A719,'[1]query (5)'!$C:$C,'[1]query (5)'!$A:$A)</f>
        <v>5480940</v>
      </c>
    </row>
    <row r="720" spans="1:5" x14ac:dyDescent="0.3">
      <c r="A720" s="23">
        <v>5480927</v>
      </c>
      <c r="B720" s="23" t="s">
        <v>2031</v>
      </c>
      <c r="C720" s="40">
        <v>90.76</v>
      </c>
      <c r="D720" s="24">
        <v>4</v>
      </c>
      <c r="E720" t="str">
        <f>_xlfn.XLOOKUP(A720,'[1]query (5)'!$C:$C,'[1]query (5)'!$A:$A)</f>
        <v>5480938</v>
      </c>
    </row>
    <row r="721" spans="1:5" x14ac:dyDescent="0.3">
      <c r="A721" s="23">
        <v>5480930</v>
      </c>
      <c r="B721" s="23" t="s">
        <v>1978</v>
      </c>
      <c r="C721" s="40">
        <v>220.7</v>
      </c>
      <c r="D721" s="24">
        <v>6</v>
      </c>
      <c r="E721" t="str">
        <f>_xlfn.XLOOKUP(A721,'[1]query (5)'!$C:$C,'[1]query (5)'!$A:$A)</f>
        <v>5480940</v>
      </c>
    </row>
    <row r="722" spans="1:5" x14ac:dyDescent="0.3">
      <c r="A722" s="23">
        <v>5480932</v>
      </c>
      <c r="B722" s="23" t="s">
        <v>2029</v>
      </c>
      <c r="C722" s="40">
        <v>45.39</v>
      </c>
      <c r="D722" s="24">
        <v>2</v>
      </c>
      <c r="E722" t="str">
        <f>_xlfn.XLOOKUP(A722,'[1]query (5)'!$C:$C,'[1]query (5)'!$A:$A)</f>
        <v>5480938</v>
      </c>
    </row>
    <row r="723" spans="1:5" x14ac:dyDescent="0.3">
      <c r="A723" s="23">
        <v>5480933</v>
      </c>
      <c r="B723" s="23" t="s">
        <v>2004</v>
      </c>
      <c r="C723" s="40">
        <v>183.81</v>
      </c>
      <c r="D723" s="24">
        <v>5</v>
      </c>
      <c r="E723" t="str">
        <f>_xlfn.XLOOKUP(A723,'[1]query (5)'!$C:$C,'[1]query (5)'!$A:$A)</f>
        <v>5480940</v>
      </c>
    </row>
    <row r="724" spans="1:5" x14ac:dyDescent="0.3">
      <c r="A724" s="23">
        <v>5518972</v>
      </c>
      <c r="B724" s="23" t="s">
        <v>1659</v>
      </c>
      <c r="C724" s="40">
        <v>2419.58</v>
      </c>
      <c r="D724" s="24">
        <v>74</v>
      </c>
      <c r="E724" t="e">
        <f>_xlfn.XLOOKUP(A724,'[1]query (5)'!$C:$C,'[1]query (5)'!$A:$A)</f>
        <v>#N/A</v>
      </c>
    </row>
    <row r="725" spans="1:5" x14ac:dyDescent="0.3">
      <c r="A725" s="23">
        <v>5518982</v>
      </c>
      <c r="B725" s="23" t="s">
        <v>1610</v>
      </c>
      <c r="C725" s="40">
        <v>111.32</v>
      </c>
      <c r="D725" s="24">
        <v>3</v>
      </c>
      <c r="E725" t="e">
        <f>_xlfn.XLOOKUP(A725,'[1]query (5)'!$C:$C,'[1]query (5)'!$A:$A)</f>
        <v>#N/A</v>
      </c>
    </row>
    <row r="726" spans="1:5" x14ac:dyDescent="0.3">
      <c r="A726" s="23">
        <v>5556022</v>
      </c>
      <c r="B726" s="23" t="s">
        <v>2411</v>
      </c>
      <c r="C726" s="40">
        <v>2273.4299999999998</v>
      </c>
      <c r="D726" s="24">
        <v>13</v>
      </c>
      <c r="E726" t="e">
        <f>_xlfn.XLOOKUP(A726,'[1]query (5)'!$C:$C,'[1]query (5)'!$A:$A)</f>
        <v>#N/A</v>
      </c>
    </row>
    <row r="727" spans="1:5" x14ac:dyDescent="0.3">
      <c r="A727" s="23">
        <v>5556023</v>
      </c>
      <c r="B727" s="23" t="s">
        <v>2412</v>
      </c>
      <c r="C727" s="40">
        <v>30537.97</v>
      </c>
      <c r="D727" s="24">
        <v>605</v>
      </c>
      <c r="E727" t="e">
        <f>_xlfn.XLOOKUP(A727,'[1]query (5)'!$C:$C,'[1]query (5)'!$A:$A)</f>
        <v>#N/A</v>
      </c>
    </row>
    <row r="728" spans="1:5" x14ac:dyDescent="0.3">
      <c r="A728" s="23">
        <v>5556026</v>
      </c>
      <c r="B728" s="23" t="s">
        <v>2413</v>
      </c>
      <c r="C728" s="40">
        <v>3770.25</v>
      </c>
      <c r="D728" s="24">
        <v>64</v>
      </c>
      <c r="E728" t="e">
        <f>_xlfn.XLOOKUP(A728,'[1]query (5)'!$C:$C,'[1]query (5)'!$A:$A)</f>
        <v>#N/A</v>
      </c>
    </row>
    <row r="729" spans="1:5" x14ac:dyDescent="0.3">
      <c r="A729" s="23">
        <v>5572013</v>
      </c>
      <c r="B729" s="23" t="s">
        <v>1962</v>
      </c>
      <c r="C729" s="40">
        <v>25072.28</v>
      </c>
      <c r="D729" s="24">
        <v>573</v>
      </c>
      <c r="E729" t="str">
        <f>_xlfn.XLOOKUP(A729,'[1]query (5)'!$C:$C,'[1]query (5)'!$A:$A)</f>
        <v>5572017</v>
      </c>
    </row>
    <row r="730" spans="1:5" x14ac:dyDescent="0.3">
      <c r="A730" s="23">
        <v>5572015</v>
      </c>
      <c r="B730" s="23" t="s">
        <v>1967</v>
      </c>
      <c r="C730" s="40">
        <v>8487.07</v>
      </c>
      <c r="D730" s="24">
        <v>191</v>
      </c>
      <c r="E730" t="str">
        <f>_xlfn.XLOOKUP(A730,'[1]query (5)'!$C:$C,'[1]query (5)'!$A:$A)</f>
        <v>5572017</v>
      </c>
    </row>
    <row r="731" spans="1:5" x14ac:dyDescent="0.3">
      <c r="A731" s="23">
        <v>5572016</v>
      </c>
      <c r="B731" s="23" t="s">
        <v>1964</v>
      </c>
      <c r="C731" s="40">
        <v>10392.16</v>
      </c>
      <c r="D731" s="24">
        <v>236</v>
      </c>
      <c r="E731" t="str">
        <f>_xlfn.XLOOKUP(A731,'[1]query (5)'!$C:$C,'[1]query (5)'!$A:$A)</f>
        <v>5572017</v>
      </c>
    </row>
    <row r="732" spans="1:5" x14ac:dyDescent="0.3">
      <c r="A732" s="23">
        <v>5576889</v>
      </c>
      <c r="B732" s="23" t="s">
        <v>2414</v>
      </c>
      <c r="C732" s="40">
        <v>138.37</v>
      </c>
      <c r="D732" s="24">
        <v>3</v>
      </c>
      <c r="E732" t="e">
        <f>_xlfn.XLOOKUP(A732,'[1]query (5)'!$C:$C,'[1]query (5)'!$A:$A)</f>
        <v>#N/A</v>
      </c>
    </row>
    <row r="733" spans="1:5" x14ac:dyDescent="0.3">
      <c r="A733" s="23">
        <v>5583704</v>
      </c>
      <c r="B733" s="23" t="s">
        <v>2664</v>
      </c>
      <c r="C733" s="40">
        <v>20.74</v>
      </c>
      <c r="D733" s="24">
        <v>1</v>
      </c>
      <c r="E733" t="e">
        <f>_xlfn.XLOOKUP(A733,'[1]query (5)'!$C:$C,'[1]query (5)'!$A:$A)</f>
        <v>#N/A</v>
      </c>
    </row>
    <row r="734" spans="1:5" x14ac:dyDescent="0.3">
      <c r="A734" s="23">
        <v>5583705</v>
      </c>
      <c r="B734" s="23" t="s">
        <v>1681</v>
      </c>
      <c r="C734" s="40">
        <v>10879.62</v>
      </c>
      <c r="D734" s="24">
        <v>379</v>
      </c>
      <c r="E734" t="e">
        <f>_xlfn.XLOOKUP(A734,'[1]query (5)'!$C:$C,'[1]query (5)'!$A:$A)</f>
        <v>#N/A</v>
      </c>
    </row>
    <row r="735" spans="1:5" x14ac:dyDescent="0.3">
      <c r="A735" s="23">
        <v>5583706</v>
      </c>
      <c r="B735" s="23" t="s">
        <v>2415</v>
      </c>
      <c r="C735" s="40">
        <v>266.11</v>
      </c>
      <c r="D735" s="24">
        <v>13</v>
      </c>
      <c r="E735" t="e">
        <f>_xlfn.XLOOKUP(A735,'[1]query (5)'!$C:$C,'[1]query (5)'!$A:$A)</f>
        <v>#N/A</v>
      </c>
    </row>
    <row r="736" spans="1:5" x14ac:dyDescent="0.3">
      <c r="A736" s="23">
        <v>5583711</v>
      </c>
      <c r="B736" s="23" t="s">
        <v>2064</v>
      </c>
      <c r="C736" s="40">
        <v>1948.68</v>
      </c>
      <c r="D736" s="24">
        <v>114</v>
      </c>
      <c r="E736" t="e">
        <f>_xlfn.XLOOKUP(A736,'[1]query (5)'!$C:$C,'[1]query (5)'!$A:$A)</f>
        <v>#N/A</v>
      </c>
    </row>
    <row r="737" spans="1:5" x14ac:dyDescent="0.3">
      <c r="A737" s="23">
        <v>5583716</v>
      </c>
      <c r="B737" s="23" t="s">
        <v>1684</v>
      </c>
      <c r="C737" s="40">
        <v>7766.31</v>
      </c>
      <c r="D737" s="24">
        <v>246</v>
      </c>
      <c r="E737" t="e">
        <f>_xlfn.XLOOKUP(A737,'[1]query (5)'!$C:$C,'[1]query (5)'!$A:$A)</f>
        <v>#N/A</v>
      </c>
    </row>
    <row r="738" spans="1:5" x14ac:dyDescent="0.3">
      <c r="A738" s="23">
        <v>5583719</v>
      </c>
      <c r="B738" s="23" t="s">
        <v>1683</v>
      </c>
      <c r="C738" s="40">
        <v>4892.5</v>
      </c>
      <c r="D738" s="24">
        <v>159</v>
      </c>
      <c r="E738" t="e">
        <f>_xlfn.XLOOKUP(A738,'[1]query (5)'!$C:$C,'[1]query (5)'!$A:$A)</f>
        <v>#N/A</v>
      </c>
    </row>
    <row r="739" spans="1:5" x14ac:dyDescent="0.3">
      <c r="A739" s="23">
        <v>5583720</v>
      </c>
      <c r="B739" s="23" t="s">
        <v>2416</v>
      </c>
      <c r="C739" s="40">
        <v>48032.35</v>
      </c>
      <c r="D739" s="24">
        <v>1865</v>
      </c>
      <c r="E739" t="e">
        <f>_xlfn.XLOOKUP(A739,'[1]query (5)'!$C:$C,'[1]query (5)'!$A:$A)</f>
        <v>#N/A</v>
      </c>
    </row>
    <row r="740" spans="1:5" x14ac:dyDescent="0.3">
      <c r="A740" s="23">
        <v>5583721</v>
      </c>
      <c r="B740" s="23" t="s">
        <v>2118</v>
      </c>
      <c r="C740" s="40">
        <v>6901.72</v>
      </c>
      <c r="D740" s="24">
        <v>340</v>
      </c>
      <c r="E740" t="e">
        <f>_xlfn.XLOOKUP(A740,'[1]query (5)'!$C:$C,'[1]query (5)'!$A:$A)</f>
        <v>#N/A</v>
      </c>
    </row>
    <row r="741" spans="1:5" x14ac:dyDescent="0.3">
      <c r="A741" s="23">
        <v>5583722</v>
      </c>
      <c r="B741" s="23" t="s">
        <v>2119</v>
      </c>
      <c r="C741" s="40">
        <v>7160.8</v>
      </c>
      <c r="D741" s="24">
        <v>351</v>
      </c>
      <c r="E741" t="e">
        <f>_xlfn.XLOOKUP(A741,'[1]query (5)'!$C:$C,'[1]query (5)'!$A:$A)</f>
        <v>#N/A</v>
      </c>
    </row>
    <row r="742" spans="1:5" x14ac:dyDescent="0.3">
      <c r="A742" s="23">
        <v>5583723</v>
      </c>
      <c r="B742" s="23" t="s">
        <v>2417</v>
      </c>
      <c r="C742" s="40">
        <v>34298.699999999997</v>
      </c>
      <c r="D742" s="24">
        <v>1330</v>
      </c>
      <c r="E742" t="e">
        <f>_xlfn.XLOOKUP(A742,'[1]query (5)'!$C:$C,'[1]query (5)'!$A:$A)</f>
        <v>#N/A</v>
      </c>
    </row>
    <row r="743" spans="1:5" x14ac:dyDescent="0.3">
      <c r="A743" s="23">
        <v>5623395</v>
      </c>
      <c r="B743" s="23" t="s">
        <v>2418</v>
      </c>
      <c r="C743" s="40">
        <v>621.83000000000004</v>
      </c>
      <c r="D743" s="24">
        <v>33</v>
      </c>
      <c r="E743" t="str">
        <f>_xlfn.XLOOKUP(A743,'[1]query (5)'!$C:$C,'[1]query (5)'!$A:$A)</f>
        <v>5090804</v>
      </c>
    </row>
    <row r="744" spans="1:5" x14ac:dyDescent="0.3">
      <c r="A744" s="23">
        <v>5623396</v>
      </c>
      <c r="B744" s="23" t="s">
        <v>1961</v>
      </c>
      <c r="C744" s="40">
        <v>13150.12</v>
      </c>
      <c r="D744" s="24">
        <v>459</v>
      </c>
      <c r="E744" t="str">
        <f>_xlfn.XLOOKUP(A744,'[1]query (5)'!$C:$C,'[1]query (5)'!$A:$A)</f>
        <v>5090805</v>
      </c>
    </row>
    <row r="745" spans="1:5" x14ac:dyDescent="0.3">
      <c r="A745" s="23">
        <v>5623397</v>
      </c>
      <c r="B745" s="23" t="s">
        <v>1959</v>
      </c>
      <c r="C745" s="40">
        <v>52133.91</v>
      </c>
      <c r="D745" s="24">
        <v>951</v>
      </c>
      <c r="E745" t="str">
        <f>_xlfn.XLOOKUP(A745,'[1]query (5)'!$C:$C,'[1]query (5)'!$A:$A)</f>
        <v>5090806</v>
      </c>
    </row>
    <row r="746" spans="1:5" x14ac:dyDescent="0.3">
      <c r="A746" s="23">
        <v>5623398</v>
      </c>
      <c r="B746" s="23" t="s">
        <v>2419</v>
      </c>
      <c r="C746" s="40">
        <v>342.22</v>
      </c>
      <c r="D746" s="24">
        <v>18</v>
      </c>
      <c r="E746" t="str">
        <f>_xlfn.XLOOKUP(A746,'[1]query (5)'!$C:$C,'[1]query (5)'!$A:$A)</f>
        <v>5090804</v>
      </c>
    </row>
    <row r="747" spans="1:5" x14ac:dyDescent="0.3">
      <c r="A747" s="23">
        <v>5623399</v>
      </c>
      <c r="B747" s="23" t="s">
        <v>1958</v>
      </c>
      <c r="C747" s="40">
        <v>33059.269999999997</v>
      </c>
      <c r="D747" s="24">
        <v>1152</v>
      </c>
      <c r="E747" t="str">
        <f>_xlfn.XLOOKUP(A747,'[1]query (5)'!$C:$C,'[1]query (5)'!$A:$A)</f>
        <v>5090805</v>
      </c>
    </row>
    <row r="748" spans="1:5" x14ac:dyDescent="0.3">
      <c r="A748" s="23">
        <v>5623400</v>
      </c>
      <c r="B748" s="23" t="s">
        <v>2420</v>
      </c>
      <c r="C748" s="40">
        <v>95.55</v>
      </c>
      <c r="D748" s="24">
        <v>5</v>
      </c>
      <c r="E748" t="str">
        <f>_xlfn.XLOOKUP(A748,'[1]query (5)'!$C:$C,'[1]query (5)'!$A:$A)</f>
        <v>5090804</v>
      </c>
    </row>
    <row r="749" spans="1:5" x14ac:dyDescent="0.3">
      <c r="A749" s="23">
        <v>5623401</v>
      </c>
      <c r="B749" s="23" t="s">
        <v>1966</v>
      </c>
      <c r="C749" s="40">
        <v>7350.11</v>
      </c>
      <c r="D749" s="24">
        <v>256</v>
      </c>
      <c r="E749" t="str">
        <f>_xlfn.XLOOKUP(A749,'[1]query (5)'!$C:$C,'[1]query (5)'!$A:$A)</f>
        <v>5090805</v>
      </c>
    </row>
    <row r="750" spans="1:5" x14ac:dyDescent="0.3">
      <c r="A750" s="23">
        <v>5624588</v>
      </c>
      <c r="B750" s="23" t="s">
        <v>2665</v>
      </c>
      <c r="C750" s="40">
        <v>27.72</v>
      </c>
      <c r="D750" s="24">
        <v>2</v>
      </c>
      <c r="E750" t="e">
        <f>_xlfn.XLOOKUP(A750,'[1]query (5)'!$C:$C,'[1]query (5)'!$A:$A)</f>
        <v>#N/A</v>
      </c>
    </row>
    <row r="751" spans="1:5" x14ac:dyDescent="0.3">
      <c r="A751" s="23">
        <v>5624589</v>
      </c>
      <c r="B751" s="23" t="s">
        <v>2421</v>
      </c>
      <c r="C751" s="40">
        <v>1189.57</v>
      </c>
      <c r="D751" s="24">
        <v>40</v>
      </c>
      <c r="E751" t="e">
        <f>_xlfn.XLOOKUP(A751,'[1]query (5)'!$C:$C,'[1]query (5)'!$A:$A)</f>
        <v>#N/A</v>
      </c>
    </row>
    <row r="752" spans="1:5" x14ac:dyDescent="0.3">
      <c r="A752" s="23">
        <v>5624590</v>
      </c>
      <c r="B752" s="23" t="s">
        <v>1685</v>
      </c>
      <c r="C752" s="40">
        <v>2261.67</v>
      </c>
      <c r="D752" s="24">
        <v>62</v>
      </c>
      <c r="E752" t="e">
        <f>_xlfn.XLOOKUP(A752,'[1]query (5)'!$C:$C,'[1]query (5)'!$A:$A)</f>
        <v>#N/A</v>
      </c>
    </row>
    <row r="753" spans="1:5" x14ac:dyDescent="0.3">
      <c r="A753" s="23">
        <v>5624601</v>
      </c>
      <c r="B753" s="23" t="s">
        <v>2666</v>
      </c>
      <c r="C753" s="40">
        <v>27.72</v>
      </c>
      <c r="D753" s="24">
        <v>2</v>
      </c>
      <c r="E753" t="e">
        <f>_xlfn.XLOOKUP(A753,'[1]query (5)'!$C:$C,'[1]query (5)'!$A:$A)</f>
        <v>#N/A</v>
      </c>
    </row>
    <row r="754" spans="1:5" x14ac:dyDescent="0.3">
      <c r="A754" s="23">
        <v>5624602</v>
      </c>
      <c r="B754" s="23" t="s">
        <v>2422</v>
      </c>
      <c r="C754" s="40">
        <v>486.6</v>
      </c>
      <c r="D754" s="24">
        <v>20</v>
      </c>
      <c r="E754" t="e">
        <f>_xlfn.XLOOKUP(A754,'[1]query (5)'!$C:$C,'[1]query (5)'!$A:$A)</f>
        <v>#N/A</v>
      </c>
    </row>
    <row r="755" spans="1:5" x14ac:dyDescent="0.3">
      <c r="A755" s="23">
        <v>5624603</v>
      </c>
      <c r="B755" s="23" t="s">
        <v>2423</v>
      </c>
      <c r="C755" s="40">
        <v>3964.08</v>
      </c>
      <c r="D755" s="24">
        <v>97</v>
      </c>
      <c r="E755" t="e">
        <f>_xlfn.XLOOKUP(A755,'[1]query (5)'!$C:$C,'[1]query (5)'!$A:$A)</f>
        <v>#N/A</v>
      </c>
    </row>
    <row r="756" spans="1:5" x14ac:dyDescent="0.3">
      <c r="A756" s="23">
        <v>5677497</v>
      </c>
      <c r="B756" s="23" t="s">
        <v>2424</v>
      </c>
      <c r="C756" s="40">
        <v>180.39</v>
      </c>
      <c r="D756" s="24">
        <v>9</v>
      </c>
      <c r="E756" t="str">
        <f>_xlfn.XLOOKUP(A756,'[1]query (5)'!$C:$C,'[1]query (5)'!$A:$A)</f>
        <v>5745112</v>
      </c>
    </row>
    <row r="757" spans="1:5" x14ac:dyDescent="0.3">
      <c r="A757" s="23">
        <v>5677500</v>
      </c>
      <c r="B757" s="23" t="s">
        <v>2425</v>
      </c>
      <c r="C757" s="40">
        <v>1498.2</v>
      </c>
      <c r="D757" s="24">
        <v>37</v>
      </c>
      <c r="E757" t="str">
        <f>_xlfn.XLOOKUP(A757,'[1]query (5)'!$C:$C,'[1]query (5)'!$A:$A)</f>
        <v>5745131</v>
      </c>
    </row>
    <row r="758" spans="1:5" x14ac:dyDescent="0.3">
      <c r="A758" s="23">
        <v>5677502</v>
      </c>
      <c r="B758" s="23" t="s">
        <v>2426</v>
      </c>
      <c r="C758" s="40">
        <v>3087.19</v>
      </c>
      <c r="D758" s="24">
        <v>46</v>
      </c>
      <c r="E758" t="str">
        <f>_xlfn.XLOOKUP(A758,'[1]query (5)'!$C:$C,'[1]query (5)'!$A:$A)</f>
        <v>5745136</v>
      </c>
    </row>
    <row r="759" spans="1:5" x14ac:dyDescent="0.3">
      <c r="A759" s="23">
        <v>5677505</v>
      </c>
      <c r="B759" s="23" t="s">
        <v>2427</v>
      </c>
      <c r="C759" s="40">
        <v>57.75</v>
      </c>
      <c r="D759" s="24">
        <v>3</v>
      </c>
      <c r="E759" t="str">
        <f>_xlfn.XLOOKUP(A759,'[1]query (5)'!$C:$C,'[1]query (5)'!$A:$A)</f>
        <v>5745112</v>
      </c>
    </row>
    <row r="760" spans="1:5" x14ac:dyDescent="0.3">
      <c r="A760" s="23">
        <v>5677506</v>
      </c>
      <c r="B760" s="23" t="s">
        <v>2428</v>
      </c>
      <c r="C760" s="40">
        <v>319.89</v>
      </c>
      <c r="D760" s="24">
        <v>8</v>
      </c>
      <c r="E760" t="str">
        <f>_xlfn.XLOOKUP(A760,'[1]query (5)'!$C:$C,'[1]query (5)'!$A:$A)</f>
        <v>5745131</v>
      </c>
    </row>
    <row r="761" spans="1:5" x14ac:dyDescent="0.3">
      <c r="A761" s="23">
        <v>5677508</v>
      </c>
      <c r="B761" s="23" t="s">
        <v>2429</v>
      </c>
      <c r="C761" s="40">
        <v>204.45</v>
      </c>
      <c r="D761" s="24">
        <v>3</v>
      </c>
      <c r="E761" t="str">
        <f>_xlfn.XLOOKUP(A761,'[1]query (5)'!$C:$C,'[1]query (5)'!$A:$A)</f>
        <v>5745136</v>
      </c>
    </row>
    <row r="762" spans="1:5" x14ac:dyDescent="0.3">
      <c r="A762" s="23">
        <v>5677510</v>
      </c>
      <c r="B762" s="23" t="s">
        <v>2667</v>
      </c>
      <c r="C762" s="40">
        <v>74.62</v>
      </c>
      <c r="D762" s="24">
        <v>4</v>
      </c>
      <c r="E762" t="str">
        <f>_xlfn.XLOOKUP(A762,'[1]query (5)'!$C:$C,'[1]query (5)'!$A:$A)</f>
        <v>5745112</v>
      </c>
    </row>
    <row r="763" spans="1:5" x14ac:dyDescent="0.3">
      <c r="A763" s="23">
        <v>5677511</v>
      </c>
      <c r="B763" s="23" t="s">
        <v>2430</v>
      </c>
      <c r="C763" s="40">
        <v>238.13</v>
      </c>
      <c r="D763" s="24">
        <v>6</v>
      </c>
      <c r="E763" t="str">
        <f>_xlfn.XLOOKUP(A763,'[1]query (5)'!$C:$C,'[1]query (5)'!$A:$A)</f>
        <v>5745131</v>
      </c>
    </row>
    <row r="764" spans="1:5" x14ac:dyDescent="0.3">
      <c r="A764" s="23">
        <v>5677512</v>
      </c>
      <c r="B764" s="23" t="s">
        <v>2431</v>
      </c>
      <c r="C764" s="40">
        <v>136.30000000000001</v>
      </c>
      <c r="D764" s="24">
        <v>2</v>
      </c>
      <c r="E764" t="str">
        <f>_xlfn.XLOOKUP(A764,'[1]query (5)'!$C:$C,'[1]query (5)'!$A:$A)</f>
        <v>5745136</v>
      </c>
    </row>
    <row r="765" spans="1:5" x14ac:dyDescent="0.3">
      <c r="A765" s="23">
        <v>5677514</v>
      </c>
      <c r="B765" s="23" t="s">
        <v>2432</v>
      </c>
      <c r="C765" s="40">
        <v>319.91000000000003</v>
      </c>
      <c r="D765" s="24">
        <v>16</v>
      </c>
      <c r="E765" t="str">
        <f>_xlfn.XLOOKUP(A765,'[1]query (5)'!$C:$C,'[1]query (5)'!$A:$A)</f>
        <v>5745138</v>
      </c>
    </row>
    <row r="766" spans="1:5" x14ac:dyDescent="0.3">
      <c r="A766" s="23">
        <v>5677517</v>
      </c>
      <c r="B766" s="23" t="s">
        <v>2433</v>
      </c>
      <c r="C766" s="40">
        <v>2978.42</v>
      </c>
      <c r="D766" s="24">
        <v>74</v>
      </c>
      <c r="E766" t="str">
        <f>_xlfn.XLOOKUP(A766,'[1]query (5)'!$C:$C,'[1]query (5)'!$A:$A)</f>
        <v>5745139</v>
      </c>
    </row>
    <row r="767" spans="1:5" x14ac:dyDescent="0.3">
      <c r="A767" s="23">
        <v>5677519</v>
      </c>
      <c r="B767" s="23" t="s">
        <v>2434</v>
      </c>
      <c r="C767" s="40">
        <v>2577.71</v>
      </c>
      <c r="D767" s="24">
        <v>38</v>
      </c>
      <c r="E767" t="str">
        <f>_xlfn.XLOOKUP(A767,'[1]query (5)'!$C:$C,'[1]query (5)'!$A:$A)</f>
        <v>5745140</v>
      </c>
    </row>
    <row r="768" spans="1:5" x14ac:dyDescent="0.3">
      <c r="A768" s="23">
        <v>5677520</v>
      </c>
      <c r="B768" s="23" t="s">
        <v>2435</v>
      </c>
      <c r="C768" s="40">
        <v>95.07</v>
      </c>
      <c r="D768" s="24">
        <v>5</v>
      </c>
      <c r="E768" t="str">
        <f>_xlfn.XLOOKUP(A768,'[1]query (5)'!$C:$C,'[1]query (5)'!$A:$A)</f>
        <v>5745138</v>
      </c>
    </row>
    <row r="769" spans="1:5" x14ac:dyDescent="0.3">
      <c r="A769" s="23">
        <v>5677521</v>
      </c>
      <c r="B769" s="23" t="s">
        <v>2436</v>
      </c>
      <c r="C769" s="40">
        <v>673.48</v>
      </c>
      <c r="D769" s="24">
        <v>17</v>
      </c>
      <c r="E769" t="str">
        <f>_xlfn.XLOOKUP(A769,'[1]query (5)'!$C:$C,'[1]query (5)'!$A:$A)</f>
        <v>5745139</v>
      </c>
    </row>
    <row r="770" spans="1:5" x14ac:dyDescent="0.3">
      <c r="A770" s="23">
        <v>5677522</v>
      </c>
      <c r="B770" s="23" t="s">
        <v>2437</v>
      </c>
      <c r="C770" s="40">
        <v>1431.07</v>
      </c>
      <c r="D770" s="24">
        <v>21</v>
      </c>
      <c r="E770" t="str">
        <f>_xlfn.XLOOKUP(A770,'[1]query (5)'!$C:$C,'[1]query (5)'!$A:$A)</f>
        <v>5745140</v>
      </c>
    </row>
    <row r="771" spans="1:5" x14ac:dyDescent="0.3">
      <c r="A771" s="23">
        <v>5718712</v>
      </c>
      <c r="B771" s="23" t="s">
        <v>2668</v>
      </c>
      <c r="C771" s="40">
        <v>6657.34</v>
      </c>
      <c r="D771" s="24">
        <v>177</v>
      </c>
      <c r="E771" t="e">
        <f>_xlfn.XLOOKUP(A771,'[1]query (5)'!$C:$C,'[1]query (5)'!$A:$A)</f>
        <v>#N/A</v>
      </c>
    </row>
    <row r="772" spans="1:5" x14ac:dyDescent="0.3">
      <c r="A772" s="23">
        <v>5718716</v>
      </c>
      <c r="B772" s="23" t="s">
        <v>2669</v>
      </c>
      <c r="C772" s="40">
        <v>492.44</v>
      </c>
      <c r="D772" s="24">
        <v>13</v>
      </c>
      <c r="E772" t="e">
        <f>_xlfn.XLOOKUP(A772,'[1]query (5)'!$C:$C,'[1]query (5)'!$A:$A)</f>
        <v>#N/A</v>
      </c>
    </row>
    <row r="773" spans="1:5" x14ac:dyDescent="0.3">
      <c r="A773" s="23">
        <v>5723486</v>
      </c>
      <c r="B773" s="23" t="s">
        <v>2670</v>
      </c>
      <c r="C773" s="40">
        <v>141.59</v>
      </c>
      <c r="D773" s="24">
        <v>3</v>
      </c>
      <c r="E773" t="e">
        <f>_xlfn.XLOOKUP(A773,'[1]query (5)'!$C:$C,'[1]query (5)'!$A:$A)</f>
        <v>#N/A</v>
      </c>
    </row>
    <row r="774" spans="1:5" x14ac:dyDescent="0.3">
      <c r="A774" s="23">
        <v>5736097</v>
      </c>
      <c r="B774" s="23" t="s">
        <v>2116</v>
      </c>
      <c r="C774" s="40">
        <v>6598.36</v>
      </c>
      <c r="D774" s="24">
        <v>288</v>
      </c>
      <c r="E774" t="e">
        <f>_xlfn.XLOOKUP(A774,'[1]query (5)'!$C:$C,'[1]query (5)'!$A:$A)</f>
        <v>#N/A</v>
      </c>
    </row>
    <row r="775" spans="1:5" x14ac:dyDescent="0.3">
      <c r="A775" s="23">
        <v>5736099</v>
      </c>
      <c r="B775" s="23" t="s">
        <v>2671</v>
      </c>
      <c r="C775" s="40">
        <v>0</v>
      </c>
      <c r="D775" s="25">
        <v>0</v>
      </c>
      <c r="E775" t="e">
        <f>_xlfn.XLOOKUP(A775,'[1]query (5)'!$C:$C,'[1]query (5)'!$A:$A)</f>
        <v>#N/A</v>
      </c>
    </row>
    <row r="776" spans="1:5" x14ac:dyDescent="0.3">
      <c r="A776" s="23">
        <v>5736100</v>
      </c>
      <c r="B776" s="23" t="s">
        <v>2438</v>
      </c>
      <c r="C776" s="40">
        <v>36584.5</v>
      </c>
      <c r="D776" s="24">
        <v>1387</v>
      </c>
      <c r="E776" t="e">
        <f>_xlfn.XLOOKUP(A776,'[1]query (5)'!$C:$C,'[1]query (5)'!$A:$A)</f>
        <v>#N/A</v>
      </c>
    </row>
    <row r="777" spans="1:5" x14ac:dyDescent="0.3">
      <c r="A777" s="23">
        <v>5748571</v>
      </c>
      <c r="B777" s="23" t="s">
        <v>1984</v>
      </c>
      <c r="C777" s="40">
        <v>2180.11</v>
      </c>
      <c r="D777" s="24">
        <v>44</v>
      </c>
      <c r="E777" t="str">
        <f>_xlfn.XLOOKUP(A777,'[1]query (5)'!$C:$C,'[1]query (5)'!$A:$A)</f>
        <v>5748556</v>
      </c>
    </row>
    <row r="778" spans="1:5" x14ac:dyDescent="0.3">
      <c r="A778" s="23">
        <v>5748572</v>
      </c>
      <c r="B778" s="23" t="s">
        <v>2008</v>
      </c>
      <c r="C778" s="40">
        <v>133.01</v>
      </c>
      <c r="D778" s="24">
        <v>3</v>
      </c>
      <c r="E778" t="str">
        <f>_xlfn.XLOOKUP(A778,'[1]query (5)'!$C:$C,'[1]query (5)'!$A:$A)</f>
        <v>5748556</v>
      </c>
    </row>
    <row r="779" spans="1:5" x14ac:dyDescent="0.3">
      <c r="A779" s="23">
        <v>5827579</v>
      </c>
      <c r="B779" s="23" t="s">
        <v>2672</v>
      </c>
      <c r="C779" s="40">
        <v>11725.9</v>
      </c>
      <c r="D779" s="24">
        <v>546</v>
      </c>
      <c r="E779" t="e">
        <f>_xlfn.XLOOKUP(A779,'[1]query (5)'!$C:$C,'[1]query (5)'!$A:$A)</f>
        <v>#N/A</v>
      </c>
    </row>
    <row r="780" spans="1:5" x14ac:dyDescent="0.3">
      <c r="A780" s="23">
        <v>5827581</v>
      </c>
      <c r="B780" s="23" t="s">
        <v>5242</v>
      </c>
      <c r="C780" s="40">
        <v>233.44</v>
      </c>
      <c r="D780" s="24">
        <v>8</v>
      </c>
      <c r="E780" t="e">
        <f>_xlfn.XLOOKUP(A780,'[1]query (5)'!$C:$C,'[1]query (5)'!$A:$A)</f>
        <v>#N/A</v>
      </c>
    </row>
    <row r="781" spans="1:5" x14ac:dyDescent="0.3">
      <c r="A781" s="23">
        <v>5832544</v>
      </c>
      <c r="B781" s="23" t="s">
        <v>2673</v>
      </c>
      <c r="C781" s="40">
        <v>21.81</v>
      </c>
      <c r="D781" s="24">
        <v>1</v>
      </c>
      <c r="E781" t="e">
        <f>_xlfn.XLOOKUP(A781,'[1]query (5)'!$C:$C,'[1]query (5)'!$A:$A)</f>
        <v>#N/A</v>
      </c>
    </row>
    <row r="782" spans="1:5" x14ac:dyDescent="0.3">
      <c r="A782" s="23">
        <v>5844387</v>
      </c>
      <c r="B782" s="23" t="s">
        <v>2674</v>
      </c>
      <c r="C782" s="40">
        <v>761.86</v>
      </c>
      <c r="D782" s="24">
        <v>24</v>
      </c>
      <c r="E782" t="e">
        <f>_xlfn.XLOOKUP(A782,'[1]query (5)'!$C:$C,'[1]query (5)'!$A:$A)</f>
        <v>#N/A</v>
      </c>
    </row>
    <row r="783" spans="1:5" x14ac:dyDescent="0.3">
      <c r="A783" s="23">
        <v>6020476</v>
      </c>
      <c r="B783" s="23" t="s">
        <v>5243</v>
      </c>
      <c r="C783" s="40">
        <v>150.26</v>
      </c>
      <c r="D783" s="24">
        <v>4</v>
      </c>
      <c r="E783" t="e">
        <f>_xlfn.XLOOKUP(A783,'[1]query (5)'!$C:$C,'[1]query (5)'!$A:$A)</f>
        <v>#N/A</v>
      </c>
    </row>
    <row r="784" spans="1:5" x14ac:dyDescent="0.3">
      <c r="A784" s="23">
        <v>6020477</v>
      </c>
      <c r="B784" s="23" t="s">
        <v>1773</v>
      </c>
      <c r="C784" s="40">
        <v>160.54</v>
      </c>
      <c r="D784" s="24">
        <v>4</v>
      </c>
      <c r="E784" t="e">
        <f>_xlfn.XLOOKUP(A784,'[1]query (5)'!$C:$C,'[1]query (5)'!$A:$A)</f>
        <v>#N/A</v>
      </c>
    </row>
    <row r="785" spans="1:5" x14ac:dyDescent="0.3">
      <c r="A785" s="23">
        <v>6025089</v>
      </c>
      <c r="B785" s="23" t="s">
        <v>5244</v>
      </c>
      <c r="C785" s="40">
        <v>6.29</v>
      </c>
      <c r="D785" s="24">
        <v>1</v>
      </c>
      <c r="E785" t="e">
        <f>_xlfn.XLOOKUP(A785,'[1]query (5)'!$C:$C,'[1]query (5)'!$A:$A)</f>
        <v>#N/A</v>
      </c>
    </row>
    <row r="786" spans="1:5" x14ac:dyDescent="0.3">
      <c r="A786" s="23">
        <v>6025090</v>
      </c>
      <c r="B786" s="23" t="s">
        <v>5245</v>
      </c>
      <c r="C786" s="40">
        <v>8.49</v>
      </c>
      <c r="D786" s="24">
        <v>1</v>
      </c>
      <c r="E786" t="e">
        <f>_xlfn.XLOOKUP(A786,'[1]query (5)'!$C:$C,'[1]query (5)'!$A:$A)</f>
        <v>#N/A</v>
      </c>
    </row>
    <row r="787" spans="1:5" x14ac:dyDescent="0.3">
      <c r="A787" s="23">
        <v>6027600</v>
      </c>
      <c r="B787" s="23" t="s">
        <v>2678</v>
      </c>
      <c r="C787" s="40">
        <v>46.24</v>
      </c>
      <c r="D787" s="24">
        <v>10</v>
      </c>
      <c r="E787" t="e">
        <f>_xlfn.XLOOKUP(A787,'[1]query (5)'!$C:$C,'[1]query (5)'!$A:$A)</f>
        <v>#N/A</v>
      </c>
    </row>
    <row r="788" spans="1:5" x14ac:dyDescent="0.3">
      <c r="A788" s="23">
        <v>6033790</v>
      </c>
      <c r="B788" s="23" t="s">
        <v>2439</v>
      </c>
      <c r="C788" s="40">
        <v>17.39</v>
      </c>
      <c r="D788" s="24">
        <v>9</v>
      </c>
      <c r="E788" t="e">
        <f>_xlfn.XLOOKUP(A788,'[1]query (5)'!$C:$C,'[1]query (5)'!$A:$A)</f>
        <v>#N/A</v>
      </c>
    </row>
    <row r="789" spans="1:5" x14ac:dyDescent="0.3">
      <c r="A789" s="23">
        <v>6033892</v>
      </c>
      <c r="B789" s="23" t="s">
        <v>1815</v>
      </c>
      <c r="C789" s="40">
        <v>696.56</v>
      </c>
      <c r="D789" s="24">
        <v>34</v>
      </c>
      <c r="E789" t="e">
        <f>_xlfn.XLOOKUP(A789,'[1]query (5)'!$C:$C,'[1]query (5)'!$A:$A)</f>
        <v>#N/A</v>
      </c>
    </row>
    <row r="790" spans="1:5" x14ac:dyDescent="0.3">
      <c r="A790" s="23">
        <v>6033893</v>
      </c>
      <c r="B790" s="23" t="s">
        <v>1817</v>
      </c>
      <c r="C790" s="40">
        <v>136.44</v>
      </c>
      <c r="D790" s="24">
        <v>8</v>
      </c>
      <c r="E790" t="e">
        <f>_xlfn.XLOOKUP(A790,'[1]query (5)'!$C:$C,'[1]query (5)'!$A:$A)</f>
        <v>#N/A</v>
      </c>
    </row>
    <row r="791" spans="1:5" x14ac:dyDescent="0.3">
      <c r="A791" s="23">
        <v>6033895</v>
      </c>
      <c r="B791" s="23" t="s">
        <v>1814</v>
      </c>
      <c r="C791" s="40">
        <v>275.10000000000002</v>
      </c>
      <c r="D791" s="24">
        <v>4</v>
      </c>
      <c r="E791" t="e">
        <f>_xlfn.XLOOKUP(A791,'[1]query (5)'!$C:$C,'[1]query (5)'!$A:$A)</f>
        <v>#N/A</v>
      </c>
    </row>
    <row r="792" spans="1:5" x14ac:dyDescent="0.3">
      <c r="A792" s="23">
        <v>6033896</v>
      </c>
      <c r="B792" s="23" t="s">
        <v>1816</v>
      </c>
      <c r="C792" s="40">
        <v>101.58</v>
      </c>
      <c r="D792" s="24">
        <v>2</v>
      </c>
      <c r="E792" t="e">
        <f>_xlfn.XLOOKUP(A792,'[1]query (5)'!$C:$C,'[1]query (5)'!$A:$A)</f>
        <v>#N/A</v>
      </c>
    </row>
    <row r="793" spans="1:5" x14ac:dyDescent="0.3">
      <c r="A793" s="23">
        <v>6033956</v>
      </c>
      <c r="B793" s="23" t="s">
        <v>1878</v>
      </c>
      <c r="C793" s="40">
        <v>3.15</v>
      </c>
      <c r="D793" s="24">
        <v>1</v>
      </c>
      <c r="E793" t="e">
        <f>_xlfn.XLOOKUP(A793,'[1]query (5)'!$C:$C,'[1]query (5)'!$A:$A)</f>
        <v>#N/A</v>
      </c>
    </row>
    <row r="794" spans="1:5" x14ac:dyDescent="0.3">
      <c r="A794" s="23">
        <v>6033961</v>
      </c>
      <c r="B794" s="23" t="s">
        <v>1381</v>
      </c>
      <c r="C794" s="40">
        <v>585.57000000000005</v>
      </c>
      <c r="D794" s="24">
        <v>115</v>
      </c>
      <c r="E794" t="e">
        <f>_xlfn.XLOOKUP(A794,'[1]query (5)'!$C:$C,'[1]query (5)'!$A:$A)</f>
        <v>#N/A</v>
      </c>
    </row>
    <row r="795" spans="1:5" x14ac:dyDescent="0.3">
      <c r="A795" s="23">
        <v>6033962</v>
      </c>
      <c r="B795" s="23" t="s">
        <v>1382</v>
      </c>
      <c r="C795" s="40">
        <v>481.62</v>
      </c>
      <c r="D795" s="24">
        <v>28</v>
      </c>
      <c r="E795" t="e">
        <f>_xlfn.XLOOKUP(A795,'[1]query (5)'!$C:$C,'[1]query (5)'!$A:$A)</f>
        <v>#N/A</v>
      </c>
    </row>
    <row r="796" spans="1:5" x14ac:dyDescent="0.3">
      <c r="A796" s="23">
        <v>6033965</v>
      </c>
      <c r="B796" s="23" t="s">
        <v>1384</v>
      </c>
      <c r="C796" s="40">
        <v>1128.75</v>
      </c>
      <c r="D796" s="24">
        <v>47</v>
      </c>
      <c r="E796" t="e">
        <f>_xlfn.XLOOKUP(A796,'[1]query (5)'!$C:$C,'[1]query (5)'!$A:$A)</f>
        <v>#N/A</v>
      </c>
    </row>
    <row r="797" spans="1:5" x14ac:dyDescent="0.3">
      <c r="A797" s="23">
        <v>6033966</v>
      </c>
      <c r="B797" s="23" t="s">
        <v>1380</v>
      </c>
      <c r="C797" s="40">
        <v>308.43</v>
      </c>
      <c r="D797" s="24">
        <v>6</v>
      </c>
      <c r="E797" t="e">
        <f>_xlfn.XLOOKUP(A797,'[1]query (5)'!$C:$C,'[1]query (5)'!$A:$A)</f>
        <v>#N/A</v>
      </c>
    </row>
    <row r="798" spans="1:5" x14ac:dyDescent="0.3">
      <c r="A798" s="23">
        <v>6033968</v>
      </c>
      <c r="B798" s="23" t="s">
        <v>1383</v>
      </c>
      <c r="C798" s="40">
        <v>16.77</v>
      </c>
      <c r="D798" s="24">
        <v>1</v>
      </c>
      <c r="E798" t="e">
        <f>_xlfn.XLOOKUP(A798,'[1]query (5)'!$C:$C,'[1]query (5)'!$A:$A)</f>
        <v>#N/A</v>
      </c>
    </row>
    <row r="799" spans="1:5" x14ac:dyDescent="0.3">
      <c r="A799" s="23">
        <v>6034077</v>
      </c>
      <c r="B799" s="23" t="s">
        <v>1895</v>
      </c>
      <c r="C799" s="40">
        <v>545.15</v>
      </c>
      <c r="D799" s="24">
        <v>93</v>
      </c>
      <c r="E799" t="e">
        <f>_xlfn.XLOOKUP(A799,'[1]query (5)'!$C:$C,'[1]query (5)'!$A:$A)</f>
        <v>#N/A</v>
      </c>
    </row>
    <row r="800" spans="1:5" x14ac:dyDescent="0.3">
      <c r="A800" s="23">
        <v>6034078</v>
      </c>
      <c r="B800" s="23" t="s">
        <v>5246</v>
      </c>
      <c r="C800" s="40">
        <v>32.21</v>
      </c>
      <c r="D800" s="24">
        <v>40</v>
      </c>
      <c r="E800" t="e">
        <f>_xlfn.XLOOKUP(A800,'[1]query (5)'!$C:$C,'[1]query (5)'!$A:$A)</f>
        <v>#N/A</v>
      </c>
    </row>
    <row r="801" spans="1:5" x14ac:dyDescent="0.3">
      <c r="A801" s="23">
        <v>6034079</v>
      </c>
      <c r="B801" s="23" t="s">
        <v>5247</v>
      </c>
      <c r="C801" s="40">
        <v>1026.3699999999999</v>
      </c>
      <c r="D801" s="24">
        <v>542</v>
      </c>
      <c r="E801" t="e">
        <f>_xlfn.XLOOKUP(A801,'[1]query (5)'!$C:$C,'[1]query (5)'!$A:$A)</f>
        <v>#N/A</v>
      </c>
    </row>
    <row r="802" spans="1:5" x14ac:dyDescent="0.3">
      <c r="A802" s="23">
        <v>6034080</v>
      </c>
      <c r="B802" s="23" t="s">
        <v>5248</v>
      </c>
      <c r="C802" s="40">
        <v>415.1</v>
      </c>
      <c r="D802" s="24">
        <v>157</v>
      </c>
      <c r="E802" t="e">
        <f>_xlfn.XLOOKUP(A802,'[1]query (5)'!$C:$C,'[1]query (5)'!$A:$A)</f>
        <v>#N/A</v>
      </c>
    </row>
    <row r="803" spans="1:5" x14ac:dyDescent="0.3">
      <c r="A803" s="23">
        <v>6034107</v>
      </c>
      <c r="B803" s="23" t="s">
        <v>1781</v>
      </c>
      <c r="C803" s="40">
        <v>5.69</v>
      </c>
      <c r="D803" s="24">
        <v>3</v>
      </c>
      <c r="E803" t="e">
        <f>_xlfn.XLOOKUP(A803,'[1]query (5)'!$C:$C,'[1]query (5)'!$A:$A)</f>
        <v>#N/A</v>
      </c>
    </row>
    <row r="804" spans="1:5" x14ac:dyDescent="0.3">
      <c r="A804" s="23">
        <v>6034110</v>
      </c>
      <c r="B804" s="23" t="s">
        <v>2679</v>
      </c>
      <c r="C804" s="40">
        <v>2</v>
      </c>
      <c r="D804" s="24">
        <v>1</v>
      </c>
      <c r="E804" t="e">
        <f>_xlfn.XLOOKUP(A804,'[1]query (5)'!$C:$C,'[1]query (5)'!$A:$A)</f>
        <v>#N/A</v>
      </c>
    </row>
    <row r="805" spans="1:5" x14ac:dyDescent="0.3">
      <c r="A805" s="23">
        <v>6034121</v>
      </c>
      <c r="B805" s="23" t="s">
        <v>1783</v>
      </c>
      <c r="C805" s="40">
        <v>13.47</v>
      </c>
      <c r="D805" s="24">
        <v>6</v>
      </c>
      <c r="E805" t="e">
        <f>_xlfn.XLOOKUP(A805,'[1]query (5)'!$C:$C,'[1]query (5)'!$A:$A)</f>
        <v>#N/A</v>
      </c>
    </row>
    <row r="806" spans="1:5" x14ac:dyDescent="0.3">
      <c r="A806" s="23">
        <v>6038885</v>
      </c>
      <c r="B806" s="23" t="s">
        <v>5249</v>
      </c>
      <c r="C806" s="40">
        <v>31.35</v>
      </c>
      <c r="D806" s="24">
        <v>1</v>
      </c>
      <c r="E806" t="e">
        <f>_xlfn.XLOOKUP(A806,'[1]query (5)'!$C:$C,'[1]query (5)'!$A:$A)</f>
        <v>#N/A</v>
      </c>
    </row>
    <row r="807" spans="1:5" x14ac:dyDescent="0.3">
      <c r="A807" s="23">
        <v>6038889</v>
      </c>
      <c r="B807" s="23" t="s">
        <v>1772</v>
      </c>
      <c r="C807" s="40">
        <v>14.25</v>
      </c>
      <c r="D807" s="24">
        <v>1</v>
      </c>
      <c r="E807" t="e">
        <f>_xlfn.XLOOKUP(A807,'[1]query (5)'!$C:$C,'[1]query (5)'!$A:$A)</f>
        <v>#N/A</v>
      </c>
    </row>
    <row r="808" spans="1:5" x14ac:dyDescent="0.3">
      <c r="A808" s="23">
        <v>6038910</v>
      </c>
      <c r="B808" s="23" t="s">
        <v>5250</v>
      </c>
      <c r="C808" s="40">
        <v>56.52</v>
      </c>
      <c r="D808" s="24">
        <v>4</v>
      </c>
      <c r="E808" t="e">
        <f>_xlfn.XLOOKUP(A808,'[1]query (5)'!$C:$C,'[1]query (5)'!$A:$A)</f>
        <v>#N/A</v>
      </c>
    </row>
    <row r="809" spans="1:5" x14ac:dyDescent="0.3">
      <c r="A809" s="23">
        <v>6038911</v>
      </c>
      <c r="B809" s="23" t="s">
        <v>2680</v>
      </c>
      <c r="C809" s="40">
        <v>42.75</v>
      </c>
      <c r="D809" s="24">
        <v>3</v>
      </c>
      <c r="E809" t="e">
        <f>_xlfn.XLOOKUP(A809,'[1]query (5)'!$C:$C,'[1]query (5)'!$A:$A)</f>
        <v>#N/A</v>
      </c>
    </row>
    <row r="810" spans="1:5" x14ac:dyDescent="0.3">
      <c r="A810" s="23">
        <v>6038919</v>
      </c>
      <c r="B810" s="23" t="s">
        <v>2681</v>
      </c>
      <c r="C810" s="40">
        <v>40.71</v>
      </c>
      <c r="D810" s="24">
        <v>3</v>
      </c>
      <c r="E810" t="e">
        <f>_xlfn.XLOOKUP(A810,'[1]query (5)'!$C:$C,'[1]query (5)'!$A:$A)</f>
        <v>#N/A</v>
      </c>
    </row>
    <row r="811" spans="1:5" x14ac:dyDescent="0.3">
      <c r="A811" s="23">
        <v>6038922</v>
      </c>
      <c r="B811" s="23" t="s">
        <v>1771</v>
      </c>
      <c r="C811" s="40">
        <v>40.71</v>
      </c>
      <c r="D811" s="24">
        <v>3</v>
      </c>
      <c r="E811" t="e">
        <f>_xlfn.XLOOKUP(A811,'[1]query (5)'!$C:$C,'[1]query (5)'!$A:$A)</f>
        <v>#N/A</v>
      </c>
    </row>
    <row r="812" spans="1:5" x14ac:dyDescent="0.3">
      <c r="A812" s="23">
        <v>6038955</v>
      </c>
      <c r="B812" s="23" t="s">
        <v>2682</v>
      </c>
      <c r="C812" s="40">
        <v>11</v>
      </c>
      <c r="D812" s="24">
        <v>1</v>
      </c>
      <c r="E812" t="e">
        <f>_xlfn.XLOOKUP(A812,'[1]query (5)'!$C:$C,'[1]query (5)'!$A:$A)</f>
        <v>#N/A</v>
      </c>
    </row>
    <row r="813" spans="1:5" x14ac:dyDescent="0.3">
      <c r="A813" s="23">
        <v>6038956</v>
      </c>
      <c r="B813" s="23" t="s">
        <v>2683</v>
      </c>
      <c r="C813" s="40">
        <v>0</v>
      </c>
      <c r="D813" s="25">
        <v>0</v>
      </c>
      <c r="E813" t="e">
        <f>_xlfn.XLOOKUP(A813,'[1]query (5)'!$C:$C,'[1]query (5)'!$A:$A)</f>
        <v>#N/A</v>
      </c>
    </row>
    <row r="814" spans="1:5" x14ac:dyDescent="0.3">
      <c r="A814" s="23">
        <v>6040274</v>
      </c>
      <c r="B814" s="23" t="s">
        <v>5251</v>
      </c>
      <c r="C814" s="40">
        <v>11.1</v>
      </c>
      <c r="D814" s="24">
        <v>1</v>
      </c>
      <c r="E814" t="e">
        <f>_xlfn.XLOOKUP(A814,'[1]query (5)'!$C:$C,'[1]query (5)'!$A:$A)</f>
        <v>#N/A</v>
      </c>
    </row>
    <row r="815" spans="1:5" x14ac:dyDescent="0.3">
      <c r="A815" s="23">
        <v>6040302</v>
      </c>
      <c r="B815" s="23" t="s">
        <v>5252</v>
      </c>
      <c r="C815" s="40">
        <v>53.08</v>
      </c>
      <c r="D815" s="24">
        <v>2</v>
      </c>
      <c r="E815" t="e">
        <f>_xlfn.XLOOKUP(A815,'[1]query (5)'!$C:$C,'[1]query (5)'!$A:$A)</f>
        <v>#N/A</v>
      </c>
    </row>
    <row r="816" spans="1:5" x14ac:dyDescent="0.3">
      <c r="A816" s="23">
        <v>6040542</v>
      </c>
      <c r="B816" s="23" t="s">
        <v>2684</v>
      </c>
      <c r="C816" s="40">
        <v>40.92</v>
      </c>
      <c r="D816" s="24">
        <v>7</v>
      </c>
      <c r="E816" t="e">
        <f>_xlfn.XLOOKUP(A816,'[1]query (5)'!$C:$C,'[1]query (5)'!$A:$A)</f>
        <v>#N/A</v>
      </c>
    </row>
    <row r="817" spans="1:5" x14ac:dyDescent="0.3">
      <c r="A817" s="23">
        <v>6045947</v>
      </c>
      <c r="B817" s="23" t="s">
        <v>2442</v>
      </c>
      <c r="C817" s="40">
        <v>17.62</v>
      </c>
      <c r="D817" s="24">
        <v>3</v>
      </c>
      <c r="E817" t="e">
        <f>_xlfn.XLOOKUP(A817,'[1]query (5)'!$C:$C,'[1]query (5)'!$A:$A)</f>
        <v>#N/A</v>
      </c>
    </row>
    <row r="818" spans="1:5" x14ac:dyDescent="0.3">
      <c r="A818" s="23">
        <v>6045948</v>
      </c>
      <c r="B818" s="23" t="s">
        <v>2443</v>
      </c>
      <c r="C818" s="40">
        <v>19.32</v>
      </c>
      <c r="D818" s="24">
        <v>5</v>
      </c>
      <c r="E818" t="e">
        <f>_xlfn.XLOOKUP(A818,'[1]query (5)'!$C:$C,'[1]query (5)'!$A:$A)</f>
        <v>#N/A</v>
      </c>
    </row>
    <row r="819" spans="1:5" x14ac:dyDescent="0.3">
      <c r="A819" s="23">
        <v>6045949</v>
      </c>
      <c r="B819" s="23" t="s">
        <v>2444</v>
      </c>
      <c r="C819" s="40">
        <v>4.18</v>
      </c>
      <c r="D819" s="24">
        <v>1</v>
      </c>
      <c r="E819" t="e">
        <f>_xlfn.XLOOKUP(A819,'[1]query (5)'!$C:$C,'[1]query (5)'!$A:$A)</f>
        <v>#N/A</v>
      </c>
    </row>
    <row r="820" spans="1:5" x14ac:dyDescent="0.3">
      <c r="A820" s="23">
        <v>6045951</v>
      </c>
      <c r="B820" s="23" t="s">
        <v>2445</v>
      </c>
      <c r="C820" s="40">
        <v>0</v>
      </c>
      <c r="D820" s="25">
        <v>0</v>
      </c>
      <c r="E820" t="e">
        <f>_xlfn.XLOOKUP(A820,'[1]query (5)'!$C:$C,'[1]query (5)'!$A:$A)</f>
        <v>#N/A</v>
      </c>
    </row>
    <row r="821" spans="1:5" x14ac:dyDescent="0.3">
      <c r="A821" s="23">
        <v>6047741</v>
      </c>
      <c r="B821" s="23" t="s">
        <v>1379</v>
      </c>
      <c r="C821" s="40">
        <v>7.6</v>
      </c>
      <c r="D821" s="24">
        <v>2</v>
      </c>
      <c r="E821" t="e">
        <f>_xlfn.XLOOKUP(A821,'[1]query (5)'!$C:$C,'[1]query (5)'!$A:$A)</f>
        <v>#N/A</v>
      </c>
    </row>
    <row r="822" spans="1:5" x14ac:dyDescent="0.3">
      <c r="A822" s="23">
        <v>6049615</v>
      </c>
      <c r="B822" s="23" t="s">
        <v>1409</v>
      </c>
      <c r="C822" s="40">
        <v>85.85</v>
      </c>
      <c r="D822" s="24">
        <v>8</v>
      </c>
      <c r="E822" t="e">
        <f>_xlfn.XLOOKUP(A822,'[1]query (5)'!$C:$C,'[1]query (5)'!$A:$A)</f>
        <v>#N/A</v>
      </c>
    </row>
    <row r="823" spans="1:5" x14ac:dyDescent="0.3">
      <c r="A823" s="23">
        <v>6053877</v>
      </c>
      <c r="B823" s="23" t="s">
        <v>2446</v>
      </c>
      <c r="C823" s="40">
        <v>295.04000000000002</v>
      </c>
      <c r="D823" s="24">
        <v>59</v>
      </c>
      <c r="E823" t="e">
        <f>_xlfn.XLOOKUP(A823,'[1]query (5)'!$C:$C,'[1]query (5)'!$A:$A)</f>
        <v>#N/A</v>
      </c>
    </row>
    <row r="824" spans="1:5" x14ac:dyDescent="0.3">
      <c r="A824" s="23">
        <v>6053879</v>
      </c>
      <c r="B824" s="23" t="s">
        <v>2447</v>
      </c>
      <c r="C824" s="40">
        <v>643.21</v>
      </c>
      <c r="D824" s="24">
        <v>51</v>
      </c>
      <c r="E824" t="e">
        <f>_xlfn.XLOOKUP(A824,'[1]query (5)'!$C:$C,'[1]query (5)'!$A:$A)</f>
        <v>#N/A</v>
      </c>
    </row>
    <row r="825" spans="1:5" x14ac:dyDescent="0.3">
      <c r="A825" s="23">
        <v>6054160</v>
      </c>
      <c r="B825" s="23" t="s">
        <v>2448</v>
      </c>
      <c r="C825" s="40">
        <v>883.44</v>
      </c>
      <c r="D825" s="24">
        <v>44</v>
      </c>
      <c r="E825" t="e">
        <f>_xlfn.XLOOKUP(A825,'[1]query (5)'!$C:$C,'[1]query (5)'!$A:$A)</f>
        <v>#N/A</v>
      </c>
    </row>
    <row r="826" spans="1:5" x14ac:dyDescent="0.3">
      <c r="A826" s="23">
        <v>6054161</v>
      </c>
      <c r="B826" s="23" t="s">
        <v>2449</v>
      </c>
      <c r="C826" s="40">
        <v>219.2</v>
      </c>
      <c r="D826" s="24">
        <v>20</v>
      </c>
      <c r="E826" t="e">
        <f>_xlfn.XLOOKUP(A826,'[1]query (5)'!$C:$C,'[1]query (5)'!$A:$A)</f>
        <v>#N/A</v>
      </c>
    </row>
    <row r="827" spans="1:5" x14ac:dyDescent="0.3">
      <c r="A827" s="23">
        <v>6054162</v>
      </c>
      <c r="B827" s="23" t="s">
        <v>2450</v>
      </c>
      <c r="C827" s="40">
        <v>1494.5</v>
      </c>
      <c r="D827" s="24">
        <v>63</v>
      </c>
      <c r="E827" t="e">
        <f>_xlfn.XLOOKUP(A827,'[1]query (5)'!$C:$C,'[1]query (5)'!$A:$A)</f>
        <v>#N/A</v>
      </c>
    </row>
    <row r="828" spans="1:5" x14ac:dyDescent="0.3">
      <c r="A828" s="23">
        <v>6054177</v>
      </c>
      <c r="B828" s="23" t="s">
        <v>2685</v>
      </c>
      <c r="C828" s="40">
        <v>582.83000000000004</v>
      </c>
      <c r="D828" s="24">
        <v>24</v>
      </c>
      <c r="E828" t="e">
        <f>_xlfn.XLOOKUP(A828,'[1]query (5)'!$C:$C,'[1]query (5)'!$A:$A)</f>
        <v>#N/A</v>
      </c>
    </row>
    <row r="829" spans="1:5" x14ac:dyDescent="0.3">
      <c r="A829" s="23">
        <v>6054202</v>
      </c>
      <c r="B829" s="23" t="s">
        <v>1875</v>
      </c>
      <c r="C829" s="40">
        <v>128.72</v>
      </c>
      <c r="D829" s="24">
        <v>25</v>
      </c>
      <c r="E829" t="e">
        <f>_xlfn.XLOOKUP(A829,'[1]query (5)'!$C:$C,'[1]query (5)'!$A:$A)</f>
        <v>#N/A</v>
      </c>
    </row>
    <row r="830" spans="1:5" x14ac:dyDescent="0.3">
      <c r="A830" s="23">
        <v>6054204</v>
      </c>
      <c r="B830" s="23" t="s">
        <v>1876</v>
      </c>
      <c r="C830" s="40">
        <v>36.71</v>
      </c>
      <c r="D830" s="24">
        <v>9</v>
      </c>
      <c r="E830" t="e">
        <f>_xlfn.XLOOKUP(A830,'[1]query (5)'!$C:$C,'[1]query (5)'!$A:$A)</f>
        <v>#N/A</v>
      </c>
    </row>
    <row r="831" spans="1:5" x14ac:dyDescent="0.3">
      <c r="A831" s="23">
        <v>6054205</v>
      </c>
      <c r="B831" s="23" t="s">
        <v>2686</v>
      </c>
      <c r="C831" s="40">
        <v>144.74</v>
      </c>
      <c r="D831" s="24">
        <v>10</v>
      </c>
      <c r="E831" t="e">
        <f>_xlfn.XLOOKUP(A831,'[1]query (5)'!$C:$C,'[1]query (5)'!$A:$A)</f>
        <v>#N/A</v>
      </c>
    </row>
    <row r="832" spans="1:5" x14ac:dyDescent="0.3">
      <c r="A832" s="23">
        <v>6058996</v>
      </c>
      <c r="B832" s="23" t="s">
        <v>1387</v>
      </c>
      <c r="C832" s="40">
        <v>767.77</v>
      </c>
      <c r="D832" s="24">
        <v>50</v>
      </c>
      <c r="E832" t="e">
        <f>_xlfn.XLOOKUP(A832,'[1]query (5)'!$C:$C,'[1]query (5)'!$A:$A)</f>
        <v>#N/A</v>
      </c>
    </row>
    <row r="833" spans="1:5" x14ac:dyDescent="0.3">
      <c r="A833" s="23">
        <v>6059063</v>
      </c>
      <c r="B833" s="23" t="s">
        <v>1392</v>
      </c>
      <c r="C833" s="40">
        <v>22.88</v>
      </c>
      <c r="D833" s="24">
        <v>3</v>
      </c>
      <c r="E833" t="e">
        <f>_xlfn.XLOOKUP(A833,'[1]query (5)'!$C:$C,'[1]query (5)'!$A:$A)</f>
        <v>#N/A</v>
      </c>
    </row>
    <row r="834" spans="1:5" x14ac:dyDescent="0.3">
      <c r="A834" s="23">
        <v>6059067</v>
      </c>
      <c r="B834" s="23" t="s">
        <v>1391</v>
      </c>
      <c r="C834" s="40">
        <v>193.46</v>
      </c>
      <c r="D834" s="24">
        <v>58</v>
      </c>
      <c r="E834" t="e">
        <f>_xlfn.XLOOKUP(A834,'[1]query (5)'!$C:$C,'[1]query (5)'!$A:$A)</f>
        <v>#N/A</v>
      </c>
    </row>
    <row r="835" spans="1:5" x14ac:dyDescent="0.3">
      <c r="A835" s="23">
        <v>6059081</v>
      </c>
      <c r="B835" s="23" t="s">
        <v>1389</v>
      </c>
      <c r="C835" s="40">
        <v>31.3</v>
      </c>
      <c r="D835" s="24">
        <v>2</v>
      </c>
      <c r="E835" t="e">
        <f>_xlfn.XLOOKUP(A835,'[1]query (5)'!$C:$C,'[1]query (5)'!$A:$A)</f>
        <v>#N/A</v>
      </c>
    </row>
    <row r="836" spans="1:5" x14ac:dyDescent="0.3">
      <c r="A836" s="23">
        <v>6059114</v>
      </c>
      <c r="B836" s="23" t="s">
        <v>2687</v>
      </c>
      <c r="C836" s="40">
        <v>82.77</v>
      </c>
      <c r="D836" s="24">
        <v>1</v>
      </c>
      <c r="E836" t="e">
        <f>_xlfn.XLOOKUP(A836,'[1]query (5)'!$C:$C,'[1]query (5)'!$A:$A)</f>
        <v>#N/A</v>
      </c>
    </row>
    <row r="837" spans="1:5" x14ac:dyDescent="0.3">
      <c r="A837" s="23">
        <v>6059116</v>
      </c>
      <c r="B837" s="23" t="s">
        <v>1390</v>
      </c>
      <c r="C837" s="40">
        <v>156.96</v>
      </c>
      <c r="D837" s="24">
        <v>2</v>
      </c>
      <c r="E837" t="e">
        <f>_xlfn.XLOOKUP(A837,'[1]query (5)'!$C:$C,'[1]query (5)'!$A:$A)</f>
        <v>#N/A</v>
      </c>
    </row>
    <row r="838" spans="1:5" x14ac:dyDescent="0.3">
      <c r="A838" s="23">
        <v>6059434</v>
      </c>
      <c r="B838" s="23" t="s">
        <v>2688</v>
      </c>
      <c r="C838" s="40">
        <v>33.69</v>
      </c>
      <c r="D838" s="24">
        <v>3</v>
      </c>
      <c r="E838" t="e">
        <f>_xlfn.XLOOKUP(A838,'[1]query (5)'!$C:$C,'[1]query (5)'!$A:$A)</f>
        <v>#N/A</v>
      </c>
    </row>
    <row r="839" spans="1:5" x14ac:dyDescent="0.3">
      <c r="A839" s="23">
        <v>6059447</v>
      </c>
      <c r="B839" s="23" t="s">
        <v>1422</v>
      </c>
      <c r="C839" s="40">
        <v>3397.71</v>
      </c>
      <c r="D839" s="24">
        <v>348</v>
      </c>
      <c r="E839" t="e">
        <f>_xlfn.XLOOKUP(A839,'[1]query (5)'!$C:$C,'[1]query (5)'!$A:$A)</f>
        <v>#N/A</v>
      </c>
    </row>
    <row r="840" spans="1:5" x14ac:dyDescent="0.3">
      <c r="A840" s="23">
        <v>6059462</v>
      </c>
      <c r="B840" s="23" t="s">
        <v>2689</v>
      </c>
      <c r="C840" s="40">
        <v>17.440000000000001</v>
      </c>
      <c r="D840" s="24">
        <v>2</v>
      </c>
      <c r="E840" t="e">
        <f>_xlfn.XLOOKUP(A840,'[1]query (5)'!$C:$C,'[1]query (5)'!$A:$A)</f>
        <v>#N/A</v>
      </c>
    </row>
    <row r="841" spans="1:5" x14ac:dyDescent="0.3">
      <c r="A841" s="23">
        <v>6061767</v>
      </c>
      <c r="B841" s="23" t="s">
        <v>2690</v>
      </c>
      <c r="C841" s="40">
        <v>52.77</v>
      </c>
      <c r="D841" s="24">
        <v>5</v>
      </c>
      <c r="E841" t="e">
        <f>_xlfn.XLOOKUP(A841,'[1]query (5)'!$C:$C,'[1]query (5)'!$A:$A)</f>
        <v>#N/A</v>
      </c>
    </row>
    <row r="842" spans="1:5" x14ac:dyDescent="0.3">
      <c r="A842" s="23">
        <v>6061768</v>
      </c>
      <c r="B842" s="23" t="s">
        <v>1388</v>
      </c>
      <c r="C842" s="40">
        <v>929.37</v>
      </c>
      <c r="D842" s="24">
        <v>32</v>
      </c>
      <c r="E842" t="e">
        <f>_xlfn.XLOOKUP(A842,'[1]query (5)'!$C:$C,'[1]query (5)'!$A:$A)</f>
        <v>#N/A</v>
      </c>
    </row>
    <row r="843" spans="1:5" x14ac:dyDescent="0.3">
      <c r="A843" s="23">
        <v>6083792</v>
      </c>
      <c r="B843" s="23" t="s">
        <v>1600</v>
      </c>
      <c r="C843" s="40">
        <v>1821.39</v>
      </c>
      <c r="D843" s="24">
        <v>260</v>
      </c>
      <c r="E843" t="e">
        <f>_xlfn.XLOOKUP(A843,'[1]query (5)'!$C:$C,'[1]query (5)'!$A:$A)</f>
        <v>#N/A</v>
      </c>
    </row>
    <row r="844" spans="1:5" x14ac:dyDescent="0.3">
      <c r="A844" s="23">
        <v>6084658</v>
      </c>
      <c r="B844" s="23" t="s">
        <v>2691</v>
      </c>
      <c r="C844" s="40">
        <v>0.08</v>
      </c>
      <c r="D844" s="24">
        <v>1</v>
      </c>
      <c r="E844" t="e">
        <f>_xlfn.XLOOKUP(A844,'[1]query (5)'!$C:$C,'[1]query (5)'!$A:$A)</f>
        <v>#N/A</v>
      </c>
    </row>
    <row r="845" spans="1:5" x14ac:dyDescent="0.3">
      <c r="A845" s="23">
        <v>6085079</v>
      </c>
      <c r="B845" s="23" t="s">
        <v>1902</v>
      </c>
      <c r="C845" s="40">
        <v>134.47999999999999</v>
      </c>
      <c r="D845" s="24">
        <v>8</v>
      </c>
      <c r="E845" t="e">
        <f>_xlfn.XLOOKUP(A845,'[1]query (5)'!$C:$C,'[1]query (5)'!$A:$A)</f>
        <v>#N/A</v>
      </c>
    </row>
    <row r="846" spans="1:5" x14ac:dyDescent="0.3">
      <c r="A846" s="23">
        <v>6085110</v>
      </c>
      <c r="B846" s="23" t="s">
        <v>1903</v>
      </c>
      <c r="C846" s="40">
        <v>24.23</v>
      </c>
      <c r="D846" s="24">
        <v>2</v>
      </c>
      <c r="E846" t="e">
        <f>_xlfn.XLOOKUP(A846,'[1]query (5)'!$C:$C,'[1]query (5)'!$A:$A)</f>
        <v>#N/A</v>
      </c>
    </row>
    <row r="847" spans="1:5" x14ac:dyDescent="0.3">
      <c r="A847" s="23">
        <v>6085971</v>
      </c>
      <c r="B847" s="23" t="s">
        <v>1879</v>
      </c>
      <c r="C847" s="40">
        <v>298.57</v>
      </c>
      <c r="D847" s="24">
        <v>103</v>
      </c>
      <c r="E847" t="e">
        <f>_xlfn.XLOOKUP(A847,'[1]query (5)'!$C:$C,'[1]query (5)'!$A:$A)</f>
        <v>#N/A</v>
      </c>
    </row>
    <row r="848" spans="1:5" x14ac:dyDescent="0.3">
      <c r="A848" s="23">
        <v>6090469</v>
      </c>
      <c r="B848" s="23" t="s">
        <v>1904</v>
      </c>
      <c r="C848" s="40">
        <v>362.82</v>
      </c>
      <c r="D848" s="24">
        <v>8</v>
      </c>
      <c r="E848" t="e">
        <f>_xlfn.XLOOKUP(A848,'[1]query (5)'!$C:$C,'[1]query (5)'!$A:$A)</f>
        <v>#N/A</v>
      </c>
    </row>
    <row r="849" spans="1:5" x14ac:dyDescent="0.3">
      <c r="A849" s="23">
        <v>6092863</v>
      </c>
      <c r="B849" s="23" t="s">
        <v>1901</v>
      </c>
      <c r="C849" s="40">
        <v>1222.33</v>
      </c>
      <c r="D849" s="24">
        <v>238</v>
      </c>
      <c r="E849" t="e">
        <f>_xlfn.XLOOKUP(A849,'[1]query (5)'!$C:$C,'[1]query (5)'!$A:$A)</f>
        <v>#N/A</v>
      </c>
    </row>
    <row r="850" spans="1:5" x14ac:dyDescent="0.3">
      <c r="A850" s="23">
        <v>6093275</v>
      </c>
      <c r="B850" s="23" t="s">
        <v>1444</v>
      </c>
      <c r="C850" s="40">
        <v>34.08</v>
      </c>
      <c r="D850" s="24">
        <v>24</v>
      </c>
      <c r="E850" t="e">
        <f>_xlfn.XLOOKUP(A850,'[1]query (5)'!$C:$C,'[1]query (5)'!$A:$A)</f>
        <v>#N/A</v>
      </c>
    </row>
    <row r="851" spans="1:5" x14ac:dyDescent="0.3">
      <c r="A851" s="23">
        <v>6093276</v>
      </c>
      <c r="B851" s="23" t="s">
        <v>1443</v>
      </c>
      <c r="C851" s="40">
        <v>5.68</v>
      </c>
      <c r="D851" s="24">
        <v>4</v>
      </c>
      <c r="E851" t="e">
        <f>_xlfn.XLOOKUP(A851,'[1]query (5)'!$C:$C,'[1]query (5)'!$A:$A)</f>
        <v>#N/A</v>
      </c>
    </row>
    <row r="852" spans="1:5" x14ac:dyDescent="0.3">
      <c r="A852" s="23">
        <v>6103930</v>
      </c>
      <c r="B852" s="23" t="s">
        <v>5253</v>
      </c>
      <c r="C852" s="40">
        <v>114.65</v>
      </c>
      <c r="D852" s="24">
        <v>18</v>
      </c>
      <c r="E852" t="e">
        <f>_xlfn.XLOOKUP(A852,'[1]query (5)'!$C:$C,'[1]query (5)'!$A:$A)</f>
        <v>#N/A</v>
      </c>
    </row>
    <row r="853" spans="1:5" x14ac:dyDescent="0.3">
      <c r="A853" s="23">
        <v>6103932</v>
      </c>
      <c r="B853" s="23" t="s">
        <v>5254</v>
      </c>
      <c r="C853" s="40">
        <v>27.97</v>
      </c>
      <c r="D853" s="24">
        <v>6</v>
      </c>
      <c r="E853" t="e">
        <f>_xlfn.XLOOKUP(A853,'[1]query (5)'!$C:$C,'[1]query (5)'!$A:$A)</f>
        <v>#N/A</v>
      </c>
    </row>
    <row r="854" spans="1:5" x14ac:dyDescent="0.3">
      <c r="A854" s="23">
        <v>6103934</v>
      </c>
      <c r="B854" s="23" t="s">
        <v>5255</v>
      </c>
      <c r="C854" s="40">
        <v>267.38</v>
      </c>
      <c r="D854" s="24">
        <v>42</v>
      </c>
      <c r="E854" t="e">
        <f>_xlfn.XLOOKUP(A854,'[1]query (5)'!$C:$C,'[1]query (5)'!$A:$A)</f>
        <v>#N/A</v>
      </c>
    </row>
    <row r="855" spans="1:5" x14ac:dyDescent="0.3">
      <c r="A855" s="23">
        <v>6103935</v>
      </c>
      <c r="B855" s="23" t="s">
        <v>1320</v>
      </c>
      <c r="C855" s="40">
        <v>153.74</v>
      </c>
      <c r="D855" s="24">
        <v>24</v>
      </c>
      <c r="E855" t="e">
        <f>_xlfn.XLOOKUP(A855,'[1]query (5)'!$C:$C,'[1]query (5)'!$A:$A)</f>
        <v>#N/A</v>
      </c>
    </row>
    <row r="856" spans="1:5" x14ac:dyDescent="0.3">
      <c r="A856" s="23">
        <v>6106492</v>
      </c>
      <c r="B856" s="23" t="s">
        <v>1419</v>
      </c>
      <c r="C856" s="40">
        <v>3259.35</v>
      </c>
      <c r="D856" s="24">
        <v>329</v>
      </c>
      <c r="E856" t="e">
        <f>_xlfn.XLOOKUP(A856,'[1]query (5)'!$C:$C,'[1]query (5)'!$A:$A)</f>
        <v>#N/A</v>
      </c>
    </row>
    <row r="857" spans="1:5" x14ac:dyDescent="0.3">
      <c r="A857" s="23">
        <v>6106494</v>
      </c>
      <c r="B857" s="23" t="s">
        <v>2694</v>
      </c>
      <c r="C857" s="40">
        <v>59.76</v>
      </c>
      <c r="D857" s="24">
        <v>6</v>
      </c>
      <c r="E857" t="e">
        <f>_xlfn.XLOOKUP(A857,'[1]query (5)'!$C:$C,'[1]query (5)'!$A:$A)</f>
        <v>#N/A</v>
      </c>
    </row>
    <row r="858" spans="1:5" x14ac:dyDescent="0.3">
      <c r="A858" s="23">
        <v>6107198</v>
      </c>
      <c r="B858" s="23" t="s">
        <v>2695</v>
      </c>
      <c r="C858" s="40">
        <v>29.46</v>
      </c>
      <c r="D858" s="24">
        <v>2</v>
      </c>
      <c r="E858" t="e">
        <f>_xlfn.XLOOKUP(A858,'[1]query (5)'!$C:$C,'[1]query (5)'!$A:$A)</f>
        <v>#N/A</v>
      </c>
    </row>
    <row r="859" spans="1:5" x14ac:dyDescent="0.3">
      <c r="A859" s="23">
        <v>6107199</v>
      </c>
      <c r="B859" s="23" t="s">
        <v>2696</v>
      </c>
      <c r="C859" s="40">
        <v>26.82</v>
      </c>
      <c r="D859" s="24">
        <v>1</v>
      </c>
      <c r="E859" t="e">
        <f>_xlfn.XLOOKUP(A859,'[1]query (5)'!$C:$C,'[1]query (5)'!$A:$A)</f>
        <v>#N/A</v>
      </c>
    </row>
    <row r="860" spans="1:5" x14ac:dyDescent="0.3">
      <c r="A860" s="23">
        <v>6107203</v>
      </c>
      <c r="B860" s="23" t="s">
        <v>2697</v>
      </c>
      <c r="C860" s="40">
        <v>77.84</v>
      </c>
      <c r="D860" s="24">
        <v>4</v>
      </c>
      <c r="E860" t="e">
        <f>_xlfn.XLOOKUP(A860,'[1]query (5)'!$C:$C,'[1]query (5)'!$A:$A)</f>
        <v>#N/A</v>
      </c>
    </row>
    <row r="861" spans="1:5" x14ac:dyDescent="0.3">
      <c r="A861" s="23">
        <v>6107206</v>
      </c>
      <c r="B861" s="23" t="s">
        <v>1918</v>
      </c>
      <c r="C861" s="40">
        <v>29.39</v>
      </c>
      <c r="D861" s="24">
        <v>2</v>
      </c>
      <c r="E861" t="e">
        <f>_xlfn.XLOOKUP(A861,'[1]query (5)'!$C:$C,'[1]query (5)'!$A:$A)</f>
        <v>#N/A</v>
      </c>
    </row>
    <row r="862" spans="1:5" x14ac:dyDescent="0.3">
      <c r="A862" s="23">
        <v>6107241</v>
      </c>
      <c r="B862" s="23" t="s">
        <v>2698</v>
      </c>
      <c r="C862" s="40">
        <v>62.78</v>
      </c>
      <c r="D862" s="24">
        <v>4</v>
      </c>
      <c r="E862" t="e">
        <f>_xlfn.XLOOKUP(A862,'[1]query (5)'!$C:$C,'[1]query (5)'!$A:$A)</f>
        <v>#N/A</v>
      </c>
    </row>
    <row r="863" spans="1:5" x14ac:dyDescent="0.3">
      <c r="A863" s="23">
        <v>6107243</v>
      </c>
      <c r="B863" s="23" t="s">
        <v>2699</v>
      </c>
      <c r="C863" s="40">
        <v>13.97</v>
      </c>
      <c r="D863" s="24">
        <v>2</v>
      </c>
      <c r="E863" t="e">
        <f>_xlfn.XLOOKUP(A863,'[1]query (5)'!$C:$C,'[1]query (5)'!$A:$A)</f>
        <v>#N/A</v>
      </c>
    </row>
    <row r="864" spans="1:5" x14ac:dyDescent="0.3">
      <c r="A864" s="23">
        <v>6107245</v>
      </c>
      <c r="B864" s="23" t="s">
        <v>2700</v>
      </c>
      <c r="C864" s="40">
        <v>463.3</v>
      </c>
      <c r="D864" s="24">
        <v>27</v>
      </c>
      <c r="E864" t="e">
        <f>_xlfn.XLOOKUP(A864,'[1]query (5)'!$C:$C,'[1]query (5)'!$A:$A)</f>
        <v>#N/A</v>
      </c>
    </row>
    <row r="865" spans="1:5" x14ac:dyDescent="0.3">
      <c r="A865" s="23">
        <v>6107247</v>
      </c>
      <c r="B865" s="23" t="s">
        <v>2698</v>
      </c>
      <c r="C865" s="40">
        <v>14.08</v>
      </c>
      <c r="D865" s="24">
        <v>1</v>
      </c>
      <c r="E865" t="e">
        <f>_xlfn.XLOOKUP(A865,'[1]query (5)'!$C:$C,'[1]query (5)'!$A:$A)</f>
        <v>#N/A</v>
      </c>
    </row>
    <row r="866" spans="1:5" x14ac:dyDescent="0.3">
      <c r="A866" s="23">
        <v>6107254</v>
      </c>
      <c r="B866" s="23" t="s">
        <v>1719</v>
      </c>
      <c r="C866" s="40">
        <v>1826.19</v>
      </c>
      <c r="D866" s="24">
        <v>74</v>
      </c>
      <c r="E866" t="e">
        <f>_xlfn.XLOOKUP(A866,'[1]query (5)'!$C:$C,'[1]query (5)'!$A:$A)</f>
        <v>#N/A</v>
      </c>
    </row>
    <row r="867" spans="1:5" x14ac:dyDescent="0.3">
      <c r="A867" s="23">
        <v>6107261</v>
      </c>
      <c r="B867" s="23" t="s">
        <v>1734</v>
      </c>
      <c r="C867" s="40">
        <v>154.09</v>
      </c>
      <c r="D867" s="24">
        <v>9</v>
      </c>
      <c r="E867" t="e">
        <f>_xlfn.XLOOKUP(A867,'[1]query (5)'!$C:$C,'[1]query (5)'!$A:$A)</f>
        <v>#N/A</v>
      </c>
    </row>
    <row r="868" spans="1:5" x14ac:dyDescent="0.3">
      <c r="A868" s="23">
        <v>6107266</v>
      </c>
      <c r="B868" s="23" t="s">
        <v>2701</v>
      </c>
      <c r="C868" s="40">
        <v>226.33</v>
      </c>
      <c r="D868" s="24">
        <v>34</v>
      </c>
      <c r="E868" t="e">
        <f>_xlfn.XLOOKUP(A868,'[1]query (5)'!$C:$C,'[1]query (5)'!$A:$A)</f>
        <v>#N/A</v>
      </c>
    </row>
    <row r="869" spans="1:5" x14ac:dyDescent="0.3">
      <c r="A869" s="23">
        <v>6107268</v>
      </c>
      <c r="B869" s="23" t="s">
        <v>1729</v>
      </c>
      <c r="C869" s="40">
        <v>791.91</v>
      </c>
      <c r="D869" s="24">
        <v>63</v>
      </c>
      <c r="E869" t="e">
        <f>_xlfn.XLOOKUP(A869,'[1]query (5)'!$C:$C,'[1]query (5)'!$A:$A)</f>
        <v>#N/A</v>
      </c>
    </row>
    <row r="870" spans="1:5" x14ac:dyDescent="0.3">
      <c r="A870" s="23">
        <v>6107271</v>
      </c>
      <c r="B870" s="23" t="s">
        <v>1718</v>
      </c>
      <c r="C870" s="40">
        <v>2320.7800000000002</v>
      </c>
      <c r="D870" s="24">
        <v>121</v>
      </c>
      <c r="E870" t="e">
        <f>_xlfn.XLOOKUP(A870,'[1]query (5)'!$C:$C,'[1]query (5)'!$A:$A)</f>
        <v>#N/A</v>
      </c>
    </row>
    <row r="871" spans="1:5" x14ac:dyDescent="0.3">
      <c r="A871" s="23">
        <v>6107273</v>
      </c>
      <c r="B871" s="23" t="s">
        <v>1722</v>
      </c>
      <c r="C871" s="40">
        <v>855.46</v>
      </c>
      <c r="D871" s="24">
        <v>69</v>
      </c>
      <c r="E871" t="e">
        <f>_xlfn.XLOOKUP(A871,'[1]query (5)'!$C:$C,'[1]query (5)'!$A:$A)</f>
        <v>#N/A</v>
      </c>
    </row>
    <row r="872" spans="1:5" x14ac:dyDescent="0.3">
      <c r="A872" s="23">
        <v>6107274</v>
      </c>
      <c r="B872" s="23" t="s">
        <v>1736</v>
      </c>
      <c r="C872" s="40">
        <v>208.12</v>
      </c>
      <c r="D872" s="24">
        <v>21</v>
      </c>
      <c r="E872" t="e">
        <f>_xlfn.XLOOKUP(A872,'[1]query (5)'!$C:$C,'[1]query (5)'!$A:$A)</f>
        <v>#N/A</v>
      </c>
    </row>
    <row r="873" spans="1:5" x14ac:dyDescent="0.3">
      <c r="A873" s="23">
        <v>6107276</v>
      </c>
      <c r="B873" s="23" t="s">
        <v>1732</v>
      </c>
      <c r="C873" s="40">
        <v>582.54</v>
      </c>
      <c r="D873" s="24">
        <v>73</v>
      </c>
      <c r="E873" t="e">
        <f>_xlfn.XLOOKUP(A873,'[1]query (5)'!$C:$C,'[1]query (5)'!$A:$A)</f>
        <v>#N/A</v>
      </c>
    </row>
    <row r="874" spans="1:5" x14ac:dyDescent="0.3">
      <c r="A874" s="23">
        <v>6107277</v>
      </c>
      <c r="B874" s="23" t="s">
        <v>1735</v>
      </c>
      <c r="C874" s="40">
        <v>530.75</v>
      </c>
      <c r="D874" s="24">
        <v>54</v>
      </c>
      <c r="E874" t="e">
        <f>_xlfn.XLOOKUP(A874,'[1]query (5)'!$C:$C,'[1]query (5)'!$A:$A)</f>
        <v>#N/A</v>
      </c>
    </row>
    <row r="875" spans="1:5" x14ac:dyDescent="0.3">
      <c r="A875" s="23">
        <v>6107286</v>
      </c>
      <c r="B875" s="23" t="s">
        <v>2702</v>
      </c>
      <c r="C875" s="40">
        <v>16.739999999999998</v>
      </c>
      <c r="D875" s="24">
        <v>1</v>
      </c>
      <c r="E875" t="e">
        <f>_xlfn.XLOOKUP(A875,'[1]query (5)'!$C:$C,'[1]query (5)'!$A:$A)</f>
        <v>#N/A</v>
      </c>
    </row>
    <row r="876" spans="1:5" x14ac:dyDescent="0.3">
      <c r="A876" s="23">
        <v>6107289</v>
      </c>
      <c r="B876" s="23" t="s">
        <v>1721</v>
      </c>
      <c r="C876" s="40">
        <v>2420.29</v>
      </c>
      <c r="D876" s="24">
        <v>124</v>
      </c>
      <c r="E876" t="e">
        <f>_xlfn.XLOOKUP(A876,'[1]query (5)'!$C:$C,'[1]query (5)'!$A:$A)</f>
        <v>#N/A</v>
      </c>
    </row>
    <row r="877" spans="1:5" x14ac:dyDescent="0.3">
      <c r="A877" s="23">
        <v>6107296</v>
      </c>
      <c r="B877" s="23" t="s">
        <v>1717</v>
      </c>
      <c r="C877" s="40">
        <v>843.95</v>
      </c>
      <c r="D877" s="24">
        <v>30</v>
      </c>
      <c r="E877" t="e">
        <f>_xlfn.XLOOKUP(A877,'[1]query (5)'!$C:$C,'[1]query (5)'!$A:$A)</f>
        <v>#N/A</v>
      </c>
    </row>
    <row r="878" spans="1:5" x14ac:dyDescent="0.3">
      <c r="A878" s="23">
        <v>6107298</v>
      </c>
      <c r="B878" s="23" t="s">
        <v>1720</v>
      </c>
      <c r="C878" s="40">
        <v>193.08</v>
      </c>
      <c r="D878" s="24">
        <v>13</v>
      </c>
      <c r="E878" t="e">
        <f>_xlfn.XLOOKUP(A878,'[1]query (5)'!$C:$C,'[1]query (5)'!$A:$A)</f>
        <v>#N/A</v>
      </c>
    </row>
    <row r="879" spans="1:5" x14ac:dyDescent="0.3">
      <c r="A879" s="23">
        <v>6107300</v>
      </c>
      <c r="B879" s="23" t="s">
        <v>1724</v>
      </c>
      <c r="C879" s="40">
        <v>1095.5</v>
      </c>
      <c r="D879" s="24">
        <v>67</v>
      </c>
      <c r="E879" t="e">
        <f>_xlfn.XLOOKUP(A879,'[1]query (5)'!$C:$C,'[1]query (5)'!$A:$A)</f>
        <v>#N/A</v>
      </c>
    </row>
    <row r="880" spans="1:5" x14ac:dyDescent="0.3">
      <c r="A880" s="23">
        <v>6107326</v>
      </c>
      <c r="B880" s="23" t="s">
        <v>1385</v>
      </c>
      <c r="C880" s="40">
        <v>32.909999999999997</v>
      </c>
      <c r="D880" s="24">
        <v>4</v>
      </c>
      <c r="E880" t="e">
        <f>_xlfn.XLOOKUP(A880,'[1]query (5)'!$C:$C,'[1]query (5)'!$A:$A)</f>
        <v>#N/A</v>
      </c>
    </row>
    <row r="881" spans="1:5" x14ac:dyDescent="0.3">
      <c r="A881" s="23">
        <v>6107487</v>
      </c>
      <c r="B881" s="23" t="s">
        <v>2703</v>
      </c>
      <c r="C881" s="40">
        <v>33.840000000000003</v>
      </c>
      <c r="D881" s="24">
        <v>1</v>
      </c>
      <c r="E881" t="e">
        <f>_xlfn.XLOOKUP(A881,'[1]query (5)'!$C:$C,'[1]query (5)'!$A:$A)</f>
        <v>#N/A</v>
      </c>
    </row>
    <row r="882" spans="1:5" x14ac:dyDescent="0.3">
      <c r="A882" s="23">
        <v>6107488</v>
      </c>
      <c r="B882" s="23" t="s">
        <v>2704</v>
      </c>
      <c r="C882" s="40">
        <v>17.04</v>
      </c>
      <c r="D882" s="24">
        <v>2</v>
      </c>
      <c r="E882" t="e">
        <f>_xlfn.XLOOKUP(A882,'[1]query (5)'!$C:$C,'[1]query (5)'!$A:$A)</f>
        <v>#N/A</v>
      </c>
    </row>
    <row r="883" spans="1:5" x14ac:dyDescent="0.3">
      <c r="A883" s="23">
        <v>6107491</v>
      </c>
      <c r="B883" s="23" t="s">
        <v>1872</v>
      </c>
      <c r="C883" s="40">
        <v>45.28</v>
      </c>
      <c r="D883" s="24">
        <v>1</v>
      </c>
      <c r="E883" t="e">
        <f>_xlfn.XLOOKUP(A883,'[1]query (5)'!$C:$C,'[1]query (5)'!$A:$A)</f>
        <v>#N/A</v>
      </c>
    </row>
    <row r="884" spans="1:5" x14ac:dyDescent="0.3">
      <c r="A884" s="23">
        <v>6107494</v>
      </c>
      <c r="B884" s="23" t="s">
        <v>2705</v>
      </c>
      <c r="C884" s="40">
        <v>117.53</v>
      </c>
      <c r="D884" s="24">
        <v>5</v>
      </c>
      <c r="E884" t="e">
        <f>_xlfn.XLOOKUP(A884,'[1]query (5)'!$C:$C,'[1]query (5)'!$A:$A)</f>
        <v>#N/A</v>
      </c>
    </row>
    <row r="885" spans="1:5" x14ac:dyDescent="0.3">
      <c r="A885" s="23">
        <v>6107507</v>
      </c>
      <c r="B885" s="23" t="s">
        <v>5256</v>
      </c>
      <c r="C885" s="40">
        <v>22.94</v>
      </c>
      <c r="D885" s="24">
        <v>1</v>
      </c>
      <c r="E885" t="e">
        <f>_xlfn.XLOOKUP(A885,'[1]query (5)'!$C:$C,'[1]query (5)'!$A:$A)</f>
        <v>#N/A</v>
      </c>
    </row>
    <row r="886" spans="1:5" x14ac:dyDescent="0.3">
      <c r="A886" s="23">
        <v>6107508</v>
      </c>
      <c r="B886" s="23" t="s">
        <v>1870</v>
      </c>
      <c r="C886" s="40">
        <v>33.57</v>
      </c>
      <c r="D886" s="24">
        <v>3</v>
      </c>
      <c r="E886" t="e">
        <f>_xlfn.XLOOKUP(A886,'[1]query (5)'!$C:$C,'[1]query (5)'!$A:$A)</f>
        <v>#N/A</v>
      </c>
    </row>
    <row r="887" spans="1:5" x14ac:dyDescent="0.3">
      <c r="A887" s="23">
        <v>6107510</v>
      </c>
      <c r="B887" s="23" t="s">
        <v>2451</v>
      </c>
      <c r="C887" s="40">
        <v>372.22</v>
      </c>
      <c r="D887" s="24">
        <v>3</v>
      </c>
      <c r="E887" t="e">
        <f>_xlfn.XLOOKUP(A887,'[1]query (5)'!$C:$C,'[1]query (5)'!$A:$A)</f>
        <v>#N/A</v>
      </c>
    </row>
    <row r="888" spans="1:5" x14ac:dyDescent="0.3">
      <c r="A888" s="23">
        <v>6107519</v>
      </c>
      <c r="B888" s="23" t="s">
        <v>1871</v>
      </c>
      <c r="C888" s="40">
        <v>5.15</v>
      </c>
      <c r="D888" s="24">
        <v>2</v>
      </c>
      <c r="E888" t="e">
        <f>_xlfn.XLOOKUP(A888,'[1]query (5)'!$C:$C,'[1]query (5)'!$A:$A)</f>
        <v>#N/A</v>
      </c>
    </row>
    <row r="889" spans="1:5" x14ac:dyDescent="0.3">
      <c r="A889" s="23">
        <v>6107521</v>
      </c>
      <c r="B889" s="23" t="s">
        <v>2707</v>
      </c>
      <c r="C889" s="40">
        <v>8.8699999999999992</v>
      </c>
      <c r="D889" s="24">
        <v>1</v>
      </c>
      <c r="E889" t="e">
        <f>_xlfn.XLOOKUP(A889,'[1]query (5)'!$C:$C,'[1]query (5)'!$A:$A)</f>
        <v>#N/A</v>
      </c>
    </row>
    <row r="890" spans="1:5" x14ac:dyDescent="0.3">
      <c r="A890" s="23">
        <v>6107529</v>
      </c>
      <c r="B890" s="23" t="s">
        <v>1869</v>
      </c>
      <c r="C890" s="40">
        <v>46.79</v>
      </c>
      <c r="D890" s="24">
        <v>1</v>
      </c>
      <c r="E890" t="e">
        <f>_xlfn.XLOOKUP(A890,'[1]query (5)'!$C:$C,'[1]query (5)'!$A:$A)</f>
        <v>#N/A</v>
      </c>
    </row>
    <row r="891" spans="1:5" x14ac:dyDescent="0.3">
      <c r="A891" s="23">
        <v>6107782</v>
      </c>
      <c r="B891" s="23" t="s">
        <v>2708</v>
      </c>
      <c r="C891" s="40">
        <v>32.85</v>
      </c>
      <c r="D891" s="24">
        <v>3</v>
      </c>
      <c r="E891" t="e">
        <f>_xlfn.XLOOKUP(A891,'[1]query (5)'!$C:$C,'[1]query (5)'!$A:$A)</f>
        <v>#N/A</v>
      </c>
    </row>
    <row r="892" spans="1:5" x14ac:dyDescent="0.3">
      <c r="A892" s="23">
        <v>6107788</v>
      </c>
      <c r="B892" s="23" t="s">
        <v>1753</v>
      </c>
      <c r="C892" s="40">
        <v>8.76</v>
      </c>
      <c r="D892" s="24">
        <v>2</v>
      </c>
      <c r="E892" t="e">
        <f>_xlfn.XLOOKUP(A892,'[1]query (5)'!$C:$C,'[1]query (5)'!$A:$A)</f>
        <v>#N/A</v>
      </c>
    </row>
    <row r="893" spans="1:5" x14ac:dyDescent="0.3">
      <c r="A893" s="23">
        <v>6107811</v>
      </c>
      <c r="B893" s="23" t="s">
        <v>2709</v>
      </c>
      <c r="C893" s="40">
        <v>13.37</v>
      </c>
      <c r="D893" s="24">
        <v>2</v>
      </c>
      <c r="E893" t="e">
        <f>_xlfn.XLOOKUP(A893,'[1]query (5)'!$C:$C,'[1]query (5)'!$A:$A)</f>
        <v>#N/A</v>
      </c>
    </row>
    <row r="894" spans="1:5" x14ac:dyDescent="0.3">
      <c r="A894" s="23">
        <v>6107837</v>
      </c>
      <c r="B894" s="23" t="s">
        <v>1835</v>
      </c>
      <c r="C894" s="40">
        <v>14.02</v>
      </c>
      <c r="D894" s="24">
        <v>7</v>
      </c>
      <c r="E894" t="e">
        <f>_xlfn.XLOOKUP(A894,'[1]query (5)'!$C:$C,'[1]query (5)'!$A:$A)</f>
        <v>#N/A</v>
      </c>
    </row>
    <row r="895" spans="1:5" x14ac:dyDescent="0.3">
      <c r="A895" s="23">
        <v>6107860</v>
      </c>
      <c r="B895" s="23" t="s">
        <v>5257</v>
      </c>
      <c r="C895" s="40">
        <v>16.739999999999998</v>
      </c>
      <c r="D895" s="24">
        <v>1</v>
      </c>
      <c r="E895" t="e">
        <f>_xlfn.XLOOKUP(A895,'[1]query (5)'!$C:$C,'[1]query (5)'!$A:$A)</f>
        <v>#N/A</v>
      </c>
    </row>
    <row r="896" spans="1:5" x14ac:dyDescent="0.3">
      <c r="A896" s="23">
        <v>6107885</v>
      </c>
      <c r="B896" s="23" t="s">
        <v>1796</v>
      </c>
      <c r="C896" s="40">
        <v>134.16999999999999</v>
      </c>
      <c r="D896" s="24">
        <v>19</v>
      </c>
      <c r="E896" t="e">
        <f>_xlfn.XLOOKUP(A896,'[1]query (5)'!$C:$C,'[1]query (5)'!$A:$A)</f>
        <v>#N/A</v>
      </c>
    </row>
    <row r="897" spans="1:5" x14ac:dyDescent="0.3">
      <c r="A897" s="23">
        <v>6107886</v>
      </c>
      <c r="B897" s="23" t="s">
        <v>1797</v>
      </c>
      <c r="C897" s="40">
        <v>4.96</v>
      </c>
      <c r="D897" s="24">
        <v>1</v>
      </c>
      <c r="E897" t="e">
        <f>_xlfn.XLOOKUP(A897,'[1]query (5)'!$C:$C,'[1]query (5)'!$A:$A)</f>
        <v>#N/A</v>
      </c>
    </row>
    <row r="898" spans="1:5" x14ac:dyDescent="0.3">
      <c r="A898" s="23">
        <v>6107890</v>
      </c>
      <c r="B898" s="23" t="s">
        <v>1794</v>
      </c>
      <c r="C898" s="40">
        <v>33.909999999999997</v>
      </c>
      <c r="D898" s="24">
        <v>5</v>
      </c>
      <c r="E898" t="e">
        <f>_xlfn.XLOOKUP(A898,'[1]query (5)'!$C:$C,'[1]query (5)'!$A:$A)</f>
        <v>#N/A</v>
      </c>
    </row>
    <row r="899" spans="1:5" x14ac:dyDescent="0.3">
      <c r="A899" s="23">
        <v>6107900</v>
      </c>
      <c r="B899" s="23" t="s">
        <v>1787</v>
      </c>
      <c r="C899" s="40">
        <v>83.12</v>
      </c>
      <c r="D899" s="24">
        <v>18</v>
      </c>
      <c r="E899" t="e">
        <f>_xlfn.XLOOKUP(A899,'[1]query (5)'!$C:$C,'[1]query (5)'!$A:$A)</f>
        <v>#N/A</v>
      </c>
    </row>
    <row r="900" spans="1:5" x14ac:dyDescent="0.3">
      <c r="A900" s="23">
        <v>6107901</v>
      </c>
      <c r="B900" s="23" t="s">
        <v>1788</v>
      </c>
      <c r="C900" s="40">
        <v>233.29</v>
      </c>
      <c r="D900" s="24">
        <v>12</v>
      </c>
      <c r="E900" t="e">
        <f>_xlfn.XLOOKUP(A900,'[1]query (5)'!$C:$C,'[1]query (5)'!$A:$A)</f>
        <v>#N/A</v>
      </c>
    </row>
    <row r="901" spans="1:5" x14ac:dyDescent="0.3">
      <c r="A901" s="23">
        <v>6107904</v>
      </c>
      <c r="B901" s="23" t="s">
        <v>1786</v>
      </c>
      <c r="C901" s="40">
        <v>20.29</v>
      </c>
      <c r="D901" s="24">
        <v>4</v>
      </c>
      <c r="E901" t="e">
        <f>_xlfn.XLOOKUP(A901,'[1]query (5)'!$C:$C,'[1]query (5)'!$A:$A)</f>
        <v>#N/A</v>
      </c>
    </row>
    <row r="902" spans="1:5" x14ac:dyDescent="0.3">
      <c r="A902" s="23">
        <v>6107909</v>
      </c>
      <c r="B902" s="23" t="s">
        <v>1789</v>
      </c>
      <c r="C902" s="40">
        <v>114.4</v>
      </c>
      <c r="D902" s="24">
        <v>22</v>
      </c>
      <c r="E902" t="e">
        <f>_xlfn.XLOOKUP(A902,'[1]query (5)'!$C:$C,'[1]query (5)'!$A:$A)</f>
        <v>#N/A</v>
      </c>
    </row>
    <row r="903" spans="1:5" x14ac:dyDescent="0.3">
      <c r="A903" s="23">
        <v>6107911</v>
      </c>
      <c r="B903" s="23" t="s">
        <v>1793</v>
      </c>
      <c r="C903" s="40">
        <v>7.28</v>
      </c>
      <c r="D903" s="24">
        <v>2</v>
      </c>
      <c r="E903" t="e">
        <f>_xlfn.XLOOKUP(A903,'[1]query (5)'!$C:$C,'[1]query (5)'!$A:$A)</f>
        <v>#N/A</v>
      </c>
    </row>
    <row r="904" spans="1:5" x14ac:dyDescent="0.3">
      <c r="A904" s="23">
        <v>6107915</v>
      </c>
      <c r="B904" s="23" t="s">
        <v>2710</v>
      </c>
      <c r="C904" s="40">
        <v>6.22</v>
      </c>
      <c r="D904" s="24">
        <v>1</v>
      </c>
      <c r="E904" t="e">
        <f>_xlfn.XLOOKUP(A904,'[1]query (5)'!$C:$C,'[1]query (5)'!$A:$A)</f>
        <v>#N/A</v>
      </c>
    </row>
    <row r="905" spans="1:5" x14ac:dyDescent="0.3">
      <c r="A905" s="23">
        <v>6107916</v>
      </c>
      <c r="B905" s="23" t="s">
        <v>5258</v>
      </c>
      <c r="C905" s="40">
        <v>115.51</v>
      </c>
      <c r="D905" s="24">
        <v>7</v>
      </c>
      <c r="E905" t="e">
        <f>_xlfn.XLOOKUP(A905,'[1]query (5)'!$C:$C,'[1]query (5)'!$A:$A)</f>
        <v>#N/A</v>
      </c>
    </row>
    <row r="906" spans="1:5" x14ac:dyDescent="0.3">
      <c r="A906" s="23">
        <v>6107918</v>
      </c>
      <c r="B906" s="23" t="s">
        <v>1710</v>
      </c>
      <c r="C906" s="40">
        <v>38.18</v>
      </c>
      <c r="D906" s="24">
        <v>19</v>
      </c>
      <c r="E906" t="e">
        <f>_xlfn.XLOOKUP(A906,'[1]query (5)'!$C:$C,'[1]query (5)'!$A:$A)</f>
        <v>#N/A</v>
      </c>
    </row>
    <row r="907" spans="1:5" x14ac:dyDescent="0.3">
      <c r="A907" s="23">
        <v>6107920</v>
      </c>
      <c r="B907" s="23" t="s">
        <v>2711</v>
      </c>
      <c r="C907" s="40">
        <v>97.25</v>
      </c>
      <c r="D907" s="24">
        <v>11</v>
      </c>
      <c r="E907" t="e">
        <f>_xlfn.XLOOKUP(A907,'[1]query (5)'!$C:$C,'[1]query (5)'!$A:$A)</f>
        <v>#N/A</v>
      </c>
    </row>
    <row r="908" spans="1:5" x14ac:dyDescent="0.3">
      <c r="A908" s="23">
        <v>6107921</v>
      </c>
      <c r="B908" s="23" t="s">
        <v>1820</v>
      </c>
      <c r="C908" s="40">
        <v>123.48</v>
      </c>
      <c r="D908" s="24">
        <v>14</v>
      </c>
      <c r="E908" t="e">
        <f>_xlfn.XLOOKUP(A908,'[1]query (5)'!$C:$C,'[1]query (5)'!$A:$A)</f>
        <v>#N/A</v>
      </c>
    </row>
    <row r="909" spans="1:5" x14ac:dyDescent="0.3">
      <c r="A909" s="23">
        <v>6107925</v>
      </c>
      <c r="B909" s="23" t="s">
        <v>1709</v>
      </c>
      <c r="C909" s="40">
        <v>184.48</v>
      </c>
      <c r="D909" s="24">
        <v>23</v>
      </c>
      <c r="E909" t="e">
        <f>_xlfn.XLOOKUP(A909,'[1]query (5)'!$C:$C,'[1]query (5)'!$A:$A)</f>
        <v>#N/A</v>
      </c>
    </row>
    <row r="910" spans="1:5" x14ac:dyDescent="0.3">
      <c r="A910" s="23">
        <v>6107936</v>
      </c>
      <c r="B910" s="23" t="s">
        <v>2712</v>
      </c>
      <c r="C910" s="40">
        <v>41.58</v>
      </c>
      <c r="D910" s="24">
        <v>2</v>
      </c>
      <c r="E910" t="e">
        <f>_xlfn.XLOOKUP(A910,'[1]query (5)'!$C:$C,'[1]query (5)'!$A:$A)</f>
        <v>#N/A</v>
      </c>
    </row>
    <row r="911" spans="1:5" x14ac:dyDescent="0.3">
      <c r="A911" s="23">
        <v>6107952</v>
      </c>
      <c r="B911" s="23" t="s">
        <v>1847</v>
      </c>
      <c r="C911" s="40">
        <v>80.48</v>
      </c>
      <c r="D911" s="24">
        <v>4</v>
      </c>
      <c r="E911" t="e">
        <f>_xlfn.XLOOKUP(A911,'[1]query (5)'!$C:$C,'[1]query (5)'!$A:$A)</f>
        <v>#N/A</v>
      </c>
    </row>
    <row r="912" spans="1:5" x14ac:dyDescent="0.3">
      <c r="A912" s="23">
        <v>6107955</v>
      </c>
      <c r="B912" s="23" t="s">
        <v>1848</v>
      </c>
      <c r="C912" s="40">
        <v>20.56</v>
      </c>
      <c r="D912" s="24">
        <v>2</v>
      </c>
      <c r="E912" t="e">
        <f>_xlfn.XLOOKUP(A912,'[1]query (5)'!$C:$C,'[1]query (5)'!$A:$A)</f>
        <v>#N/A</v>
      </c>
    </row>
    <row r="913" spans="1:5" x14ac:dyDescent="0.3">
      <c r="A913" s="23">
        <v>6107956</v>
      </c>
      <c r="B913" s="23" t="s">
        <v>1849</v>
      </c>
      <c r="C913" s="40">
        <v>68.5</v>
      </c>
      <c r="D913" s="24">
        <v>6</v>
      </c>
      <c r="E913" t="e">
        <f>_xlfn.XLOOKUP(A913,'[1]query (5)'!$C:$C,'[1]query (5)'!$A:$A)</f>
        <v>#N/A</v>
      </c>
    </row>
    <row r="914" spans="1:5" x14ac:dyDescent="0.3">
      <c r="A914" s="23">
        <v>6107957</v>
      </c>
      <c r="B914" s="23" t="s">
        <v>1850</v>
      </c>
      <c r="C914" s="40">
        <v>52.32</v>
      </c>
      <c r="D914" s="24">
        <v>3</v>
      </c>
      <c r="E914" t="e">
        <f>_xlfn.XLOOKUP(A914,'[1]query (5)'!$C:$C,'[1]query (5)'!$A:$A)</f>
        <v>#N/A</v>
      </c>
    </row>
    <row r="915" spans="1:5" x14ac:dyDescent="0.3">
      <c r="A915" s="23">
        <v>6107964</v>
      </c>
      <c r="B915" s="23" t="s">
        <v>1851</v>
      </c>
      <c r="C915" s="40">
        <v>183.64</v>
      </c>
      <c r="D915" s="24">
        <v>8</v>
      </c>
      <c r="E915" t="e">
        <f>_xlfn.XLOOKUP(A915,'[1]query (5)'!$C:$C,'[1]query (5)'!$A:$A)</f>
        <v>#N/A</v>
      </c>
    </row>
    <row r="916" spans="1:5" x14ac:dyDescent="0.3">
      <c r="A916" s="23">
        <v>6107969</v>
      </c>
      <c r="B916" s="23" t="s">
        <v>1860</v>
      </c>
      <c r="C916" s="40">
        <v>116.98</v>
      </c>
      <c r="D916" s="24">
        <v>10</v>
      </c>
      <c r="E916" t="e">
        <f>_xlfn.XLOOKUP(A916,'[1]query (5)'!$C:$C,'[1]query (5)'!$A:$A)</f>
        <v>#N/A</v>
      </c>
    </row>
    <row r="917" spans="1:5" x14ac:dyDescent="0.3">
      <c r="A917" s="23">
        <v>6107970</v>
      </c>
      <c r="B917" s="23" t="s">
        <v>1861</v>
      </c>
      <c r="C917" s="40">
        <v>39.56</v>
      </c>
      <c r="D917" s="24">
        <v>2</v>
      </c>
      <c r="E917" t="e">
        <f>_xlfn.XLOOKUP(A917,'[1]query (5)'!$C:$C,'[1]query (5)'!$A:$A)</f>
        <v>#N/A</v>
      </c>
    </row>
    <row r="918" spans="1:5" x14ac:dyDescent="0.3">
      <c r="A918" s="23">
        <v>6107976</v>
      </c>
      <c r="B918" s="23" t="s">
        <v>1840</v>
      </c>
      <c r="C918" s="40">
        <v>828.34</v>
      </c>
      <c r="D918" s="24">
        <v>131</v>
      </c>
      <c r="E918" t="e">
        <f>_xlfn.XLOOKUP(A918,'[1]query (5)'!$C:$C,'[1]query (5)'!$A:$A)</f>
        <v>#N/A</v>
      </c>
    </row>
    <row r="919" spans="1:5" x14ac:dyDescent="0.3">
      <c r="A919" s="23">
        <v>6107977</v>
      </c>
      <c r="B919" s="23" t="s">
        <v>1864</v>
      </c>
      <c r="C919" s="40">
        <v>30.38</v>
      </c>
      <c r="D919" s="24">
        <v>6</v>
      </c>
      <c r="E919" t="e">
        <f>_xlfn.XLOOKUP(A919,'[1]query (5)'!$C:$C,'[1]query (5)'!$A:$A)</f>
        <v>#N/A</v>
      </c>
    </row>
    <row r="920" spans="1:5" x14ac:dyDescent="0.3">
      <c r="A920" s="23">
        <v>6107978</v>
      </c>
      <c r="B920" s="23" t="s">
        <v>1843</v>
      </c>
      <c r="C920" s="40">
        <v>189.78</v>
      </c>
      <c r="D920" s="24">
        <v>20</v>
      </c>
      <c r="E920" t="e">
        <f>_xlfn.XLOOKUP(A920,'[1]query (5)'!$C:$C,'[1]query (5)'!$A:$A)</f>
        <v>#N/A</v>
      </c>
    </row>
    <row r="921" spans="1:5" x14ac:dyDescent="0.3">
      <c r="A921" s="23">
        <v>6107980</v>
      </c>
      <c r="B921" s="23" t="s">
        <v>2452</v>
      </c>
      <c r="C921" s="40">
        <v>240.15</v>
      </c>
      <c r="D921" s="24">
        <v>33</v>
      </c>
      <c r="E921" t="e">
        <f>_xlfn.XLOOKUP(A921,'[1]query (5)'!$C:$C,'[1]query (5)'!$A:$A)</f>
        <v>#N/A</v>
      </c>
    </row>
    <row r="922" spans="1:5" x14ac:dyDescent="0.3">
      <c r="A922" s="23">
        <v>6107984</v>
      </c>
      <c r="B922" s="23" t="s">
        <v>1846</v>
      </c>
      <c r="C922" s="40">
        <v>27.2</v>
      </c>
      <c r="D922" s="24">
        <v>4</v>
      </c>
      <c r="E922" t="e">
        <f>_xlfn.XLOOKUP(A922,'[1]query (5)'!$C:$C,'[1]query (5)'!$A:$A)</f>
        <v>#N/A</v>
      </c>
    </row>
    <row r="923" spans="1:5" x14ac:dyDescent="0.3">
      <c r="A923" s="23">
        <v>6107986</v>
      </c>
      <c r="B923" s="23" t="s">
        <v>1863</v>
      </c>
      <c r="C923" s="40">
        <v>3.52</v>
      </c>
      <c r="D923" s="24">
        <v>1</v>
      </c>
      <c r="E923" t="e">
        <f>_xlfn.XLOOKUP(A923,'[1]query (5)'!$C:$C,'[1]query (5)'!$A:$A)</f>
        <v>#N/A</v>
      </c>
    </row>
    <row r="924" spans="1:5" x14ac:dyDescent="0.3">
      <c r="A924" s="23">
        <v>6107987</v>
      </c>
      <c r="B924" s="23" t="s">
        <v>2453</v>
      </c>
      <c r="C924" s="40">
        <v>385.87</v>
      </c>
      <c r="D924" s="24">
        <v>43</v>
      </c>
      <c r="E924" t="e">
        <f>_xlfn.XLOOKUP(A924,'[1]query (5)'!$C:$C,'[1]query (5)'!$A:$A)</f>
        <v>#N/A</v>
      </c>
    </row>
    <row r="925" spans="1:5" x14ac:dyDescent="0.3">
      <c r="A925" s="23">
        <v>6107988</v>
      </c>
      <c r="B925" s="23" t="s">
        <v>2454</v>
      </c>
      <c r="C925" s="40">
        <v>519.75</v>
      </c>
      <c r="D925" s="24">
        <v>12</v>
      </c>
      <c r="E925" t="e">
        <f>_xlfn.XLOOKUP(A925,'[1]query (5)'!$C:$C,'[1]query (5)'!$A:$A)</f>
        <v>#N/A</v>
      </c>
    </row>
    <row r="926" spans="1:5" x14ac:dyDescent="0.3">
      <c r="A926" s="23">
        <v>6108019</v>
      </c>
      <c r="B926" s="23" t="s">
        <v>1852</v>
      </c>
      <c r="C926" s="40">
        <v>40.72</v>
      </c>
      <c r="D926" s="24">
        <v>2</v>
      </c>
      <c r="E926" t="e">
        <f>_xlfn.XLOOKUP(A926,'[1]query (5)'!$C:$C,'[1]query (5)'!$A:$A)</f>
        <v>#N/A</v>
      </c>
    </row>
    <row r="927" spans="1:5" x14ac:dyDescent="0.3">
      <c r="A927" s="23">
        <v>6108022</v>
      </c>
      <c r="B927" s="23" t="s">
        <v>1839</v>
      </c>
      <c r="C927" s="40">
        <v>51.34</v>
      </c>
      <c r="D927" s="24">
        <v>10</v>
      </c>
      <c r="E927" t="e">
        <f>_xlfn.XLOOKUP(A927,'[1]query (5)'!$C:$C,'[1]query (5)'!$A:$A)</f>
        <v>#N/A</v>
      </c>
    </row>
    <row r="928" spans="1:5" x14ac:dyDescent="0.3">
      <c r="A928" s="23">
        <v>6108024</v>
      </c>
      <c r="B928" s="23" t="s">
        <v>2713</v>
      </c>
      <c r="C928" s="40">
        <v>9.4</v>
      </c>
      <c r="D928" s="24">
        <v>2</v>
      </c>
      <c r="E928" t="e">
        <f>_xlfn.XLOOKUP(A928,'[1]query (5)'!$C:$C,'[1]query (5)'!$A:$A)</f>
        <v>#N/A</v>
      </c>
    </row>
    <row r="929" spans="1:5" x14ac:dyDescent="0.3">
      <c r="A929" s="23">
        <v>6108530</v>
      </c>
      <c r="B929" s="23" t="s">
        <v>2714</v>
      </c>
      <c r="C929" s="40">
        <v>23.65</v>
      </c>
      <c r="D929" s="24">
        <v>1</v>
      </c>
      <c r="E929" t="e">
        <f>_xlfn.XLOOKUP(A929,'[1]query (5)'!$C:$C,'[1]query (5)'!$A:$A)</f>
        <v>#N/A</v>
      </c>
    </row>
    <row r="930" spans="1:5" x14ac:dyDescent="0.3">
      <c r="A930" s="23">
        <v>6108532</v>
      </c>
      <c r="B930" s="23" t="s">
        <v>1778</v>
      </c>
      <c r="C930" s="40">
        <v>22.42</v>
      </c>
      <c r="D930" s="24">
        <v>1</v>
      </c>
      <c r="E930" t="e">
        <f>_xlfn.XLOOKUP(A930,'[1]query (5)'!$C:$C,'[1]query (5)'!$A:$A)</f>
        <v>#N/A</v>
      </c>
    </row>
    <row r="931" spans="1:5" x14ac:dyDescent="0.3">
      <c r="A931" s="23">
        <v>6108953</v>
      </c>
      <c r="B931" s="23" t="s">
        <v>2455</v>
      </c>
      <c r="C931" s="40">
        <v>31.36</v>
      </c>
      <c r="D931" s="24">
        <v>5</v>
      </c>
      <c r="E931" t="e">
        <f>_xlfn.XLOOKUP(A931,'[1]query (5)'!$C:$C,'[1]query (5)'!$A:$A)</f>
        <v>#N/A</v>
      </c>
    </row>
    <row r="932" spans="1:5" x14ac:dyDescent="0.3">
      <c r="A932" s="23">
        <v>6108955</v>
      </c>
      <c r="B932" s="23" t="s">
        <v>2456</v>
      </c>
      <c r="C932" s="40">
        <v>80.209999999999994</v>
      </c>
      <c r="D932" s="24">
        <v>13</v>
      </c>
      <c r="E932" t="e">
        <f>_xlfn.XLOOKUP(A932,'[1]query (5)'!$C:$C,'[1]query (5)'!$A:$A)</f>
        <v>#N/A</v>
      </c>
    </row>
    <row r="933" spans="1:5" x14ac:dyDescent="0.3">
      <c r="A933" s="23">
        <v>6108962</v>
      </c>
      <c r="B933" s="23" t="s">
        <v>2457</v>
      </c>
      <c r="C933" s="40">
        <v>169.35</v>
      </c>
      <c r="D933" s="24">
        <v>27</v>
      </c>
      <c r="E933" t="e">
        <f>_xlfn.XLOOKUP(A933,'[1]query (5)'!$C:$C,'[1]query (5)'!$A:$A)</f>
        <v>#N/A</v>
      </c>
    </row>
    <row r="934" spans="1:5" x14ac:dyDescent="0.3">
      <c r="A934" s="23">
        <v>6108980</v>
      </c>
      <c r="B934" s="23" t="s">
        <v>2715</v>
      </c>
      <c r="C934" s="40">
        <v>34.1</v>
      </c>
      <c r="D934" s="24">
        <v>6</v>
      </c>
      <c r="E934" t="e">
        <f>_xlfn.XLOOKUP(A934,'[1]query (5)'!$C:$C,'[1]query (5)'!$A:$A)</f>
        <v>#N/A</v>
      </c>
    </row>
    <row r="935" spans="1:5" x14ac:dyDescent="0.3">
      <c r="A935" s="23">
        <v>6125148</v>
      </c>
      <c r="B935" s="23" t="s">
        <v>2458</v>
      </c>
      <c r="C935" s="40">
        <v>99.78</v>
      </c>
      <c r="D935" s="24">
        <v>2</v>
      </c>
      <c r="E935" t="e">
        <f>_xlfn.XLOOKUP(A935,'[1]query (5)'!$C:$C,'[1]query (5)'!$A:$A)</f>
        <v>#N/A</v>
      </c>
    </row>
    <row r="936" spans="1:5" x14ac:dyDescent="0.3">
      <c r="A936" s="23">
        <v>6130342</v>
      </c>
      <c r="B936" s="23" t="s">
        <v>2716</v>
      </c>
      <c r="C936" s="40">
        <v>276.49</v>
      </c>
      <c r="D936" s="24">
        <v>6</v>
      </c>
      <c r="E936" t="e">
        <f>_xlfn.XLOOKUP(A936,'[1]query (5)'!$C:$C,'[1]query (5)'!$A:$A)</f>
        <v>#N/A</v>
      </c>
    </row>
    <row r="937" spans="1:5" x14ac:dyDescent="0.3">
      <c r="A937" s="23">
        <v>6131331</v>
      </c>
      <c r="B937" s="23" t="s">
        <v>2717</v>
      </c>
      <c r="C937" s="40">
        <v>106.11</v>
      </c>
      <c r="D937" s="24">
        <v>13</v>
      </c>
      <c r="E937" t="e">
        <f>_xlfn.XLOOKUP(A937,'[1]query (5)'!$C:$C,'[1]query (5)'!$A:$A)</f>
        <v>#N/A</v>
      </c>
    </row>
    <row r="938" spans="1:5" x14ac:dyDescent="0.3">
      <c r="A938" s="23">
        <v>6133412</v>
      </c>
      <c r="B938" s="23" t="s">
        <v>1905</v>
      </c>
      <c r="C938" s="40">
        <v>354.44</v>
      </c>
      <c r="D938" s="24">
        <v>43</v>
      </c>
      <c r="E938" t="e">
        <f>_xlfn.XLOOKUP(A938,'[1]query (5)'!$C:$C,'[1]query (5)'!$A:$A)</f>
        <v>#N/A</v>
      </c>
    </row>
    <row r="939" spans="1:5" x14ac:dyDescent="0.3">
      <c r="A939" s="23">
        <v>6141007</v>
      </c>
      <c r="B939" s="23" t="s">
        <v>1795</v>
      </c>
      <c r="C939" s="40">
        <v>121.63</v>
      </c>
      <c r="D939" s="24">
        <v>5</v>
      </c>
      <c r="E939" t="e">
        <f>_xlfn.XLOOKUP(A939,'[1]query (5)'!$C:$C,'[1]query (5)'!$A:$A)</f>
        <v>#N/A</v>
      </c>
    </row>
    <row r="940" spans="1:5" x14ac:dyDescent="0.3">
      <c r="A940" s="23">
        <v>6141479</v>
      </c>
      <c r="B940" s="23" t="s">
        <v>1739</v>
      </c>
      <c r="C940" s="40">
        <v>44.67</v>
      </c>
      <c r="D940" s="24">
        <v>4</v>
      </c>
      <c r="E940" t="e">
        <f>_xlfn.XLOOKUP(A940,'[1]query (5)'!$C:$C,'[1]query (5)'!$A:$A)</f>
        <v>#N/A</v>
      </c>
    </row>
    <row r="941" spans="1:5" x14ac:dyDescent="0.3">
      <c r="A941" s="23">
        <v>6142663</v>
      </c>
      <c r="B941" s="23" t="s">
        <v>1856</v>
      </c>
      <c r="C941" s="40">
        <v>207</v>
      </c>
      <c r="D941" s="24">
        <v>8</v>
      </c>
      <c r="E941" t="e">
        <f>_xlfn.XLOOKUP(A941,'[1]query (5)'!$C:$C,'[1]query (5)'!$A:$A)</f>
        <v>#N/A</v>
      </c>
    </row>
    <row r="942" spans="1:5" x14ac:dyDescent="0.3">
      <c r="A942" s="23">
        <v>6142664</v>
      </c>
      <c r="B942" s="23" t="s">
        <v>2718</v>
      </c>
      <c r="C942" s="40">
        <v>70.98</v>
      </c>
      <c r="D942" s="24">
        <v>2</v>
      </c>
      <c r="E942" t="e">
        <f>_xlfn.XLOOKUP(A942,'[1]query (5)'!$C:$C,'[1]query (5)'!$A:$A)</f>
        <v>#N/A</v>
      </c>
    </row>
    <row r="943" spans="1:5" x14ac:dyDescent="0.3">
      <c r="A943" s="23">
        <v>6142665</v>
      </c>
      <c r="B943" s="23" t="s">
        <v>1862</v>
      </c>
      <c r="C943" s="40">
        <v>145.08000000000001</v>
      </c>
      <c r="D943" s="24">
        <v>15</v>
      </c>
      <c r="E943" t="e">
        <f>_xlfn.XLOOKUP(A943,'[1]query (5)'!$C:$C,'[1]query (5)'!$A:$A)</f>
        <v>#N/A</v>
      </c>
    </row>
    <row r="944" spans="1:5" x14ac:dyDescent="0.3">
      <c r="A944" s="23">
        <v>6142695</v>
      </c>
      <c r="B944" s="23" t="s">
        <v>1854</v>
      </c>
      <c r="C944" s="40">
        <v>135.44</v>
      </c>
      <c r="D944" s="24">
        <v>8</v>
      </c>
      <c r="E944" t="e">
        <f>_xlfn.XLOOKUP(A944,'[1]query (5)'!$C:$C,'[1]query (5)'!$A:$A)</f>
        <v>#N/A</v>
      </c>
    </row>
    <row r="945" spans="1:5" x14ac:dyDescent="0.3">
      <c r="A945" s="23">
        <v>6142696</v>
      </c>
      <c r="B945" s="23" t="s">
        <v>1855</v>
      </c>
      <c r="C945" s="40">
        <v>295.45</v>
      </c>
      <c r="D945" s="24">
        <v>15</v>
      </c>
      <c r="E945" t="e">
        <f>_xlfn.XLOOKUP(A945,'[1]query (5)'!$C:$C,'[1]query (5)'!$A:$A)</f>
        <v>#N/A</v>
      </c>
    </row>
    <row r="946" spans="1:5" x14ac:dyDescent="0.3">
      <c r="A946" s="23">
        <v>6143245</v>
      </c>
      <c r="B946" s="23" t="s">
        <v>2719</v>
      </c>
      <c r="C946" s="40">
        <v>9.94</v>
      </c>
      <c r="D946" s="24">
        <v>2</v>
      </c>
      <c r="E946" t="e">
        <f>_xlfn.XLOOKUP(A946,'[1]query (5)'!$C:$C,'[1]query (5)'!$A:$A)</f>
        <v>#N/A</v>
      </c>
    </row>
    <row r="947" spans="1:5" x14ac:dyDescent="0.3">
      <c r="A947" s="23">
        <v>6183826</v>
      </c>
      <c r="B947" s="23" t="s">
        <v>1541</v>
      </c>
      <c r="C947" s="40">
        <v>151.04</v>
      </c>
      <c r="D947" s="24">
        <v>54</v>
      </c>
      <c r="E947" t="e">
        <f>_xlfn.XLOOKUP(A947,'[1]query (5)'!$C:$C,'[1]query (5)'!$A:$A)</f>
        <v>#N/A</v>
      </c>
    </row>
    <row r="948" spans="1:5" x14ac:dyDescent="0.3">
      <c r="A948" s="23">
        <v>6183827</v>
      </c>
      <c r="B948" s="23" t="s">
        <v>1556</v>
      </c>
      <c r="C948" s="40">
        <v>3571.8</v>
      </c>
      <c r="D948" s="24">
        <v>303</v>
      </c>
      <c r="E948" t="e">
        <f>_xlfn.XLOOKUP(A948,'[1]query (5)'!$C:$C,'[1]query (5)'!$A:$A)</f>
        <v>#N/A</v>
      </c>
    </row>
    <row r="949" spans="1:5" x14ac:dyDescent="0.3">
      <c r="A949" s="23">
        <v>6183828</v>
      </c>
      <c r="B949" s="23" t="s">
        <v>1345</v>
      </c>
      <c r="C949" s="40">
        <v>69.78</v>
      </c>
      <c r="D949" s="24">
        <v>7</v>
      </c>
      <c r="E949" t="e">
        <f>_xlfn.XLOOKUP(A949,'[1]query (5)'!$C:$C,'[1]query (5)'!$A:$A)</f>
        <v>#N/A</v>
      </c>
    </row>
    <row r="950" spans="1:5" x14ac:dyDescent="0.3">
      <c r="A950" s="23">
        <v>6183829</v>
      </c>
      <c r="B950" s="23" t="s">
        <v>1344</v>
      </c>
      <c r="C950" s="40">
        <v>51.4</v>
      </c>
      <c r="D950" s="24">
        <v>4</v>
      </c>
      <c r="E950" t="e">
        <f>_xlfn.XLOOKUP(A950,'[1]query (5)'!$C:$C,'[1]query (5)'!$A:$A)</f>
        <v>#N/A</v>
      </c>
    </row>
    <row r="951" spans="1:5" x14ac:dyDescent="0.3">
      <c r="A951" s="23">
        <v>6183836</v>
      </c>
      <c r="B951" s="23" t="s">
        <v>2720</v>
      </c>
      <c r="C951" s="40">
        <v>1965.07</v>
      </c>
      <c r="D951" s="24">
        <v>240</v>
      </c>
      <c r="E951" t="e">
        <f>_xlfn.XLOOKUP(A951,'[1]query (5)'!$C:$C,'[1]query (5)'!$A:$A)</f>
        <v>#N/A</v>
      </c>
    </row>
    <row r="952" spans="1:5" x14ac:dyDescent="0.3">
      <c r="A952" s="23">
        <v>6183837</v>
      </c>
      <c r="B952" s="23" t="s">
        <v>2721</v>
      </c>
      <c r="C952" s="40">
        <v>19.8</v>
      </c>
      <c r="D952" s="24">
        <v>3</v>
      </c>
      <c r="E952" t="e">
        <f>_xlfn.XLOOKUP(A952,'[1]query (5)'!$C:$C,'[1]query (5)'!$A:$A)</f>
        <v>#N/A</v>
      </c>
    </row>
    <row r="953" spans="1:5" x14ac:dyDescent="0.3">
      <c r="A953" s="23">
        <v>6183838</v>
      </c>
      <c r="B953" s="23" t="s">
        <v>2722</v>
      </c>
      <c r="C953" s="40">
        <v>109.03</v>
      </c>
      <c r="D953" s="24">
        <v>23</v>
      </c>
      <c r="E953" t="e">
        <f>_xlfn.XLOOKUP(A953,'[1]query (5)'!$C:$C,'[1]query (5)'!$A:$A)</f>
        <v>#N/A</v>
      </c>
    </row>
    <row r="954" spans="1:5" x14ac:dyDescent="0.3">
      <c r="A954" s="23">
        <v>6183839</v>
      </c>
      <c r="B954" s="23" t="s">
        <v>2723</v>
      </c>
      <c r="C954" s="40">
        <v>66.64</v>
      </c>
      <c r="D954" s="24">
        <v>8</v>
      </c>
      <c r="E954" t="e">
        <f>_xlfn.XLOOKUP(A954,'[1]query (5)'!$C:$C,'[1]query (5)'!$A:$A)</f>
        <v>#N/A</v>
      </c>
    </row>
    <row r="955" spans="1:5" x14ac:dyDescent="0.3">
      <c r="A955" s="23">
        <v>6183840</v>
      </c>
      <c r="B955" s="23" t="s">
        <v>2724</v>
      </c>
      <c r="C955" s="40">
        <v>731.75</v>
      </c>
      <c r="D955" s="24">
        <v>286</v>
      </c>
      <c r="E955" t="e">
        <f>_xlfn.XLOOKUP(A955,'[1]query (5)'!$C:$C,'[1]query (5)'!$A:$A)</f>
        <v>#N/A</v>
      </c>
    </row>
    <row r="956" spans="1:5" x14ac:dyDescent="0.3">
      <c r="A956" s="23">
        <v>6183851</v>
      </c>
      <c r="B956" s="23" t="s">
        <v>2725</v>
      </c>
      <c r="C956" s="40">
        <v>236.11</v>
      </c>
      <c r="D956" s="24">
        <v>110</v>
      </c>
      <c r="E956" t="e">
        <f>_xlfn.XLOOKUP(A956,'[1]query (5)'!$C:$C,'[1]query (5)'!$A:$A)</f>
        <v>#N/A</v>
      </c>
    </row>
    <row r="957" spans="1:5" x14ac:dyDescent="0.3">
      <c r="A957" s="23">
        <v>6183852</v>
      </c>
      <c r="B957" s="23" t="s">
        <v>2726</v>
      </c>
      <c r="C957" s="40">
        <v>34.65</v>
      </c>
      <c r="D957" s="24">
        <v>26</v>
      </c>
      <c r="E957" t="e">
        <f>_xlfn.XLOOKUP(A957,'[1]query (5)'!$C:$C,'[1]query (5)'!$A:$A)</f>
        <v>#N/A</v>
      </c>
    </row>
    <row r="958" spans="1:5" x14ac:dyDescent="0.3">
      <c r="A958" s="23">
        <v>6183854</v>
      </c>
      <c r="B958" s="23" t="s">
        <v>1550</v>
      </c>
      <c r="C958" s="40">
        <v>22.2</v>
      </c>
      <c r="D958" s="24">
        <v>5</v>
      </c>
      <c r="E958" t="e">
        <f>_xlfn.XLOOKUP(A958,'[1]query (5)'!$C:$C,'[1]query (5)'!$A:$A)</f>
        <v>#N/A</v>
      </c>
    </row>
    <row r="959" spans="1:5" x14ac:dyDescent="0.3">
      <c r="A959" s="23">
        <v>6183855</v>
      </c>
      <c r="B959" s="23" t="s">
        <v>1497</v>
      </c>
      <c r="C959" s="40">
        <v>1511.78</v>
      </c>
      <c r="D959" s="24">
        <v>122</v>
      </c>
      <c r="E959" t="e">
        <f>_xlfn.XLOOKUP(A959,'[1]query (5)'!$C:$C,'[1]query (5)'!$A:$A)</f>
        <v>#N/A</v>
      </c>
    </row>
    <row r="960" spans="1:5" x14ac:dyDescent="0.3">
      <c r="A960" s="23">
        <v>6183856</v>
      </c>
      <c r="B960" s="23" t="s">
        <v>1498</v>
      </c>
      <c r="C960" s="40">
        <v>983.47</v>
      </c>
      <c r="D960" s="24">
        <v>62</v>
      </c>
      <c r="E960" t="e">
        <f>_xlfn.XLOOKUP(A960,'[1]query (5)'!$C:$C,'[1]query (5)'!$A:$A)</f>
        <v>#N/A</v>
      </c>
    </row>
    <row r="961" spans="1:5" x14ac:dyDescent="0.3">
      <c r="A961" s="23">
        <v>6183857</v>
      </c>
      <c r="B961" s="23" t="s">
        <v>1499</v>
      </c>
      <c r="C961" s="40">
        <v>977.47</v>
      </c>
      <c r="D961" s="24">
        <v>46</v>
      </c>
      <c r="E961" t="e">
        <f>_xlfn.XLOOKUP(A961,'[1]query (5)'!$C:$C,'[1]query (5)'!$A:$A)</f>
        <v>#N/A</v>
      </c>
    </row>
    <row r="962" spans="1:5" x14ac:dyDescent="0.3">
      <c r="A962" s="23">
        <v>6183858</v>
      </c>
      <c r="B962" s="23" t="s">
        <v>1473</v>
      </c>
      <c r="C962" s="40">
        <v>1848.19</v>
      </c>
      <c r="D962" s="24">
        <v>457</v>
      </c>
      <c r="E962" t="e">
        <f>_xlfn.XLOOKUP(A962,'[1]query (5)'!$C:$C,'[1]query (5)'!$A:$A)</f>
        <v>#N/A</v>
      </c>
    </row>
    <row r="963" spans="1:5" x14ac:dyDescent="0.3">
      <c r="A963" s="23">
        <v>6183859</v>
      </c>
      <c r="B963" s="23" t="s">
        <v>1578</v>
      </c>
      <c r="C963" s="40">
        <v>353.57</v>
      </c>
      <c r="D963" s="24">
        <v>70</v>
      </c>
      <c r="E963" t="e">
        <f>_xlfn.XLOOKUP(A963,'[1]query (5)'!$C:$C,'[1]query (5)'!$A:$A)</f>
        <v>#N/A</v>
      </c>
    </row>
    <row r="964" spans="1:5" x14ac:dyDescent="0.3">
      <c r="A964" s="23">
        <v>6183860</v>
      </c>
      <c r="B964" s="23" t="s">
        <v>1508</v>
      </c>
      <c r="C964" s="40">
        <v>89.88</v>
      </c>
      <c r="D964" s="24">
        <v>9</v>
      </c>
      <c r="E964" t="e">
        <f>_xlfn.XLOOKUP(A964,'[1]query (5)'!$C:$C,'[1]query (5)'!$A:$A)</f>
        <v>#N/A</v>
      </c>
    </row>
    <row r="965" spans="1:5" x14ac:dyDescent="0.3">
      <c r="A965" s="23">
        <v>6183861</v>
      </c>
      <c r="B965" s="23" t="s">
        <v>1507</v>
      </c>
      <c r="C965" s="40">
        <v>426.57</v>
      </c>
      <c r="D965" s="24">
        <v>63</v>
      </c>
      <c r="E965" t="e">
        <f>_xlfn.XLOOKUP(A965,'[1]query (5)'!$C:$C,'[1]query (5)'!$A:$A)</f>
        <v>#N/A</v>
      </c>
    </row>
    <row r="966" spans="1:5" x14ac:dyDescent="0.3">
      <c r="A966" s="23">
        <v>6183862</v>
      </c>
      <c r="B966" s="23" t="s">
        <v>1579</v>
      </c>
      <c r="C966" s="40">
        <v>392.07</v>
      </c>
      <c r="D966" s="24">
        <v>188</v>
      </c>
      <c r="E966" t="e">
        <f>_xlfn.XLOOKUP(A966,'[1]query (5)'!$C:$C,'[1]query (5)'!$A:$A)</f>
        <v>#N/A</v>
      </c>
    </row>
    <row r="967" spans="1:5" x14ac:dyDescent="0.3">
      <c r="A967" s="23">
        <v>6183864</v>
      </c>
      <c r="B967" s="23" t="s">
        <v>1542</v>
      </c>
      <c r="C967" s="40">
        <v>1238.08</v>
      </c>
      <c r="D967" s="24">
        <v>774</v>
      </c>
      <c r="E967" t="e">
        <f>_xlfn.XLOOKUP(A967,'[1]query (5)'!$C:$C,'[1]query (5)'!$A:$A)</f>
        <v>#N/A</v>
      </c>
    </row>
    <row r="968" spans="1:5" x14ac:dyDescent="0.3">
      <c r="A968" s="23">
        <v>6183865</v>
      </c>
      <c r="B968" s="23" t="s">
        <v>1563</v>
      </c>
      <c r="C968" s="40">
        <v>174.3</v>
      </c>
      <c r="D968" s="24">
        <v>27</v>
      </c>
      <c r="E968" t="e">
        <f>_xlfn.XLOOKUP(A968,'[1]query (5)'!$C:$C,'[1]query (5)'!$A:$A)</f>
        <v>#N/A</v>
      </c>
    </row>
    <row r="969" spans="1:5" x14ac:dyDescent="0.3">
      <c r="A969" s="23">
        <v>6183866</v>
      </c>
      <c r="B969" s="23" t="s">
        <v>1559</v>
      </c>
      <c r="C969" s="40">
        <v>1096.4100000000001</v>
      </c>
      <c r="D969" s="24">
        <v>540</v>
      </c>
      <c r="E969" t="e">
        <f>_xlfn.XLOOKUP(A969,'[1]query (5)'!$C:$C,'[1]query (5)'!$A:$A)</f>
        <v>#N/A</v>
      </c>
    </row>
    <row r="970" spans="1:5" x14ac:dyDescent="0.3">
      <c r="A970" s="23">
        <v>6183867</v>
      </c>
      <c r="B970" s="23" t="s">
        <v>1576</v>
      </c>
      <c r="C970" s="40">
        <v>161.37</v>
      </c>
      <c r="D970" s="24">
        <v>28</v>
      </c>
      <c r="E970" t="e">
        <f>_xlfn.XLOOKUP(A970,'[1]query (5)'!$C:$C,'[1]query (5)'!$A:$A)</f>
        <v>#N/A</v>
      </c>
    </row>
    <row r="971" spans="1:5" x14ac:dyDescent="0.3">
      <c r="A971" s="23">
        <v>6183868</v>
      </c>
      <c r="B971" s="23" t="s">
        <v>1557</v>
      </c>
      <c r="C971" s="40">
        <v>149.19</v>
      </c>
      <c r="D971" s="24">
        <v>59</v>
      </c>
      <c r="E971" t="e">
        <f>_xlfn.XLOOKUP(A971,'[1]query (5)'!$C:$C,'[1]query (5)'!$A:$A)</f>
        <v>#N/A</v>
      </c>
    </row>
    <row r="972" spans="1:5" x14ac:dyDescent="0.3">
      <c r="A972" s="23">
        <v>6183869</v>
      </c>
      <c r="B972" s="23" t="s">
        <v>1511</v>
      </c>
      <c r="C972" s="40">
        <v>73.95</v>
      </c>
      <c r="D972" s="24">
        <v>65</v>
      </c>
      <c r="E972" t="e">
        <f>_xlfn.XLOOKUP(A972,'[1]query (5)'!$C:$C,'[1]query (5)'!$A:$A)</f>
        <v>#N/A</v>
      </c>
    </row>
    <row r="973" spans="1:5" x14ac:dyDescent="0.3">
      <c r="A973" s="23">
        <v>6183871</v>
      </c>
      <c r="B973" s="23" t="s">
        <v>1553</v>
      </c>
      <c r="C973" s="40">
        <v>430.46</v>
      </c>
      <c r="D973" s="24">
        <v>42</v>
      </c>
      <c r="E973" t="e">
        <f>_xlfn.XLOOKUP(A973,'[1]query (5)'!$C:$C,'[1]query (5)'!$A:$A)</f>
        <v>#N/A</v>
      </c>
    </row>
    <row r="974" spans="1:5" x14ac:dyDescent="0.3">
      <c r="A974" s="23">
        <v>6183873</v>
      </c>
      <c r="B974" s="23" t="s">
        <v>1552</v>
      </c>
      <c r="C974" s="40">
        <v>43.91</v>
      </c>
      <c r="D974" s="24">
        <v>9</v>
      </c>
      <c r="E974" t="e">
        <f>_xlfn.XLOOKUP(A974,'[1]query (5)'!$C:$C,'[1]query (5)'!$A:$A)</f>
        <v>#N/A</v>
      </c>
    </row>
    <row r="975" spans="1:5" x14ac:dyDescent="0.3">
      <c r="A975" s="23">
        <v>6183874</v>
      </c>
      <c r="B975" s="23" t="s">
        <v>1574</v>
      </c>
      <c r="C975" s="40">
        <v>23.24</v>
      </c>
      <c r="D975" s="24">
        <v>4</v>
      </c>
      <c r="E975" t="e">
        <f>_xlfn.XLOOKUP(A975,'[1]query (5)'!$C:$C,'[1]query (5)'!$A:$A)</f>
        <v>#N/A</v>
      </c>
    </row>
    <row r="976" spans="1:5" x14ac:dyDescent="0.3">
      <c r="A976" s="23">
        <v>6183875</v>
      </c>
      <c r="B976" s="23" t="s">
        <v>1540</v>
      </c>
      <c r="C976" s="40">
        <v>3330.67</v>
      </c>
      <c r="D976" s="24">
        <v>310</v>
      </c>
      <c r="E976" t="e">
        <f>_xlfn.XLOOKUP(A976,'[1]query (5)'!$C:$C,'[1]query (5)'!$A:$A)</f>
        <v>#N/A</v>
      </c>
    </row>
    <row r="977" spans="1:5" x14ac:dyDescent="0.3">
      <c r="A977" s="23">
        <v>6183891</v>
      </c>
      <c r="B977" s="23" t="s">
        <v>1347</v>
      </c>
      <c r="C977" s="40">
        <v>30.57</v>
      </c>
      <c r="D977" s="24">
        <v>4</v>
      </c>
      <c r="E977" t="e">
        <f>_xlfn.XLOOKUP(A977,'[1]query (5)'!$C:$C,'[1]query (5)'!$A:$A)</f>
        <v>#N/A</v>
      </c>
    </row>
    <row r="978" spans="1:5" x14ac:dyDescent="0.3">
      <c r="A978" s="23">
        <v>6183892</v>
      </c>
      <c r="B978" s="23" t="s">
        <v>1531</v>
      </c>
      <c r="C978" s="40">
        <v>578.63</v>
      </c>
      <c r="D978" s="24">
        <v>82</v>
      </c>
      <c r="E978" t="e">
        <f>_xlfn.XLOOKUP(A978,'[1]query (5)'!$C:$C,'[1]query (5)'!$A:$A)</f>
        <v>#N/A</v>
      </c>
    </row>
    <row r="979" spans="1:5" x14ac:dyDescent="0.3">
      <c r="A979" s="23">
        <v>6183893</v>
      </c>
      <c r="B979" s="23" t="s">
        <v>1528</v>
      </c>
      <c r="C979" s="40">
        <v>669.52</v>
      </c>
      <c r="D979" s="24">
        <v>60</v>
      </c>
      <c r="E979" t="e">
        <f>_xlfn.XLOOKUP(A979,'[1]query (5)'!$C:$C,'[1]query (5)'!$A:$A)</f>
        <v>#N/A</v>
      </c>
    </row>
    <row r="980" spans="1:5" x14ac:dyDescent="0.3">
      <c r="A980" s="23">
        <v>6183894</v>
      </c>
      <c r="B980" s="23" t="s">
        <v>1529</v>
      </c>
      <c r="C980" s="40">
        <v>36.14</v>
      </c>
      <c r="D980" s="24">
        <v>3</v>
      </c>
      <c r="E980" t="e">
        <f>_xlfn.XLOOKUP(A980,'[1]query (5)'!$C:$C,'[1]query (5)'!$A:$A)</f>
        <v>#N/A</v>
      </c>
    </row>
    <row r="981" spans="1:5" x14ac:dyDescent="0.3">
      <c r="A981" s="23">
        <v>6183896</v>
      </c>
      <c r="B981" s="23" t="s">
        <v>1523</v>
      </c>
      <c r="C981" s="40">
        <v>64.8</v>
      </c>
      <c r="D981" s="24">
        <v>48</v>
      </c>
      <c r="E981" t="e">
        <f>_xlfn.XLOOKUP(A981,'[1]query (5)'!$C:$C,'[1]query (5)'!$A:$A)</f>
        <v>#N/A</v>
      </c>
    </row>
    <row r="982" spans="1:5" x14ac:dyDescent="0.3">
      <c r="A982" s="23">
        <v>6183897</v>
      </c>
      <c r="B982" s="23" t="s">
        <v>1568</v>
      </c>
      <c r="C982" s="40">
        <v>348.34</v>
      </c>
      <c r="D982" s="24">
        <v>78</v>
      </c>
      <c r="E982" t="e">
        <f>_xlfn.XLOOKUP(A982,'[1]query (5)'!$C:$C,'[1]query (5)'!$A:$A)</f>
        <v>#N/A</v>
      </c>
    </row>
    <row r="983" spans="1:5" x14ac:dyDescent="0.3">
      <c r="A983" s="23">
        <v>6183898</v>
      </c>
      <c r="B983" s="23" t="s">
        <v>1496</v>
      </c>
      <c r="C983" s="40">
        <v>117.27</v>
      </c>
      <c r="D983" s="24">
        <v>21</v>
      </c>
      <c r="E983" t="e">
        <f>_xlfn.XLOOKUP(A983,'[1]query (5)'!$C:$C,'[1]query (5)'!$A:$A)</f>
        <v>#N/A</v>
      </c>
    </row>
    <row r="984" spans="1:5" x14ac:dyDescent="0.3">
      <c r="A984" s="23">
        <v>6183899</v>
      </c>
      <c r="B984" s="23" t="s">
        <v>1900</v>
      </c>
      <c r="C984" s="40">
        <v>7865.65</v>
      </c>
      <c r="D984" s="24">
        <v>327</v>
      </c>
      <c r="E984" t="e">
        <f>_xlfn.XLOOKUP(A984,'[1]query (5)'!$C:$C,'[1]query (5)'!$A:$A)</f>
        <v>#N/A</v>
      </c>
    </row>
    <row r="985" spans="1:5" x14ac:dyDescent="0.3">
      <c r="A985" s="23">
        <v>6183900</v>
      </c>
      <c r="B985" s="23" t="s">
        <v>1597</v>
      </c>
      <c r="C985" s="40">
        <v>1044.42</v>
      </c>
      <c r="D985" s="24">
        <v>102</v>
      </c>
      <c r="E985" t="e">
        <f>_xlfn.XLOOKUP(A985,'[1]query (5)'!$C:$C,'[1]query (5)'!$A:$A)</f>
        <v>#N/A</v>
      </c>
    </row>
    <row r="986" spans="1:5" x14ac:dyDescent="0.3">
      <c r="A986" s="23">
        <v>6183901</v>
      </c>
      <c r="B986" s="23" t="s">
        <v>1596</v>
      </c>
      <c r="C986" s="40">
        <v>196.27</v>
      </c>
      <c r="D986" s="24">
        <v>15</v>
      </c>
      <c r="E986" t="e">
        <f>_xlfn.XLOOKUP(A986,'[1]query (5)'!$C:$C,'[1]query (5)'!$A:$A)</f>
        <v>#N/A</v>
      </c>
    </row>
    <row r="987" spans="1:5" x14ac:dyDescent="0.3">
      <c r="A987" s="23">
        <v>6183902</v>
      </c>
      <c r="B987" s="23" t="s">
        <v>1598</v>
      </c>
      <c r="C987" s="40">
        <v>65.97</v>
      </c>
      <c r="D987" s="24">
        <v>9</v>
      </c>
      <c r="E987" t="e">
        <f>_xlfn.XLOOKUP(A987,'[1]query (5)'!$C:$C,'[1]query (5)'!$A:$A)</f>
        <v>#N/A</v>
      </c>
    </row>
    <row r="988" spans="1:5" x14ac:dyDescent="0.3">
      <c r="A988" s="23">
        <v>6183903</v>
      </c>
      <c r="B988" s="23" t="s">
        <v>1532</v>
      </c>
      <c r="C988" s="40">
        <v>345.72</v>
      </c>
      <c r="D988" s="24">
        <v>26</v>
      </c>
      <c r="E988" t="e">
        <f>_xlfn.XLOOKUP(A988,'[1]query (5)'!$C:$C,'[1]query (5)'!$A:$A)</f>
        <v>#N/A</v>
      </c>
    </row>
    <row r="989" spans="1:5" x14ac:dyDescent="0.3">
      <c r="A989" s="23">
        <v>6183904</v>
      </c>
      <c r="B989" s="23" t="s">
        <v>1329</v>
      </c>
      <c r="C989" s="40">
        <v>2224.2399999999998</v>
      </c>
      <c r="D989" s="24">
        <v>167</v>
      </c>
      <c r="E989" t="e">
        <f>_xlfn.XLOOKUP(A989,'[1]query (5)'!$C:$C,'[1]query (5)'!$A:$A)</f>
        <v>#N/A</v>
      </c>
    </row>
    <row r="990" spans="1:5" x14ac:dyDescent="0.3">
      <c r="A990" s="23">
        <v>6183905</v>
      </c>
      <c r="B990" s="23" t="s">
        <v>1330</v>
      </c>
      <c r="C990" s="40">
        <v>519.35</v>
      </c>
      <c r="D990" s="24">
        <v>48</v>
      </c>
      <c r="E990" t="e">
        <f>_xlfn.XLOOKUP(A990,'[1]query (5)'!$C:$C,'[1]query (5)'!$A:$A)</f>
        <v>#N/A</v>
      </c>
    </row>
    <row r="991" spans="1:5" x14ac:dyDescent="0.3">
      <c r="A991" s="23">
        <v>6183906</v>
      </c>
      <c r="B991" s="23" t="s">
        <v>1520</v>
      </c>
      <c r="C991" s="40">
        <v>737.41</v>
      </c>
      <c r="D991" s="24">
        <v>62</v>
      </c>
      <c r="E991" t="e">
        <f>_xlfn.XLOOKUP(A991,'[1]query (5)'!$C:$C,'[1]query (5)'!$A:$A)</f>
        <v>#N/A</v>
      </c>
    </row>
    <row r="992" spans="1:5" x14ac:dyDescent="0.3">
      <c r="A992" s="23">
        <v>6183907</v>
      </c>
      <c r="B992" s="23" t="s">
        <v>1566</v>
      </c>
      <c r="C992" s="40">
        <v>208.31</v>
      </c>
      <c r="D992" s="24">
        <v>108</v>
      </c>
      <c r="E992" t="e">
        <f>_xlfn.XLOOKUP(A992,'[1]query (5)'!$C:$C,'[1]query (5)'!$A:$A)</f>
        <v>#N/A</v>
      </c>
    </row>
    <row r="993" spans="1:5" x14ac:dyDescent="0.3">
      <c r="A993" s="23">
        <v>6183908</v>
      </c>
      <c r="B993" s="23" t="s">
        <v>1565</v>
      </c>
      <c r="C993" s="40">
        <v>72.790000000000006</v>
      </c>
      <c r="D993" s="24">
        <v>25</v>
      </c>
      <c r="E993" t="e">
        <f>_xlfn.XLOOKUP(A993,'[1]query (5)'!$C:$C,'[1]query (5)'!$A:$A)</f>
        <v>#N/A</v>
      </c>
    </row>
    <row r="994" spans="1:5" x14ac:dyDescent="0.3">
      <c r="A994" s="23">
        <v>6183909</v>
      </c>
      <c r="B994" s="23" t="s">
        <v>1567</v>
      </c>
      <c r="C994" s="40">
        <v>2077.27</v>
      </c>
      <c r="D994" s="24">
        <v>273</v>
      </c>
      <c r="E994" t="e">
        <f>_xlfn.XLOOKUP(A994,'[1]query (5)'!$C:$C,'[1]query (5)'!$A:$A)</f>
        <v>#N/A</v>
      </c>
    </row>
    <row r="995" spans="1:5" x14ac:dyDescent="0.3">
      <c r="A995" s="23">
        <v>6183910</v>
      </c>
      <c r="B995" s="23" t="s">
        <v>1512</v>
      </c>
      <c r="C995" s="40">
        <v>91.02</v>
      </c>
      <c r="D995" s="24">
        <v>18</v>
      </c>
      <c r="E995" t="e">
        <f>_xlfn.XLOOKUP(A995,'[1]query (5)'!$C:$C,'[1]query (5)'!$A:$A)</f>
        <v>#N/A</v>
      </c>
    </row>
    <row r="996" spans="1:5" x14ac:dyDescent="0.3">
      <c r="A996" s="23">
        <v>6183921</v>
      </c>
      <c r="B996" s="23" t="s">
        <v>1513</v>
      </c>
      <c r="C996" s="40">
        <v>64.650000000000006</v>
      </c>
      <c r="D996" s="24">
        <v>15</v>
      </c>
      <c r="E996" t="e">
        <f>_xlfn.XLOOKUP(A996,'[1]query (5)'!$C:$C,'[1]query (5)'!$A:$A)</f>
        <v>#N/A</v>
      </c>
    </row>
    <row r="997" spans="1:5" x14ac:dyDescent="0.3">
      <c r="A997" s="23">
        <v>6183922</v>
      </c>
      <c r="B997" s="23" t="s">
        <v>1585</v>
      </c>
      <c r="C997" s="40">
        <v>70.22</v>
      </c>
      <c r="D997" s="24">
        <v>14</v>
      </c>
      <c r="E997" t="e">
        <f>_xlfn.XLOOKUP(A997,'[1]query (5)'!$C:$C,'[1]query (5)'!$A:$A)</f>
        <v>#N/A</v>
      </c>
    </row>
    <row r="998" spans="1:5" x14ac:dyDescent="0.3">
      <c r="A998" s="23">
        <v>6183923</v>
      </c>
      <c r="B998" s="23" t="s">
        <v>1586</v>
      </c>
      <c r="C998" s="40">
        <v>60.9</v>
      </c>
      <c r="D998" s="24">
        <v>11</v>
      </c>
      <c r="E998" t="e">
        <f>_xlfn.XLOOKUP(A998,'[1]query (5)'!$C:$C,'[1]query (5)'!$A:$A)</f>
        <v>#N/A</v>
      </c>
    </row>
    <row r="999" spans="1:5" x14ac:dyDescent="0.3">
      <c r="A999" s="23">
        <v>6183924</v>
      </c>
      <c r="B999" s="23" t="s">
        <v>1526</v>
      </c>
      <c r="C999" s="40">
        <v>302.64</v>
      </c>
      <c r="D999" s="24">
        <v>46</v>
      </c>
      <c r="E999" t="e">
        <f>_xlfn.XLOOKUP(A999,'[1]query (5)'!$C:$C,'[1]query (5)'!$A:$A)</f>
        <v>#N/A</v>
      </c>
    </row>
    <row r="1000" spans="1:5" x14ac:dyDescent="0.3">
      <c r="A1000" s="23">
        <v>6183925</v>
      </c>
      <c r="B1000" s="23" t="s">
        <v>1527</v>
      </c>
      <c r="C1000" s="40">
        <v>69.83</v>
      </c>
      <c r="D1000" s="24">
        <v>36</v>
      </c>
      <c r="E1000" t="e">
        <f>_xlfn.XLOOKUP(A1000,'[1]query (5)'!$C:$C,'[1]query (5)'!$A:$A)</f>
        <v>#N/A</v>
      </c>
    </row>
    <row r="1001" spans="1:5" x14ac:dyDescent="0.3">
      <c r="A1001" s="23">
        <v>6183926</v>
      </c>
      <c r="B1001" s="23" t="s">
        <v>1519</v>
      </c>
      <c r="C1001" s="40">
        <v>120.95</v>
      </c>
      <c r="D1001" s="24">
        <v>37</v>
      </c>
      <c r="E1001" t="e">
        <f>_xlfn.XLOOKUP(A1001,'[1]query (5)'!$C:$C,'[1]query (5)'!$A:$A)</f>
        <v>#N/A</v>
      </c>
    </row>
    <row r="1002" spans="1:5" x14ac:dyDescent="0.3">
      <c r="A1002" s="23">
        <v>6183927</v>
      </c>
      <c r="B1002" s="23" t="s">
        <v>1561</v>
      </c>
      <c r="C1002" s="40">
        <v>9.8699999999999992</v>
      </c>
      <c r="D1002" s="24">
        <v>3</v>
      </c>
      <c r="E1002" t="e">
        <f>_xlfn.XLOOKUP(A1002,'[1]query (5)'!$C:$C,'[1]query (5)'!$A:$A)</f>
        <v>#N/A</v>
      </c>
    </row>
    <row r="1003" spans="1:5" x14ac:dyDescent="0.3">
      <c r="A1003" s="23">
        <v>6183928</v>
      </c>
      <c r="B1003" s="23" t="s">
        <v>1562</v>
      </c>
      <c r="C1003" s="40">
        <v>2.38</v>
      </c>
      <c r="D1003" s="24">
        <v>1</v>
      </c>
      <c r="E1003" t="e">
        <f>_xlfn.XLOOKUP(A1003,'[1]query (5)'!$C:$C,'[1]query (5)'!$A:$A)</f>
        <v>#N/A</v>
      </c>
    </row>
    <row r="1004" spans="1:5" x14ac:dyDescent="0.3">
      <c r="A1004" s="23">
        <v>6183929</v>
      </c>
      <c r="B1004" s="23" t="s">
        <v>2727</v>
      </c>
      <c r="C1004" s="40">
        <v>4.82</v>
      </c>
      <c r="D1004" s="24">
        <v>1</v>
      </c>
      <c r="E1004" t="e">
        <f>_xlfn.XLOOKUP(A1004,'[1]query (5)'!$C:$C,'[1]query (5)'!$A:$A)</f>
        <v>#N/A</v>
      </c>
    </row>
    <row r="1005" spans="1:5" x14ac:dyDescent="0.3">
      <c r="A1005" s="23">
        <v>6183930</v>
      </c>
      <c r="B1005" s="23" t="s">
        <v>1582</v>
      </c>
      <c r="C1005" s="40">
        <v>29.36</v>
      </c>
      <c r="D1005" s="24">
        <v>5</v>
      </c>
      <c r="E1005" t="e">
        <f>_xlfn.XLOOKUP(A1005,'[1]query (5)'!$C:$C,'[1]query (5)'!$A:$A)</f>
        <v>#N/A</v>
      </c>
    </row>
    <row r="1006" spans="1:5" x14ac:dyDescent="0.3">
      <c r="A1006" s="23">
        <v>6183931</v>
      </c>
      <c r="B1006" s="23" t="s">
        <v>1337</v>
      </c>
      <c r="C1006" s="40">
        <v>57.29</v>
      </c>
      <c r="D1006" s="24">
        <v>8</v>
      </c>
      <c r="E1006" t="e">
        <f>_xlfn.XLOOKUP(A1006,'[1]query (5)'!$C:$C,'[1]query (5)'!$A:$A)</f>
        <v>#N/A</v>
      </c>
    </row>
    <row r="1007" spans="1:5" x14ac:dyDescent="0.3">
      <c r="A1007" s="23">
        <v>6183932</v>
      </c>
      <c r="B1007" s="23" t="s">
        <v>1338</v>
      </c>
      <c r="C1007" s="40">
        <v>117.76</v>
      </c>
      <c r="D1007" s="24">
        <v>16</v>
      </c>
      <c r="E1007" t="e">
        <f>_xlfn.XLOOKUP(A1007,'[1]query (5)'!$C:$C,'[1]query (5)'!$A:$A)</f>
        <v>#N/A</v>
      </c>
    </row>
    <row r="1008" spans="1:5" x14ac:dyDescent="0.3">
      <c r="A1008" s="23">
        <v>6183933</v>
      </c>
      <c r="B1008" s="23" t="s">
        <v>1339</v>
      </c>
      <c r="C1008" s="40">
        <v>98.01</v>
      </c>
      <c r="D1008" s="24">
        <v>11</v>
      </c>
      <c r="E1008" t="e">
        <f>_xlfn.XLOOKUP(A1008,'[1]query (5)'!$C:$C,'[1]query (5)'!$A:$A)</f>
        <v>#N/A</v>
      </c>
    </row>
    <row r="1009" spans="1:5" x14ac:dyDescent="0.3">
      <c r="A1009" s="23">
        <v>6183934</v>
      </c>
      <c r="B1009" s="23" t="s">
        <v>1340</v>
      </c>
      <c r="C1009" s="40">
        <v>110.23</v>
      </c>
      <c r="D1009" s="24">
        <v>11</v>
      </c>
      <c r="E1009" t="e">
        <f>_xlfn.XLOOKUP(A1009,'[1]query (5)'!$C:$C,'[1]query (5)'!$A:$A)</f>
        <v>#N/A</v>
      </c>
    </row>
    <row r="1010" spans="1:5" x14ac:dyDescent="0.3">
      <c r="A1010" s="23">
        <v>6183935</v>
      </c>
      <c r="B1010" s="23" t="s">
        <v>1335</v>
      </c>
      <c r="C1010" s="40">
        <v>124.99</v>
      </c>
      <c r="D1010" s="24">
        <v>14</v>
      </c>
      <c r="E1010" t="e">
        <f>_xlfn.XLOOKUP(A1010,'[1]query (5)'!$C:$C,'[1]query (5)'!$A:$A)</f>
        <v>#N/A</v>
      </c>
    </row>
    <row r="1011" spans="1:5" x14ac:dyDescent="0.3">
      <c r="A1011" s="23">
        <v>6183936</v>
      </c>
      <c r="B1011" s="23" t="s">
        <v>1336</v>
      </c>
      <c r="C1011" s="40">
        <v>40.6</v>
      </c>
      <c r="D1011" s="24">
        <v>5</v>
      </c>
      <c r="E1011" t="e">
        <f>_xlfn.XLOOKUP(A1011,'[1]query (5)'!$C:$C,'[1]query (5)'!$A:$A)</f>
        <v>#N/A</v>
      </c>
    </row>
    <row r="1012" spans="1:5" x14ac:dyDescent="0.3">
      <c r="A1012" s="23">
        <v>6183937</v>
      </c>
      <c r="B1012" s="23" t="s">
        <v>1341</v>
      </c>
      <c r="C1012" s="40">
        <v>82.08</v>
      </c>
      <c r="D1012" s="24">
        <v>11</v>
      </c>
      <c r="E1012" t="e">
        <f>_xlfn.XLOOKUP(A1012,'[1]query (5)'!$C:$C,'[1]query (5)'!$A:$A)</f>
        <v>#N/A</v>
      </c>
    </row>
    <row r="1013" spans="1:5" x14ac:dyDescent="0.3">
      <c r="A1013" s="23">
        <v>6183938</v>
      </c>
      <c r="B1013" s="23" t="s">
        <v>1342</v>
      </c>
      <c r="C1013" s="40">
        <v>74.430000000000007</v>
      </c>
      <c r="D1013" s="24">
        <v>9</v>
      </c>
      <c r="E1013" t="e">
        <f>_xlfn.XLOOKUP(A1013,'[1]query (5)'!$C:$C,'[1]query (5)'!$A:$A)</f>
        <v>#N/A</v>
      </c>
    </row>
    <row r="1014" spans="1:5" x14ac:dyDescent="0.3">
      <c r="A1014" s="23">
        <v>6183939</v>
      </c>
      <c r="B1014" s="23" t="s">
        <v>1343</v>
      </c>
      <c r="C1014" s="40">
        <v>63.59</v>
      </c>
      <c r="D1014" s="24">
        <v>6</v>
      </c>
      <c r="E1014" t="e">
        <f>_xlfn.XLOOKUP(A1014,'[1]query (5)'!$C:$C,'[1]query (5)'!$A:$A)</f>
        <v>#N/A</v>
      </c>
    </row>
    <row r="1015" spans="1:5" x14ac:dyDescent="0.3">
      <c r="A1015" s="23">
        <v>6183941</v>
      </c>
      <c r="B1015" s="23" t="s">
        <v>1572</v>
      </c>
      <c r="C1015" s="40">
        <v>16</v>
      </c>
      <c r="D1015" s="24">
        <v>2</v>
      </c>
      <c r="E1015" t="e">
        <f>_xlfn.XLOOKUP(A1015,'[1]query (5)'!$C:$C,'[1]query (5)'!$A:$A)</f>
        <v>#N/A</v>
      </c>
    </row>
    <row r="1016" spans="1:5" x14ac:dyDescent="0.3">
      <c r="A1016" s="23">
        <v>6183942</v>
      </c>
      <c r="B1016" s="23" t="s">
        <v>1487</v>
      </c>
      <c r="C1016" s="40">
        <v>133.19999999999999</v>
      </c>
      <c r="D1016" s="24">
        <v>20</v>
      </c>
      <c r="E1016" t="e">
        <f>_xlfn.XLOOKUP(A1016,'[1]query (5)'!$C:$C,'[1]query (5)'!$A:$A)</f>
        <v>#N/A</v>
      </c>
    </row>
    <row r="1017" spans="1:5" x14ac:dyDescent="0.3">
      <c r="A1017" s="23">
        <v>6183943</v>
      </c>
      <c r="B1017" s="23" t="s">
        <v>1488</v>
      </c>
      <c r="C1017" s="40">
        <v>403.73</v>
      </c>
      <c r="D1017" s="24">
        <v>60</v>
      </c>
      <c r="E1017" t="e">
        <f>_xlfn.XLOOKUP(A1017,'[1]query (5)'!$C:$C,'[1]query (5)'!$A:$A)</f>
        <v>#N/A</v>
      </c>
    </row>
    <row r="1018" spans="1:5" x14ac:dyDescent="0.3">
      <c r="A1018" s="23">
        <v>6183944</v>
      </c>
      <c r="B1018" s="23" t="s">
        <v>1489</v>
      </c>
      <c r="C1018" s="40">
        <v>1466.93</v>
      </c>
      <c r="D1018" s="24">
        <v>231</v>
      </c>
      <c r="E1018" t="e">
        <f>_xlfn.XLOOKUP(A1018,'[1]query (5)'!$C:$C,'[1]query (5)'!$A:$A)</f>
        <v>#N/A</v>
      </c>
    </row>
    <row r="1019" spans="1:5" x14ac:dyDescent="0.3">
      <c r="A1019" s="23">
        <v>6183945</v>
      </c>
      <c r="B1019" s="23" t="s">
        <v>1485</v>
      </c>
      <c r="C1019" s="40">
        <v>3155.26</v>
      </c>
      <c r="D1019" s="24">
        <v>498</v>
      </c>
      <c r="E1019" t="e">
        <f>_xlfn.XLOOKUP(A1019,'[1]query (5)'!$C:$C,'[1]query (5)'!$A:$A)</f>
        <v>#N/A</v>
      </c>
    </row>
    <row r="1020" spans="1:5" x14ac:dyDescent="0.3">
      <c r="A1020" s="23">
        <v>6183946</v>
      </c>
      <c r="B1020" s="23" t="s">
        <v>1490</v>
      </c>
      <c r="C1020" s="40">
        <v>638.38</v>
      </c>
      <c r="D1020" s="24">
        <v>31</v>
      </c>
      <c r="E1020" t="e">
        <f>_xlfn.XLOOKUP(A1020,'[1]query (5)'!$C:$C,'[1]query (5)'!$A:$A)</f>
        <v>#N/A</v>
      </c>
    </row>
    <row r="1021" spans="1:5" x14ac:dyDescent="0.3">
      <c r="A1021" s="23">
        <v>6183947</v>
      </c>
      <c r="B1021" s="23" t="s">
        <v>1486</v>
      </c>
      <c r="C1021" s="40">
        <v>2640.59</v>
      </c>
      <c r="D1021" s="24">
        <v>129</v>
      </c>
      <c r="E1021" t="e">
        <f>_xlfn.XLOOKUP(A1021,'[1]query (5)'!$C:$C,'[1]query (5)'!$A:$A)</f>
        <v>#N/A</v>
      </c>
    </row>
    <row r="1022" spans="1:5" x14ac:dyDescent="0.3">
      <c r="A1022" s="23">
        <v>6183948</v>
      </c>
      <c r="B1022" s="23" t="s">
        <v>1558</v>
      </c>
      <c r="C1022" s="40">
        <v>163.44</v>
      </c>
      <c r="D1022" s="24">
        <v>47</v>
      </c>
      <c r="E1022" t="e">
        <f>_xlfn.XLOOKUP(A1022,'[1]query (5)'!$C:$C,'[1]query (5)'!$A:$A)</f>
        <v>#N/A</v>
      </c>
    </row>
    <row r="1023" spans="1:5" x14ac:dyDescent="0.3">
      <c r="A1023" s="23">
        <v>6183949</v>
      </c>
      <c r="B1023" s="23" t="s">
        <v>1324</v>
      </c>
      <c r="C1023" s="40">
        <v>101.54</v>
      </c>
      <c r="D1023" s="24">
        <v>11</v>
      </c>
      <c r="E1023" t="e">
        <f>_xlfn.XLOOKUP(A1023,'[1]query (5)'!$C:$C,'[1]query (5)'!$A:$A)</f>
        <v>#N/A</v>
      </c>
    </row>
    <row r="1024" spans="1:5" x14ac:dyDescent="0.3">
      <c r="A1024" s="23">
        <v>6183950</v>
      </c>
      <c r="B1024" s="23" t="s">
        <v>1325</v>
      </c>
      <c r="C1024" s="40">
        <v>174.58</v>
      </c>
      <c r="D1024" s="24">
        <v>19</v>
      </c>
      <c r="E1024" t="e">
        <f>_xlfn.XLOOKUP(A1024,'[1]query (5)'!$C:$C,'[1]query (5)'!$A:$A)</f>
        <v>#N/A</v>
      </c>
    </row>
    <row r="1025" spans="1:5" x14ac:dyDescent="0.3">
      <c r="A1025" s="23">
        <v>6183951</v>
      </c>
      <c r="B1025" s="23" t="s">
        <v>1326</v>
      </c>
      <c r="C1025" s="40">
        <v>798.32</v>
      </c>
      <c r="D1025" s="24">
        <v>87</v>
      </c>
      <c r="E1025" t="e">
        <f>_xlfn.XLOOKUP(A1025,'[1]query (5)'!$C:$C,'[1]query (5)'!$A:$A)</f>
        <v>#N/A</v>
      </c>
    </row>
    <row r="1026" spans="1:5" x14ac:dyDescent="0.3">
      <c r="A1026" s="23">
        <v>6183952</v>
      </c>
      <c r="B1026" s="23" t="s">
        <v>1323</v>
      </c>
      <c r="C1026" s="40">
        <v>559.48</v>
      </c>
      <c r="D1026" s="24">
        <v>61</v>
      </c>
      <c r="E1026" t="e">
        <f>_xlfn.XLOOKUP(A1026,'[1]query (5)'!$C:$C,'[1]query (5)'!$A:$A)</f>
        <v>#N/A</v>
      </c>
    </row>
    <row r="1027" spans="1:5" x14ac:dyDescent="0.3">
      <c r="A1027" s="23">
        <v>6183954</v>
      </c>
      <c r="B1027" s="23" t="s">
        <v>1327</v>
      </c>
      <c r="C1027" s="40">
        <v>599.4</v>
      </c>
      <c r="D1027" s="24">
        <v>67</v>
      </c>
      <c r="E1027" t="e">
        <f>_xlfn.XLOOKUP(A1027,'[1]query (5)'!$C:$C,'[1]query (5)'!$A:$A)</f>
        <v>#N/A</v>
      </c>
    </row>
    <row r="1028" spans="1:5" x14ac:dyDescent="0.3">
      <c r="A1028" s="23">
        <v>6183955</v>
      </c>
      <c r="B1028" s="23" t="s">
        <v>1328</v>
      </c>
      <c r="C1028" s="40">
        <v>151.22</v>
      </c>
      <c r="D1028" s="24">
        <v>17</v>
      </c>
      <c r="E1028" t="e">
        <f>_xlfn.XLOOKUP(A1028,'[1]query (5)'!$C:$C,'[1]query (5)'!$A:$A)</f>
        <v>#N/A</v>
      </c>
    </row>
    <row r="1029" spans="1:5" x14ac:dyDescent="0.3">
      <c r="A1029" s="23">
        <v>6183959</v>
      </c>
      <c r="B1029" s="23" t="s">
        <v>1495</v>
      </c>
      <c r="C1029" s="40">
        <v>32.31</v>
      </c>
      <c r="D1029" s="24">
        <v>5</v>
      </c>
      <c r="E1029" t="e">
        <f>_xlfn.XLOOKUP(A1029,'[1]query (5)'!$C:$C,'[1]query (5)'!$A:$A)</f>
        <v>#N/A</v>
      </c>
    </row>
    <row r="1030" spans="1:5" x14ac:dyDescent="0.3">
      <c r="A1030" s="23">
        <v>6183964</v>
      </c>
      <c r="B1030" s="23" t="s">
        <v>1331</v>
      </c>
      <c r="C1030" s="40">
        <v>104.11</v>
      </c>
      <c r="D1030" s="24">
        <v>24</v>
      </c>
      <c r="E1030" t="e">
        <f>_xlfn.XLOOKUP(A1030,'[1]query (5)'!$C:$C,'[1]query (5)'!$A:$A)</f>
        <v>#N/A</v>
      </c>
    </row>
    <row r="1031" spans="1:5" x14ac:dyDescent="0.3">
      <c r="A1031" s="23">
        <v>6188290</v>
      </c>
      <c r="B1031" s="23" t="s">
        <v>2728</v>
      </c>
      <c r="C1031" s="40">
        <v>11.62</v>
      </c>
      <c r="D1031" s="24">
        <v>2</v>
      </c>
      <c r="E1031" t="e">
        <f>_xlfn.XLOOKUP(A1031,'[1]query (5)'!$C:$C,'[1]query (5)'!$A:$A)</f>
        <v>#N/A</v>
      </c>
    </row>
    <row r="1032" spans="1:5" x14ac:dyDescent="0.3">
      <c r="A1032" s="23">
        <v>6188759</v>
      </c>
      <c r="B1032" s="23" t="s">
        <v>1500</v>
      </c>
      <c r="C1032" s="40">
        <v>554.87</v>
      </c>
      <c r="D1032" s="24">
        <v>147</v>
      </c>
      <c r="E1032" t="e">
        <f>_xlfn.XLOOKUP(A1032,'[1]query (5)'!$C:$C,'[1]query (5)'!$A:$A)</f>
        <v>#N/A</v>
      </c>
    </row>
    <row r="1033" spans="1:5" x14ac:dyDescent="0.3">
      <c r="A1033" s="23">
        <v>6188760</v>
      </c>
      <c r="B1033" s="23" t="s">
        <v>1501</v>
      </c>
      <c r="C1033" s="40">
        <v>807.36</v>
      </c>
      <c r="D1033" s="24">
        <v>229</v>
      </c>
      <c r="E1033" t="e">
        <f>_xlfn.XLOOKUP(A1033,'[1]query (5)'!$C:$C,'[1]query (5)'!$A:$A)</f>
        <v>#N/A</v>
      </c>
    </row>
    <row r="1034" spans="1:5" x14ac:dyDescent="0.3">
      <c r="A1034" s="23">
        <v>6188818</v>
      </c>
      <c r="B1034" s="23" t="s">
        <v>1575</v>
      </c>
      <c r="C1034" s="40">
        <v>412.44</v>
      </c>
      <c r="D1034" s="24">
        <v>71</v>
      </c>
      <c r="E1034" t="e">
        <f>_xlfn.XLOOKUP(A1034,'[1]query (5)'!$C:$C,'[1]query (5)'!$A:$A)</f>
        <v>#N/A</v>
      </c>
    </row>
    <row r="1035" spans="1:5" x14ac:dyDescent="0.3">
      <c r="A1035" s="23">
        <v>6188819</v>
      </c>
      <c r="B1035" s="23" t="s">
        <v>1555</v>
      </c>
      <c r="C1035" s="40">
        <v>482.77</v>
      </c>
      <c r="D1035" s="24">
        <v>83</v>
      </c>
      <c r="E1035" t="e">
        <f>_xlfn.XLOOKUP(A1035,'[1]query (5)'!$C:$C,'[1]query (5)'!$A:$A)</f>
        <v>#N/A</v>
      </c>
    </row>
    <row r="1036" spans="1:5" x14ac:dyDescent="0.3">
      <c r="A1036" s="23">
        <v>6188820</v>
      </c>
      <c r="B1036" s="23" t="s">
        <v>1554</v>
      </c>
      <c r="C1036" s="40">
        <v>263.39</v>
      </c>
      <c r="D1036" s="24">
        <v>32</v>
      </c>
      <c r="E1036" t="e">
        <f>_xlfn.XLOOKUP(A1036,'[1]query (5)'!$C:$C,'[1]query (5)'!$A:$A)</f>
        <v>#N/A</v>
      </c>
    </row>
    <row r="1037" spans="1:5" x14ac:dyDescent="0.3">
      <c r="A1037" s="23">
        <v>6188829</v>
      </c>
      <c r="B1037" s="23" t="s">
        <v>2459</v>
      </c>
      <c r="C1037" s="40">
        <v>330.97</v>
      </c>
      <c r="D1037" s="24">
        <v>19</v>
      </c>
      <c r="E1037" t="e">
        <f>_xlfn.XLOOKUP(A1037,'[1]query (5)'!$C:$C,'[1]query (5)'!$A:$A)</f>
        <v>#N/A</v>
      </c>
    </row>
    <row r="1038" spans="1:5" x14ac:dyDescent="0.3">
      <c r="A1038" s="23">
        <v>6188831</v>
      </c>
      <c r="B1038" s="23" t="s">
        <v>1502</v>
      </c>
      <c r="C1038" s="40">
        <v>615.47</v>
      </c>
      <c r="D1038" s="24">
        <v>146</v>
      </c>
      <c r="E1038" t="e">
        <f>_xlfn.XLOOKUP(A1038,'[1]query (5)'!$C:$C,'[1]query (5)'!$A:$A)</f>
        <v>#N/A</v>
      </c>
    </row>
    <row r="1039" spans="1:5" x14ac:dyDescent="0.3">
      <c r="A1039" s="23">
        <v>6188833</v>
      </c>
      <c r="B1039" s="23" t="s">
        <v>1583</v>
      </c>
      <c r="C1039" s="40">
        <v>499.23</v>
      </c>
      <c r="D1039" s="24">
        <v>49</v>
      </c>
      <c r="E1039" t="e">
        <f>_xlfn.XLOOKUP(A1039,'[1]query (5)'!$C:$C,'[1]query (5)'!$A:$A)</f>
        <v>#N/A</v>
      </c>
    </row>
    <row r="1040" spans="1:5" x14ac:dyDescent="0.3">
      <c r="A1040" s="23">
        <v>6188834</v>
      </c>
      <c r="B1040" s="23" t="s">
        <v>1584</v>
      </c>
      <c r="C1040" s="40">
        <v>447.82</v>
      </c>
      <c r="D1040" s="24">
        <v>52</v>
      </c>
      <c r="E1040" t="e">
        <f>_xlfn.XLOOKUP(A1040,'[1]query (5)'!$C:$C,'[1]query (5)'!$A:$A)</f>
        <v>#N/A</v>
      </c>
    </row>
    <row r="1041" spans="1:5" x14ac:dyDescent="0.3">
      <c r="A1041" s="23">
        <v>6188835</v>
      </c>
      <c r="B1041" s="23" t="s">
        <v>1474</v>
      </c>
      <c r="C1041" s="40">
        <v>72.459999999999994</v>
      </c>
      <c r="D1041" s="24">
        <v>35</v>
      </c>
      <c r="E1041" t="e">
        <f>_xlfn.XLOOKUP(A1041,'[1]query (5)'!$C:$C,'[1]query (5)'!$A:$A)</f>
        <v>#N/A</v>
      </c>
    </row>
    <row r="1042" spans="1:5" x14ac:dyDescent="0.3">
      <c r="A1042" s="23">
        <v>6188836</v>
      </c>
      <c r="B1042" s="23" t="s">
        <v>1475</v>
      </c>
      <c r="C1042" s="40">
        <v>454.82</v>
      </c>
      <c r="D1042" s="24">
        <v>375</v>
      </c>
      <c r="E1042" t="e">
        <f>_xlfn.XLOOKUP(A1042,'[1]query (5)'!$C:$C,'[1]query (5)'!$A:$A)</f>
        <v>#N/A</v>
      </c>
    </row>
    <row r="1043" spans="1:5" x14ac:dyDescent="0.3">
      <c r="A1043" s="23">
        <v>6188838</v>
      </c>
      <c r="B1043" s="23" t="s">
        <v>1476</v>
      </c>
      <c r="C1043" s="40">
        <v>332.52</v>
      </c>
      <c r="D1043" s="24">
        <v>81</v>
      </c>
      <c r="E1043" t="e">
        <f>_xlfn.XLOOKUP(A1043,'[1]query (5)'!$C:$C,'[1]query (5)'!$A:$A)</f>
        <v>#N/A</v>
      </c>
    </row>
    <row r="1044" spans="1:5" x14ac:dyDescent="0.3">
      <c r="A1044" s="23">
        <v>6188839</v>
      </c>
      <c r="B1044" s="23" t="s">
        <v>1477</v>
      </c>
      <c r="C1044" s="40">
        <v>0.49</v>
      </c>
      <c r="D1044" s="24">
        <v>1</v>
      </c>
      <c r="E1044" t="e">
        <f>_xlfn.XLOOKUP(A1044,'[1]query (5)'!$C:$C,'[1]query (5)'!$A:$A)</f>
        <v>#N/A</v>
      </c>
    </row>
    <row r="1045" spans="1:5" x14ac:dyDescent="0.3">
      <c r="A1045" s="23">
        <v>6188841</v>
      </c>
      <c r="B1045" s="23" t="s">
        <v>1478</v>
      </c>
      <c r="C1045" s="40">
        <v>15.01</v>
      </c>
      <c r="D1045" s="24">
        <v>21</v>
      </c>
      <c r="E1045" t="e">
        <f>_xlfn.XLOOKUP(A1045,'[1]query (5)'!$C:$C,'[1]query (5)'!$A:$A)</f>
        <v>#N/A</v>
      </c>
    </row>
    <row r="1046" spans="1:5" x14ac:dyDescent="0.3">
      <c r="A1046" s="23">
        <v>6188843</v>
      </c>
      <c r="B1046" s="23" t="s">
        <v>1479</v>
      </c>
      <c r="C1046" s="40">
        <v>6.03</v>
      </c>
      <c r="D1046" s="24">
        <v>4</v>
      </c>
      <c r="E1046" t="e">
        <f>_xlfn.XLOOKUP(A1046,'[1]query (5)'!$C:$C,'[1]query (5)'!$A:$A)</f>
        <v>#N/A</v>
      </c>
    </row>
    <row r="1047" spans="1:5" x14ac:dyDescent="0.3">
      <c r="A1047" s="23">
        <v>6188849</v>
      </c>
      <c r="B1047" s="23" t="s">
        <v>1480</v>
      </c>
      <c r="C1047" s="40">
        <v>40.909999999999997</v>
      </c>
      <c r="D1047" s="24">
        <v>22</v>
      </c>
      <c r="E1047" t="e">
        <f>_xlfn.XLOOKUP(A1047,'[1]query (5)'!$C:$C,'[1]query (5)'!$A:$A)</f>
        <v>#N/A</v>
      </c>
    </row>
    <row r="1048" spans="1:5" x14ac:dyDescent="0.3">
      <c r="A1048" s="23">
        <v>6188851</v>
      </c>
      <c r="B1048" s="23" t="s">
        <v>1481</v>
      </c>
      <c r="C1048" s="40">
        <v>96.32</v>
      </c>
      <c r="D1048" s="24">
        <v>31</v>
      </c>
      <c r="E1048" t="e">
        <f>_xlfn.XLOOKUP(A1048,'[1]query (5)'!$C:$C,'[1]query (5)'!$A:$A)</f>
        <v>#N/A</v>
      </c>
    </row>
    <row r="1049" spans="1:5" x14ac:dyDescent="0.3">
      <c r="A1049" s="23">
        <v>6188854</v>
      </c>
      <c r="B1049" s="23" t="s">
        <v>1522</v>
      </c>
      <c r="C1049" s="40">
        <v>0</v>
      </c>
      <c r="D1049" s="25">
        <v>0</v>
      </c>
      <c r="E1049" t="e">
        <f>_xlfn.XLOOKUP(A1049,'[1]query (5)'!$C:$C,'[1]query (5)'!$A:$A)</f>
        <v>#N/A</v>
      </c>
    </row>
    <row r="1050" spans="1:5" x14ac:dyDescent="0.3">
      <c r="A1050" s="23">
        <v>6188858</v>
      </c>
      <c r="B1050" s="23" t="s">
        <v>1521</v>
      </c>
      <c r="C1050" s="40">
        <v>65.22</v>
      </c>
      <c r="D1050" s="24">
        <v>9</v>
      </c>
      <c r="E1050" t="e">
        <f>_xlfn.XLOOKUP(A1050,'[1]query (5)'!$C:$C,'[1]query (5)'!$A:$A)</f>
        <v>#N/A</v>
      </c>
    </row>
    <row r="1051" spans="1:5" x14ac:dyDescent="0.3">
      <c r="A1051" s="23">
        <v>6188859</v>
      </c>
      <c r="B1051" s="23" t="s">
        <v>1484</v>
      </c>
      <c r="C1051" s="40">
        <v>1363.72</v>
      </c>
      <c r="D1051" s="24">
        <v>386</v>
      </c>
      <c r="E1051" t="e">
        <f>_xlfn.XLOOKUP(A1051,'[1]query (5)'!$C:$C,'[1]query (5)'!$A:$A)</f>
        <v>#N/A</v>
      </c>
    </row>
    <row r="1052" spans="1:5" x14ac:dyDescent="0.3">
      <c r="A1052" s="23">
        <v>6188860</v>
      </c>
      <c r="B1052" s="23" t="s">
        <v>1482</v>
      </c>
      <c r="C1052" s="40">
        <v>3115.1</v>
      </c>
      <c r="D1052" s="24">
        <v>550</v>
      </c>
      <c r="E1052" t="e">
        <f>_xlfn.XLOOKUP(A1052,'[1]query (5)'!$C:$C,'[1]query (5)'!$A:$A)</f>
        <v>#N/A</v>
      </c>
    </row>
    <row r="1053" spans="1:5" x14ac:dyDescent="0.3">
      <c r="A1053" s="23">
        <v>6188861</v>
      </c>
      <c r="B1053" s="23" t="s">
        <v>1483</v>
      </c>
      <c r="C1053" s="40">
        <v>640.07000000000005</v>
      </c>
      <c r="D1053" s="24">
        <v>53</v>
      </c>
      <c r="E1053" t="e">
        <f>_xlfn.XLOOKUP(A1053,'[1]query (5)'!$C:$C,'[1]query (5)'!$A:$A)</f>
        <v>#N/A</v>
      </c>
    </row>
    <row r="1054" spans="1:5" x14ac:dyDescent="0.3">
      <c r="A1054" s="23">
        <v>6188862</v>
      </c>
      <c r="B1054" s="23" t="s">
        <v>1442</v>
      </c>
      <c r="C1054" s="40">
        <v>104.52</v>
      </c>
      <c r="D1054" s="24">
        <v>26</v>
      </c>
      <c r="E1054" t="e">
        <f>_xlfn.XLOOKUP(A1054,'[1]query (5)'!$C:$C,'[1]query (5)'!$A:$A)</f>
        <v>#N/A</v>
      </c>
    </row>
    <row r="1055" spans="1:5" x14ac:dyDescent="0.3">
      <c r="A1055" s="23">
        <v>6188863</v>
      </c>
      <c r="B1055" s="23" t="s">
        <v>1711</v>
      </c>
      <c r="C1055" s="40">
        <v>31.53</v>
      </c>
      <c r="D1055" s="24">
        <v>7</v>
      </c>
      <c r="E1055" t="e">
        <f>_xlfn.XLOOKUP(A1055,'[1]query (5)'!$C:$C,'[1]query (5)'!$A:$A)</f>
        <v>#N/A</v>
      </c>
    </row>
    <row r="1056" spans="1:5" x14ac:dyDescent="0.3">
      <c r="A1056" s="23">
        <v>6188864</v>
      </c>
      <c r="B1056" s="23" t="s">
        <v>1538</v>
      </c>
      <c r="C1056" s="40">
        <v>110.86</v>
      </c>
      <c r="D1056" s="24">
        <v>84</v>
      </c>
      <c r="E1056" t="e">
        <f>_xlfn.XLOOKUP(A1056,'[1]query (5)'!$C:$C,'[1]query (5)'!$A:$A)</f>
        <v>#N/A</v>
      </c>
    </row>
    <row r="1057" spans="1:5" x14ac:dyDescent="0.3">
      <c r="A1057" s="23">
        <v>6188865</v>
      </c>
      <c r="B1057" s="23" t="s">
        <v>1573</v>
      </c>
      <c r="C1057" s="40">
        <v>115.88</v>
      </c>
      <c r="D1057" s="24">
        <v>115</v>
      </c>
      <c r="E1057" t="e">
        <f>_xlfn.XLOOKUP(A1057,'[1]query (5)'!$C:$C,'[1]query (5)'!$A:$A)</f>
        <v>#N/A</v>
      </c>
    </row>
    <row r="1058" spans="1:5" x14ac:dyDescent="0.3">
      <c r="A1058" s="23">
        <v>6188866</v>
      </c>
      <c r="B1058" s="23" t="s">
        <v>1569</v>
      </c>
      <c r="C1058" s="40">
        <v>76.959999999999994</v>
      </c>
      <c r="D1058" s="24">
        <v>9</v>
      </c>
      <c r="E1058" t="e">
        <f>_xlfn.XLOOKUP(A1058,'[1]query (5)'!$C:$C,'[1]query (5)'!$A:$A)</f>
        <v>#N/A</v>
      </c>
    </row>
    <row r="1059" spans="1:5" x14ac:dyDescent="0.3">
      <c r="A1059" s="23">
        <v>6188868</v>
      </c>
      <c r="B1059" s="23" t="s">
        <v>1510</v>
      </c>
      <c r="C1059" s="40">
        <v>107.68</v>
      </c>
      <c r="D1059" s="24">
        <v>28</v>
      </c>
      <c r="E1059" t="e">
        <f>_xlfn.XLOOKUP(A1059,'[1]query (5)'!$C:$C,'[1]query (5)'!$A:$A)</f>
        <v>#N/A</v>
      </c>
    </row>
    <row r="1060" spans="1:5" x14ac:dyDescent="0.3">
      <c r="A1060" s="23">
        <v>6188869</v>
      </c>
      <c r="B1060" s="23" t="s">
        <v>1516</v>
      </c>
      <c r="C1060" s="40">
        <v>72.23</v>
      </c>
      <c r="D1060" s="24">
        <v>19</v>
      </c>
      <c r="E1060" t="e">
        <f>_xlfn.XLOOKUP(A1060,'[1]query (5)'!$C:$C,'[1]query (5)'!$A:$A)</f>
        <v>#N/A</v>
      </c>
    </row>
    <row r="1061" spans="1:5" x14ac:dyDescent="0.3">
      <c r="A1061" s="23">
        <v>6188870</v>
      </c>
      <c r="B1061" s="23" t="s">
        <v>1525</v>
      </c>
      <c r="C1061" s="40">
        <v>131.56</v>
      </c>
      <c r="D1061" s="24">
        <v>11</v>
      </c>
      <c r="E1061" t="e">
        <f>_xlfn.XLOOKUP(A1061,'[1]query (5)'!$C:$C,'[1]query (5)'!$A:$A)</f>
        <v>#N/A</v>
      </c>
    </row>
    <row r="1062" spans="1:5" x14ac:dyDescent="0.3">
      <c r="A1062" s="23">
        <v>6188871</v>
      </c>
      <c r="B1062" s="23" t="s">
        <v>1524</v>
      </c>
      <c r="C1062" s="40">
        <v>124.47</v>
      </c>
      <c r="D1062" s="24">
        <v>8</v>
      </c>
      <c r="E1062" t="e">
        <f>_xlfn.XLOOKUP(A1062,'[1]query (5)'!$C:$C,'[1]query (5)'!$A:$A)</f>
        <v>#N/A</v>
      </c>
    </row>
    <row r="1063" spans="1:5" x14ac:dyDescent="0.3">
      <c r="A1063" s="23">
        <v>6188872</v>
      </c>
      <c r="B1063" s="23" t="s">
        <v>1533</v>
      </c>
      <c r="C1063" s="40">
        <v>291.56</v>
      </c>
      <c r="D1063" s="24">
        <v>39</v>
      </c>
      <c r="E1063" t="e">
        <f>_xlfn.XLOOKUP(A1063,'[1]query (5)'!$C:$C,'[1]query (5)'!$A:$A)</f>
        <v>#N/A</v>
      </c>
    </row>
    <row r="1064" spans="1:5" x14ac:dyDescent="0.3">
      <c r="A1064" s="23">
        <v>6188873</v>
      </c>
      <c r="B1064" s="23" t="s">
        <v>1534</v>
      </c>
      <c r="C1064" s="40">
        <v>18.45</v>
      </c>
      <c r="D1064" s="24">
        <v>9</v>
      </c>
      <c r="E1064" t="e">
        <f>_xlfn.XLOOKUP(A1064,'[1]query (5)'!$C:$C,'[1]query (5)'!$A:$A)</f>
        <v>#N/A</v>
      </c>
    </row>
    <row r="1065" spans="1:5" x14ac:dyDescent="0.3">
      <c r="A1065" s="23">
        <v>6188874</v>
      </c>
      <c r="B1065" s="23" t="s">
        <v>1535</v>
      </c>
      <c r="C1065" s="40">
        <v>28.86</v>
      </c>
      <c r="D1065" s="24">
        <v>7</v>
      </c>
      <c r="E1065" t="e">
        <f>_xlfn.XLOOKUP(A1065,'[1]query (5)'!$C:$C,'[1]query (5)'!$A:$A)</f>
        <v>#N/A</v>
      </c>
    </row>
    <row r="1066" spans="1:5" x14ac:dyDescent="0.3">
      <c r="A1066" s="23">
        <v>6188875</v>
      </c>
      <c r="B1066" s="23" t="s">
        <v>1333</v>
      </c>
      <c r="C1066" s="40">
        <v>39.6</v>
      </c>
      <c r="D1066" s="24">
        <v>3</v>
      </c>
      <c r="E1066" t="e">
        <f>_xlfn.XLOOKUP(A1066,'[1]query (5)'!$C:$C,'[1]query (5)'!$A:$A)</f>
        <v>#N/A</v>
      </c>
    </row>
    <row r="1067" spans="1:5" x14ac:dyDescent="0.3">
      <c r="A1067" s="23">
        <v>6188877</v>
      </c>
      <c r="B1067" s="23" t="s">
        <v>1517</v>
      </c>
      <c r="C1067" s="40">
        <v>1996.46</v>
      </c>
      <c r="D1067" s="24">
        <v>168</v>
      </c>
      <c r="E1067" t="e">
        <f>_xlfn.XLOOKUP(A1067,'[1]query (5)'!$C:$C,'[1]query (5)'!$A:$A)</f>
        <v>#N/A</v>
      </c>
    </row>
    <row r="1068" spans="1:5" x14ac:dyDescent="0.3">
      <c r="A1068" s="23">
        <v>6188878</v>
      </c>
      <c r="B1068" s="23" t="s">
        <v>1518</v>
      </c>
      <c r="C1068" s="40">
        <v>143.18</v>
      </c>
      <c r="D1068" s="24">
        <v>40</v>
      </c>
      <c r="E1068" t="e">
        <f>_xlfn.XLOOKUP(A1068,'[1]query (5)'!$C:$C,'[1]query (5)'!$A:$A)</f>
        <v>#N/A</v>
      </c>
    </row>
    <row r="1069" spans="1:5" x14ac:dyDescent="0.3">
      <c r="A1069" s="23">
        <v>6188881</v>
      </c>
      <c r="B1069" s="23" t="s">
        <v>1332</v>
      </c>
      <c r="C1069" s="40">
        <v>98.87</v>
      </c>
      <c r="D1069" s="24">
        <v>14</v>
      </c>
      <c r="E1069" t="e">
        <f>_xlfn.XLOOKUP(A1069,'[1]query (5)'!$C:$C,'[1]query (5)'!$A:$A)</f>
        <v>#N/A</v>
      </c>
    </row>
    <row r="1070" spans="1:5" x14ac:dyDescent="0.3">
      <c r="A1070" s="23">
        <v>6188882</v>
      </c>
      <c r="B1070" s="23" t="s">
        <v>1334</v>
      </c>
      <c r="C1070" s="40">
        <v>400.72</v>
      </c>
      <c r="D1070" s="24">
        <v>22</v>
      </c>
      <c r="E1070" t="e">
        <f>_xlfn.XLOOKUP(A1070,'[1]query (5)'!$C:$C,'[1]query (5)'!$A:$A)</f>
        <v>#N/A</v>
      </c>
    </row>
    <row r="1071" spans="1:5" x14ac:dyDescent="0.3">
      <c r="A1071" s="23">
        <v>6188883</v>
      </c>
      <c r="B1071" s="23" t="s">
        <v>1346</v>
      </c>
      <c r="C1071" s="40">
        <v>397.28</v>
      </c>
      <c r="D1071" s="24">
        <v>42</v>
      </c>
      <c r="E1071" t="e">
        <f>_xlfn.XLOOKUP(A1071,'[1]query (5)'!$C:$C,'[1]query (5)'!$A:$A)</f>
        <v>#N/A</v>
      </c>
    </row>
    <row r="1072" spans="1:5" x14ac:dyDescent="0.3">
      <c r="A1072" s="23">
        <v>6188885</v>
      </c>
      <c r="B1072" s="23" t="s">
        <v>1530</v>
      </c>
      <c r="C1072" s="40">
        <v>291.86</v>
      </c>
      <c r="D1072" s="24">
        <v>75</v>
      </c>
      <c r="E1072" t="e">
        <f>_xlfn.XLOOKUP(A1072,'[1]query (5)'!$C:$C,'[1]query (5)'!$A:$A)</f>
        <v>#N/A</v>
      </c>
    </row>
    <row r="1073" spans="1:5" x14ac:dyDescent="0.3">
      <c r="A1073" s="23">
        <v>6188886</v>
      </c>
      <c r="B1073" s="23" t="s">
        <v>1580</v>
      </c>
      <c r="C1073" s="40">
        <v>163.63</v>
      </c>
      <c r="D1073" s="24">
        <v>52</v>
      </c>
      <c r="E1073" t="e">
        <f>_xlfn.XLOOKUP(A1073,'[1]query (5)'!$C:$C,'[1]query (5)'!$A:$A)</f>
        <v>#N/A</v>
      </c>
    </row>
    <row r="1074" spans="1:5" x14ac:dyDescent="0.3">
      <c r="A1074" s="23">
        <v>6188890</v>
      </c>
      <c r="B1074" s="23" t="s">
        <v>1503</v>
      </c>
      <c r="C1074" s="40">
        <v>133.97999999999999</v>
      </c>
      <c r="D1074" s="24">
        <v>120</v>
      </c>
      <c r="E1074" t="e">
        <f>_xlfn.XLOOKUP(A1074,'[1]query (5)'!$C:$C,'[1]query (5)'!$A:$A)</f>
        <v>#N/A</v>
      </c>
    </row>
    <row r="1075" spans="1:5" x14ac:dyDescent="0.3">
      <c r="A1075" s="23">
        <v>6188891</v>
      </c>
      <c r="B1075" s="23" t="s">
        <v>1505</v>
      </c>
      <c r="C1075" s="40">
        <v>24202</v>
      </c>
      <c r="D1075" s="24">
        <v>21369</v>
      </c>
      <c r="E1075" t="e">
        <f>_xlfn.XLOOKUP(A1075,'[1]query (5)'!$C:$C,'[1]query (5)'!$A:$A)</f>
        <v>#N/A</v>
      </c>
    </row>
    <row r="1076" spans="1:5" x14ac:dyDescent="0.3">
      <c r="A1076" s="23">
        <v>6188898</v>
      </c>
      <c r="B1076" s="23" t="s">
        <v>1539</v>
      </c>
      <c r="C1076" s="40">
        <v>33.96</v>
      </c>
      <c r="D1076" s="24">
        <v>8</v>
      </c>
      <c r="E1076" t="e">
        <f>_xlfn.XLOOKUP(A1076,'[1]query (5)'!$C:$C,'[1]query (5)'!$A:$A)</f>
        <v>#N/A</v>
      </c>
    </row>
    <row r="1077" spans="1:5" x14ac:dyDescent="0.3">
      <c r="A1077" s="23">
        <v>6188899</v>
      </c>
      <c r="B1077" s="23" t="s">
        <v>1515</v>
      </c>
      <c r="C1077" s="40">
        <v>1322.69</v>
      </c>
      <c r="D1077" s="24">
        <v>1700</v>
      </c>
      <c r="E1077" t="e">
        <f>_xlfn.XLOOKUP(A1077,'[1]query (5)'!$C:$C,'[1]query (5)'!$A:$A)</f>
        <v>#N/A</v>
      </c>
    </row>
    <row r="1078" spans="1:5" x14ac:dyDescent="0.3">
      <c r="A1078" s="23">
        <v>6188900</v>
      </c>
      <c r="B1078" s="23" t="s">
        <v>1514</v>
      </c>
      <c r="C1078" s="40">
        <v>476.25</v>
      </c>
      <c r="D1078" s="24">
        <v>610</v>
      </c>
      <c r="E1078" t="e">
        <f>_xlfn.XLOOKUP(A1078,'[1]query (5)'!$C:$C,'[1]query (5)'!$A:$A)</f>
        <v>#N/A</v>
      </c>
    </row>
    <row r="1079" spans="1:5" x14ac:dyDescent="0.3">
      <c r="A1079" s="23">
        <v>6188901</v>
      </c>
      <c r="B1079" s="23" t="s">
        <v>1546</v>
      </c>
      <c r="C1079" s="40">
        <v>121</v>
      </c>
      <c r="D1079" s="24">
        <v>97</v>
      </c>
      <c r="E1079" t="e">
        <f>_xlfn.XLOOKUP(A1079,'[1]query (5)'!$C:$C,'[1]query (5)'!$A:$A)</f>
        <v>#N/A</v>
      </c>
    </row>
    <row r="1080" spans="1:5" x14ac:dyDescent="0.3">
      <c r="A1080" s="23">
        <v>6188902</v>
      </c>
      <c r="B1080" s="23" t="s">
        <v>1547</v>
      </c>
      <c r="C1080" s="40">
        <v>1159.26</v>
      </c>
      <c r="D1080" s="24">
        <v>613</v>
      </c>
      <c r="E1080" t="e">
        <f>_xlfn.XLOOKUP(A1080,'[1]query (5)'!$C:$C,'[1]query (5)'!$A:$A)</f>
        <v>#N/A</v>
      </c>
    </row>
    <row r="1081" spans="1:5" x14ac:dyDescent="0.3">
      <c r="A1081" s="23">
        <v>6188903</v>
      </c>
      <c r="B1081" s="23" t="s">
        <v>1548</v>
      </c>
      <c r="C1081" s="40">
        <v>10114.89</v>
      </c>
      <c r="D1081" s="24">
        <v>8541</v>
      </c>
      <c r="E1081" t="e">
        <f>_xlfn.XLOOKUP(A1081,'[1]query (5)'!$C:$C,'[1]query (5)'!$A:$A)</f>
        <v>#N/A</v>
      </c>
    </row>
    <row r="1082" spans="1:5" x14ac:dyDescent="0.3">
      <c r="A1082" s="23">
        <v>6188904</v>
      </c>
      <c r="B1082" s="23" t="s">
        <v>1549</v>
      </c>
      <c r="C1082" s="40">
        <v>161.02000000000001</v>
      </c>
      <c r="D1082" s="24">
        <v>50</v>
      </c>
      <c r="E1082" t="e">
        <f>_xlfn.XLOOKUP(A1082,'[1]query (5)'!$C:$C,'[1]query (5)'!$A:$A)</f>
        <v>#N/A</v>
      </c>
    </row>
    <row r="1083" spans="1:5" x14ac:dyDescent="0.3">
      <c r="A1083" s="23">
        <v>6188905</v>
      </c>
      <c r="B1083" s="23" t="s">
        <v>1543</v>
      </c>
      <c r="C1083" s="40">
        <v>44.4</v>
      </c>
      <c r="D1083" s="24">
        <v>21</v>
      </c>
      <c r="E1083" t="e">
        <f>_xlfn.XLOOKUP(A1083,'[1]query (5)'!$C:$C,'[1]query (5)'!$A:$A)</f>
        <v>#N/A</v>
      </c>
    </row>
    <row r="1084" spans="1:5" x14ac:dyDescent="0.3">
      <c r="A1084" s="23">
        <v>6188906</v>
      </c>
      <c r="B1084" s="23" t="s">
        <v>1544</v>
      </c>
      <c r="C1084" s="40">
        <v>262.86</v>
      </c>
      <c r="D1084" s="24">
        <v>84</v>
      </c>
      <c r="E1084" t="e">
        <f>_xlfn.XLOOKUP(A1084,'[1]query (5)'!$C:$C,'[1]query (5)'!$A:$A)</f>
        <v>#N/A</v>
      </c>
    </row>
    <row r="1085" spans="1:5" x14ac:dyDescent="0.3">
      <c r="A1085" s="23">
        <v>6188907</v>
      </c>
      <c r="B1085" s="23" t="s">
        <v>1545</v>
      </c>
      <c r="C1085" s="40">
        <v>383.75</v>
      </c>
      <c r="D1085" s="24">
        <v>98</v>
      </c>
      <c r="E1085" t="e">
        <f>_xlfn.XLOOKUP(A1085,'[1]query (5)'!$C:$C,'[1]query (5)'!$A:$A)</f>
        <v>#N/A</v>
      </c>
    </row>
    <row r="1086" spans="1:5" x14ac:dyDescent="0.3">
      <c r="A1086" s="23">
        <v>6188935</v>
      </c>
      <c r="B1086" s="23" t="s">
        <v>1581</v>
      </c>
      <c r="C1086" s="40">
        <v>1051.72</v>
      </c>
      <c r="D1086" s="24">
        <v>357</v>
      </c>
      <c r="E1086" t="e">
        <f>_xlfn.XLOOKUP(A1086,'[1]query (5)'!$C:$C,'[1]query (5)'!$A:$A)</f>
        <v>#N/A</v>
      </c>
    </row>
    <row r="1087" spans="1:5" x14ac:dyDescent="0.3">
      <c r="A1087" s="23">
        <v>6188976</v>
      </c>
      <c r="B1087" s="23" t="s">
        <v>2460</v>
      </c>
      <c r="C1087" s="40">
        <v>186.13</v>
      </c>
      <c r="D1087" s="24">
        <v>17</v>
      </c>
      <c r="E1087" t="e">
        <f>_xlfn.XLOOKUP(A1087,'[1]query (5)'!$C:$C,'[1]query (5)'!$A:$A)</f>
        <v>#N/A</v>
      </c>
    </row>
    <row r="1088" spans="1:5" x14ac:dyDescent="0.3">
      <c r="A1088" s="23">
        <v>6189788</v>
      </c>
      <c r="B1088" s="23" t="s">
        <v>2729</v>
      </c>
      <c r="C1088" s="40">
        <v>49.35</v>
      </c>
      <c r="D1088" s="24">
        <v>6</v>
      </c>
      <c r="E1088" t="e">
        <f>_xlfn.XLOOKUP(A1088,'[1]query (5)'!$C:$C,'[1]query (5)'!$A:$A)</f>
        <v>#N/A</v>
      </c>
    </row>
    <row r="1089" spans="1:5" x14ac:dyDescent="0.3">
      <c r="A1089" s="23">
        <v>6189799</v>
      </c>
      <c r="B1089" s="23" t="s">
        <v>2461</v>
      </c>
      <c r="C1089" s="40">
        <v>30.9</v>
      </c>
      <c r="D1089" s="24">
        <v>8</v>
      </c>
      <c r="E1089" t="e">
        <f>_xlfn.XLOOKUP(A1089,'[1]query (5)'!$C:$C,'[1]query (5)'!$A:$A)</f>
        <v>#N/A</v>
      </c>
    </row>
    <row r="1090" spans="1:5" x14ac:dyDescent="0.3">
      <c r="A1090" s="23">
        <v>6189800</v>
      </c>
      <c r="B1090" s="23" t="s">
        <v>2462</v>
      </c>
      <c r="C1090" s="40">
        <v>121.9</v>
      </c>
      <c r="D1090" s="24">
        <v>23</v>
      </c>
      <c r="E1090" t="e">
        <f>_xlfn.XLOOKUP(A1090,'[1]query (5)'!$C:$C,'[1]query (5)'!$A:$A)</f>
        <v>#N/A</v>
      </c>
    </row>
    <row r="1091" spans="1:5" x14ac:dyDescent="0.3">
      <c r="A1091" s="23">
        <v>6189826</v>
      </c>
      <c r="B1091" s="23" t="s">
        <v>2463</v>
      </c>
      <c r="C1091" s="40">
        <v>739</v>
      </c>
      <c r="D1091" s="24">
        <v>130</v>
      </c>
      <c r="E1091" t="e">
        <f>_xlfn.XLOOKUP(A1091,'[1]query (5)'!$C:$C,'[1]query (5)'!$A:$A)</f>
        <v>#N/A</v>
      </c>
    </row>
    <row r="1092" spans="1:5" x14ac:dyDescent="0.3">
      <c r="A1092" s="23">
        <v>6189829</v>
      </c>
      <c r="B1092" s="23" t="s">
        <v>2464</v>
      </c>
      <c r="C1092" s="40">
        <v>73.260000000000005</v>
      </c>
      <c r="D1092" s="24">
        <v>16</v>
      </c>
      <c r="E1092" t="e">
        <f>_xlfn.XLOOKUP(A1092,'[1]query (5)'!$C:$C,'[1]query (5)'!$A:$A)</f>
        <v>#N/A</v>
      </c>
    </row>
    <row r="1093" spans="1:5" x14ac:dyDescent="0.3">
      <c r="A1093" s="23">
        <v>6189831</v>
      </c>
      <c r="B1093" s="23" t="s">
        <v>2465</v>
      </c>
      <c r="C1093" s="40">
        <v>412.82</v>
      </c>
      <c r="D1093" s="24">
        <v>66</v>
      </c>
      <c r="E1093" t="e">
        <f>_xlfn.XLOOKUP(A1093,'[1]query (5)'!$C:$C,'[1]query (5)'!$A:$A)</f>
        <v>#N/A</v>
      </c>
    </row>
    <row r="1094" spans="1:5" x14ac:dyDescent="0.3">
      <c r="A1094" s="23">
        <v>6189833</v>
      </c>
      <c r="B1094" s="23" t="s">
        <v>2730</v>
      </c>
      <c r="C1094" s="40">
        <v>15.39</v>
      </c>
      <c r="D1094" s="24">
        <v>6</v>
      </c>
      <c r="E1094" t="e">
        <f>_xlfn.XLOOKUP(A1094,'[1]query (5)'!$C:$C,'[1]query (5)'!$A:$A)</f>
        <v>#N/A</v>
      </c>
    </row>
    <row r="1095" spans="1:5" x14ac:dyDescent="0.3">
      <c r="A1095" s="23">
        <v>6189841</v>
      </c>
      <c r="B1095" s="23" t="s">
        <v>2466</v>
      </c>
      <c r="C1095" s="40">
        <v>9.8800000000000008</v>
      </c>
      <c r="D1095" s="24">
        <v>1</v>
      </c>
      <c r="E1095" t="e">
        <f>_xlfn.XLOOKUP(A1095,'[1]query (5)'!$C:$C,'[1]query (5)'!$A:$A)</f>
        <v>#N/A</v>
      </c>
    </row>
    <row r="1096" spans="1:5" x14ac:dyDescent="0.3">
      <c r="A1096" s="23">
        <v>6190388</v>
      </c>
      <c r="B1096" s="23" t="s">
        <v>2731</v>
      </c>
      <c r="C1096" s="40">
        <v>7.9</v>
      </c>
      <c r="D1096" s="24">
        <v>1</v>
      </c>
      <c r="E1096" t="e">
        <f>_xlfn.XLOOKUP(A1096,'[1]query (5)'!$C:$C,'[1]query (5)'!$A:$A)</f>
        <v>#N/A</v>
      </c>
    </row>
    <row r="1097" spans="1:5" x14ac:dyDescent="0.3">
      <c r="A1097" s="23">
        <v>6190524</v>
      </c>
      <c r="B1097" s="23" t="s">
        <v>2467</v>
      </c>
      <c r="C1097" s="40">
        <v>472.38</v>
      </c>
      <c r="D1097" s="24">
        <v>37</v>
      </c>
      <c r="E1097" t="e">
        <f>_xlfn.XLOOKUP(A1097,'[1]query (5)'!$C:$C,'[1]query (5)'!$A:$A)</f>
        <v>#N/A</v>
      </c>
    </row>
    <row r="1098" spans="1:5" x14ac:dyDescent="0.3">
      <c r="A1098" s="23">
        <v>6196026</v>
      </c>
      <c r="B1098" s="23" t="s">
        <v>2732</v>
      </c>
      <c r="C1098" s="40">
        <v>1064.1199999999999</v>
      </c>
      <c r="D1098" s="24">
        <v>131</v>
      </c>
      <c r="E1098" t="e">
        <f>_xlfn.XLOOKUP(A1098,'[1]query (5)'!$C:$C,'[1]query (5)'!$A:$A)</f>
        <v>#N/A</v>
      </c>
    </row>
    <row r="1099" spans="1:5" x14ac:dyDescent="0.3">
      <c r="A1099" s="23">
        <v>6201848</v>
      </c>
      <c r="B1099" s="23" t="s">
        <v>5259</v>
      </c>
      <c r="C1099" s="40">
        <v>18.190000000000001</v>
      </c>
      <c r="D1099" s="24">
        <v>2</v>
      </c>
      <c r="E1099" t="e">
        <f>_xlfn.XLOOKUP(A1099,'[1]query (5)'!$C:$C,'[1]query (5)'!$A:$A)</f>
        <v>#N/A</v>
      </c>
    </row>
    <row r="1100" spans="1:5" x14ac:dyDescent="0.3">
      <c r="A1100" s="23">
        <v>6202944</v>
      </c>
      <c r="B1100" s="23" t="s">
        <v>1713</v>
      </c>
      <c r="C1100" s="40">
        <v>56.12</v>
      </c>
      <c r="D1100" s="24">
        <v>16</v>
      </c>
      <c r="E1100" t="e">
        <f>_xlfn.XLOOKUP(A1100,'[1]query (5)'!$C:$C,'[1]query (5)'!$A:$A)</f>
        <v>#N/A</v>
      </c>
    </row>
    <row r="1101" spans="1:5" x14ac:dyDescent="0.3">
      <c r="A1101" s="23">
        <v>6203504</v>
      </c>
      <c r="B1101" s="23" t="s">
        <v>1715</v>
      </c>
      <c r="C1101" s="40">
        <v>178.28</v>
      </c>
      <c r="D1101" s="24">
        <v>37</v>
      </c>
      <c r="E1101" t="e">
        <f>_xlfn.XLOOKUP(A1101,'[1]query (5)'!$C:$C,'[1]query (5)'!$A:$A)</f>
        <v>#N/A</v>
      </c>
    </row>
    <row r="1102" spans="1:5" x14ac:dyDescent="0.3">
      <c r="A1102" s="23">
        <v>6203595</v>
      </c>
      <c r="B1102" s="23" t="s">
        <v>1714</v>
      </c>
      <c r="C1102" s="40">
        <v>407.5</v>
      </c>
      <c r="D1102" s="24">
        <v>105</v>
      </c>
      <c r="E1102" t="e">
        <f>_xlfn.XLOOKUP(A1102,'[1]query (5)'!$C:$C,'[1]query (5)'!$A:$A)</f>
        <v>#N/A</v>
      </c>
    </row>
    <row r="1103" spans="1:5" x14ac:dyDescent="0.3">
      <c r="A1103" s="23">
        <v>6203618</v>
      </c>
      <c r="B1103" s="23" t="s">
        <v>1712</v>
      </c>
      <c r="C1103" s="40">
        <v>147.83000000000001</v>
      </c>
      <c r="D1103" s="24">
        <v>35</v>
      </c>
      <c r="E1103" t="e">
        <f>_xlfn.XLOOKUP(A1103,'[1]query (5)'!$C:$C,'[1]query (5)'!$A:$A)</f>
        <v>#N/A</v>
      </c>
    </row>
    <row r="1104" spans="1:5" x14ac:dyDescent="0.3">
      <c r="A1104" s="23">
        <v>6203920</v>
      </c>
      <c r="B1104" s="23" t="s">
        <v>1551</v>
      </c>
      <c r="C1104" s="40">
        <v>286.66000000000003</v>
      </c>
      <c r="D1104" s="24">
        <v>17</v>
      </c>
      <c r="E1104" t="e">
        <f>_xlfn.XLOOKUP(A1104,'[1]query (5)'!$C:$C,'[1]query (5)'!$A:$A)</f>
        <v>#N/A</v>
      </c>
    </row>
    <row r="1105" spans="1:5" x14ac:dyDescent="0.3">
      <c r="A1105" s="23">
        <v>6204730</v>
      </c>
      <c r="B1105" s="23" t="s">
        <v>2734</v>
      </c>
      <c r="C1105" s="40">
        <v>16.21</v>
      </c>
      <c r="D1105" s="24">
        <v>1</v>
      </c>
      <c r="E1105" t="e">
        <f>_xlfn.XLOOKUP(A1105,'[1]query (5)'!$C:$C,'[1]query (5)'!$A:$A)</f>
        <v>#N/A</v>
      </c>
    </row>
    <row r="1106" spans="1:5" x14ac:dyDescent="0.3">
      <c r="A1106" s="23">
        <v>6290858</v>
      </c>
      <c r="B1106" s="23" t="s">
        <v>1941</v>
      </c>
      <c r="C1106" s="40">
        <v>255.03</v>
      </c>
      <c r="D1106" s="24">
        <v>24</v>
      </c>
      <c r="E1106" t="e">
        <f>_xlfn.XLOOKUP(A1106,'[1]query (5)'!$C:$C,'[1]query (5)'!$A:$A)</f>
        <v>#N/A</v>
      </c>
    </row>
    <row r="1107" spans="1:5" x14ac:dyDescent="0.3">
      <c r="A1107" s="23">
        <v>6290901</v>
      </c>
      <c r="B1107" s="23" t="s">
        <v>1944</v>
      </c>
      <c r="C1107" s="40">
        <v>33.119999999999997</v>
      </c>
      <c r="D1107" s="24">
        <v>2</v>
      </c>
      <c r="E1107" t="e">
        <f>_xlfn.XLOOKUP(A1107,'[1]query (5)'!$C:$C,'[1]query (5)'!$A:$A)</f>
        <v>#N/A</v>
      </c>
    </row>
    <row r="1108" spans="1:5" x14ac:dyDescent="0.3">
      <c r="A1108" s="23">
        <v>6292051</v>
      </c>
      <c r="B1108" s="23" t="s">
        <v>1372</v>
      </c>
      <c r="C1108" s="40">
        <v>368.86</v>
      </c>
      <c r="D1108" s="24">
        <v>34</v>
      </c>
      <c r="E1108" t="e">
        <f>_xlfn.XLOOKUP(A1108,'[1]query (5)'!$C:$C,'[1]query (5)'!$A:$A)</f>
        <v>#N/A</v>
      </c>
    </row>
    <row r="1109" spans="1:5" x14ac:dyDescent="0.3">
      <c r="A1109" s="23">
        <v>6293113</v>
      </c>
      <c r="B1109" s="23" t="s">
        <v>2735</v>
      </c>
      <c r="C1109" s="40">
        <v>11.75</v>
      </c>
      <c r="D1109" s="24">
        <v>1</v>
      </c>
      <c r="E1109" t="e">
        <f>_xlfn.XLOOKUP(A1109,'[1]query (5)'!$C:$C,'[1]query (5)'!$A:$A)</f>
        <v>#N/A</v>
      </c>
    </row>
    <row r="1110" spans="1:5" x14ac:dyDescent="0.3">
      <c r="A1110" s="23">
        <v>6293160</v>
      </c>
      <c r="B1110" s="23" t="s">
        <v>1841</v>
      </c>
      <c r="C1110" s="40">
        <v>20.27</v>
      </c>
      <c r="D1110" s="24">
        <v>2</v>
      </c>
      <c r="E1110" t="e">
        <f>_xlfn.XLOOKUP(A1110,'[1]query (5)'!$C:$C,'[1]query (5)'!$A:$A)</f>
        <v>#N/A</v>
      </c>
    </row>
    <row r="1111" spans="1:5" x14ac:dyDescent="0.3">
      <c r="A1111" s="23">
        <v>6305571</v>
      </c>
      <c r="B1111" s="23" t="s">
        <v>5260</v>
      </c>
      <c r="C1111" s="40">
        <v>10.35</v>
      </c>
      <c r="D1111" s="24">
        <v>1</v>
      </c>
      <c r="E1111" t="e">
        <f>_xlfn.XLOOKUP(A1111,'[1]query (5)'!$C:$C,'[1]query (5)'!$A:$A)</f>
        <v>#N/A</v>
      </c>
    </row>
    <row r="1112" spans="1:5" x14ac:dyDescent="0.3">
      <c r="A1112" s="23">
        <v>6306043</v>
      </c>
      <c r="B1112" s="23" t="s">
        <v>1844</v>
      </c>
      <c r="C1112" s="40">
        <v>61.03</v>
      </c>
      <c r="D1112" s="24">
        <v>15</v>
      </c>
      <c r="E1112" t="e">
        <f>_xlfn.XLOOKUP(A1112,'[1]query (5)'!$C:$C,'[1]query (5)'!$A:$A)</f>
        <v>#N/A</v>
      </c>
    </row>
    <row r="1113" spans="1:5" x14ac:dyDescent="0.3">
      <c r="A1113" s="23">
        <v>6307549</v>
      </c>
      <c r="B1113" s="23" t="s">
        <v>2736</v>
      </c>
      <c r="C1113" s="40">
        <v>686</v>
      </c>
      <c r="D1113" s="24">
        <v>16</v>
      </c>
      <c r="E1113" t="e">
        <f>_xlfn.XLOOKUP(A1113,'[1]query (5)'!$C:$C,'[1]query (5)'!$A:$A)</f>
        <v>#N/A</v>
      </c>
    </row>
    <row r="1114" spans="1:5" x14ac:dyDescent="0.3">
      <c r="A1114" s="23">
        <v>6308733</v>
      </c>
      <c r="B1114" s="23" t="s">
        <v>1782</v>
      </c>
      <c r="C1114" s="40">
        <v>6.97</v>
      </c>
      <c r="D1114" s="24">
        <v>2</v>
      </c>
      <c r="E1114" t="e">
        <f>_xlfn.XLOOKUP(A1114,'[1]query (5)'!$C:$C,'[1]query (5)'!$A:$A)</f>
        <v>#N/A</v>
      </c>
    </row>
    <row r="1115" spans="1:5" x14ac:dyDescent="0.3">
      <c r="A1115" s="23">
        <v>6308812</v>
      </c>
      <c r="B1115" s="23" t="s">
        <v>2468</v>
      </c>
      <c r="C1115" s="40">
        <v>23.31</v>
      </c>
      <c r="D1115" s="24">
        <v>1</v>
      </c>
      <c r="E1115" t="e">
        <f>_xlfn.XLOOKUP(A1115,'[1]query (5)'!$C:$C,'[1]query (5)'!$A:$A)</f>
        <v>#N/A</v>
      </c>
    </row>
    <row r="1116" spans="1:5" x14ac:dyDescent="0.3">
      <c r="A1116" s="23">
        <v>6309322</v>
      </c>
      <c r="B1116" s="23" t="s">
        <v>1560</v>
      </c>
      <c r="C1116" s="40">
        <v>117.48</v>
      </c>
      <c r="D1116" s="24">
        <v>9</v>
      </c>
      <c r="E1116" t="e">
        <f>_xlfn.XLOOKUP(A1116,'[1]query (5)'!$C:$C,'[1]query (5)'!$A:$A)</f>
        <v>#N/A</v>
      </c>
    </row>
    <row r="1117" spans="1:5" x14ac:dyDescent="0.3">
      <c r="A1117" s="23">
        <v>6314903</v>
      </c>
      <c r="B1117" s="23" t="s">
        <v>2737</v>
      </c>
      <c r="C1117" s="40">
        <v>166.6</v>
      </c>
      <c r="D1117" s="24">
        <v>4</v>
      </c>
      <c r="E1117" t="e">
        <f>_xlfn.XLOOKUP(A1117,'[1]query (5)'!$C:$C,'[1]query (5)'!$A:$A)</f>
        <v>#N/A</v>
      </c>
    </row>
    <row r="1118" spans="1:5" x14ac:dyDescent="0.3">
      <c r="A1118" s="23">
        <v>6315732</v>
      </c>
      <c r="B1118" s="23" t="s">
        <v>2469</v>
      </c>
      <c r="C1118" s="40">
        <v>738.3</v>
      </c>
      <c r="D1118" s="24">
        <v>1</v>
      </c>
      <c r="E1118" t="e">
        <f>_xlfn.XLOOKUP(A1118,'[1]query (5)'!$C:$C,'[1]query (5)'!$A:$A)</f>
        <v>#N/A</v>
      </c>
    </row>
    <row r="1119" spans="1:5" x14ac:dyDescent="0.3">
      <c r="A1119" s="23">
        <v>6316838</v>
      </c>
      <c r="B1119" s="23" t="s">
        <v>1408</v>
      </c>
      <c r="C1119" s="40">
        <v>2353.16</v>
      </c>
      <c r="D1119" s="24">
        <v>258</v>
      </c>
      <c r="E1119" t="e">
        <f>_xlfn.XLOOKUP(A1119,'[1]query (5)'!$C:$C,'[1]query (5)'!$A:$A)</f>
        <v>#N/A</v>
      </c>
    </row>
    <row r="1120" spans="1:5" x14ac:dyDescent="0.3">
      <c r="A1120" s="23">
        <v>6316839</v>
      </c>
      <c r="B1120" s="23" t="s">
        <v>1404</v>
      </c>
      <c r="C1120" s="40">
        <v>277.17</v>
      </c>
      <c r="D1120" s="24">
        <v>49</v>
      </c>
      <c r="E1120" t="e">
        <f>_xlfn.XLOOKUP(A1120,'[1]query (5)'!$C:$C,'[1]query (5)'!$A:$A)</f>
        <v>#N/A</v>
      </c>
    </row>
    <row r="1121" spans="1:5" x14ac:dyDescent="0.3">
      <c r="A1121" s="23">
        <v>6316840</v>
      </c>
      <c r="B1121" s="23" t="s">
        <v>1405</v>
      </c>
      <c r="C1121" s="40">
        <v>616.33000000000004</v>
      </c>
      <c r="D1121" s="24">
        <v>57</v>
      </c>
      <c r="E1121" t="e">
        <f>_xlfn.XLOOKUP(A1121,'[1]query (5)'!$C:$C,'[1]query (5)'!$A:$A)</f>
        <v>#N/A</v>
      </c>
    </row>
    <row r="1122" spans="1:5" x14ac:dyDescent="0.3">
      <c r="A1122" s="23">
        <v>6316940</v>
      </c>
      <c r="B1122" s="23" t="s">
        <v>1420</v>
      </c>
      <c r="C1122" s="40">
        <v>316.23</v>
      </c>
      <c r="D1122" s="24">
        <v>33</v>
      </c>
      <c r="E1122" t="e">
        <f>_xlfn.XLOOKUP(A1122,'[1]query (5)'!$C:$C,'[1]query (5)'!$A:$A)</f>
        <v>#N/A</v>
      </c>
    </row>
    <row r="1123" spans="1:5" x14ac:dyDescent="0.3">
      <c r="A1123" s="23">
        <v>6316962</v>
      </c>
      <c r="B1123" s="23" t="s">
        <v>1402</v>
      </c>
      <c r="C1123" s="40">
        <v>45.86</v>
      </c>
      <c r="D1123" s="24">
        <v>21</v>
      </c>
      <c r="E1123" t="e">
        <f>_xlfn.XLOOKUP(A1123,'[1]query (5)'!$C:$C,'[1]query (5)'!$A:$A)</f>
        <v>#N/A</v>
      </c>
    </row>
    <row r="1124" spans="1:5" x14ac:dyDescent="0.3">
      <c r="A1124" s="23">
        <v>6316965</v>
      </c>
      <c r="B1124" s="23" t="s">
        <v>1407</v>
      </c>
      <c r="C1124" s="40">
        <v>3260.72</v>
      </c>
      <c r="D1124" s="24">
        <v>850</v>
      </c>
      <c r="E1124" t="e">
        <f>_xlfn.XLOOKUP(A1124,'[1]query (5)'!$C:$C,'[1]query (5)'!$A:$A)</f>
        <v>#N/A</v>
      </c>
    </row>
    <row r="1125" spans="1:5" x14ac:dyDescent="0.3">
      <c r="A1125" s="23">
        <v>6316966</v>
      </c>
      <c r="B1125" s="23" t="s">
        <v>1396</v>
      </c>
      <c r="C1125" s="40">
        <v>35.47</v>
      </c>
      <c r="D1125" s="24">
        <v>14</v>
      </c>
      <c r="E1125" t="e">
        <f>_xlfn.XLOOKUP(A1125,'[1]query (5)'!$C:$C,'[1]query (5)'!$A:$A)</f>
        <v>#N/A</v>
      </c>
    </row>
    <row r="1126" spans="1:5" x14ac:dyDescent="0.3">
      <c r="A1126" s="23">
        <v>6316973</v>
      </c>
      <c r="B1126" s="23" t="s">
        <v>1400</v>
      </c>
      <c r="C1126" s="40">
        <v>49.44</v>
      </c>
      <c r="D1126" s="24">
        <v>20</v>
      </c>
      <c r="E1126" t="e">
        <f>_xlfn.XLOOKUP(A1126,'[1]query (5)'!$C:$C,'[1]query (5)'!$A:$A)</f>
        <v>#N/A</v>
      </c>
    </row>
    <row r="1127" spans="1:5" x14ac:dyDescent="0.3">
      <c r="A1127" s="23">
        <v>6316977</v>
      </c>
      <c r="B1127" s="23" t="s">
        <v>1393</v>
      </c>
      <c r="C1127" s="40">
        <v>31.38</v>
      </c>
      <c r="D1127" s="24">
        <v>3</v>
      </c>
      <c r="E1127" t="e">
        <f>_xlfn.XLOOKUP(A1127,'[1]query (5)'!$C:$C,'[1]query (5)'!$A:$A)</f>
        <v>#N/A</v>
      </c>
    </row>
    <row r="1128" spans="1:5" x14ac:dyDescent="0.3">
      <c r="A1128" s="23">
        <v>6316991</v>
      </c>
      <c r="B1128" s="23" t="s">
        <v>1406</v>
      </c>
      <c r="C1128" s="40">
        <v>35.04</v>
      </c>
      <c r="D1128" s="24">
        <v>3</v>
      </c>
      <c r="E1128" t="e">
        <f>_xlfn.XLOOKUP(A1128,'[1]query (5)'!$C:$C,'[1]query (5)'!$A:$A)</f>
        <v>#N/A</v>
      </c>
    </row>
    <row r="1129" spans="1:5" x14ac:dyDescent="0.3">
      <c r="A1129" s="23">
        <v>6316993</v>
      </c>
      <c r="B1129" s="23" t="s">
        <v>1399</v>
      </c>
      <c r="C1129" s="40">
        <v>175.72</v>
      </c>
      <c r="D1129" s="24">
        <v>37</v>
      </c>
      <c r="E1129" t="e">
        <f>_xlfn.XLOOKUP(A1129,'[1]query (5)'!$C:$C,'[1]query (5)'!$A:$A)</f>
        <v>#N/A</v>
      </c>
    </row>
    <row r="1130" spans="1:5" x14ac:dyDescent="0.3">
      <c r="A1130" s="23">
        <v>6316994</v>
      </c>
      <c r="B1130" s="23" t="s">
        <v>1394</v>
      </c>
      <c r="C1130" s="40">
        <v>147.56</v>
      </c>
      <c r="D1130" s="24">
        <v>10</v>
      </c>
      <c r="E1130" t="e">
        <f>_xlfn.XLOOKUP(A1130,'[1]query (5)'!$C:$C,'[1]query (5)'!$A:$A)</f>
        <v>#N/A</v>
      </c>
    </row>
    <row r="1131" spans="1:5" x14ac:dyDescent="0.3">
      <c r="A1131" s="23">
        <v>6316996</v>
      </c>
      <c r="B1131" s="23" t="s">
        <v>1395</v>
      </c>
      <c r="C1131" s="40">
        <v>6.96</v>
      </c>
      <c r="D1131" s="24">
        <v>1</v>
      </c>
      <c r="E1131" t="e">
        <f>_xlfn.XLOOKUP(A1131,'[1]query (5)'!$C:$C,'[1]query (5)'!$A:$A)</f>
        <v>#N/A</v>
      </c>
    </row>
    <row r="1132" spans="1:5" x14ac:dyDescent="0.3">
      <c r="A1132" s="23">
        <v>6317384</v>
      </c>
      <c r="B1132" s="23" t="s">
        <v>2738</v>
      </c>
      <c r="C1132" s="40">
        <v>58.45</v>
      </c>
      <c r="D1132" s="24">
        <v>2</v>
      </c>
      <c r="E1132" t="e">
        <f>_xlfn.XLOOKUP(A1132,'[1]query (5)'!$C:$C,'[1]query (5)'!$A:$A)</f>
        <v>#N/A</v>
      </c>
    </row>
    <row r="1133" spans="1:5" x14ac:dyDescent="0.3">
      <c r="A1133" s="23">
        <v>6317435</v>
      </c>
      <c r="B1133" s="23" t="s">
        <v>5261</v>
      </c>
      <c r="C1133" s="40">
        <v>154.76</v>
      </c>
      <c r="D1133" s="24">
        <v>46</v>
      </c>
      <c r="E1133" t="e">
        <f>_xlfn.XLOOKUP(A1133,'[1]query (5)'!$C:$C,'[1]query (5)'!$A:$A)</f>
        <v>#N/A</v>
      </c>
    </row>
    <row r="1134" spans="1:5" x14ac:dyDescent="0.3">
      <c r="A1134" s="23">
        <v>6317436</v>
      </c>
      <c r="B1134" s="23" t="s">
        <v>5262</v>
      </c>
      <c r="C1134" s="40">
        <v>111.69</v>
      </c>
      <c r="D1134" s="24">
        <v>21</v>
      </c>
      <c r="E1134" t="e">
        <f>_xlfn.XLOOKUP(A1134,'[1]query (5)'!$C:$C,'[1]query (5)'!$A:$A)</f>
        <v>#N/A</v>
      </c>
    </row>
    <row r="1135" spans="1:5" x14ac:dyDescent="0.3">
      <c r="A1135" s="23">
        <v>6317437</v>
      </c>
      <c r="B1135" s="23" t="s">
        <v>5263</v>
      </c>
      <c r="C1135" s="40">
        <v>665.82</v>
      </c>
      <c r="D1135" s="24">
        <v>69</v>
      </c>
      <c r="E1135" t="e">
        <f>_xlfn.XLOOKUP(A1135,'[1]query (5)'!$C:$C,'[1]query (5)'!$A:$A)</f>
        <v>#N/A</v>
      </c>
    </row>
    <row r="1136" spans="1:5" x14ac:dyDescent="0.3">
      <c r="A1136" s="23">
        <v>6317438</v>
      </c>
      <c r="B1136" s="23" t="s">
        <v>5264</v>
      </c>
      <c r="C1136" s="40">
        <v>77.41</v>
      </c>
      <c r="D1136" s="24">
        <v>17</v>
      </c>
      <c r="E1136" t="e">
        <f>_xlfn.XLOOKUP(A1136,'[1]query (5)'!$C:$C,'[1]query (5)'!$A:$A)</f>
        <v>#N/A</v>
      </c>
    </row>
    <row r="1137" spans="1:5" x14ac:dyDescent="0.3">
      <c r="A1137" s="23">
        <v>6317504</v>
      </c>
      <c r="B1137" s="23" t="s">
        <v>5265</v>
      </c>
      <c r="C1137" s="40">
        <v>50.54</v>
      </c>
      <c r="D1137" s="24">
        <v>30</v>
      </c>
      <c r="E1137" t="e">
        <f>_xlfn.XLOOKUP(A1137,'[1]query (5)'!$C:$C,'[1]query (5)'!$A:$A)</f>
        <v>#N/A</v>
      </c>
    </row>
    <row r="1138" spans="1:5" x14ac:dyDescent="0.3">
      <c r="A1138" s="23">
        <v>6317505</v>
      </c>
      <c r="B1138" s="23" t="s">
        <v>5266</v>
      </c>
      <c r="C1138" s="40">
        <v>147.05000000000001</v>
      </c>
      <c r="D1138" s="24">
        <v>61</v>
      </c>
      <c r="E1138" t="e">
        <f>_xlfn.XLOOKUP(A1138,'[1]query (5)'!$C:$C,'[1]query (5)'!$A:$A)</f>
        <v>#N/A</v>
      </c>
    </row>
    <row r="1139" spans="1:5" x14ac:dyDescent="0.3">
      <c r="A1139" s="23">
        <v>6338110</v>
      </c>
      <c r="B1139" s="23" t="s">
        <v>5267</v>
      </c>
      <c r="C1139" s="40">
        <v>11.12</v>
      </c>
      <c r="D1139" s="24">
        <v>4</v>
      </c>
      <c r="E1139" t="e">
        <f>_xlfn.XLOOKUP(A1139,'[1]query (5)'!$C:$C,'[1]query (5)'!$A:$A)</f>
        <v>#N/A</v>
      </c>
    </row>
    <row r="1140" spans="1:5" x14ac:dyDescent="0.3">
      <c r="A1140" s="23">
        <v>6338142</v>
      </c>
      <c r="B1140" s="23" t="s">
        <v>5268</v>
      </c>
      <c r="C1140" s="40">
        <v>13.83</v>
      </c>
      <c r="D1140" s="24">
        <v>2</v>
      </c>
      <c r="E1140" t="e">
        <f>_xlfn.XLOOKUP(A1140,'[1]query (5)'!$C:$C,'[1]query (5)'!$A:$A)</f>
        <v>#N/A</v>
      </c>
    </row>
    <row r="1141" spans="1:5" x14ac:dyDescent="0.3">
      <c r="A1141" s="23">
        <v>6342302</v>
      </c>
      <c r="B1141" s="23" t="s">
        <v>5269</v>
      </c>
      <c r="C1141" s="40">
        <v>28.83</v>
      </c>
      <c r="D1141" s="24">
        <v>7</v>
      </c>
      <c r="E1141" t="e">
        <f>_xlfn.XLOOKUP(A1141,'[1]query (5)'!$C:$C,'[1]query (5)'!$A:$A)</f>
        <v>#N/A</v>
      </c>
    </row>
    <row r="1142" spans="1:5" x14ac:dyDescent="0.3">
      <c r="A1142" s="23">
        <v>6342386</v>
      </c>
      <c r="B1142" s="23" t="s">
        <v>1908</v>
      </c>
      <c r="C1142" s="40">
        <v>129.47</v>
      </c>
      <c r="D1142" s="24">
        <v>1</v>
      </c>
      <c r="E1142" t="e">
        <f>_xlfn.XLOOKUP(A1142,'[1]query (5)'!$C:$C,'[1]query (5)'!$A:$A)</f>
        <v>#N/A</v>
      </c>
    </row>
    <row r="1143" spans="1:5" x14ac:dyDescent="0.3">
      <c r="A1143" s="23">
        <v>6342467</v>
      </c>
      <c r="B1143" s="23" t="s">
        <v>1857</v>
      </c>
      <c r="C1143" s="40">
        <v>38.24</v>
      </c>
      <c r="D1143" s="24">
        <v>8</v>
      </c>
      <c r="E1143" t="e">
        <f>_xlfn.XLOOKUP(A1143,'[1]query (5)'!$C:$C,'[1]query (5)'!$A:$A)</f>
        <v>#N/A</v>
      </c>
    </row>
    <row r="1144" spans="1:5" x14ac:dyDescent="0.3">
      <c r="A1144" s="23">
        <v>6342489</v>
      </c>
      <c r="B1144" s="23" t="s">
        <v>1858</v>
      </c>
      <c r="C1144" s="40">
        <v>21.19</v>
      </c>
      <c r="D1144" s="24">
        <v>3</v>
      </c>
      <c r="E1144" t="e">
        <f>_xlfn.XLOOKUP(A1144,'[1]query (5)'!$C:$C,'[1]query (5)'!$A:$A)</f>
        <v>#N/A</v>
      </c>
    </row>
    <row r="1145" spans="1:5" x14ac:dyDescent="0.3">
      <c r="A1145" s="23">
        <v>6342500</v>
      </c>
      <c r="B1145" s="23" t="s">
        <v>2470</v>
      </c>
      <c r="C1145" s="40">
        <v>48.6</v>
      </c>
      <c r="D1145" s="24">
        <v>6</v>
      </c>
      <c r="E1145" t="e">
        <f>_xlfn.XLOOKUP(A1145,'[1]query (5)'!$C:$C,'[1]query (5)'!$A:$A)</f>
        <v>#N/A</v>
      </c>
    </row>
    <row r="1146" spans="1:5" x14ac:dyDescent="0.3">
      <c r="A1146" s="23">
        <v>6342519</v>
      </c>
      <c r="B1146" s="23" t="s">
        <v>1859</v>
      </c>
      <c r="C1146" s="40">
        <v>6.13</v>
      </c>
      <c r="D1146" s="24">
        <v>1</v>
      </c>
      <c r="E1146" t="e">
        <f>_xlfn.XLOOKUP(A1146,'[1]query (5)'!$C:$C,'[1]query (5)'!$A:$A)</f>
        <v>#N/A</v>
      </c>
    </row>
    <row r="1147" spans="1:5" x14ac:dyDescent="0.3">
      <c r="A1147" s="23">
        <v>6342542</v>
      </c>
      <c r="B1147" s="23" t="s">
        <v>1838</v>
      </c>
      <c r="C1147" s="40">
        <v>77.73</v>
      </c>
      <c r="D1147" s="24">
        <v>11</v>
      </c>
      <c r="E1147" t="e">
        <f>_xlfn.XLOOKUP(A1147,'[1]query (5)'!$C:$C,'[1]query (5)'!$A:$A)</f>
        <v>#N/A</v>
      </c>
    </row>
    <row r="1148" spans="1:5" x14ac:dyDescent="0.3">
      <c r="A1148" s="23">
        <v>6342551</v>
      </c>
      <c r="B1148" s="23" t="s">
        <v>1842</v>
      </c>
      <c r="C1148" s="40">
        <v>43.45</v>
      </c>
      <c r="D1148" s="24">
        <v>17</v>
      </c>
      <c r="E1148" t="e">
        <f>_xlfn.XLOOKUP(A1148,'[1]query (5)'!$C:$C,'[1]query (5)'!$A:$A)</f>
        <v>#N/A</v>
      </c>
    </row>
    <row r="1149" spans="1:5" x14ac:dyDescent="0.3">
      <c r="A1149" s="23">
        <v>6342575</v>
      </c>
      <c r="B1149" s="23" t="s">
        <v>5270</v>
      </c>
      <c r="C1149" s="40">
        <v>151.86000000000001</v>
      </c>
      <c r="D1149" s="24">
        <v>14</v>
      </c>
      <c r="E1149" t="e">
        <f>_xlfn.XLOOKUP(A1149,'[1]query (5)'!$C:$C,'[1]query (5)'!$A:$A)</f>
        <v>#N/A</v>
      </c>
    </row>
    <row r="1150" spans="1:5" x14ac:dyDescent="0.3">
      <c r="A1150" s="23">
        <v>6344413</v>
      </c>
      <c r="B1150" s="23" t="s">
        <v>1376</v>
      </c>
      <c r="C1150" s="40">
        <v>54.26</v>
      </c>
      <c r="D1150" s="24">
        <v>10</v>
      </c>
      <c r="E1150" t="e">
        <f>_xlfn.XLOOKUP(A1150,'[1]query (5)'!$C:$C,'[1]query (5)'!$A:$A)</f>
        <v>#N/A</v>
      </c>
    </row>
    <row r="1151" spans="1:5" x14ac:dyDescent="0.3">
      <c r="A1151" s="23">
        <v>6344594</v>
      </c>
      <c r="B1151" s="23" t="s">
        <v>2471</v>
      </c>
      <c r="C1151" s="40">
        <v>1545.74</v>
      </c>
      <c r="D1151" s="24">
        <v>9</v>
      </c>
      <c r="E1151" t="e">
        <f>_xlfn.XLOOKUP(A1151,'[1]query (5)'!$C:$C,'[1]query (5)'!$A:$A)</f>
        <v>#N/A</v>
      </c>
    </row>
    <row r="1152" spans="1:5" x14ac:dyDescent="0.3">
      <c r="A1152" s="23">
        <v>6344595</v>
      </c>
      <c r="B1152" s="23" t="s">
        <v>2740</v>
      </c>
      <c r="C1152" s="40">
        <v>37.799999999999997</v>
      </c>
      <c r="D1152" s="24">
        <v>1</v>
      </c>
      <c r="E1152" t="e">
        <f>_xlfn.XLOOKUP(A1152,'[1]query (5)'!$C:$C,'[1]query (5)'!$A:$A)</f>
        <v>#N/A</v>
      </c>
    </row>
    <row r="1153" spans="1:5" x14ac:dyDescent="0.3">
      <c r="A1153" s="23">
        <v>6344657</v>
      </c>
      <c r="B1153" s="23" t="s">
        <v>1418</v>
      </c>
      <c r="C1153" s="40">
        <v>451.12</v>
      </c>
      <c r="D1153" s="24">
        <v>27</v>
      </c>
      <c r="E1153" t="e">
        <f>_xlfn.XLOOKUP(A1153,'[1]query (5)'!$C:$C,'[1]query (5)'!$A:$A)</f>
        <v>#N/A</v>
      </c>
    </row>
    <row r="1154" spans="1:5" x14ac:dyDescent="0.3">
      <c r="A1154" s="23">
        <v>6345257</v>
      </c>
      <c r="B1154" s="23" t="s">
        <v>2741</v>
      </c>
      <c r="C1154" s="40">
        <v>57.71</v>
      </c>
      <c r="D1154" s="24">
        <v>4</v>
      </c>
      <c r="E1154" t="e">
        <f>_xlfn.XLOOKUP(A1154,'[1]query (5)'!$C:$C,'[1]query (5)'!$A:$A)</f>
        <v>#N/A</v>
      </c>
    </row>
    <row r="1155" spans="1:5" x14ac:dyDescent="0.3">
      <c r="A1155" s="23">
        <v>6345806</v>
      </c>
      <c r="B1155" s="23" t="s">
        <v>2742</v>
      </c>
      <c r="C1155" s="40">
        <v>22.37</v>
      </c>
      <c r="D1155" s="24">
        <v>3</v>
      </c>
      <c r="E1155" t="e">
        <f>_xlfn.XLOOKUP(A1155,'[1]query (5)'!$C:$C,'[1]query (5)'!$A:$A)</f>
        <v>#N/A</v>
      </c>
    </row>
    <row r="1156" spans="1:5" x14ac:dyDescent="0.3">
      <c r="A1156" s="23">
        <v>6345819</v>
      </c>
      <c r="B1156" s="23" t="s">
        <v>5271</v>
      </c>
      <c r="C1156" s="40">
        <v>173.58</v>
      </c>
      <c r="D1156" s="24">
        <v>4</v>
      </c>
      <c r="E1156" t="e">
        <f>_xlfn.XLOOKUP(A1156,'[1]query (5)'!$C:$C,'[1]query (5)'!$A:$A)</f>
        <v>#N/A</v>
      </c>
    </row>
    <row r="1157" spans="1:5" x14ac:dyDescent="0.3">
      <c r="A1157" s="23">
        <v>6345821</v>
      </c>
      <c r="B1157" s="23" t="s">
        <v>2472</v>
      </c>
      <c r="C1157" s="40">
        <v>322.83999999999997</v>
      </c>
      <c r="D1157" s="24">
        <v>4</v>
      </c>
      <c r="E1157" t="e">
        <f>_xlfn.XLOOKUP(A1157,'[1]query (5)'!$C:$C,'[1]query (5)'!$A:$A)</f>
        <v>#N/A</v>
      </c>
    </row>
    <row r="1158" spans="1:5" x14ac:dyDescent="0.3">
      <c r="A1158" s="23">
        <v>6345843</v>
      </c>
      <c r="B1158" s="23" t="s">
        <v>1949</v>
      </c>
      <c r="C1158" s="40">
        <v>205.08</v>
      </c>
      <c r="D1158" s="24">
        <v>6</v>
      </c>
      <c r="E1158" t="e">
        <f>_xlfn.XLOOKUP(A1158,'[1]query (5)'!$C:$C,'[1]query (5)'!$A:$A)</f>
        <v>#N/A</v>
      </c>
    </row>
    <row r="1159" spans="1:5" x14ac:dyDescent="0.3">
      <c r="A1159" s="23">
        <v>6345844</v>
      </c>
      <c r="B1159" s="23" t="s">
        <v>1950</v>
      </c>
      <c r="C1159" s="40">
        <v>634.79999999999995</v>
      </c>
      <c r="D1159" s="24">
        <v>12</v>
      </c>
      <c r="E1159" t="e">
        <f>_xlfn.XLOOKUP(A1159,'[1]query (5)'!$C:$C,'[1]query (5)'!$A:$A)</f>
        <v>#N/A</v>
      </c>
    </row>
    <row r="1160" spans="1:5" x14ac:dyDescent="0.3">
      <c r="A1160" s="23">
        <v>6345855</v>
      </c>
      <c r="B1160" s="23" t="s">
        <v>1920</v>
      </c>
      <c r="C1160" s="40">
        <v>132.71</v>
      </c>
      <c r="D1160" s="24">
        <v>4</v>
      </c>
      <c r="E1160" t="e">
        <f>_xlfn.XLOOKUP(A1160,'[1]query (5)'!$C:$C,'[1]query (5)'!$A:$A)</f>
        <v>#N/A</v>
      </c>
    </row>
    <row r="1161" spans="1:5" x14ac:dyDescent="0.3">
      <c r="A1161" s="23">
        <v>6345856</v>
      </c>
      <c r="B1161" s="23" t="s">
        <v>1922</v>
      </c>
      <c r="C1161" s="40">
        <v>375.44</v>
      </c>
      <c r="D1161" s="24">
        <v>6</v>
      </c>
      <c r="E1161" t="e">
        <f>_xlfn.XLOOKUP(A1161,'[1]query (5)'!$C:$C,'[1]query (5)'!$A:$A)</f>
        <v>#N/A</v>
      </c>
    </row>
    <row r="1162" spans="1:5" x14ac:dyDescent="0.3">
      <c r="A1162" s="23">
        <v>6345857</v>
      </c>
      <c r="B1162" s="23" t="s">
        <v>1921</v>
      </c>
      <c r="C1162" s="40">
        <v>870.3</v>
      </c>
      <c r="D1162" s="24">
        <v>14</v>
      </c>
      <c r="E1162" t="e">
        <f>_xlfn.XLOOKUP(A1162,'[1]query (5)'!$C:$C,'[1]query (5)'!$A:$A)</f>
        <v>#N/A</v>
      </c>
    </row>
    <row r="1163" spans="1:5" x14ac:dyDescent="0.3">
      <c r="A1163" s="23">
        <v>6345858</v>
      </c>
      <c r="B1163" s="23" t="s">
        <v>2743</v>
      </c>
      <c r="C1163" s="40">
        <v>80.849999999999994</v>
      </c>
      <c r="D1163" s="24">
        <v>2</v>
      </c>
      <c r="E1163" t="e">
        <f>_xlfn.XLOOKUP(A1163,'[1]query (5)'!$C:$C,'[1]query (5)'!$A:$A)</f>
        <v>#N/A</v>
      </c>
    </row>
    <row r="1164" spans="1:5" x14ac:dyDescent="0.3">
      <c r="A1164" s="23">
        <v>6345861</v>
      </c>
      <c r="B1164" s="23" t="s">
        <v>2744</v>
      </c>
      <c r="C1164" s="40">
        <v>165.54</v>
      </c>
      <c r="D1164" s="24">
        <v>2</v>
      </c>
      <c r="E1164" t="e">
        <f>_xlfn.XLOOKUP(A1164,'[1]query (5)'!$C:$C,'[1]query (5)'!$A:$A)</f>
        <v>#N/A</v>
      </c>
    </row>
    <row r="1165" spans="1:5" x14ac:dyDescent="0.3">
      <c r="A1165" s="23">
        <v>6345862</v>
      </c>
      <c r="B1165" s="23" t="s">
        <v>1953</v>
      </c>
      <c r="C1165" s="40">
        <v>288.76</v>
      </c>
      <c r="D1165" s="24">
        <v>2</v>
      </c>
      <c r="E1165" t="e">
        <f>_xlfn.XLOOKUP(A1165,'[1]query (5)'!$C:$C,'[1]query (5)'!$A:$A)</f>
        <v>#N/A</v>
      </c>
    </row>
    <row r="1166" spans="1:5" x14ac:dyDescent="0.3">
      <c r="A1166" s="23">
        <v>6346496</v>
      </c>
      <c r="B1166" s="23" t="s">
        <v>1811</v>
      </c>
      <c r="C1166" s="40">
        <v>22.73</v>
      </c>
      <c r="D1166" s="24">
        <v>11</v>
      </c>
      <c r="E1166" t="e">
        <f>_xlfn.XLOOKUP(A1166,'[1]query (5)'!$C:$C,'[1]query (5)'!$A:$A)</f>
        <v>#N/A</v>
      </c>
    </row>
    <row r="1167" spans="1:5" x14ac:dyDescent="0.3">
      <c r="A1167" s="23">
        <v>6346649</v>
      </c>
      <c r="B1167" s="23" t="s">
        <v>2745</v>
      </c>
      <c r="C1167" s="40">
        <v>118.4</v>
      </c>
      <c r="D1167" s="24">
        <v>14</v>
      </c>
      <c r="E1167" t="e">
        <f>_xlfn.XLOOKUP(A1167,'[1]query (5)'!$C:$C,'[1]query (5)'!$A:$A)</f>
        <v>#N/A</v>
      </c>
    </row>
    <row r="1168" spans="1:5" x14ac:dyDescent="0.3">
      <c r="A1168" s="23">
        <v>6346660</v>
      </c>
      <c r="B1168" s="23" t="s">
        <v>1806</v>
      </c>
      <c r="C1168" s="40">
        <v>4.05</v>
      </c>
      <c r="D1168" s="24">
        <v>3</v>
      </c>
      <c r="E1168" t="e">
        <f>_xlfn.XLOOKUP(A1168,'[1]query (5)'!$C:$C,'[1]query (5)'!$A:$A)</f>
        <v>#N/A</v>
      </c>
    </row>
    <row r="1169" spans="1:5" x14ac:dyDescent="0.3">
      <c r="A1169" s="23">
        <v>6346663</v>
      </c>
      <c r="B1169" s="23" t="s">
        <v>1810</v>
      </c>
      <c r="C1169" s="40">
        <v>240.75</v>
      </c>
      <c r="D1169" s="24">
        <v>11</v>
      </c>
      <c r="E1169" t="e">
        <f>_xlfn.XLOOKUP(A1169,'[1]query (5)'!$C:$C,'[1]query (5)'!$A:$A)</f>
        <v>#N/A</v>
      </c>
    </row>
    <row r="1170" spans="1:5" x14ac:dyDescent="0.3">
      <c r="A1170" s="23">
        <v>6346665</v>
      </c>
      <c r="B1170" s="23" t="s">
        <v>1808</v>
      </c>
      <c r="C1170" s="40">
        <v>293.74</v>
      </c>
      <c r="D1170" s="24">
        <v>91</v>
      </c>
      <c r="E1170" t="e">
        <f>_xlfn.XLOOKUP(A1170,'[1]query (5)'!$C:$C,'[1]query (5)'!$A:$A)</f>
        <v>#N/A</v>
      </c>
    </row>
    <row r="1171" spans="1:5" x14ac:dyDescent="0.3">
      <c r="A1171" s="23">
        <v>6346666</v>
      </c>
      <c r="B1171" s="23" t="s">
        <v>2746</v>
      </c>
      <c r="C1171" s="40">
        <v>1.74</v>
      </c>
      <c r="D1171" s="24">
        <v>2</v>
      </c>
      <c r="E1171" t="e">
        <f>_xlfn.XLOOKUP(A1171,'[1]query (5)'!$C:$C,'[1]query (5)'!$A:$A)</f>
        <v>#N/A</v>
      </c>
    </row>
    <row r="1172" spans="1:5" x14ac:dyDescent="0.3">
      <c r="A1172" s="23">
        <v>6346669</v>
      </c>
      <c r="B1172" s="23" t="s">
        <v>1812</v>
      </c>
      <c r="C1172" s="40">
        <v>14.89</v>
      </c>
      <c r="D1172" s="24">
        <v>3</v>
      </c>
      <c r="E1172" t="e">
        <f>_xlfn.XLOOKUP(A1172,'[1]query (5)'!$C:$C,'[1]query (5)'!$A:$A)</f>
        <v>#N/A</v>
      </c>
    </row>
    <row r="1173" spans="1:5" x14ac:dyDescent="0.3">
      <c r="A1173" s="23">
        <v>6346690</v>
      </c>
      <c r="B1173" s="23" t="s">
        <v>5272</v>
      </c>
      <c r="C1173" s="40">
        <v>9.16</v>
      </c>
      <c r="D1173" s="24">
        <v>2</v>
      </c>
      <c r="E1173" t="e">
        <f>_xlfn.XLOOKUP(A1173,'[1]query (5)'!$C:$C,'[1]query (5)'!$A:$A)</f>
        <v>#N/A</v>
      </c>
    </row>
    <row r="1174" spans="1:5" x14ac:dyDescent="0.3">
      <c r="A1174" s="23">
        <v>6346691</v>
      </c>
      <c r="B1174" s="23" t="s">
        <v>1805</v>
      </c>
      <c r="C1174" s="40">
        <v>33.86</v>
      </c>
      <c r="D1174" s="24">
        <v>39</v>
      </c>
      <c r="E1174" t="e">
        <f>_xlfn.XLOOKUP(A1174,'[1]query (5)'!$C:$C,'[1]query (5)'!$A:$A)</f>
        <v>#N/A</v>
      </c>
    </row>
    <row r="1175" spans="1:5" x14ac:dyDescent="0.3">
      <c r="A1175" s="23">
        <v>6346701</v>
      </c>
      <c r="B1175" s="23" t="s">
        <v>1809</v>
      </c>
      <c r="C1175" s="40">
        <v>386.39</v>
      </c>
      <c r="D1175" s="24">
        <v>285</v>
      </c>
      <c r="E1175" t="e">
        <f>_xlfn.XLOOKUP(A1175,'[1]query (5)'!$C:$C,'[1]query (5)'!$A:$A)</f>
        <v>#N/A</v>
      </c>
    </row>
    <row r="1176" spans="1:5" x14ac:dyDescent="0.3">
      <c r="A1176" s="23">
        <v>6346703</v>
      </c>
      <c r="B1176" s="23" t="s">
        <v>1807</v>
      </c>
      <c r="C1176" s="40">
        <v>57.53</v>
      </c>
      <c r="D1176" s="24">
        <v>32</v>
      </c>
      <c r="E1176" t="e">
        <f>_xlfn.XLOOKUP(A1176,'[1]query (5)'!$C:$C,'[1]query (5)'!$A:$A)</f>
        <v>#N/A</v>
      </c>
    </row>
    <row r="1177" spans="1:5" x14ac:dyDescent="0.3">
      <c r="A1177" s="23">
        <v>6347360</v>
      </c>
      <c r="B1177" s="23" t="s">
        <v>1438</v>
      </c>
      <c r="C1177" s="40">
        <v>13.62</v>
      </c>
      <c r="D1177" s="24">
        <v>1</v>
      </c>
      <c r="E1177" t="e">
        <f>_xlfn.XLOOKUP(A1177,'[1]query (5)'!$C:$C,'[1]query (5)'!$A:$A)</f>
        <v>#N/A</v>
      </c>
    </row>
    <row r="1178" spans="1:5" x14ac:dyDescent="0.3">
      <c r="A1178" s="23">
        <v>6349873</v>
      </c>
      <c r="B1178" s="23" t="s">
        <v>2748</v>
      </c>
      <c r="C1178" s="40">
        <v>28.69</v>
      </c>
      <c r="D1178" s="24">
        <v>1</v>
      </c>
      <c r="E1178" t="e">
        <f>_xlfn.XLOOKUP(A1178,'[1]query (5)'!$C:$C,'[1]query (5)'!$A:$A)</f>
        <v>#N/A</v>
      </c>
    </row>
    <row r="1179" spans="1:5" x14ac:dyDescent="0.3">
      <c r="A1179" s="23">
        <v>6350238</v>
      </c>
      <c r="B1179" s="23" t="s">
        <v>1770</v>
      </c>
      <c r="C1179" s="40">
        <v>66.66</v>
      </c>
      <c r="D1179" s="24">
        <v>2</v>
      </c>
      <c r="E1179" t="e">
        <f>_xlfn.XLOOKUP(A1179,'[1]query (5)'!$C:$C,'[1]query (5)'!$A:$A)</f>
        <v>#N/A</v>
      </c>
    </row>
    <row r="1180" spans="1:5" x14ac:dyDescent="0.3">
      <c r="A1180" s="23">
        <v>6350248</v>
      </c>
      <c r="B1180" s="23" t="s">
        <v>2473</v>
      </c>
      <c r="C1180" s="40">
        <v>120</v>
      </c>
      <c r="D1180" s="24">
        <v>4</v>
      </c>
      <c r="E1180" t="e">
        <f>_xlfn.XLOOKUP(A1180,'[1]query (5)'!$C:$C,'[1]query (5)'!$A:$A)</f>
        <v>#N/A</v>
      </c>
    </row>
    <row r="1181" spans="1:5" x14ac:dyDescent="0.3">
      <c r="A1181" s="23">
        <v>6350264</v>
      </c>
      <c r="B1181" s="23" t="s">
        <v>1766</v>
      </c>
      <c r="C1181" s="40">
        <v>156.66</v>
      </c>
      <c r="D1181" s="24">
        <v>2</v>
      </c>
      <c r="E1181" t="e">
        <f>_xlfn.XLOOKUP(A1181,'[1]query (5)'!$C:$C,'[1]query (5)'!$A:$A)</f>
        <v>#N/A</v>
      </c>
    </row>
    <row r="1182" spans="1:5" x14ac:dyDescent="0.3">
      <c r="A1182" s="23">
        <v>6350286</v>
      </c>
      <c r="B1182" s="23" t="s">
        <v>2749</v>
      </c>
      <c r="C1182" s="40">
        <v>208.34</v>
      </c>
      <c r="D1182" s="24">
        <v>2</v>
      </c>
      <c r="E1182" t="e">
        <f>_xlfn.XLOOKUP(A1182,'[1]query (5)'!$C:$C,'[1]query (5)'!$A:$A)</f>
        <v>#N/A</v>
      </c>
    </row>
    <row r="1183" spans="1:5" x14ac:dyDescent="0.3">
      <c r="A1183" s="23">
        <v>6350289</v>
      </c>
      <c r="B1183" s="23" t="s">
        <v>2750</v>
      </c>
      <c r="C1183" s="40">
        <v>200.01</v>
      </c>
      <c r="D1183" s="24">
        <v>3</v>
      </c>
      <c r="E1183" t="e">
        <f>_xlfn.XLOOKUP(A1183,'[1]query (5)'!$C:$C,'[1]query (5)'!$A:$A)</f>
        <v>#N/A</v>
      </c>
    </row>
    <row r="1184" spans="1:5" x14ac:dyDescent="0.3">
      <c r="A1184" s="23">
        <v>6350290</v>
      </c>
      <c r="B1184" s="23" t="s">
        <v>1768</v>
      </c>
      <c r="C1184" s="40">
        <v>62.92</v>
      </c>
      <c r="D1184" s="24">
        <v>1</v>
      </c>
      <c r="E1184" t="e">
        <f>_xlfn.XLOOKUP(A1184,'[1]query (5)'!$C:$C,'[1]query (5)'!$A:$A)</f>
        <v>#N/A</v>
      </c>
    </row>
    <row r="1185" spans="1:5" x14ac:dyDescent="0.3">
      <c r="A1185" s="23">
        <v>6350292</v>
      </c>
      <c r="B1185" s="23" t="s">
        <v>2751</v>
      </c>
      <c r="C1185" s="40">
        <v>66.67</v>
      </c>
      <c r="D1185" s="24">
        <v>1</v>
      </c>
      <c r="E1185" t="e">
        <f>_xlfn.XLOOKUP(A1185,'[1]query (5)'!$C:$C,'[1]query (5)'!$A:$A)</f>
        <v>#N/A</v>
      </c>
    </row>
    <row r="1186" spans="1:5" x14ac:dyDescent="0.3">
      <c r="A1186" s="23">
        <v>6350306</v>
      </c>
      <c r="B1186" s="23" t="s">
        <v>1769</v>
      </c>
      <c r="C1186" s="40">
        <v>85</v>
      </c>
      <c r="D1186" s="24">
        <v>1</v>
      </c>
      <c r="E1186" t="e">
        <f>_xlfn.XLOOKUP(A1186,'[1]query (5)'!$C:$C,'[1]query (5)'!$A:$A)</f>
        <v>#N/A</v>
      </c>
    </row>
    <row r="1187" spans="1:5" x14ac:dyDescent="0.3">
      <c r="A1187" s="23">
        <v>6350308</v>
      </c>
      <c r="B1187" s="23" t="s">
        <v>2752</v>
      </c>
      <c r="C1187" s="40">
        <v>85</v>
      </c>
      <c r="D1187" s="24">
        <v>1</v>
      </c>
      <c r="E1187" t="e">
        <f>_xlfn.XLOOKUP(A1187,'[1]query (5)'!$C:$C,'[1]query (5)'!$A:$A)</f>
        <v>#N/A</v>
      </c>
    </row>
    <row r="1188" spans="1:5" x14ac:dyDescent="0.3">
      <c r="A1188" s="23">
        <v>6350322</v>
      </c>
      <c r="B1188" s="23" t="s">
        <v>2753</v>
      </c>
      <c r="C1188" s="40">
        <v>610</v>
      </c>
      <c r="D1188" s="24">
        <v>4</v>
      </c>
      <c r="E1188" t="e">
        <f>_xlfn.XLOOKUP(A1188,'[1]query (5)'!$C:$C,'[1]query (5)'!$A:$A)</f>
        <v>#N/A</v>
      </c>
    </row>
    <row r="1189" spans="1:5" x14ac:dyDescent="0.3">
      <c r="A1189" s="23">
        <v>6350337</v>
      </c>
      <c r="B1189" s="23" t="s">
        <v>2754</v>
      </c>
      <c r="C1189" s="40">
        <v>67.5</v>
      </c>
      <c r="D1189" s="24">
        <v>1</v>
      </c>
      <c r="E1189" t="e">
        <f>_xlfn.XLOOKUP(A1189,'[1]query (5)'!$C:$C,'[1]query (5)'!$A:$A)</f>
        <v>#N/A</v>
      </c>
    </row>
    <row r="1190" spans="1:5" x14ac:dyDescent="0.3">
      <c r="A1190" s="23">
        <v>6352781</v>
      </c>
      <c r="B1190" s="23" t="s">
        <v>5273</v>
      </c>
      <c r="C1190" s="40">
        <v>54.99</v>
      </c>
      <c r="D1190" s="24">
        <v>5</v>
      </c>
      <c r="E1190" t="e">
        <f>_xlfn.XLOOKUP(A1190,'[1]query (5)'!$C:$C,'[1]query (5)'!$A:$A)</f>
        <v>#N/A</v>
      </c>
    </row>
    <row r="1191" spans="1:5" x14ac:dyDescent="0.3">
      <c r="A1191" s="23">
        <v>6352807</v>
      </c>
      <c r="B1191" s="23" t="s">
        <v>1896</v>
      </c>
      <c r="C1191" s="40">
        <v>92.29</v>
      </c>
      <c r="D1191" s="24">
        <v>5</v>
      </c>
      <c r="E1191" t="e">
        <f>_xlfn.XLOOKUP(A1191,'[1]query (5)'!$C:$C,'[1]query (5)'!$A:$A)</f>
        <v>#N/A</v>
      </c>
    </row>
    <row r="1192" spans="1:5" x14ac:dyDescent="0.3">
      <c r="A1192" s="23">
        <v>6352808</v>
      </c>
      <c r="B1192" s="23" t="s">
        <v>1897</v>
      </c>
      <c r="C1192" s="40">
        <v>56.85</v>
      </c>
      <c r="D1192" s="24">
        <v>3</v>
      </c>
      <c r="E1192" t="e">
        <f>_xlfn.XLOOKUP(A1192,'[1]query (5)'!$C:$C,'[1]query (5)'!$A:$A)</f>
        <v>#N/A</v>
      </c>
    </row>
    <row r="1193" spans="1:5" x14ac:dyDescent="0.3">
      <c r="A1193" s="23">
        <v>6352809</v>
      </c>
      <c r="B1193" s="23" t="s">
        <v>1898</v>
      </c>
      <c r="C1193" s="40">
        <v>37.08</v>
      </c>
      <c r="D1193" s="24">
        <v>2</v>
      </c>
      <c r="E1193" t="e">
        <f>_xlfn.XLOOKUP(A1193,'[1]query (5)'!$C:$C,'[1]query (5)'!$A:$A)</f>
        <v>#N/A</v>
      </c>
    </row>
    <row r="1194" spans="1:5" x14ac:dyDescent="0.3">
      <c r="A1194" s="23">
        <v>6352810</v>
      </c>
      <c r="B1194" s="23" t="s">
        <v>1899</v>
      </c>
      <c r="C1194" s="40">
        <v>37.08</v>
      </c>
      <c r="D1194" s="24">
        <v>2</v>
      </c>
      <c r="E1194" t="e">
        <f>_xlfn.XLOOKUP(A1194,'[1]query (5)'!$C:$C,'[1]query (5)'!$A:$A)</f>
        <v>#N/A</v>
      </c>
    </row>
    <row r="1195" spans="1:5" x14ac:dyDescent="0.3">
      <c r="A1195" s="23">
        <v>6352827</v>
      </c>
      <c r="B1195" s="23" t="s">
        <v>1891</v>
      </c>
      <c r="C1195" s="40">
        <v>22.29</v>
      </c>
      <c r="D1195" s="24">
        <v>1</v>
      </c>
      <c r="E1195" t="e">
        <f>_xlfn.XLOOKUP(A1195,'[1]query (5)'!$C:$C,'[1]query (5)'!$A:$A)</f>
        <v>#N/A</v>
      </c>
    </row>
    <row r="1196" spans="1:5" x14ac:dyDescent="0.3">
      <c r="A1196" s="23">
        <v>6352847</v>
      </c>
      <c r="B1196" s="23" t="s">
        <v>1493</v>
      </c>
      <c r="C1196" s="40">
        <v>25.16</v>
      </c>
      <c r="D1196" s="24">
        <v>1</v>
      </c>
      <c r="E1196" t="e">
        <f>_xlfn.XLOOKUP(A1196,'[1]query (5)'!$C:$C,'[1]query (5)'!$A:$A)</f>
        <v>#N/A</v>
      </c>
    </row>
    <row r="1197" spans="1:5" x14ac:dyDescent="0.3">
      <c r="A1197" s="23">
        <v>6352848</v>
      </c>
      <c r="B1197" s="23" t="s">
        <v>1492</v>
      </c>
      <c r="C1197" s="40">
        <v>52.58</v>
      </c>
      <c r="D1197" s="24">
        <v>2</v>
      </c>
      <c r="E1197" t="e">
        <f>_xlfn.XLOOKUP(A1197,'[1]query (5)'!$C:$C,'[1]query (5)'!$A:$A)</f>
        <v>#N/A</v>
      </c>
    </row>
    <row r="1198" spans="1:5" x14ac:dyDescent="0.3">
      <c r="A1198" s="23">
        <v>6352852</v>
      </c>
      <c r="B1198" s="23" t="s">
        <v>2756</v>
      </c>
      <c r="C1198" s="40">
        <v>22.29</v>
      </c>
      <c r="D1198" s="24">
        <v>1</v>
      </c>
      <c r="E1198" t="e">
        <f>_xlfn.XLOOKUP(A1198,'[1]query (5)'!$C:$C,'[1]query (5)'!$A:$A)</f>
        <v>#N/A</v>
      </c>
    </row>
    <row r="1199" spans="1:5" x14ac:dyDescent="0.3">
      <c r="A1199" s="23">
        <v>6352919</v>
      </c>
      <c r="B1199" s="23" t="s">
        <v>1592</v>
      </c>
      <c r="C1199" s="40">
        <v>21.92</v>
      </c>
      <c r="D1199" s="24">
        <v>1</v>
      </c>
      <c r="E1199" t="e">
        <f>_xlfn.XLOOKUP(A1199,'[1]query (5)'!$C:$C,'[1]query (5)'!$A:$A)</f>
        <v>#N/A</v>
      </c>
    </row>
    <row r="1200" spans="1:5" x14ac:dyDescent="0.3">
      <c r="A1200" s="23">
        <v>6352920</v>
      </c>
      <c r="B1200" s="23" t="s">
        <v>1593</v>
      </c>
      <c r="C1200" s="40">
        <v>21.92</v>
      </c>
      <c r="D1200" s="24">
        <v>1</v>
      </c>
      <c r="E1200" t="e">
        <f>_xlfn.XLOOKUP(A1200,'[1]query (5)'!$C:$C,'[1]query (5)'!$A:$A)</f>
        <v>#N/A</v>
      </c>
    </row>
    <row r="1201" spans="1:5" x14ac:dyDescent="0.3">
      <c r="A1201" s="23">
        <v>6352921</v>
      </c>
      <c r="B1201" s="23" t="s">
        <v>1594</v>
      </c>
      <c r="C1201" s="40">
        <v>87.68</v>
      </c>
      <c r="D1201" s="24">
        <v>4</v>
      </c>
      <c r="E1201" t="e">
        <f>_xlfn.XLOOKUP(A1201,'[1]query (5)'!$C:$C,'[1]query (5)'!$A:$A)</f>
        <v>#N/A</v>
      </c>
    </row>
    <row r="1202" spans="1:5" x14ac:dyDescent="0.3">
      <c r="A1202" s="23">
        <v>6352922</v>
      </c>
      <c r="B1202" s="23" t="s">
        <v>1595</v>
      </c>
      <c r="C1202" s="40">
        <v>43.84</v>
      </c>
      <c r="D1202" s="24">
        <v>2</v>
      </c>
      <c r="E1202" t="e">
        <f>_xlfn.XLOOKUP(A1202,'[1]query (5)'!$C:$C,'[1]query (5)'!$A:$A)</f>
        <v>#N/A</v>
      </c>
    </row>
    <row r="1203" spans="1:5" x14ac:dyDescent="0.3">
      <c r="A1203" s="23">
        <v>6352923</v>
      </c>
      <c r="B1203" s="23" t="s">
        <v>2757</v>
      </c>
      <c r="C1203" s="40">
        <v>21.92</v>
      </c>
      <c r="D1203" s="24">
        <v>1</v>
      </c>
      <c r="E1203" t="e">
        <f>_xlfn.XLOOKUP(A1203,'[1]query (5)'!$C:$C,'[1]query (5)'!$A:$A)</f>
        <v>#N/A</v>
      </c>
    </row>
    <row r="1204" spans="1:5" x14ac:dyDescent="0.3">
      <c r="A1204" s="23">
        <v>6352927</v>
      </c>
      <c r="B1204" s="23" t="s">
        <v>2758</v>
      </c>
      <c r="C1204" s="40">
        <v>21.92</v>
      </c>
      <c r="D1204" s="24">
        <v>1</v>
      </c>
      <c r="E1204" t="e">
        <f>_xlfn.XLOOKUP(A1204,'[1]query (5)'!$C:$C,'[1]query (5)'!$A:$A)</f>
        <v>#N/A</v>
      </c>
    </row>
    <row r="1205" spans="1:5" x14ac:dyDescent="0.3">
      <c r="A1205" s="23">
        <v>6352941</v>
      </c>
      <c r="B1205" s="23" t="s">
        <v>1494</v>
      </c>
      <c r="C1205" s="40">
        <v>52.58</v>
      </c>
      <c r="D1205" s="24">
        <v>2</v>
      </c>
      <c r="E1205" t="e">
        <f>_xlfn.XLOOKUP(A1205,'[1]query (5)'!$C:$C,'[1]query (5)'!$A:$A)</f>
        <v>#N/A</v>
      </c>
    </row>
    <row r="1206" spans="1:5" x14ac:dyDescent="0.3">
      <c r="A1206" s="23">
        <v>6352971</v>
      </c>
      <c r="B1206" s="23" t="s">
        <v>2759</v>
      </c>
      <c r="C1206" s="40">
        <v>43.5</v>
      </c>
      <c r="D1206" s="24">
        <v>1</v>
      </c>
      <c r="E1206" t="e">
        <f>_xlfn.XLOOKUP(A1206,'[1]query (5)'!$C:$C,'[1]query (5)'!$A:$A)</f>
        <v>#N/A</v>
      </c>
    </row>
    <row r="1207" spans="1:5" x14ac:dyDescent="0.3">
      <c r="A1207" s="23">
        <v>6352980</v>
      </c>
      <c r="B1207" s="23" t="s">
        <v>2760</v>
      </c>
      <c r="C1207" s="40">
        <v>43.5</v>
      </c>
      <c r="D1207" s="24">
        <v>1</v>
      </c>
      <c r="E1207" t="e">
        <f>_xlfn.XLOOKUP(A1207,'[1]query (5)'!$C:$C,'[1]query (5)'!$A:$A)</f>
        <v>#N/A</v>
      </c>
    </row>
    <row r="1208" spans="1:5" x14ac:dyDescent="0.3">
      <c r="A1208" s="23">
        <v>6352982</v>
      </c>
      <c r="B1208" s="23" t="s">
        <v>2761</v>
      </c>
      <c r="C1208" s="40">
        <v>43.5</v>
      </c>
      <c r="D1208" s="24">
        <v>1</v>
      </c>
      <c r="E1208" t="e">
        <f>_xlfn.XLOOKUP(A1208,'[1]query (5)'!$C:$C,'[1]query (5)'!$A:$A)</f>
        <v>#N/A</v>
      </c>
    </row>
    <row r="1209" spans="1:5" x14ac:dyDescent="0.3">
      <c r="A1209" s="23">
        <v>6353044</v>
      </c>
      <c r="B1209" s="23" t="s">
        <v>2762</v>
      </c>
      <c r="C1209" s="40">
        <v>26.08</v>
      </c>
      <c r="D1209" s="24">
        <v>2</v>
      </c>
      <c r="E1209" t="e">
        <f>_xlfn.XLOOKUP(A1209,'[1]query (5)'!$C:$C,'[1]query (5)'!$A:$A)</f>
        <v>#N/A</v>
      </c>
    </row>
    <row r="1210" spans="1:5" x14ac:dyDescent="0.3">
      <c r="A1210" s="23">
        <v>6353103</v>
      </c>
      <c r="B1210" s="23" t="s">
        <v>5274</v>
      </c>
      <c r="C1210" s="40">
        <v>206.7</v>
      </c>
      <c r="D1210" s="24">
        <v>15</v>
      </c>
      <c r="E1210" t="e">
        <f>_xlfn.XLOOKUP(A1210,'[1]query (5)'!$C:$C,'[1]query (5)'!$A:$A)</f>
        <v>#N/A</v>
      </c>
    </row>
    <row r="1211" spans="1:5" x14ac:dyDescent="0.3">
      <c r="A1211" s="23">
        <v>6360746</v>
      </c>
      <c r="B1211" s="23" t="s">
        <v>1423</v>
      </c>
      <c r="C1211" s="40">
        <v>22.23</v>
      </c>
      <c r="D1211" s="24">
        <v>5</v>
      </c>
      <c r="E1211" t="e">
        <f>_xlfn.XLOOKUP(A1211,'[1]query (5)'!$C:$C,'[1]query (5)'!$A:$A)</f>
        <v>#N/A</v>
      </c>
    </row>
    <row r="1212" spans="1:5" x14ac:dyDescent="0.3">
      <c r="A1212" s="23">
        <v>6360749</v>
      </c>
      <c r="B1212" s="23" t="s">
        <v>1427</v>
      </c>
      <c r="C1212" s="40">
        <v>3.41</v>
      </c>
      <c r="D1212" s="24">
        <v>1</v>
      </c>
      <c r="E1212" t="e">
        <f>_xlfn.XLOOKUP(A1212,'[1]query (5)'!$C:$C,'[1]query (5)'!$A:$A)</f>
        <v>#N/A</v>
      </c>
    </row>
    <row r="1213" spans="1:5" x14ac:dyDescent="0.3">
      <c r="A1213" s="23">
        <v>6360764</v>
      </c>
      <c r="B1213" s="23" t="s">
        <v>1429</v>
      </c>
      <c r="C1213" s="40">
        <v>2.0699999999999998</v>
      </c>
      <c r="D1213" s="24">
        <v>1</v>
      </c>
      <c r="E1213" t="e">
        <f>_xlfn.XLOOKUP(A1213,'[1]query (5)'!$C:$C,'[1]query (5)'!$A:$A)</f>
        <v>#N/A</v>
      </c>
    </row>
    <row r="1214" spans="1:5" x14ac:dyDescent="0.3">
      <c r="A1214" s="23">
        <v>6360781</v>
      </c>
      <c r="B1214" s="23" t="s">
        <v>2763</v>
      </c>
      <c r="C1214" s="40">
        <v>5.66</v>
      </c>
      <c r="D1214" s="24">
        <v>1</v>
      </c>
      <c r="E1214" t="e">
        <f>_xlfn.XLOOKUP(A1214,'[1]query (5)'!$C:$C,'[1]query (5)'!$A:$A)</f>
        <v>#N/A</v>
      </c>
    </row>
    <row r="1215" spans="1:5" x14ac:dyDescent="0.3">
      <c r="A1215" s="23">
        <v>6360784</v>
      </c>
      <c r="B1215" s="23" t="s">
        <v>1428</v>
      </c>
      <c r="C1215" s="40">
        <v>34.17</v>
      </c>
      <c r="D1215" s="24">
        <v>1</v>
      </c>
      <c r="E1215" t="e">
        <f>_xlfn.XLOOKUP(A1215,'[1]query (5)'!$C:$C,'[1]query (5)'!$A:$A)</f>
        <v>#N/A</v>
      </c>
    </row>
    <row r="1216" spans="1:5" x14ac:dyDescent="0.3">
      <c r="A1216" s="23">
        <v>6360791</v>
      </c>
      <c r="B1216" s="23" t="s">
        <v>1425</v>
      </c>
      <c r="C1216" s="40">
        <v>279.93</v>
      </c>
      <c r="D1216" s="24">
        <v>8</v>
      </c>
      <c r="E1216" t="e">
        <f>_xlfn.XLOOKUP(A1216,'[1]query (5)'!$C:$C,'[1]query (5)'!$A:$A)</f>
        <v>#N/A</v>
      </c>
    </row>
    <row r="1217" spans="1:5" x14ac:dyDescent="0.3">
      <c r="A1217" s="23">
        <v>6361275</v>
      </c>
      <c r="B1217" s="23" t="s">
        <v>2764</v>
      </c>
      <c r="C1217" s="40">
        <v>63.47</v>
      </c>
      <c r="D1217" s="24">
        <v>1</v>
      </c>
      <c r="E1217" t="e">
        <f>_xlfn.XLOOKUP(A1217,'[1]query (5)'!$C:$C,'[1]query (5)'!$A:$A)</f>
        <v>#N/A</v>
      </c>
    </row>
    <row r="1218" spans="1:5" x14ac:dyDescent="0.3">
      <c r="A1218" s="23">
        <v>6361406</v>
      </c>
      <c r="B1218" s="23" t="s">
        <v>1919</v>
      </c>
      <c r="C1218" s="40">
        <v>96.57</v>
      </c>
      <c r="D1218" s="24">
        <v>2</v>
      </c>
      <c r="E1218" t="e">
        <f>_xlfn.XLOOKUP(A1218,'[1]query (5)'!$C:$C,'[1]query (5)'!$A:$A)</f>
        <v>#N/A</v>
      </c>
    </row>
    <row r="1219" spans="1:5" x14ac:dyDescent="0.3">
      <c r="A1219" s="23">
        <v>6361908</v>
      </c>
      <c r="B1219" s="23" t="s">
        <v>1591</v>
      </c>
      <c r="C1219" s="40">
        <v>5223.24</v>
      </c>
      <c r="D1219" s="24">
        <v>249</v>
      </c>
      <c r="E1219" t="e">
        <f>_xlfn.XLOOKUP(A1219,'[1]query (5)'!$C:$C,'[1]query (5)'!$A:$A)</f>
        <v>#N/A</v>
      </c>
    </row>
    <row r="1220" spans="1:5" x14ac:dyDescent="0.3">
      <c r="A1220" s="23">
        <v>6364102</v>
      </c>
      <c r="B1220" s="23" t="s">
        <v>2765</v>
      </c>
      <c r="C1220" s="40">
        <v>39.549999999999997</v>
      </c>
      <c r="D1220" s="24">
        <v>7</v>
      </c>
      <c r="E1220" t="e">
        <f>_xlfn.XLOOKUP(A1220,'[1]query (5)'!$C:$C,'[1]query (5)'!$A:$A)</f>
        <v>#N/A</v>
      </c>
    </row>
    <row r="1221" spans="1:5" x14ac:dyDescent="0.3">
      <c r="A1221" s="23">
        <v>6364869</v>
      </c>
      <c r="B1221" s="23" t="s">
        <v>5275</v>
      </c>
      <c r="C1221" s="40">
        <v>119.1</v>
      </c>
      <c r="D1221" s="24">
        <v>5</v>
      </c>
      <c r="E1221" t="e">
        <f>_xlfn.XLOOKUP(A1221,'[1]query (5)'!$C:$C,'[1]query (5)'!$A:$A)</f>
        <v>#N/A</v>
      </c>
    </row>
    <row r="1222" spans="1:5" x14ac:dyDescent="0.3">
      <c r="A1222" s="23">
        <v>6365004</v>
      </c>
      <c r="B1222" s="23" t="s">
        <v>2474</v>
      </c>
      <c r="C1222" s="40">
        <v>15.92</v>
      </c>
      <c r="D1222" s="24">
        <v>2</v>
      </c>
      <c r="E1222" t="e">
        <f>_xlfn.XLOOKUP(A1222,'[1]query (5)'!$C:$C,'[1]query (5)'!$A:$A)</f>
        <v>#N/A</v>
      </c>
    </row>
    <row r="1223" spans="1:5" x14ac:dyDescent="0.3">
      <c r="A1223" s="23">
        <v>6365220</v>
      </c>
      <c r="B1223" s="23" t="s">
        <v>2475</v>
      </c>
      <c r="C1223" s="40">
        <v>1049.8499999999999</v>
      </c>
      <c r="D1223" s="24">
        <v>175</v>
      </c>
      <c r="E1223" t="e">
        <f>_xlfn.XLOOKUP(A1223,'[1]query (5)'!$C:$C,'[1]query (5)'!$A:$A)</f>
        <v>#N/A</v>
      </c>
    </row>
    <row r="1224" spans="1:5" x14ac:dyDescent="0.3">
      <c r="A1224" s="23">
        <v>6365228</v>
      </c>
      <c r="B1224" s="23" t="s">
        <v>1760</v>
      </c>
      <c r="C1224" s="40">
        <v>655.58</v>
      </c>
      <c r="D1224" s="24">
        <v>174</v>
      </c>
      <c r="E1224" t="e">
        <f>_xlfn.XLOOKUP(A1224,'[1]query (5)'!$C:$C,'[1]query (5)'!$A:$A)</f>
        <v>#N/A</v>
      </c>
    </row>
    <row r="1225" spans="1:5" x14ac:dyDescent="0.3">
      <c r="A1225" s="23">
        <v>6365229</v>
      </c>
      <c r="B1225" s="23" t="s">
        <v>1757</v>
      </c>
      <c r="C1225" s="40">
        <v>4.67</v>
      </c>
      <c r="D1225" s="24">
        <v>3</v>
      </c>
      <c r="E1225" t="e">
        <f>_xlfn.XLOOKUP(A1225,'[1]query (5)'!$C:$C,'[1]query (5)'!$A:$A)</f>
        <v>#N/A</v>
      </c>
    </row>
    <row r="1226" spans="1:5" x14ac:dyDescent="0.3">
      <c r="A1226" s="23">
        <v>6365251</v>
      </c>
      <c r="B1226" s="23" t="s">
        <v>1761</v>
      </c>
      <c r="C1226" s="40">
        <v>3612.47</v>
      </c>
      <c r="D1226" s="24">
        <v>978</v>
      </c>
      <c r="E1226" t="e">
        <f>_xlfn.XLOOKUP(A1226,'[1]query (5)'!$C:$C,'[1]query (5)'!$A:$A)</f>
        <v>#N/A</v>
      </c>
    </row>
    <row r="1227" spans="1:5" x14ac:dyDescent="0.3">
      <c r="A1227" s="23">
        <v>6365253</v>
      </c>
      <c r="B1227" s="23" t="s">
        <v>1758</v>
      </c>
      <c r="C1227" s="40">
        <v>3.67</v>
      </c>
      <c r="D1227" s="24">
        <v>1</v>
      </c>
      <c r="E1227" t="e">
        <f>_xlfn.XLOOKUP(A1227,'[1]query (5)'!$C:$C,'[1]query (5)'!$A:$A)</f>
        <v>#N/A</v>
      </c>
    </row>
    <row r="1228" spans="1:5" x14ac:dyDescent="0.3">
      <c r="A1228" s="23">
        <v>6365254</v>
      </c>
      <c r="B1228" s="23" t="s">
        <v>1401</v>
      </c>
      <c r="C1228" s="40">
        <v>103.8</v>
      </c>
      <c r="D1228" s="24">
        <v>34</v>
      </c>
      <c r="E1228" t="e">
        <f>_xlfn.XLOOKUP(A1228,'[1]query (5)'!$C:$C,'[1]query (5)'!$A:$A)</f>
        <v>#N/A</v>
      </c>
    </row>
    <row r="1229" spans="1:5" x14ac:dyDescent="0.3">
      <c r="A1229" s="23">
        <v>6365256</v>
      </c>
      <c r="B1229" s="23" t="s">
        <v>1403</v>
      </c>
      <c r="C1229" s="40">
        <v>12.21</v>
      </c>
      <c r="D1229" s="24">
        <v>5</v>
      </c>
      <c r="E1229" t="e">
        <f>_xlfn.XLOOKUP(A1229,'[1]query (5)'!$C:$C,'[1]query (5)'!$A:$A)</f>
        <v>#N/A</v>
      </c>
    </row>
    <row r="1230" spans="1:5" x14ac:dyDescent="0.3">
      <c r="A1230" s="23">
        <v>6365257</v>
      </c>
      <c r="B1230" s="23" t="s">
        <v>5276</v>
      </c>
      <c r="C1230" s="40">
        <v>4604.59</v>
      </c>
      <c r="D1230" s="24">
        <v>570</v>
      </c>
      <c r="E1230" t="e">
        <f>_xlfn.XLOOKUP(A1230,'[1]query (5)'!$C:$C,'[1]query (5)'!$A:$A)</f>
        <v>#N/A</v>
      </c>
    </row>
    <row r="1231" spans="1:5" x14ac:dyDescent="0.3">
      <c r="A1231" s="23">
        <v>6365271</v>
      </c>
      <c r="B1231" s="23" t="s">
        <v>2476</v>
      </c>
      <c r="C1231" s="40">
        <v>1657.01</v>
      </c>
      <c r="D1231" s="24">
        <v>143</v>
      </c>
      <c r="E1231" t="e">
        <f>_xlfn.XLOOKUP(A1231,'[1]query (5)'!$C:$C,'[1]query (5)'!$A:$A)</f>
        <v>#N/A</v>
      </c>
    </row>
    <row r="1232" spans="1:5" x14ac:dyDescent="0.3">
      <c r="A1232" s="23">
        <v>6365272</v>
      </c>
      <c r="B1232" s="23" t="s">
        <v>2477</v>
      </c>
      <c r="C1232" s="40">
        <v>12.12</v>
      </c>
      <c r="D1232" s="24">
        <v>8</v>
      </c>
      <c r="E1232" t="e">
        <f>_xlfn.XLOOKUP(A1232,'[1]query (5)'!$C:$C,'[1]query (5)'!$A:$A)</f>
        <v>#N/A</v>
      </c>
    </row>
    <row r="1233" spans="1:5" x14ac:dyDescent="0.3">
      <c r="A1233" s="23">
        <v>6365273</v>
      </c>
      <c r="B1233" s="23" t="s">
        <v>2478</v>
      </c>
      <c r="C1233" s="40">
        <v>156.97</v>
      </c>
      <c r="D1233" s="24">
        <v>52</v>
      </c>
      <c r="E1233" t="e">
        <f>_xlfn.XLOOKUP(A1233,'[1]query (5)'!$C:$C,'[1]query (5)'!$A:$A)</f>
        <v>#N/A</v>
      </c>
    </row>
    <row r="1234" spans="1:5" x14ac:dyDescent="0.3">
      <c r="A1234" s="23">
        <v>6365274</v>
      </c>
      <c r="B1234" s="23" t="s">
        <v>2479</v>
      </c>
      <c r="C1234" s="40">
        <v>20.68</v>
      </c>
      <c r="D1234" s="24">
        <v>5</v>
      </c>
      <c r="E1234" t="e">
        <f>_xlfn.XLOOKUP(A1234,'[1]query (5)'!$C:$C,'[1]query (5)'!$A:$A)</f>
        <v>#N/A</v>
      </c>
    </row>
    <row r="1235" spans="1:5" x14ac:dyDescent="0.3">
      <c r="A1235" s="23">
        <v>6366646</v>
      </c>
      <c r="B1235" s="23" t="s">
        <v>2767</v>
      </c>
      <c r="C1235" s="40">
        <v>162.44999999999999</v>
      </c>
      <c r="D1235" s="24">
        <v>25</v>
      </c>
      <c r="E1235" t="e">
        <f>_xlfn.XLOOKUP(A1235,'[1]query (5)'!$C:$C,'[1]query (5)'!$A:$A)</f>
        <v>#N/A</v>
      </c>
    </row>
    <row r="1236" spans="1:5" x14ac:dyDescent="0.3">
      <c r="A1236" s="23">
        <v>6369031</v>
      </c>
      <c r="B1236" s="23" t="s">
        <v>1767</v>
      </c>
      <c r="C1236" s="40">
        <v>39.159999999999997</v>
      </c>
      <c r="D1236" s="24">
        <v>2</v>
      </c>
      <c r="E1236" t="e">
        <f>_xlfn.XLOOKUP(A1236,'[1]query (5)'!$C:$C,'[1]query (5)'!$A:$A)</f>
        <v>#N/A</v>
      </c>
    </row>
    <row r="1237" spans="1:5" x14ac:dyDescent="0.3">
      <c r="A1237" s="23">
        <v>6372915</v>
      </c>
      <c r="B1237" s="23" t="s">
        <v>1951</v>
      </c>
      <c r="C1237" s="40">
        <v>159.25</v>
      </c>
      <c r="D1237" s="24">
        <v>14</v>
      </c>
      <c r="E1237" t="e">
        <f>_xlfn.XLOOKUP(A1237,'[1]query (5)'!$C:$C,'[1]query (5)'!$A:$A)</f>
        <v>#N/A</v>
      </c>
    </row>
    <row r="1238" spans="1:5" x14ac:dyDescent="0.3">
      <c r="A1238" s="23">
        <v>6372916</v>
      </c>
      <c r="B1238" s="23" t="s">
        <v>1943</v>
      </c>
      <c r="C1238" s="40">
        <v>595.33000000000004</v>
      </c>
      <c r="D1238" s="24">
        <v>106</v>
      </c>
      <c r="E1238" t="e">
        <f>_xlfn.XLOOKUP(A1238,'[1]query (5)'!$C:$C,'[1]query (5)'!$A:$A)</f>
        <v>#N/A</v>
      </c>
    </row>
    <row r="1239" spans="1:5" x14ac:dyDescent="0.3">
      <c r="A1239" s="23">
        <v>6372926</v>
      </c>
      <c r="B1239" s="23" t="s">
        <v>1952</v>
      </c>
      <c r="C1239" s="40">
        <v>239.7</v>
      </c>
      <c r="D1239" s="24">
        <v>43</v>
      </c>
      <c r="E1239" t="e">
        <f>_xlfn.XLOOKUP(A1239,'[1]query (5)'!$C:$C,'[1]query (5)'!$A:$A)</f>
        <v>#N/A</v>
      </c>
    </row>
    <row r="1240" spans="1:5" x14ac:dyDescent="0.3">
      <c r="A1240" s="23">
        <v>6373129</v>
      </c>
      <c r="B1240" s="23" t="s">
        <v>2768</v>
      </c>
      <c r="C1240" s="40">
        <v>30.37</v>
      </c>
      <c r="D1240" s="24">
        <v>1</v>
      </c>
      <c r="E1240" t="e">
        <f>_xlfn.XLOOKUP(A1240,'[1]query (5)'!$C:$C,'[1]query (5)'!$A:$A)</f>
        <v>#N/A</v>
      </c>
    </row>
    <row r="1241" spans="1:5" x14ac:dyDescent="0.3">
      <c r="A1241" s="23">
        <v>6373135</v>
      </c>
      <c r="B1241" s="23" t="s">
        <v>1914</v>
      </c>
      <c r="C1241" s="40">
        <v>85.24</v>
      </c>
      <c r="D1241" s="24">
        <v>2</v>
      </c>
      <c r="E1241" t="e">
        <f>_xlfn.XLOOKUP(A1241,'[1]query (5)'!$C:$C,'[1]query (5)'!$A:$A)</f>
        <v>#N/A</v>
      </c>
    </row>
    <row r="1242" spans="1:5" x14ac:dyDescent="0.3">
      <c r="A1242" s="23">
        <v>6373242</v>
      </c>
      <c r="B1242" s="23" t="s">
        <v>1910</v>
      </c>
      <c r="C1242" s="40">
        <v>404.03</v>
      </c>
      <c r="D1242" s="24">
        <v>6</v>
      </c>
      <c r="E1242" t="e">
        <f>_xlfn.XLOOKUP(A1242,'[1]query (5)'!$C:$C,'[1]query (5)'!$A:$A)</f>
        <v>#N/A</v>
      </c>
    </row>
    <row r="1243" spans="1:5" x14ac:dyDescent="0.3">
      <c r="A1243" s="23">
        <v>6373243</v>
      </c>
      <c r="B1243" s="23" t="s">
        <v>1911</v>
      </c>
      <c r="C1243" s="40">
        <v>333.8</v>
      </c>
      <c r="D1243" s="24">
        <v>4</v>
      </c>
      <c r="E1243" t="e">
        <f>_xlfn.XLOOKUP(A1243,'[1]query (5)'!$C:$C,'[1]query (5)'!$A:$A)</f>
        <v>#N/A</v>
      </c>
    </row>
    <row r="1244" spans="1:5" x14ac:dyDescent="0.3">
      <c r="A1244" s="23">
        <v>6373251</v>
      </c>
      <c r="B1244" s="23" t="s">
        <v>1912</v>
      </c>
      <c r="C1244" s="40">
        <v>702.16</v>
      </c>
      <c r="D1244" s="24">
        <v>9</v>
      </c>
      <c r="E1244" t="e">
        <f>_xlfn.XLOOKUP(A1244,'[1]query (5)'!$C:$C,'[1]query (5)'!$A:$A)</f>
        <v>#N/A</v>
      </c>
    </row>
    <row r="1245" spans="1:5" x14ac:dyDescent="0.3">
      <c r="A1245" s="23">
        <v>6373258</v>
      </c>
      <c r="B1245" s="23" t="s">
        <v>2769</v>
      </c>
      <c r="C1245" s="40">
        <v>552.08000000000004</v>
      </c>
      <c r="D1245" s="24">
        <v>2</v>
      </c>
      <c r="E1245" t="e">
        <f>_xlfn.XLOOKUP(A1245,'[1]query (5)'!$C:$C,'[1]query (5)'!$A:$A)</f>
        <v>#N/A</v>
      </c>
    </row>
    <row r="1246" spans="1:5" x14ac:dyDescent="0.3">
      <c r="A1246" s="23">
        <v>6373274</v>
      </c>
      <c r="B1246" s="23" t="s">
        <v>1909</v>
      </c>
      <c r="C1246" s="40">
        <v>88.9</v>
      </c>
      <c r="D1246" s="24">
        <v>1</v>
      </c>
      <c r="E1246" t="e">
        <f>_xlfn.XLOOKUP(A1246,'[1]query (5)'!$C:$C,'[1]query (5)'!$A:$A)</f>
        <v>#N/A</v>
      </c>
    </row>
    <row r="1247" spans="1:5" x14ac:dyDescent="0.3">
      <c r="A1247" s="23">
        <v>6373282</v>
      </c>
      <c r="B1247" s="23" t="s">
        <v>1913</v>
      </c>
      <c r="C1247" s="40">
        <v>175.98</v>
      </c>
      <c r="D1247" s="24">
        <v>2</v>
      </c>
      <c r="E1247" t="e">
        <f>_xlfn.XLOOKUP(A1247,'[1]query (5)'!$C:$C,'[1]query (5)'!$A:$A)</f>
        <v>#N/A</v>
      </c>
    </row>
    <row r="1248" spans="1:5" x14ac:dyDescent="0.3">
      <c r="A1248" s="23">
        <v>6373464</v>
      </c>
      <c r="B1248" s="23" t="s">
        <v>1780</v>
      </c>
      <c r="C1248" s="40">
        <v>10.77</v>
      </c>
      <c r="D1248" s="24">
        <v>3</v>
      </c>
      <c r="E1248" t="e">
        <f>_xlfn.XLOOKUP(A1248,'[1]query (5)'!$C:$C,'[1]query (5)'!$A:$A)</f>
        <v>#N/A</v>
      </c>
    </row>
    <row r="1249" spans="1:5" x14ac:dyDescent="0.3">
      <c r="A1249" s="23">
        <v>6374369</v>
      </c>
      <c r="B1249" s="23" t="s">
        <v>1765</v>
      </c>
      <c r="C1249" s="40">
        <v>15.87</v>
      </c>
      <c r="D1249" s="24">
        <v>3</v>
      </c>
      <c r="E1249" t="e">
        <f>_xlfn.XLOOKUP(A1249,'[1]query (5)'!$C:$C,'[1]query (5)'!$A:$A)</f>
        <v>#N/A</v>
      </c>
    </row>
    <row r="1250" spans="1:5" x14ac:dyDescent="0.3">
      <c r="A1250" s="23">
        <v>6376206</v>
      </c>
      <c r="B1250" s="23" t="s">
        <v>2770</v>
      </c>
      <c r="C1250" s="40">
        <v>4.9800000000000004</v>
      </c>
      <c r="D1250" s="24">
        <v>1</v>
      </c>
      <c r="E1250" t="e">
        <f>_xlfn.XLOOKUP(A1250,'[1]query (5)'!$C:$C,'[1]query (5)'!$A:$A)</f>
        <v>#N/A</v>
      </c>
    </row>
    <row r="1251" spans="1:5" x14ac:dyDescent="0.3">
      <c r="A1251" s="23">
        <v>6376218</v>
      </c>
      <c r="B1251" s="23" t="s">
        <v>2771</v>
      </c>
      <c r="C1251" s="40">
        <v>43.66</v>
      </c>
      <c r="D1251" s="24">
        <v>21</v>
      </c>
      <c r="E1251" t="e">
        <f>_xlfn.XLOOKUP(A1251,'[1]query (5)'!$C:$C,'[1]query (5)'!$A:$A)</f>
        <v>#N/A</v>
      </c>
    </row>
    <row r="1252" spans="1:5" x14ac:dyDescent="0.3">
      <c r="A1252" s="23">
        <v>6376235</v>
      </c>
      <c r="B1252" s="23" t="s">
        <v>2772</v>
      </c>
      <c r="C1252" s="40">
        <v>13.61</v>
      </c>
      <c r="D1252" s="24">
        <v>3</v>
      </c>
      <c r="E1252" t="e">
        <f>_xlfn.XLOOKUP(A1252,'[1]query (5)'!$C:$C,'[1]query (5)'!$A:$A)</f>
        <v>#N/A</v>
      </c>
    </row>
    <row r="1253" spans="1:5" x14ac:dyDescent="0.3">
      <c r="A1253" s="23">
        <v>6376242</v>
      </c>
      <c r="B1253" s="23" t="s">
        <v>2773</v>
      </c>
      <c r="C1253" s="40">
        <v>24</v>
      </c>
      <c r="D1253" s="24">
        <v>4</v>
      </c>
      <c r="E1253" t="e">
        <f>_xlfn.XLOOKUP(A1253,'[1]query (5)'!$C:$C,'[1]query (5)'!$A:$A)</f>
        <v>#N/A</v>
      </c>
    </row>
    <row r="1254" spans="1:5" x14ac:dyDescent="0.3">
      <c r="A1254" s="23">
        <v>6376251</v>
      </c>
      <c r="B1254" s="23" t="s">
        <v>1821</v>
      </c>
      <c r="C1254" s="40">
        <v>11.76</v>
      </c>
      <c r="D1254" s="24">
        <v>3</v>
      </c>
      <c r="E1254" t="e">
        <f>_xlfn.XLOOKUP(A1254,'[1]query (5)'!$C:$C,'[1]query (5)'!$A:$A)</f>
        <v>#N/A</v>
      </c>
    </row>
    <row r="1255" spans="1:5" x14ac:dyDescent="0.3">
      <c r="A1255" s="23">
        <v>6376434</v>
      </c>
      <c r="B1255" s="23" t="s">
        <v>2774</v>
      </c>
      <c r="C1255" s="40">
        <v>27.16</v>
      </c>
      <c r="D1255" s="24">
        <v>1</v>
      </c>
      <c r="E1255" t="e">
        <f>_xlfn.XLOOKUP(A1255,'[1]query (5)'!$C:$C,'[1]query (5)'!$A:$A)</f>
        <v>#N/A</v>
      </c>
    </row>
    <row r="1256" spans="1:5" x14ac:dyDescent="0.3">
      <c r="A1256" s="23">
        <v>6376480</v>
      </c>
      <c r="B1256" s="23" t="s">
        <v>1374</v>
      </c>
      <c r="C1256" s="40">
        <v>17.57</v>
      </c>
      <c r="D1256" s="24">
        <v>1</v>
      </c>
      <c r="E1256" t="e">
        <f>_xlfn.XLOOKUP(A1256,'[1]query (5)'!$C:$C,'[1]query (5)'!$A:$A)</f>
        <v>#N/A</v>
      </c>
    </row>
    <row r="1257" spans="1:5" x14ac:dyDescent="0.3">
      <c r="A1257" s="23">
        <v>6376518</v>
      </c>
      <c r="B1257" s="23" t="s">
        <v>2775</v>
      </c>
      <c r="C1257" s="40">
        <v>8.27</v>
      </c>
      <c r="D1257" s="24">
        <v>2</v>
      </c>
      <c r="E1257" t="e">
        <f>_xlfn.XLOOKUP(A1257,'[1]query (5)'!$C:$C,'[1]query (5)'!$A:$A)</f>
        <v>#N/A</v>
      </c>
    </row>
    <row r="1258" spans="1:5" x14ac:dyDescent="0.3">
      <c r="A1258" s="23">
        <v>6376570</v>
      </c>
      <c r="B1258" s="23" t="s">
        <v>2776</v>
      </c>
      <c r="C1258" s="40">
        <v>16.7</v>
      </c>
      <c r="D1258" s="24">
        <v>1</v>
      </c>
      <c r="E1258" t="e">
        <f>_xlfn.XLOOKUP(A1258,'[1]query (5)'!$C:$C,'[1]query (5)'!$A:$A)</f>
        <v>#N/A</v>
      </c>
    </row>
    <row r="1259" spans="1:5" x14ac:dyDescent="0.3">
      <c r="A1259" s="23">
        <v>6376584</v>
      </c>
      <c r="B1259" s="23" t="s">
        <v>2777</v>
      </c>
      <c r="C1259" s="40">
        <v>9.35</v>
      </c>
      <c r="D1259" s="24">
        <v>2</v>
      </c>
      <c r="E1259" t="e">
        <f>_xlfn.XLOOKUP(A1259,'[1]query (5)'!$C:$C,'[1]query (5)'!$A:$A)</f>
        <v>#N/A</v>
      </c>
    </row>
    <row r="1260" spans="1:5" x14ac:dyDescent="0.3">
      <c r="A1260" s="23">
        <v>6376591</v>
      </c>
      <c r="B1260" s="23" t="s">
        <v>2778</v>
      </c>
      <c r="C1260" s="40">
        <v>40.770000000000003</v>
      </c>
      <c r="D1260" s="24">
        <v>8</v>
      </c>
      <c r="E1260" t="e">
        <f>_xlfn.XLOOKUP(A1260,'[1]query (5)'!$C:$C,'[1]query (5)'!$A:$A)</f>
        <v>#N/A</v>
      </c>
    </row>
    <row r="1261" spans="1:5" x14ac:dyDescent="0.3">
      <c r="A1261" s="23">
        <v>6376611</v>
      </c>
      <c r="B1261" s="23" t="s">
        <v>2779</v>
      </c>
      <c r="C1261" s="40">
        <v>16.7</v>
      </c>
      <c r="D1261" s="24">
        <v>1</v>
      </c>
      <c r="E1261" t="e">
        <f>_xlfn.XLOOKUP(A1261,'[1]query (5)'!$C:$C,'[1]query (5)'!$A:$A)</f>
        <v>#N/A</v>
      </c>
    </row>
    <row r="1262" spans="1:5" x14ac:dyDescent="0.3">
      <c r="A1262" s="23">
        <v>6376669</v>
      </c>
      <c r="B1262" s="23" t="s">
        <v>1880</v>
      </c>
      <c r="C1262" s="40">
        <v>22.9</v>
      </c>
      <c r="D1262" s="24">
        <v>4</v>
      </c>
      <c r="E1262" t="e">
        <f>_xlfn.XLOOKUP(A1262,'[1]query (5)'!$C:$C,'[1]query (5)'!$A:$A)</f>
        <v>#N/A</v>
      </c>
    </row>
    <row r="1263" spans="1:5" x14ac:dyDescent="0.3">
      <c r="A1263" s="23">
        <v>6376676</v>
      </c>
      <c r="B1263" s="23" t="s">
        <v>5277</v>
      </c>
      <c r="C1263" s="40">
        <v>3.53</v>
      </c>
      <c r="D1263" s="24">
        <v>1</v>
      </c>
      <c r="E1263" t="e">
        <f>_xlfn.XLOOKUP(A1263,'[1]query (5)'!$C:$C,'[1]query (5)'!$A:$A)</f>
        <v>#N/A</v>
      </c>
    </row>
    <row r="1264" spans="1:5" x14ac:dyDescent="0.3">
      <c r="A1264" s="23">
        <v>6376683</v>
      </c>
      <c r="B1264" s="23" t="s">
        <v>2780</v>
      </c>
      <c r="C1264" s="40">
        <v>60.55</v>
      </c>
      <c r="D1264" s="24">
        <v>2</v>
      </c>
      <c r="E1264" t="e">
        <f>_xlfn.XLOOKUP(A1264,'[1]query (5)'!$C:$C,'[1]query (5)'!$A:$A)</f>
        <v>#N/A</v>
      </c>
    </row>
    <row r="1265" spans="1:5" x14ac:dyDescent="0.3">
      <c r="A1265" s="23">
        <v>6376898</v>
      </c>
      <c r="B1265" s="23" t="s">
        <v>2781</v>
      </c>
      <c r="C1265" s="40">
        <v>71.5</v>
      </c>
      <c r="D1265" s="24">
        <v>2</v>
      </c>
      <c r="E1265" t="e">
        <f>_xlfn.XLOOKUP(A1265,'[1]query (5)'!$C:$C,'[1]query (5)'!$A:$A)</f>
        <v>#N/A</v>
      </c>
    </row>
    <row r="1266" spans="1:5" x14ac:dyDescent="0.3">
      <c r="A1266" s="23">
        <v>6377078</v>
      </c>
      <c r="B1266" s="23" t="s">
        <v>2782</v>
      </c>
      <c r="C1266" s="40">
        <v>0</v>
      </c>
      <c r="D1266" s="25">
        <v>0</v>
      </c>
      <c r="E1266" t="e">
        <f>_xlfn.XLOOKUP(A1266,'[1]query (5)'!$C:$C,'[1]query (5)'!$A:$A)</f>
        <v>#N/A</v>
      </c>
    </row>
    <row r="1267" spans="1:5" x14ac:dyDescent="0.3">
      <c r="A1267" s="23">
        <v>6377088</v>
      </c>
      <c r="B1267" s="23" t="s">
        <v>2783</v>
      </c>
      <c r="C1267" s="40">
        <v>75.67</v>
      </c>
      <c r="D1267" s="24">
        <v>5</v>
      </c>
      <c r="E1267" t="e">
        <f>_xlfn.XLOOKUP(A1267,'[1]query (5)'!$C:$C,'[1]query (5)'!$A:$A)</f>
        <v>#N/A</v>
      </c>
    </row>
    <row r="1268" spans="1:5" x14ac:dyDescent="0.3">
      <c r="A1268" s="23">
        <v>6377089</v>
      </c>
      <c r="B1268" s="23" t="s">
        <v>1906</v>
      </c>
      <c r="C1268" s="40">
        <v>5.95</v>
      </c>
      <c r="D1268" s="24">
        <v>2</v>
      </c>
      <c r="E1268" t="e">
        <f>_xlfn.XLOOKUP(A1268,'[1]query (5)'!$C:$C,'[1]query (5)'!$A:$A)</f>
        <v>#N/A</v>
      </c>
    </row>
    <row r="1269" spans="1:5" x14ac:dyDescent="0.3">
      <c r="A1269" s="23">
        <v>6377091</v>
      </c>
      <c r="B1269" s="23" t="s">
        <v>2784</v>
      </c>
      <c r="C1269" s="40">
        <v>15.81</v>
      </c>
      <c r="D1269" s="24">
        <v>1</v>
      </c>
      <c r="E1269" t="e">
        <f>_xlfn.XLOOKUP(A1269,'[1]query (5)'!$C:$C,'[1]query (5)'!$A:$A)</f>
        <v>#N/A</v>
      </c>
    </row>
    <row r="1270" spans="1:5" x14ac:dyDescent="0.3">
      <c r="A1270" s="23">
        <v>6377096</v>
      </c>
      <c r="B1270" s="23" t="s">
        <v>2785</v>
      </c>
      <c r="C1270" s="40">
        <v>488.41</v>
      </c>
      <c r="D1270" s="24">
        <v>13</v>
      </c>
      <c r="E1270" t="e">
        <f>_xlfn.XLOOKUP(A1270,'[1]query (5)'!$C:$C,'[1]query (5)'!$A:$A)</f>
        <v>#N/A</v>
      </c>
    </row>
    <row r="1271" spans="1:5" x14ac:dyDescent="0.3">
      <c r="A1271" s="23">
        <v>6377107</v>
      </c>
      <c r="B1271" s="23" t="s">
        <v>2786</v>
      </c>
      <c r="C1271" s="40">
        <v>275.18</v>
      </c>
      <c r="D1271" s="24">
        <v>7</v>
      </c>
      <c r="E1271" t="e">
        <f>_xlfn.XLOOKUP(A1271,'[1]query (5)'!$C:$C,'[1]query (5)'!$A:$A)</f>
        <v>#N/A</v>
      </c>
    </row>
    <row r="1272" spans="1:5" x14ac:dyDescent="0.3">
      <c r="A1272" s="23">
        <v>6377195</v>
      </c>
      <c r="B1272" s="23" t="s">
        <v>1755</v>
      </c>
      <c r="C1272" s="40">
        <v>21</v>
      </c>
      <c r="D1272" s="24">
        <v>8</v>
      </c>
      <c r="E1272" t="e">
        <f>_xlfn.XLOOKUP(A1272,'[1]query (5)'!$C:$C,'[1]query (5)'!$A:$A)</f>
        <v>#N/A</v>
      </c>
    </row>
    <row r="1273" spans="1:5" x14ac:dyDescent="0.3">
      <c r="A1273" s="23">
        <v>6377239</v>
      </c>
      <c r="B1273" s="23" t="s">
        <v>2787</v>
      </c>
      <c r="C1273" s="40">
        <v>10.8</v>
      </c>
      <c r="D1273" s="24">
        <v>2</v>
      </c>
      <c r="E1273" t="e">
        <f>_xlfn.XLOOKUP(A1273,'[1]query (5)'!$C:$C,'[1]query (5)'!$A:$A)</f>
        <v>#N/A</v>
      </c>
    </row>
    <row r="1274" spans="1:5" x14ac:dyDescent="0.3">
      <c r="A1274" s="23">
        <v>6377245</v>
      </c>
      <c r="B1274" s="23" t="s">
        <v>2788</v>
      </c>
      <c r="C1274" s="40">
        <v>11.88</v>
      </c>
      <c r="D1274" s="24">
        <v>3</v>
      </c>
      <c r="E1274" t="e">
        <f>_xlfn.XLOOKUP(A1274,'[1]query (5)'!$C:$C,'[1]query (5)'!$A:$A)</f>
        <v>#N/A</v>
      </c>
    </row>
    <row r="1275" spans="1:5" x14ac:dyDescent="0.3">
      <c r="A1275" s="23">
        <v>6377246</v>
      </c>
      <c r="B1275" s="23" t="s">
        <v>5278</v>
      </c>
      <c r="C1275" s="40">
        <v>147.94999999999999</v>
      </c>
      <c r="D1275" s="24">
        <v>248</v>
      </c>
      <c r="E1275" t="e">
        <f>_xlfn.XLOOKUP(A1275,'[1]query (5)'!$C:$C,'[1]query (5)'!$A:$A)</f>
        <v>#N/A</v>
      </c>
    </row>
    <row r="1276" spans="1:5" x14ac:dyDescent="0.3">
      <c r="A1276" s="23">
        <v>6377252</v>
      </c>
      <c r="B1276" s="23" t="s">
        <v>5279</v>
      </c>
      <c r="C1276" s="40">
        <v>120.35</v>
      </c>
      <c r="D1276" s="24">
        <v>199</v>
      </c>
      <c r="E1276" t="e">
        <f>_xlfn.XLOOKUP(A1276,'[1]query (5)'!$C:$C,'[1]query (5)'!$A:$A)</f>
        <v>#N/A</v>
      </c>
    </row>
    <row r="1277" spans="1:5" x14ac:dyDescent="0.3">
      <c r="A1277" s="23">
        <v>6377283</v>
      </c>
      <c r="B1277" s="23" t="s">
        <v>1764</v>
      </c>
      <c r="C1277" s="40">
        <v>54.77</v>
      </c>
      <c r="D1277" s="24">
        <v>5</v>
      </c>
      <c r="E1277" t="e">
        <f>_xlfn.XLOOKUP(A1277,'[1]query (5)'!$C:$C,'[1]query (5)'!$A:$A)</f>
        <v>#N/A</v>
      </c>
    </row>
    <row r="1278" spans="1:5" x14ac:dyDescent="0.3">
      <c r="A1278" s="23">
        <v>6377348</v>
      </c>
      <c r="B1278" s="23" t="s">
        <v>2789</v>
      </c>
      <c r="C1278" s="40">
        <v>430.29</v>
      </c>
      <c r="D1278" s="24">
        <v>34</v>
      </c>
      <c r="E1278" t="e">
        <f>_xlfn.XLOOKUP(A1278,'[1]query (5)'!$C:$C,'[1]query (5)'!$A:$A)</f>
        <v>#N/A</v>
      </c>
    </row>
    <row r="1279" spans="1:5" x14ac:dyDescent="0.3">
      <c r="A1279" s="23">
        <v>6377356</v>
      </c>
      <c r="B1279" s="23" t="s">
        <v>2790</v>
      </c>
      <c r="C1279" s="40">
        <v>64.95</v>
      </c>
      <c r="D1279" s="24">
        <v>1</v>
      </c>
      <c r="E1279" t="e">
        <f>_xlfn.XLOOKUP(A1279,'[1]query (5)'!$C:$C,'[1]query (5)'!$A:$A)</f>
        <v>#N/A</v>
      </c>
    </row>
    <row r="1280" spans="1:5" x14ac:dyDescent="0.3">
      <c r="A1280" s="23">
        <v>6377478</v>
      </c>
      <c r="B1280" s="23" t="s">
        <v>2791</v>
      </c>
      <c r="C1280" s="40">
        <v>22.24</v>
      </c>
      <c r="D1280" s="24">
        <v>3</v>
      </c>
      <c r="E1280" t="e">
        <f>_xlfn.XLOOKUP(A1280,'[1]query (5)'!$C:$C,'[1]query (5)'!$A:$A)</f>
        <v>#N/A</v>
      </c>
    </row>
    <row r="1281" spans="1:5" x14ac:dyDescent="0.3">
      <c r="A1281" s="23">
        <v>6377597</v>
      </c>
      <c r="B1281" s="23" t="s">
        <v>2792</v>
      </c>
      <c r="C1281" s="40">
        <v>9.4</v>
      </c>
      <c r="D1281" s="24">
        <v>4</v>
      </c>
      <c r="E1281" t="e">
        <f>_xlfn.XLOOKUP(A1281,'[1]query (5)'!$C:$C,'[1]query (5)'!$A:$A)</f>
        <v>#N/A</v>
      </c>
    </row>
    <row r="1282" spans="1:5" x14ac:dyDescent="0.3">
      <c r="A1282" s="23">
        <v>6377632</v>
      </c>
      <c r="B1282" s="23" t="s">
        <v>2793</v>
      </c>
      <c r="C1282" s="40">
        <v>26.69</v>
      </c>
      <c r="D1282" s="24">
        <v>1</v>
      </c>
      <c r="E1282" t="e">
        <f>_xlfn.XLOOKUP(A1282,'[1]query (5)'!$C:$C,'[1]query (5)'!$A:$A)</f>
        <v>#N/A</v>
      </c>
    </row>
    <row r="1283" spans="1:5" x14ac:dyDescent="0.3">
      <c r="A1283" s="23">
        <v>6377659</v>
      </c>
      <c r="B1283" s="23" t="s">
        <v>1397</v>
      </c>
      <c r="C1283" s="40">
        <v>0.94</v>
      </c>
      <c r="D1283" s="24">
        <v>1</v>
      </c>
      <c r="E1283" t="e">
        <f>_xlfn.XLOOKUP(A1283,'[1]query (5)'!$C:$C,'[1]query (5)'!$A:$A)</f>
        <v>#N/A</v>
      </c>
    </row>
    <row r="1284" spans="1:5" x14ac:dyDescent="0.3">
      <c r="A1284" s="23">
        <v>6377665</v>
      </c>
      <c r="B1284" s="23" t="s">
        <v>2794</v>
      </c>
      <c r="C1284" s="40">
        <v>80.33</v>
      </c>
      <c r="D1284" s="24">
        <v>4</v>
      </c>
      <c r="E1284" t="e">
        <f>_xlfn.XLOOKUP(A1284,'[1]query (5)'!$C:$C,'[1]query (5)'!$A:$A)</f>
        <v>#N/A</v>
      </c>
    </row>
    <row r="1285" spans="1:5" x14ac:dyDescent="0.3">
      <c r="A1285" s="23">
        <v>6377686</v>
      </c>
      <c r="B1285" s="23" t="s">
        <v>1398</v>
      </c>
      <c r="C1285" s="40">
        <v>9.9600000000000009</v>
      </c>
      <c r="D1285" s="24">
        <v>7</v>
      </c>
      <c r="E1285" t="e">
        <f>_xlfn.XLOOKUP(A1285,'[1]query (5)'!$C:$C,'[1]query (5)'!$A:$A)</f>
        <v>#N/A</v>
      </c>
    </row>
    <row r="1286" spans="1:5" x14ac:dyDescent="0.3">
      <c r="A1286" s="23">
        <v>6377725</v>
      </c>
      <c r="B1286" s="23" t="s">
        <v>1411</v>
      </c>
      <c r="C1286" s="40">
        <v>179.88</v>
      </c>
      <c r="D1286" s="24">
        <v>6</v>
      </c>
      <c r="E1286" t="e">
        <f>_xlfn.XLOOKUP(A1286,'[1]query (5)'!$C:$C,'[1]query (5)'!$A:$A)</f>
        <v>#N/A</v>
      </c>
    </row>
    <row r="1287" spans="1:5" x14ac:dyDescent="0.3">
      <c r="A1287" s="23">
        <v>6377731</v>
      </c>
      <c r="B1287" s="23" t="s">
        <v>2795</v>
      </c>
      <c r="C1287" s="40">
        <v>27.78</v>
      </c>
      <c r="D1287" s="24">
        <v>2</v>
      </c>
      <c r="E1287" t="e">
        <f>_xlfn.XLOOKUP(A1287,'[1]query (5)'!$C:$C,'[1]query (5)'!$A:$A)</f>
        <v>#N/A</v>
      </c>
    </row>
    <row r="1288" spans="1:5" x14ac:dyDescent="0.3">
      <c r="A1288" s="23">
        <v>6377733</v>
      </c>
      <c r="B1288" s="23" t="s">
        <v>2796</v>
      </c>
      <c r="C1288" s="40">
        <v>58.67</v>
      </c>
      <c r="D1288" s="24">
        <v>2</v>
      </c>
      <c r="E1288" t="e">
        <f>_xlfn.XLOOKUP(A1288,'[1]query (5)'!$C:$C,'[1]query (5)'!$A:$A)</f>
        <v>#N/A</v>
      </c>
    </row>
    <row r="1289" spans="1:5" x14ac:dyDescent="0.3">
      <c r="A1289" s="23">
        <v>6377736</v>
      </c>
      <c r="B1289" s="23" t="s">
        <v>2797</v>
      </c>
      <c r="C1289" s="40">
        <v>13.89</v>
      </c>
      <c r="D1289" s="24">
        <v>1</v>
      </c>
      <c r="E1289" t="e">
        <f>_xlfn.XLOOKUP(A1289,'[1]query (5)'!$C:$C,'[1]query (5)'!$A:$A)</f>
        <v>#N/A</v>
      </c>
    </row>
    <row r="1290" spans="1:5" x14ac:dyDescent="0.3">
      <c r="A1290" s="23">
        <v>6377752</v>
      </c>
      <c r="B1290" s="23" t="s">
        <v>1415</v>
      </c>
      <c r="C1290" s="40">
        <v>27.78</v>
      </c>
      <c r="D1290" s="24">
        <v>2</v>
      </c>
      <c r="E1290" t="e">
        <f>_xlfn.XLOOKUP(A1290,'[1]query (5)'!$C:$C,'[1]query (5)'!$A:$A)</f>
        <v>#N/A</v>
      </c>
    </row>
    <row r="1291" spans="1:5" x14ac:dyDescent="0.3">
      <c r="A1291" s="23">
        <v>6378015</v>
      </c>
      <c r="B1291" s="23" t="s">
        <v>1754</v>
      </c>
      <c r="C1291" s="40">
        <v>153.54</v>
      </c>
      <c r="D1291" s="24">
        <v>21</v>
      </c>
      <c r="E1291" t="e">
        <f>_xlfn.XLOOKUP(A1291,'[1]query (5)'!$C:$C,'[1]query (5)'!$A:$A)</f>
        <v>#N/A</v>
      </c>
    </row>
    <row r="1292" spans="1:5" x14ac:dyDescent="0.3">
      <c r="A1292" s="23">
        <v>6378030</v>
      </c>
      <c r="B1292" s="23" t="s">
        <v>1752</v>
      </c>
      <c r="C1292" s="40">
        <v>18.100000000000001</v>
      </c>
      <c r="D1292" s="24">
        <v>2</v>
      </c>
      <c r="E1292" t="e">
        <f>_xlfn.XLOOKUP(A1292,'[1]query (5)'!$C:$C,'[1]query (5)'!$A:$A)</f>
        <v>#N/A</v>
      </c>
    </row>
    <row r="1293" spans="1:5" x14ac:dyDescent="0.3">
      <c r="A1293" s="23">
        <v>6378038</v>
      </c>
      <c r="B1293" s="23" t="s">
        <v>1818</v>
      </c>
      <c r="C1293" s="40">
        <v>3088.39</v>
      </c>
      <c r="D1293" s="24">
        <v>221</v>
      </c>
      <c r="E1293" t="e">
        <f>_xlfn.XLOOKUP(A1293,'[1]query (5)'!$C:$C,'[1]query (5)'!$A:$A)</f>
        <v>#N/A</v>
      </c>
    </row>
    <row r="1294" spans="1:5" x14ac:dyDescent="0.3">
      <c r="A1294" s="23">
        <v>6378039</v>
      </c>
      <c r="B1294" s="23" t="s">
        <v>1819</v>
      </c>
      <c r="C1294" s="40">
        <v>785.32</v>
      </c>
      <c r="D1294" s="24">
        <v>58</v>
      </c>
      <c r="E1294" t="e">
        <f>_xlfn.XLOOKUP(A1294,'[1]query (5)'!$C:$C,'[1]query (5)'!$A:$A)</f>
        <v>#N/A</v>
      </c>
    </row>
    <row r="1295" spans="1:5" x14ac:dyDescent="0.3">
      <c r="A1295" s="23">
        <v>6378655</v>
      </c>
      <c r="B1295" s="23" t="s">
        <v>5280</v>
      </c>
      <c r="C1295" s="40">
        <v>22.68</v>
      </c>
      <c r="D1295" s="24">
        <v>1</v>
      </c>
      <c r="E1295" t="e">
        <f>_xlfn.XLOOKUP(A1295,'[1]query (5)'!$C:$C,'[1]query (5)'!$A:$A)</f>
        <v>#N/A</v>
      </c>
    </row>
    <row r="1296" spans="1:5" x14ac:dyDescent="0.3">
      <c r="A1296" s="23">
        <v>6380386</v>
      </c>
      <c r="B1296" s="23" t="s">
        <v>5281</v>
      </c>
      <c r="C1296" s="40">
        <v>26.59</v>
      </c>
      <c r="D1296" s="24">
        <v>2</v>
      </c>
      <c r="E1296" t="e">
        <f>_xlfn.XLOOKUP(A1296,'[1]query (5)'!$C:$C,'[1]query (5)'!$A:$A)</f>
        <v>#N/A</v>
      </c>
    </row>
    <row r="1297" spans="1:5" x14ac:dyDescent="0.3">
      <c r="A1297" s="23">
        <v>6380535</v>
      </c>
      <c r="B1297" s="23" t="s">
        <v>5282</v>
      </c>
      <c r="C1297" s="40">
        <v>1.47</v>
      </c>
      <c r="D1297" s="24">
        <v>1</v>
      </c>
      <c r="E1297" t="e">
        <f>_xlfn.XLOOKUP(A1297,'[1]query (5)'!$C:$C,'[1]query (5)'!$A:$A)</f>
        <v>#N/A</v>
      </c>
    </row>
    <row r="1298" spans="1:5" x14ac:dyDescent="0.3">
      <c r="A1298" s="23">
        <v>6381977</v>
      </c>
      <c r="B1298" s="23" t="s">
        <v>5283</v>
      </c>
      <c r="C1298" s="40">
        <v>189.64</v>
      </c>
      <c r="D1298" s="24">
        <v>24</v>
      </c>
      <c r="E1298" t="e">
        <f>_xlfn.XLOOKUP(A1298,'[1]query (5)'!$C:$C,'[1]query (5)'!$A:$A)</f>
        <v>#N/A</v>
      </c>
    </row>
    <row r="1299" spans="1:5" x14ac:dyDescent="0.3">
      <c r="A1299" s="23">
        <v>6381978</v>
      </c>
      <c r="B1299" s="23" t="s">
        <v>5284</v>
      </c>
      <c r="C1299" s="40">
        <v>93.45</v>
      </c>
      <c r="D1299" s="24">
        <v>12</v>
      </c>
      <c r="E1299" t="e">
        <f>_xlfn.XLOOKUP(A1299,'[1]query (5)'!$C:$C,'[1]query (5)'!$A:$A)</f>
        <v>#N/A</v>
      </c>
    </row>
    <row r="1300" spans="1:5" x14ac:dyDescent="0.3">
      <c r="A1300" s="23">
        <v>6382012</v>
      </c>
      <c r="B1300" s="23" t="s">
        <v>5285</v>
      </c>
      <c r="C1300" s="40">
        <v>11.84</v>
      </c>
      <c r="D1300" s="24">
        <v>3</v>
      </c>
      <c r="E1300" t="e">
        <f>_xlfn.XLOOKUP(A1300,'[1]query (5)'!$C:$C,'[1]query (5)'!$A:$A)</f>
        <v>#N/A</v>
      </c>
    </row>
    <row r="1301" spans="1:5" x14ac:dyDescent="0.3">
      <c r="A1301" s="23">
        <v>6382013</v>
      </c>
      <c r="B1301" s="23" t="s">
        <v>5286</v>
      </c>
      <c r="C1301" s="40">
        <v>15.62</v>
      </c>
      <c r="D1301" s="24">
        <v>4</v>
      </c>
      <c r="E1301" t="e">
        <f>_xlfn.XLOOKUP(A1301,'[1]query (5)'!$C:$C,'[1]query (5)'!$A:$A)</f>
        <v>#N/A</v>
      </c>
    </row>
    <row r="1302" spans="1:5" x14ac:dyDescent="0.3">
      <c r="A1302" s="23">
        <v>6383049</v>
      </c>
      <c r="B1302" s="23" t="s">
        <v>2800</v>
      </c>
      <c r="C1302" s="40">
        <v>139.16</v>
      </c>
      <c r="D1302" s="24">
        <v>26</v>
      </c>
      <c r="E1302" t="e">
        <f>_xlfn.XLOOKUP(A1302,'[1]query (5)'!$C:$C,'[1]query (5)'!$A:$A)</f>
        <v>#N/A</v>
      </c>
    </row>
    <row r="1303" spans="1:5" x14ac:dyDescent="0.3">
      <c r="A1303" s="23">
        <v>6383050</v>
      </c>
      <c r="B1303" s="23" t="s">
        <v>2801</v>
      </c>
      <c r="C1303" s="40">
        <v>134.01</v>
      </c>
      <c r="D1303" s="24">
        <v>25</v>
      </c>
      <c r="E1303" t="e">
        <f>_xlfn.XLOOKUP(A1303,'[1]query (5)'!$C:$C,'[1]query (5)'!$A:$A)</f>
        <v>#N/A</v>
      </c>
    </row>
    <row r="1304" spans="1:5" x14ac:dyDescent="0.3">
      <c r="A1304" s="23">
        <v>6383111</v>
      </c>
      <c r="B1304" s="23" t="s">
        <v>1737</v>
      </c>
      <c r="C1304" s="40">
        <v>65.52</v>
      </c>
      <c r="D1304" s="24">
        <v>11</v>
      </c>
      <c r="E1304" t="e">
        <f>_xlfn.XLOOKUP(A1304,'[1]query (5)'!$C:$C,'[1]query (5)'!$A:$A)</f>
        <v>#N/A</v>
      </c>
    </row>
    <row r="1305" spans="1:5" x14ac:dyDescent="0.3">
      <c r="A1305" s="23">
        <v>6383564</v>
      </c>
      <c r="B1305" s="23" t="s">
        <v>5287</v>
      </c>
      <c r="C1305" s="40">
        <v>39.4</v>
      </c>
      <c r="D1305" s="24">
        <v>1</v>
      </c>
      <c r="E1305" t="e">
        <f>_xlfn.XLOOKUP(A1305,'[1]query (5)'!$C:$C,'[1]query (5)'!$A:$A)</f>
        <v>#N/A</v>
      </c>
    </row>
    <row r="1306" spans="1:5" x14ac:dyDescent="0.3">
      <c r="A1306" s="23">
        <v>6383745</v>
      </c>
      <c r="B1306" s="23" t="s">
        <v>2802</v>
      </c>
      <c r="C1306" s="40">
        <v>13.14</v>
      </c>
      <c r="D1306" s="24">
        <v>1</v>
      </c>
      <c r="E1306" t="e">
        <f>_xlfn.XLOOKUP(A1306,'[1]query (5)'!$C:$C,'[1]query (5)'!$A:$A)</f>
        <v>#N/A</v>
      </c>
    </row>
    <row r="1307" spans="1:5" x14ac:dyDescent="0.3">
      <c r="A1307" s="23">
        <v>6383748</v>
      </c>
      <c r="B1307" s="23" t="s">
        <v>2803</v>
      </c>
      <c r="C1307" s="40">
        <v>23.01</v>
      </c>
      <c r="D1307" s="24">
        <v>1</v>
      </c>
      <c r="E1307" t="e">
        <f>_xlfn.XLOOKUP(A1307,'[1]query (5)'!$C:$C,'[1]query (5)'!$A:$A)</f>
        <v>#N/A</v>
      </c>
    </row>
    <row r="1308" spans="1:5" x14ac:dyDescent="0.3">
      <c r="A1308" s="23">
        <v>6383924</v>
      </c>
      <c r="B1308" s="23" t="s">
        <v>5288</v>
      </c>
      <c r="C1308" s="40">
        <v>158.44999999999999</v>
      </c>
      <c r="D1308" s="24">
        <v>22</v>
      </c>
      <c r="E1308" t="e">
        <f>_xlfn.XLOOKUP(A1308,'[1]query (5)'!$C:$C,'[1]query (5)'!$A:$A)</f>
        <v>#N/A</v>
      </c>
    </row>
    <row r="1309" spans="1:5" x14ac:dyDescent="0.3">
      <c r="A1309" s="23">
        <v>6383925</v>
      </c>
      <c r="B1309" s="23" t="s">
        <v>5289</v>
      </c>
      <c r="C1309" s="40">
        <v>43.79</v>
      </c>
      <c r="D1309" s="24">
        <v>17</v>
      </c>
      <c r="E1309" t="e">
        <f>_xlfn.XLOOKUP(A1309,'[1]query (5)'!$C:$C,'[1]query (5)'!$A:$A)</f>
        <v>#N/A</v>
      </c>
    </row>
    <row r="1310" spans="1:5" x14ac:dyDescent="0.3">
      <c r="A1310" s="23">
        <v>6383926</v>
      </c>
      <c r="B1310" s="23" t="s">
        <v>5290</v>
      </c>
      <c r="C1310" s="40">
        <v>78.56</v>
      </c>
      <c r="D1310" s="24">
        <v>62</v>
      </c>
      <c r="E1310" t="e">
        <f>_xlfn.XLOOKUP(A1310,'[1]query (5)'!$C:$C,'[1]query (5)'!$A:$A)</f>
        <v>#N/A</v>
      </c>
    </row>
    <row r="1311" spans="1:5" x14ac:dyDescent="0.3">
      <c r="A1311" s="23">
        <v>6383927</v>
      </c>
      <c r="B1311" s="23" t="s">
        <v>1470</v>
      </c>
      <c r="C1311" s="40">
        <v>219.02</v>
      </c>
      <c r="D1311" s="24">
        <v>15</v>
      </c>
      <c r="E1311" t="e">
        <f>_xlfn.XLOOKUP(A1311,'[1]query (5)'!$C:$C,'[1]query (5)'!$A:$A)</f>
        <v>#N/A</v>
      </c>
    </row>
    <row r="1312" spans="1:5" x14ac:dyDescent="0.3">
      <c r="A1312" s="23">
        <v>6383929</v>
      </c>
      <c r="B1312" s="23" t="s">
        <v>1437</v>
      </c>
      <c r="C1312" s="40">
        <v>625.66999999999996</v>
      </c>
      <c r="D1312" s="24">
        <v>111</v>
      </c>
      <c r="E1312" t="e">
        <f>_xlfn.XLOOKUP(A1312,'[1]query (5)'!$C:$C,'[1]query (5)'!$A:$A)</f>
        <v>#N/A</v>
      </c>
    </row>
    <row r="1313" spans="1:5" x14ac:dyDescent="0.3">
      <c r="A1313" s="23">
        <v>6383951</v>
      </c>
      <c r="B1313" s="23" t="s">
        <v>1436</v>
      </c>
      <c r="C1313" s="40">
        <v>11.7</v>
      </c>
      <c r="D1313" s="24">
        <v>2</v>
      </c>
      <c r="E1313" t="e">
        <f>_xlfn.XLOOKUP(A1313,'[1]query (5)'!$C:$C,'[1]query (5)'!$A:$A)</f>
        <v>#N/A</v>
      </c>
    </row>
    <row r="1314" spans="1:5" x14ac:dyDescent="0.3">
      <c r="A1314" s="23">
        <v>6383953</v>
      </c>
      <c r="B1314" s="23" t="s">
        <v>1432</v>
      </c>
      <c r="C1314" s="40">
        <v>387.94</v>
      </c>
      <c r="D1314" s="24">
        <v>72</v>
      </c>
      <c r="E1314" t="e">
        <f>_xlfn.XLOOKUP(A1314,'[1]query (5)'!$C:$C,'[1]query (5)'!$A:$A)</f>
        <v>#N/A</v>
      </c>
    </row>
    <row r="1315" spans="1:5" x14ac:dyDescent="0.3">
      <c r="A1315" s="23">
        <v>6383954</v>
      </c>
      <c r="B1315" s="23" t="s">
        <v>1433</v>
      </c>
      <c r="C1315" s="40">
        <v>75.86</v>
      </c>
      <c r="D1315" s="24">
        <v>14</v>
      </c>
      <c r="E1315" t="e">
        <f>_xlfn.XLOOKUP(A1315,'[1]query (5)'!$C:$C,'[1]query (5)'!$A:$A)</f>
        <v>#N/A</v>
      </c>
    </row>
    <row r="1316" spans="1:5" x14ac:dyDescent="0.3">
      <c r="A1316" s="23">
        <v>6383955</v>
      </c>
      <c r="B1316" s="23" t="s">
        <v>1504</v>
      </c>
      <c r="C1316" s="40">
        <v>23.29</v>
      </c>
      <c r="D1316" s="24">
        <v>13</v>
      </c>
      <c r="E1316" t="e">
        <f>_xlfn.XLOOKUP(A1316,'[1]query (5)'!$C:$C,'[1]query (5)'!$A:$A)</f>
        <v>#N/A</v>
      </c>
    </row>
    <row r="1317" spans="1:5" x14ac:dyDescent="0.3">
      <c r="A1317" s="23">
        <v>6383956</v>
      </c>
      <c r="B1317" s="23" t="s">
        <v>1599</v>
      </c>
      <c r="C1317" s="40">
        <v>40.29</v>
      </c>
      <c r="D1317" s="24">
        <v>19</v>
      </c>
      <c r="E1317" t="e">
        <f>_xlfn.XLOOKUP(A1317,'[1]query (5)'!$C:$C,'[1]query (5)'!$A:$A)</f>
        <v>#N/A</v>
      </c>
    </row>
    <row r="1318" spans="1:5" x14ac:dyDescent="0.3">
      <c r="A1318" s="23">
        <v>6383958</v>
      </c>
      <c r="B1318" s="23" t="s">
        <v>1570</v>
      </c>
      <c r="C1318" s="40">
        <v>119.98</v>
      </c>
      <c r="D1318" s="24">
        <v>32</v>
      </c>
      <c r="E1318" t="e">
        <f>_xlfn.XLOOKUP(A1318,'[1]query (5)'!$C:$C,'[1]query (5)'!$A:$A)</f>
        <v>#N/A</v>
      </c>
    </row>
    <row r="1319" spans="1:5" x14ac:dyDescent="0.3">
      <c r="A1319" s="23">
        <v>6383959</v>
      </c>
      <c r="B1319" s="23" t="s">
        <v>1571</v>
      </c>
      <c r="C1319" s="40">
        <v>456.97</v>
      </c>
      <c r="D1319" s="24">
        <v>118</v>
      </c>
      <c r="E1319" t="e">
        <f>_xlfn.XLOOKUP(A1319,'[1]query (5)'!$C:$C,'[1]query (5)'!$A:$A)</f>
        <v>#N/A</v>
      </c>
    </row>
    <row r="1320" spans="1:5" x14ac:dyDescent="0.3">
      <c r="A1320" s="23">
        <v>6383960</v>
      </c>
      <c r="B1320" s="23" t="s">
        <v>1491</v>
      </c>
      <c r="C1320" s="40">
        <v>6.88</v>
      </c>
      <c r="D1320" s="24">
        <v>2</v>
      </c>
      <c r="E1320" t="e">
        <f>_xlfn.XLOOKUP(A1320,'[1]query (5)'!$C:$C,'[1]query (5)'!$A:$A)</f>
        <v>#N/A</v>
      </c>
    </row>
    <row r="1321" spans="1:5" x14ac:dyDescent="0.3">
      <c r="A1321" s="23">
        <v>6383962</v>
      </c>
      <c r="B1321" s="23" t="s">
        <v>1506</v>
      </c>
      <c r="C1321" s="40">
        <v>27.54</v>
      </c>
      <c r="D1321" s="24">
        <v>2</v>
      </c>
      <c r="E1321" t="e">
        <f>_xlfn.XLOOKUP(A1321,'[1]query (5)'!$C:$C,'[1]query (5)'!$A:$A)</f>
        <v>#N/A</v>
      </c>
    </row>
    <row r="1322" spans="1:5" x14ac:dyDescent="0.3">
      <c r="A1322" s="23">
        <v>6383963</v>
      </c>
      <c r="B1322" s="23" t="s">
        <v>1435</v>
      </c>
      <c r="C1322" s="40">
        <v>218.59</v>
      </c>
      <c r="D1322" s="24">
        <v>16</v>
      </c>
      <c r="E1322" t="e">
        <f>_xlfn.XLOOKUP(A1322,'[1]query (5)'!$C:$C,'[1]query (5)'!$A:$A)</f>
        <v>#N/A</v>
      </c>
    </row>
    <row r="1323" spans="1:5" x14ac:dyDescent="0.3">
      <c r="A1323" s="23">
        <v>6383964</v>
      </c>
      <c r="B1323" s="23" t="s">
        <v>1434</v>
      </c>
      <c r="C1323" s="40">
        <v>11.91</v>
      </c>
      <c r="D1323" s="24">
        <v>3</v>
      </c>
      <c r="E1323" t="e">
        <f>_xlfn.XLOOKUP(A1323,'[1]query (5)'!$C:$C,'[1]query (5)'!$A:$A)</f>
        <v>#N/A</v>
      </c>
    </row>
    <row r="1324" spans="1:5" x14ac:dyDescent="0.3">
      <c r="A1324" s="23">
        <v>6384971</v>
      </c>
      <c r="B1324" s="23" t="s">
        <v>2804</v>
      </c>
      <c r="C1324" s="40">
        <v>199.58</v>
      </c>
      <c r="D1324" s="24">
        <v>2</v>
      </c>
      <c r="E1324" t="e">
        <f>_xlfn.XLOOKUP(A1324,'[1]query (5)'!$C:$C,'[1]query (5)'!$A:$A)</f>
        <v>#N/A</v>
      </c>
    </row>
    <row r="1325" spans="1:5" x14ac:dyDescent="0.3">
      <c r="A1325" s="23">
        <v>6385013</v>
      </c>
      <c r="B1325" s="23" t="s">
        <v>2805</v>
      </c>
      <c r="C1325" s="40">
        <v>14.69</v>
      </c>
      <c r="D1325" s="24">
        <v>1</v>
      </c>
      <c r="E1325" t="e">
        <f>_xlfn.XLOOKUP(A1325,'[1]query (5)'!$C:$C,'[1]query (5)'!$A:$A)</f>
        <v>#N/A</v>
      </c>
    </row>
    <row r="1326" spans="1:5" x14ac:dyDescent="0.3">
      <c r="A1326" s="23">
        <v>6385539</v>
      </c>
      <c r="B1326" s="23" t="s">
        <v>5291</v>
      </c>
      <c r="C1326" s="40">
        <v>12.23</v>
      </c>
      <c r="D1326" s="24">
        <v>4</v>
      </c>
      <c r="E1326" t="e">
        <f>_xlfn.XLOOKUP(A1326,'[1]query (5)'!$C:$C,'[1]query (5)'!$A:$A)</f>
        <v>#N/A</v>
      </c>
    </row>
    <row r="1327" spans="1:5" x14ac:dyDescent="0.3">
      <c r="A1327" s="23">
        <v>6385545</v>
      </c>
      <c r="B1327" s="23" t="s">
        <v>1837</v>
      </c>
      <c r="C1327" s="40">
        <v>43.36</v>
      </c>
      <c r="D1327" s="24">
        <v>6</v>
      </c>
      <c r="E1327" t="e">
        <f>_xlfn.XLOOKUP(A1327,'[1]query (5)'!$C:$C,'[1]query (5)'!$A:$A)</f>
        <v>#N/A</v>
      </c>
    </row>
    <row r="1328" spans="1:5" x14ac:dyDescent="0.3">
      <c r="A1328" s="23">
        <v>6385601</v>
      </c>
      <c r="B1328" s="23" t="s">
        <v>5292</v>
      </c>
      <c r="C1328" s="40">
        <v>7.73</v>
      </c>
      <c r="D1328" s="24">
        <v>2</v>
      </c>
      <c r="E1328" t="e">
        <f>_xlfn.XLOOKUP(A1328,'[1]query (5)'!$C:$C,'[1]query (5)'!$A:$A)</f>
        <v>#N/A</v>
      </c>
    </row>
    <row r="1329" spans="1:5" x14ac:dyDescent="0.3">
      <c r="A1329" s="23">
        <v>6386662</v>
      </c>
      <c r="B1329" s="23" t="s">
        <v>2480</v>
      </c>
      <c r="C1329" s="40">
        <v>128.97999999999999</v>
      </c>
      <c r="D1329" s="24">
        <v>6</v>
      </c>
      <c r="E1329" t="e">
        <f>_xlfn.XLOOKUP(A1329,'[1]query (5)'!$C:$C,'[1]query (5)'!$A:$A)</f>
        <v>#N/A</v>
      </c>
    </row>
    <row r="1330" spans="1:5" x14ac:dyDescent="0.3">
      <c r="A1330" s="23">
        <v>6386665</v>
      </c>
      <c r="B1330" s="23" t="s">
        <v>2481</v>
      </c>
      <c r="C1330" s="40">
        <v>726.4</v>
      </c>
      <c r="D1330" s="24">
        <v>17</v>
      </c>
      <c r="E1330" t="e">
        <f>_xlfn.XLOOKUP(A1330,'[1]query (5)'!$C:$C,'[1]query (5)'!$A:$A)</f>
        <v>#N/A</v>
      </c>
    </row>
    <row r="1331" spans="1:5" x14ac:dyDescent="0.3">
      <c r="A1331" s="23">
        <v>6386669</v>
      </c>
      <c r="B1331" s="23" t="s">
        <v>2482</v>
      </c>
      <c r="C1331" s="40">
        <v>788.14</v>
      </c>
      <c r="D1331" s="24">
        <v>64</v>
      </c>
      <c r="E1331" t="e">
        <f>_xlfn.XLOOKUP(A1331,'[1]query (5)'!$C:$C,'[1]query (5)'!$A:$A)</f>
        <v>#N/A</v>
      </c>
    </row>
    <row r="1332" spans="1:5" x14ac:dyDescent="0.3">
      <c r="A1332" s="23">
        <v>6386670</v>
      </c>
      <c r="B1332" s="23" t="s">
        <v>1866</v>
      </c>
      <c r="C1332" s="40">
        <v>516.11</v>
      </c>
      <c r="D1332" s="24">
        <v>23</v>
      </c>
      <c r="E1332" t="e">
        <f>_xlfn.XLOOKUP(A1332,'[1]query (5)'!$C:$C,'[1]query (5)'!$A:$A)</f>
        <v>#N/A</v>
      </c>
    </row>
    <row r="1333" spans="1:5" x14ac:dyDescent="0.3">
      <c r="A1333" s="23">
        <v>6386671</v>
      </c>
      <c r="B1333" s="23" t="s">
        <v>1873</v>
      </c>
      <c r="C1333" s="40">
        <v>289.49</v>
      </c>
      <c r="D1333" s="24">
        <v>13</v>
      </c>
      <c r="E1333" t="e">
        <f>_xlfn.XLOOKUP(A1333,'[1]query (5)'!$C:$C,'[1]query (5)'!$A:$A)</f>
        <v>#N/A</v>
      </c>
    </row>
    <row r="1334" spans="1:5" x14ac:dyDescent="0.3">
      <c r="A1334" s="23">
        <v>6386672</v>
      </c>
      <c r="B1334" s="23" t="s">
        <v>2807</v>
      </c>
      <c r="C1334" s="40">
        <v>109.41</v>
      </c>
      <c r="D1334" s="24">
        <v>10</v>
      </c>
      <c r="E1334" t="e">
        <f>_xlfn.XLOOKUP(A1334,'[1]query (5)'!$C:$C,'[1]query (5)'!$A:$A)</f>
        <v>#N/A</v>
      </c>
    </row>
    <row r="1335" spans="1:5" x14ac:dyDescent="0.3">
      <c r="A1335" s="23">
        <v>6386673</v>
      </c>
      <c r="B1335" s="23" t="s">
        <v>1865</v>
      </c>
      <c r="C1335" s="40">
        <v>12.6</v>
      </c>
      <c r="D1335" s="24">
        <v>3</v>
      </c>
      <c r="E1335" t="e">
        <f>_xlfn.XLOOKUP(A1335,'[1]query (5)'!$C:$C,'[1]query (5)'!$A:$A)</f>
        <v>#N/A</v>
      </c>
    </row>
    <row r="1336" spans="1:5" x14ac:dyDescent="0.3">
      <c r="A1336" s="23">
        <v>6386831</v>
      </c>
      <c r="B1336" s="23" t="s">
        <v>2808</v>
      </c>
      <c r="C1336" s="40">
        <v>24.49</v>
      </c>
      <c r="D1336" s="24">
        <v>2</v>
      </c>
      <c r="E1336" t="e">
        <f>_xlfn.XLOOKUP(A1336,'[1]query (5)'!$C:$C,'[1]query (5)'!$A:$A)</f>
        <v>#N/A</v>
      </c>
    </row>
    <row r="1337" spans="1:5" x14ac:dyDescent="0.3">
      <c r="A1337" s="23">
        <v>6389607</v>
      </c>
      <c r="B1337" s="23" t="s">
        <v>2809</v>
      </c>
      <c r="C1337" s="40">
        <v>29.98</v>
      </c>
      <c r="D1337" s="24">
        <v>1</v>
      </c>
      <c r="E1337" t="e">
        <f>_xlfn.XLOOKUP(A1337,'[1]query (5)'!$C:$C,'[1]query (5)'!$A:$A)</f>
        <v>#N/A</v>
      </c>
    </row>
    <row r="1338" spans="1:5" x14ac:dyDescent="0.3">
      <c r="A1338" s="23">
        <v>6389622</v>
      </c>
      <c r="B1338" s="23" t="s">
        <v>1868</v>
      </c>
      <c r="C1338" s="40">
        <v>18.54</v>
      </c>
      <c r="D1338" s="24">
        <v>2</v>
      </c>
      <c r="E1338" t="e">
        <f>_xlfn.XLOOKUP(A1338,'[1]query (5)'!$C:$C,'[1]query (5)'!$A:$A)</f>
        <v>#N/A</v>
      </c>
    </row>
    <row r="1339" spans="1:5" x14ac:dyDescent="0.3">
      <c r="A1339" s="23">
        <v>6389626</v>
      </c>
      <c r="B1339" s="23" t="s">
        <v>1413</v>
      </c>
      <c r="C1339" s="40">
        <v>29.98</v>
      </c>
      <c r="D1339" s="24">
        <v>1</v>
      </c>
      <c r="E1339" t="e">
        <f>_xlfn.XLOOKUP(A1339,'[1]query (5)'!$C:$C,'[1]query (5)'!$A:$A)</f>
        <v>#N/A</v>
      </c>
    </row>
    <row r="1340" spans="1:5" x14ac:dyDescent="0.3">
      <c r="A1340" s="23">
        <v>6390501</v>
      </c>
      <c r="B1340" s="23" t="s">
        <v>1887</v>
      </c>
      <c r="C1340" s="40">
        <v>22.17</v>
      </c>
      <c r="D1340" s="24">
        <v>12</v>
      </c>
      <c r="E1340" t="e">
        <f>_xlfn.XLOOKUP(A1340,'[1]query (5)'!$C:$C,'[1]query (5)'!$A:$A)</f>
        <v>#N/A</v>
      </c>
    </row>
    <row r="1341" spans="1:5" x14ac:dyDescent="0.3">
      <c r="A1341" s="23">
        <v>6390506</v>
      </c>
      <c r="B1341" s="23" t="s">
        <v>1886</v>
      </c>
      <c r="C1341" s="40">
        <v>10.98</v>
      </c>
      <c r="D1341" s="24">
        <v>1</v>
      </c>
      <c r="E1341" t="e">
        <f>_xlfn.XLOOKUP(A1341,'[1]query (5)'!$C:$C,'[1]query (5)'!$A:$A)</f>
        <v>#N/A</v>
      </c>
    </row>
    <row r="1342" spans="1:5" x14ac:dyDescent="0.3">
      <c r="A1342" s="23">
        <v>6390514</v>
      </c>
      <c r="B1342" s="23" t="s">
        <v>2810</v>
      </c>
      <c r="C1342" s="40">
        <v>24.3</v>
      </c>
      <c r="D1342" s="24">
        <v>2</v>
      </c>
      <c r="E1342" t="e">
        <f>_xlfn.XLOOKUP(A1342,'[1]query (5)'!$C:$C,'[1]query (5)'!$A:$A)</f>
        <v>#N/A</v>
      </c>
    </row>
    <row r="1343" spans="1:5" x14ac:dyDescent="0.3">
      <c r="A1343" s="23">
        <v>6390516</v>
      </c>
      <c r="B1343" s="23" t="s">
        <v>2483</v>
      </c>
      <c r="C1343" s="40">
        <v>14.74</v>
      </c>
      <c r="D1343" s="24">
        <v>1</v>
      </c>
      <c r="E1343" t="e">
        <f>_xlfn.XLOOKUP(A1343,'[1]query (5)'!$C:$C,'[1]query (5)'!$A:$A)</f>
        <v>#N/A</v>
      </c>
    </row>
    <row r="1344" spans="1:5" x14ac:dyDescent="0.3">
      <c r="A1344" s="23">
        <v>6390517</v>
      </c>
      <c r="B1344" s="23" t="s">
        <v>1889</v>
      </c>
      <c r="C1344" s="40">
        <v>14.14</v>
      </c>
      <c r="D1344" s="24">
        <v>1</v>
      </c>
      <c r="E1344" t="e">
        <f>_xlfn.XLOOKUP(A1344,'[1]query (5)'!$C:$C,'[1]query (5)'!$A:$A)</f>
        <v>#N/A</v>
      </c>
    </row>
    <row r="1345" spans="1:5" x14ac:dyDescent="0.3">
      <c r="A1345" s="23">
        <v>6390519</v>
      </c>
      <c r="B1345" s="23" t="s">
        <v>2484</v>
      </c>
      <c r="C1345" s="40">
        <v>250.37</v>
      </c>
      <c r="D1345" s="24">
        <v>8</v>
      </c>
      <c r="E1345" t="e">
        <f>_xlfn.XLOOKUP(A1345,'[1]query (5)'!$C:$C,'[1]query (5)'!$A:$A)</f>
        <v>#N/A</v>
      </c>
    </row>
    <row r="1346" spans="1:5" x14ac:dyDescent="0.3">
      <c r="A1346" s="23">
        <v>6390521</v>
      </c>
      <c r="B1346" s="23" t="s">
        <v>2811</v>
      </c>
      <c r="C1346" s="40">
        <v>10.64</v>
      </c>
      <c r="D1346" s="24">
        <v>1</v>
      </c>
      <c r="E1346" t="e">
        <f>_xlfn.XLOOKUP(A1346,'[1]query (5)'!$C:$C,'[1]query (5)'!$A:$A)</f>
        <v>#N/A</v>
      </c>
    </row>
    <row r="1347" spans="1:5" x14ac:dyDescent="0.3">
      <c r="A1347" s="23">
        <v>6390522</v>
      </c>
      <c r="B1347" s="23" t="s">
        <v>2812</v>
      </c>
      <c r="C1347" s="40">
        <v>19.27</v>
      </c>
      <c r="D1347" s="24">
        <v>1</v>
      </c>
      <c r="E1347" t="e">
        <f>_xlfn.XLOOKUP(A1347,'[1]query (5)'!$C:$C,'[1]query (5)'!$A:$A)</f>
        <v>#N/A</v>
      </c>
    </row>
    <row r="1348" spans="1:5" x14ac:dyDescent="0.3">
      <c r="A1348" s="23">
        <v>6390523</v>
      </c>
      <c r="B1348" s="23" t="s">
        <v>2485</v>
      </c>
      <c r="C1348" s="40">
        <v>5.67</v>
      </c>
      <c r="D1348" s="24">
        <v>1</v>
      </c>
      <c r="E1348" t="e">
        <f>_xlfn.XLOOKUP(A1348,'[1]query (5)'!$C:$C,'[1]query (5)'!$A:$A)</f>
        <v>#N/A</v>
      </c>
    </row>
    <row r="1349" spans="1:5" x14ac:dyDescent="0.3">
      <c r="A1349" s="23">
        <v>6390792</v>
      </c>
      <c r="B1349" s="23" t="s">
        <v>5293</v>
      </c>
      <c r="C1349" s="40">
        <v>3004.75</v>
      </c>
      <c r="D1349" s="24">
        <v>1</v>
      </c>
      <c r="E1349" t="e">
        <f>_xlfn.XLOOKUP(A1349,'[1]query (5)'!$C:$C,'[1]query (5)'!$A:$A)</f>
        <v>#N/A</v>
      </c>
    </row>
    <row r="1350" spans="1:5" x14ac:dyDescent="0.3">
      <c r="A1350" s="23">
        <v>6390793</v>
      </c>
      <c r="B1350" s="23" t="s">
        <v>1321</v>
      </c>
      <c r="C1350" s="40">
        <v>233.03</v>
      </c>
      <c r="D1350" s="24">
        <v>29</v>
      </c>
      <c r="E1350" t="e">
        <f>_xlfn.XLOOKUP(A1350,'[1]query (5)'!$C:$C,'[1]query (5)'!$A:$A)</f>
        <v>#N/A</v>
      </c>
    </row>
    <row r="1351" spans="1:5" x14ac:dyDescent="0.3">
      <c r="A1351" s="23">
        <v>6390806</v>
      </c>
      <c r="B1351" s="23" t="s">
        <v>1730</v>
      </c>
      <c r="C1351" s="40">
        <v>293.52</v>
      </c>
      <c r="D1351" s="24">
        <v>29</v>
      </c>
      <c r="E1351" t="e">
        <f>_xlfn.XLOOKUP(A1351,'[1]query (5)'!$C:$C,'[1]query (5)'!$A:$A)</f>
        <v>#N/A</v>
      </c>
    </row>
    <row r="1352" spans="1:5" x14ac:dyDescent="0.3">
      <c r="A1352" s="23">
        <v>6391871</v>
      </c>
      <c r="B1352" s="23" t="s">
        <v>2813</v>
      </c>
      <c r="C1352" s="40">
        <v>173.72</v>
      </c>
      <c r="D1352" s="24">
        <v>44</v>
      </c>
      <c r="E1352" t="e">
        <f>_xlfn.XLOOKUP(A1352,'[1]query (5)'!$C:$C,'[1]query (5)'!$A:$A)</f>
        <v>#N/A</v>
      </c>
    </row>
    <row r="1353" spans="1:5" x14ac:dyDescent="0.3">
      <c r="A1353" s="23">
        <v>6391874</v>
      </c>
      <c r="B1353" s="23" t="s">
        <v>2814</v>
      </c>
      <c r="C1353" s="40">
        <v>12.87</v>
      </c>
      <c r="D1353" s="24">
        <v>3</v>
      </c>
      <c r="E1353" t="e">
        <f>_xlfn.XLOOKUP(A1353,'[1]query (5)'!$C:$C,'[1]query (5)'!$A:$A)</f>
        <v>#N/A</v>
      </c>
    </row>
    <row r="1354" spans="1:5" x14ac:dyDescent="0.3">
      <c r="A1354" s="23">
        <v>6392196</v>
      </c>
      <c r="B1354" s="23" t="s">
        <v>2815</v>
      </c>
      <c r="C1354" s="40">
        <v>143.57</v>
      </c>
      <c r="D1354" s="24">
        <v>52</v>
      </c>
      <c r="E1354" t="e">
        <f>_xlfn.XLOOKUP(A1354,'[1]query (5)'!$C:$C,'[1]query (5)'!$A:$A)</f>
        <v>#N/A</v>
      </c>
    </row>
    <row r="1355" spans="1:5" x14ac:dyDescent="0.3">
      <c r="A1355" s="23">
        <v>6392197</v>
      </c>
      <c r="B1355" s="23" t="s">
        <v>2816</v>
      </c>
      <c r="C1355" s="40">
        <v>24.67</v>
      </c>
      <c r="D1355" s="24">
        <v>8</v>
      </c>
      <c r="E1355" t="e">
        <f>_xlfn.XLOOKUP(A1355,'[1]query (5)'!$C:$C,'[1]query (5)'!$A:$A)</f>
        <v>#N/A</v>
      </c>
    </row>
    <row r="1356" spans="1:5" x14ac:dyDescent="0.3">
      <c r="A1356" s="23">
        <v>6392198</v>
      </c>
      <c r="B1356" s="23" t="s">
        <v>2817</v>
      </c>
      <c r="C1356" s="40">
        <v>135.66999999999999</v>
      </c>
      <c r="D1356" s="24">
        <v>40</v>
      </c>
      <c r="E1356" t="e">
        <f>_xlfn.XLOOKUP(A1356,'[1]query (5)'!$C:$C,'[1]query (5)'!$A:$A)</f>
        <v>#N/A</v>
      </c>
    </row>
    <row r="1357" spans="1:5" x14ac:dyDescent="0.3">
      <c r="A1357" s="23">
        <v>6392199</v>
      </c>
      <c r="B1357" s="23" t="s">
        <v>2818</v>
      </c>
      <c r="C1357" s="40">
        <v>20.46</v>
      </c>
      <c r="D1357" s="24">
        <v>5</v>
      </c>
      <c r="E1357" t="e">
        <f>_xlfn.XLOOKUP(A1357,'[1]query (5)'!$C:$C,'[1]query (5)'!$A:$A)</f>
        <v>#N/A</v>
      </c>
    </row>
    <row r="1358" spans="1:5" x14ac:dyDescent="0.3">
      <c r="A1358" s="23">
        <v>6392200</v>
      </c>
      <c r="B1358" s="23" t="s">
        <v>2819</v>
      </c>
      <c r="C1358" s="40">
        <v>449.61</v>
      </c>
      <c r="D1358" s="24">
        <v>94</v>
      </c>
      <c r="E1358" t="e">
        <f>_xlfn.XLOOKUP(A1358,'[1]query (5)'!$C:$C,'[1]query (5)'!$A:$A)</f>
        <v>#N/A</v>
      </c>
    </row>
    <row r="1359" spans="1:5" x14ac:dyDescent="0.3">
      <c r="A1359" s="23">
        <v>6392256</v>
      </c>
      <c r="B1359" s="23" t="s">
        <v>2820</v>
      </c>
      <c r="C1359" s="40">
        <v>25.26</v>
      </c>
      <c r="D1359" s="24">
        <v>9</v>
      </c>
      <c r="E1359" t="e">
        <f>_xlfn.XLOOKUP(A1359,'[1]query (5)'!$C:$C,'[1]query (5)'!$A:$A)</f>
        <v>#N/A</v>
      </c>
    </row>
    <row r="1360" spans="1:5" x14ac:dyDescent="0.3">
      <c r="A1360" s="23">
        <v>6392257</v>
      </c>
      <c r="B1360" s="23" t="s">
        <v>2821</v>
      </c>
      <c r="C1360" s="40">
        <v>25.04</v>
      </c>
      <c r="D1360" s="24">
        <v>8</v>
      </c>
      <c r="E1360" t="e">
        <f>_xlfn.XLOOKUP(A1360,'[1]query (5)'!$C:$C,'[1]query (5)'!$A:$A)</f>
        <v>#N/A</v>
      </c>
    </row>
    <row r="1361" spans="1:5" x14ac:dyDescent="0.3">
      <c r="A1361" s="23">
        <v>6392291</v>
      </c>
      <c r="B1361" s="23" t="s">
        <v>2822</v>
      </c>
      <c r="C1361" s="40">
        <v>141.32</v>
      </c>
      <c r="D1361" s="24">
        <v>15</v>
      </c>
      <c r="E1361" t="e">
        <f>_xlfn.XLOOKUP(A1361,'[1]query (5)'!$C:$C,'[1]query (5)'!$A:$A)</f>
        <v>#N/A</v>
      </c>
    </row>
    <row r="1362" spans="1:5" x14ac:dyDescent="0.3">
      <c r="A1362" s="23">
        <v>6392292</v>
      </c>
      <c r="B1362" s="23" t="s">
        <v>2823</v>
      </c>
      <c r="C1362" s="40">
        <v>68.69</v>
      </c>
      <c r="D1362" s="24">
        <v>15</v>
      </c>
      <c r="E1362" t="e">
        <f>_xlfn.XLOOKUP(A1362,'[1]query (5)'!$C:$C,'[1]query (5)'!$A:$A)</f>
        <v>#N/A</v>
      </c>
    </row>
    <row r="1363" spans="1:5" x14ac:dyDescent="0.3">
      <c r="A1363" s="23">
        <v>6392301</v>
      </c>
      <c r="B1363" s="23" t="s">
        <v>2824</v>
      </c>
      <c r="C1363" s="40">
        <v>735.15</v>
      </c>
      <c r="D1363" s="24">
        <v>142</v>
      </c>
      <c r="E1363" t="e">
        <f>_xlfn.XLOOKUP(A1363,'[1]query (5)'!$C:$C,'[1]query (5)'!$A:$A)</f>
        <v>#N/A</v>
      </c>
    </row>
    <row r="1364" spans="1:5" x14ac:dyDescent="0.3">
      <c r="A1364" s="23">
        <v>6392302</v>
      </c>
      <c r="B1364" s="23" t="s">
        <v>2825</v>
      </c>
      <c r="C1364" s="40">
        <v>571.05999999999995</v>
      </c>
      <c r="D1364" s="24">
        <v>90</v>
      </c>
      <c r="E1364" t="e">
        <f>_xlfn.XLOOKUP(A1364,'[1]query (5)'!$C:$C,'[1]query (5)'!$A:$A)</f>
        <v>#N/A</v>
      </c>
    </row>
    <row r="1365" spans="1:5" x14ac:dyDescent="0.3">
      <c r="A1365" s="23">
        <v>6392303</v>
      </c>
      <c r="B1365" s="23" t="s">
        <v>2826</v>
      </c>
      <c r="C1365" s="40">
        <v>326.5</v>
      </c>
      <c r="D1365" s="24">
        <v>70</v>
      </c>
      <c r="E1365" t="e">
        <f>_xlfn.XLOOKUP(A1365,'[1]query (5)'!$C:$C,'[1]query (5)'!$A:$A)</f>
        <v>#N/A</v>
      </c>
    </row>
    <row r="1366" spans="1:5" x14ac:dyDescent="0.3">
      <c r="A1366" s="23">
        <v>6392304</v>
      </c>
      <c r="B1366" s="23" t="s">
        <v>2827</v>
      </c>
      <c r="C1366" s="40">
        <v>489.42</v>
      </c>
      <c r="D1366" s="24">
        <v>82</v>
      </c>
      <c r="E1366" t="e">
        <f>_xlfn.XLOOKUP(A1366,'[1]query (5)'!$C:$C,'[1]query (5)'!$A:$A)</f>
        <v>#N/A</v>
      </c>
    </row>
    <row r="1367" spans="1:5" x14ac:dyDescent="0.3">
      <c r="A1367" s="23">
        <v>6392305</v>
      </c>
      <c r="B1367" s="23" t="s">
        <v>2828</v>
      </c>
      <c r="C1367" s="40">
        <v>178.13</v>
      </c>
      <c r="D1367" s="24">
        <v>25</v>
      </c>
      <c r="E1367" t="e">
        <f>_xlfn.XLOOKUP(A1367,'[1]query (5)'!$C:$C,'[1]query (5)'!$A:$A)</f>
        <v>#N/A</v>
      </c>
    </row>
    <row r="1368" spans="1:5" x14ac:dyDescent="0.3">
      <c r="A1368" s="23">
        <v>6392306</v>
      </c>
      <c r="B1368" s="23" t="s">
        <v>2829</v>
      </c>
      <c r="C1368" s="40">
        <v>115.17</v>
      </c>
      <c r="D1368" s="24">
        <v>15</v>
      </c>
      <c r="E1368" t="e">
        <f>_xlfn.XLOOKUP(A1368,'[1]query (5)'!$C:$C,'[1]query (5)'!$A:$A)</f>
        <v>#N/A</v>
      </c>
    </row>
    <row r="1369" spans="1:5" x14ac:dyDescent="0.3">
      <c r="A1369" s="23">
        <v>6392308</v>
      </c>
      <c r="B1369" s="23" t="s">
        <v>2830</v>
      </c>
      <c r="C1369" s="40">
        <v>234.15</v>
      </c>
      <c r="D1369" s="24">
        <v>27</v>
      </c>
      <c r="E1369" t="e">
        <f>_xlfn.XLOOKUP(A1369,'[1]query (5)'!$C:$C,'[1]query (5)'!$A:$A)</f>
        <v>#N/A</v>
      </c>
    </row>
    <row r="1370" spans="1:5" x14ac:dyDescent="0.3">
      <c r="A1370" s="23">
        <v>6392586</v>
      </c>
      <c r="B1370" s="23" t="s">
        <v>2831</v>
      </c>
      <c r="C1370" s="40">
        <v>0</v>
      </c>
      <c r="D1370" s="25">
        <v>0</v>
      </c>
      <c r="E1370" t="e">
        <f>_xlfn.XLOOKUP(A1370,'[1]query (5)'!$C:$C,'[1]query (5)'!$A:$A)</f>
        <v>#N/A</v>
      </c>
    </row>
    <row r="1371" spans="1:5" x14ac:dyDescent="0.3">
      <c r="A1371" s="23">
        <v>6392934</v>
      </c>
      <c r="B1371" s="23" t="s">
        <v>1509</v>
      </c>
      <c r="C1371" s="40">
        <v>215.97</v>
      </c>
      <c r="D1371" s="24">
        <v>26</v>
      </c>
      <c r="E1371" t="e">
        <f>_xlfn.XLOOKUP(A1371,'[1]query (5)'!$C:$C,'[1]query (5)'!$A:$A)</f>
        <v>#N/A</v>
      </c>
    </row>
    <row r="1372" spans="1:5" x14ac:dyDescent="0.3">
      <c r="A1372" s="23">
        <v>6392935</v>
      </c>
      <c r="B1372" s="23" t="s">
        <v>5294</v>
      </c>
      <c r="C1372" s="40">
        <v>6.92</v>
      </c>
      <c r="D1372" s="24">
        <v>1</v>
      </c>
      <c r="E1372" t="e">
        <f>_xlfn.XLOOKUP(A1372,'[1]query (5)'!$C:$C,'[1]query (5)'!$A:$A)</f>
        <v>#N/A</v>
      </c>
    </row>
    <row r="1373" spans="1:5" x14ac:dyDescent="0.3">
      <c r="A1373" s="23">
        <v>6392936</v>
      </c>
      <c r="B1373" s="23" t="s">
        <v>5295</v>
      </c>
      <c r="C1373" s="40">
        <v>44.08</v>
      </c>
      <c r="D1373" s="24">
        <v>4</v>
      </c>
      <c r="E1373" t="e">
        <f>_xlfn.XLOOKUP(A1373,'[1]query (5)'!$C:$C,'[1]query (5)'!$A:$A)</f>
        <v>#N/A</v>
      </c>
    </row>
    <row r="1374" spans="1:5" x14ac:dyDescent="0.3">
      <c r="A1374" s="23">
        <v>6393688</v>
      </c>
      <c r="B1374" s="23" t="s">
        <v>1316</v>
      </c>
      <c r="C1374" s="40">
        <v>57.67</v>
      </c>
      <c r="D1374" s="24">
        <v>9</v>
      </c>
      <c r="E1374" t="e">
        <f>_xlfn.XLOOKUP(A1374,'[1]query (5)'!$C:$C,'[1]query (5)'!$A:$A)</f>
        <v>#N/A</v>
      </c>
    </row>
    <row r="1375" spans="1:5" x14ac:dyDescent="0.3">
      <c r="A1375" s="23">
        <v>6393689</v>
      </c>
      <c r="B1375" s="23" t="s">
        <v>1317</v>
      </c>
      <c r="C1375" s="40">
        <v>40.67</v>
      </c>
      <c r="D1375" s="24">
        <v>5</v>
      </c>
      <c r="E1375" t="e">
        <f>_xlfn.XLOOKUP(A1375,'[1]query (5)'!$C:$C,'[1]query (5)'!$A:$A)</f>
        <v>#N/A</v>
      </c>
    </row>
    <row r="1376" spans="1:5" x14ac:dyDescent="0.3">
      <c r="A1376" s="23">
        <v>6394164</v>
      </c>
      <c r="B1376" s="23" t="s">
        <v>2832</v>
      </c>
      <c r="C1376" s="40">
        <v>75.95</v>
      </c>
      <c r="D1376" s="24">
        <v>5</v>
      </c>
      <c r="E1376" t="e">
        <f>_xlfn.XLOOKUP(A1376,'[1]query (5)'!$C:$C,'[1]query (5)'!$A:$A)</f>
        <v>#N/A</v>
      </c>
    </row>
    <row r="1377" spans="1:5" x14ac:dyDescent="0.3">
      <c r="A1377" s="23">
        <v>6394165</v>
      </c>
      <c r="B1377" s="23" t="s">
        <v>2833</v>
      </c>
      <c r="C1377" s="40">
        <v>87.05</v>
      </c>
      <c r="D1377" s="24">
        <v>1</v>
      </c>
      <c r="E1377" t="e">
        <f>_xlfn.XLOOKUP(A1377,'[1]query (5)'!$C:$C,'[1]query (5)'!$A:$A)</f>
        <v>#N/A</v>
      </c>
    </row>
    <row r="1378" spans="1:5" x14ac:dyDescent="0.3">
      <c r="A1378" s="23">
        <v>6394196</v>
      </c>
      <c r="B1378" s="23" t="s">
        <v>1430</v>
      </c>
      <c r="C1378" s="40">
        <v>346.33</v>
      </c>
      <c r="D1378" s="24">
        <v>11</v>
      </c>
      <c r="E1378" t="e">
        <f>_xlfn.XLOOKUP(A1378,'[1]query (5)'!$C:$C,'[1]query (5)'!$A:$A)</f>
        <v>#N/A</v>
      </c>
    </row>
    <row r="1379" spans="1:5" x14ac:dyDescent="0.3">
      <c r="A1379" s="23">
        <v>6394214</v>
      </c>
      <c r="B1379" s="23" t="s">
        <v>1923</v>
      </c>
      <c r="C1379" s="40">
        <v>128.13999999999999</v>
      </c>
      <c r="D1379" s="24">
        <v>5</v>
      </c>
      <c r="E1379" t="e">
        <f>_xlfn.XLOOKUP(A1379,'[1]query (5)'!$C:$C,'[1]query (5)'!$A:$A)</f>
        <v>#N/A</v>
      </c>
    </row>
    <row r="1380" spans="1:5" x14ac:dyDescent="0.3">
      <c r="A1380" s="23">
        <v>6394226</v>
      </c>
      <c r="B1380" s="23" t="s">
        <v>1924</v>
      </c>
      <c r="C1380" s="40">
        <v>137.38</v>
      </c>
      <c r="D1380" s="24">
        <v>3</v>
      </c>
      <c r="E1380" t="e">
        <f>_xlfn.XLOOKUP(A1380,'[1]query (5)'!$C:$C,'[1]query (5)'!$A:$A)</f>
        <v>#N/A</v>
      </c>
    </row>
    <row r="1381" spans="1:5" x14ac:dyDescent="0.3">
      <c r="A1381" s="23">
        <v>6394289</v>
      </c>
      <c r="B1381" s="23" t="s">
        <v>1791</v>
      </c>
      <c r="C1381" s="40">
        <v>54.73</v>
      </c>
      <c r="D1381" s="24">
        <v>8</v>
      </c>
      <c r="E1381" t="e">
        <f>_xlfn.XLOOKUP(A1381,'[1]query (5)'!$C:$C,'[1]query (5)'!$A:$A)</f>
        <v>#N/A</v>
      </c>
    </row>
    <row r="1382" spans="1:5" x14ac:dyDescent="0.3">
      <c r="A1382" s="23">
        <v>6394290</v>
      </c>
      <c r="B1382" s="23" t="s">
        <v>5296</v>
      </c>
      <c r="C1382" s="40">
        <v>32.04</v>
      </c>
      <c r="D1382" s="24">
        <v>6</v>
      </c>
      <c r="E1382" t="e">
        <f>_xlfn.XLOOKUP(A1382,'[1]query (5)'!$C:$C,'[1]query (5)'!$A:$A)</f>
        <v>#N/A</v>
      </c>
    </row>
    <row r="1383" spans="1:5" x14ac:dyDescent="0.3">
      <c r="A1383" s="23">
        <v>6394395</v>
      </c>
      <c r="B1383" s="23" t="s">
        <v>5297</v>
      </c>
      <c r="C1383" s="40">
        <v>102.93</v>
      </c>
      <c r="D1383" s="24">
        <v>16</v>
      </c>
      <c r="E1383" t="e">
        <f>_xlfn.XLOOKUP(A1383,'[1]query (5)'!$C:$C,'[1]query (5)'!$A:$A)</f>
        <v>#N/A</v>
      </c>
    </row>
    <row r="1384" spans="1:5" x14ac:dyDescent="0.3">
      <c r="A1384" s="23">
        <v>6394397</v>
      </c>
      <c r="B1384" s="23" t="s">
        <v>5298</v>
      </c>
      <c r="C1384" s="40">
        <v>11.18</v>
      </c>
      <c r="D1384" s="24">
        <v>1</v>
      </c>
      <c r="E1384" t="e">
        <f>_xlfn.XLOOKUP(A1384,'[1]query (5)'!$C:$C,'[1]query (5)'!$A:$A)</f>
        <v>#N/A</v>
      </c>
    </row>
    <row r="1385" spans="1:5" x14ac:dyDescent="0.3">
      <c r="A1385" s="23">
        <v>6394415</v>
      </c>
      <c r="B1385" s="23" t="s">
        <v>1792</v>
      </c>
      <c r="C1385" s="40">
        <v>24.83</v>
      </c>
      <c r="D1385" s="24">
        <v>8</v>
      </c>
      <c r="E1385" t="e">
        <f>_xlfn.XLOOKUP(A1385,'[1]query (5)'!$C:$C,'[1]query (5)'!$A:$A)</f>
        <v>#N/A</v>
      </c>
    </row>
    <row r="1386" spans="1:5" x14ac:dyDescent="0.3">
      <c r="A1386" s="23">
        <v>6394467</v>
      </c>
      <c r="B1386" s="23" t="s">
        <v>2834</v>
      </c>
      <c r="C1386" s="40">
        <v>495.9</v>
      </c>
      <c r="D1386" s="24">
        <v>61</v>
      </c>
      <c r="E1386" t="e">
        <f>_xlfn.XLOOKUP(A1386,'[1]query (5)'!$C:$C,'[1]query (5)'!$A:$A)</f>
        <v>#N/A</v>
      </c>
    </row>
    <row r="1387" spans="1:5" x14ac:dyDescent="0.3">
      <c r="A1387" s="23">
        <v>6395703</v>
      </c>
      <c r="B1387" s="23" t="s">
        <v>1577</v>
      </c>
      <c r="C1387" s="40">
        <v>481.63</v>
      </c>
      <c r="D1387" s="24">
        <v>120</v>
      </c>
      <c r="E1387" t="e">
        <f>_xlfn.XLOOKUP(A1387,'[1]query (5)'!$C:$C,'[1]query (5)'!$A:$A)</f>
        <v>#N/A</v>
      </c>
    </row>
    <row r="1388" spans="1:5" x14ac:dyDescent="0.3">
      <c r="A1388" s="23">
        <v>6395772</v>
      </c>
      <c r="B1388" s="23" t="s">
        <v>1723</v>
      </c>
      <c r="C1388" s="40">
        <v>264.02</v>
      </c>
      <c r="D1388" s="24">
        <v>43</v>
      </c>
      <c r="E1388" t="e">
        <f>_xlfn.XLOOKUP(A1388,'[1]query (5)'!$C:$C,'[1]query (5)'!$A:$A)</f>
        <v>#N/A</v>
      </c>
    </row>
    <row r="1389" spans="1:5" x14ac:dyDescent="0.3">
      <c r="A1389" s="23">
        <v>6395773</v>
      </c>
      <c r="B1389" s="23" t="s">
        <v>1726</v>
      </c>
      <c r="C1389" s="40">
        <v>83.16</v>
      </c>
      <c r="D1389" s="24">
        <v>11</v>
      </c>
      <c r="E1389" t="e">
        <f>_xlfn.XLOOKUP(A1389,'[1]query (5)'!$C:$C,'[1]query (5)'!$A:$A)</f>
        <v>#N/A</v>
      </c>
    </row>
    <row r="1390" spans="1:5" x14ac:dyDescent="0.3">
      <c r="A1390" s="23">
        <v>6396799</v>
      </c>
      <c r="B1390" s="23" t="s">
        <v>1785</v>
      </c>
      <c r="C1390" s="40">
        <v>35.67</v>
      </c>
      <c r="D1390" s="24">
        <v>4</v>
      </c>
      <c r="E1390" t="e">
        <f>_xlfn.XLOOKUP(A1390,'[1]query (5)'!$C:$C,'[1]query (5)'!$A:$A)</f>
        <v>#N/A</v>
      </c>
    </row>
    <row r="1391" spans="1:5" x14ac:dyDescent="0.3">
      <c r="A1391" s="23">
        <v>6396802</v>
      </c>
      <c r="B1391" s="23" t="s">
        <v>2835</v>
      </c>
      <c r="C1391" s="40">
        <v>31.48</v>
      </c>
      <c r="D1391" s="24">
        <v>3</v>
      </c>
      <c r="E1391" t="e">
        <f>_xlfn.XLOOKUP(A1391,'[1]query (5)'!$C:$C,'[1]query (5)'!$A:$A)</f>
        <v>#N/A</v>
      </c>
    </row>
    <row r="1392" spans="1:5" x14ac:dyDescent="0.3">
      <c r="A1392" s="23">
        <v>6396803</v>
      </c>
      <c r="B1392" s="23" t="s">
        <v>1784</v>
      </c>
      <c r="C1392" s="40">
        <v>10.49</v>
      </c>
      <c r="D1392" s="24">
        <v>1</v>
      </c>
      <c r="E1392" t="e">
        <f>_xlfn.XLOOKUP(A1392,'[1]query (5)'!$C:$C,'[1]query (5)'!$A:$A)</f>
        <v>#N/A</v>
      </c>
    </row>
    <row r="1393" spans="1:5" x14ac:dyDescent="0.3">
      <c r="A1393" s="23">
        <v>6396927</v>
      </c>
      <c r="B1393" s="23" t="s">
        <v>2836</v>
      </c>
      <c r="C1393" s="40">
        <v>42.96</v>
      </c>
      <c r="D1393" s="24">
        <v>2</v>
      </c>
      <c r="E1393" t="e">
        <f>_xlfn.XLOOKUP(A1393,'[1]query (5)'!$C:$C,'[1]query (5)'!$A:$A)</f>
        <v>#N/A</v>
      </c>
    </row>
    <row r="1394" spans="1:5" x14ac:dyDescent="0.3">
      <c r="A1394" s="23">
        <v>6396928</v>
      </c>
      <c r="B1394" s="23" t="s">
        <v>1800</v>
      </c>
      <c r="C1394" s="40">
        <v>172.8</v>
      </c>
      <c r="D1394" s="24">
        <v>3</v>
      </c>
      <c r="E1394" t="e">
        <f>_xlfn.XLOOKUP(A1394,'[1]query (5)'!$C:$C,'[1]query (5)'!$A:$A)</f>
        <v>#N/A</v>
      </c>
    </row>
    <row r="1395" spans="1:5" x14ac:dyDescent="0.3">
      <c r="A1395" s="23">
        <v>6396929</v>
      </c>
      <c r="B1395" s="23" t="s">
        <v>2837</v>
      </c>
      <c r="C1395" s="40">
        <v>20.41</v>
      </c>
      <c r="D1395" s="24">
        <v>1</v>
      </c>
      <c r="E1395" t="e">
        <f>_xlfn.XLOOKUP(A1395,'[1]query (5)'!$C:$C,'[1]query (5)'!$A:$A)</f>
        <v>#N/A</v>
      </c>
    </row>
    <row r="1396" spans="1:5" x14ac:dyDescent="0.3">
      <c r="A1396" s="23">
        <v>6396944</v>
      </c>
      <c r="B1396" s="23" t="s">
        <v>1801</v>
      </c>
      <c r="C1396" s="40">
        <v>1496.89</v>
      </c>
      <c r="D1396" s="24">
        <v>25</v>
      </c>
      <c r="E1396" t="e">
        <f>_xlfn.XLOOKUP(A1396,'[1]query (5)'!$C:$C,'[1]query (5)'!$A:$A)</f>
        <v>#N/A</v>
      </c>
    </row>
    <row r="1397" spans="1:5" x14ac:dyDescent="0.3">
      <c r="A1397" s="23">
        <v>6396945</v>
      </c>
      <c r="B1397" s="23" t="s">
        <v>2838</v>
      </c>
      <c r="C1397" s="40">
        <v>93.67</v>
      </c>
      <c r="D1397" s="24">
        <v>4</v>
      </c>
      <c r="E1397" t="e">
        <f>_xlfn.XLOOKUP(A1397,'[1]query (5)'!$C:$C,'[1]query (5)'!$A:$A)</f>
        <v>#N/A</v>
      </c>
    </row>
    <row r="1398" spans="1:5" x14ac:dyDescent="0.3">
      <c r="A1398" s="23">
        <v>6396952</v>
      </c>
      <c r="B1398" s="23" t="s">
        <v>2839</v>
      </c>
      <c r="C1398" s="40">
        <v>44.21</v>
      </c>
      <c r="D1398" s="24">
        <v>3</v>
      </c>
      <c r="E1398" t="e">
        <f>_xlfn.XLOOKUP(A1398,'[1]query (5)'!$C:$C,'[1]query (5)'!$A:$A)</f>
        <v>#N/A</v>
      </c>
    </row>
    <row r="1399" spans="1:5" x14ac:dyDescent="0.3">
      <c r="A1399" s="23">
        <v>6396957</v>
      </c>
      <c r="B1399" s="23" t="s">
        <v>1798</v>
      </c>
      <c r="C1399" s="40">
        <v>235.9</v>
      </c>
      <c r="D1399" s="24">
        <v>4</v>
      </c>
      <c r="E1399" t="e">
        <f>_xlfn.XLOOKUP(A1399,'[1]query (5)'!$C:$C,'[1]query (5)'!$A:$A)</f>
        <v>#N/A</v>
      </c>
    </row>
    <row r="1400" spans="1:5" x14ac:dyDescent="0.3">
      <c r="A1400" s="23">
        <v>6396958</v>
      </c>
      <c r="B1400" s="23" t="s">
        <v>1799</v>
      </c>
      <c r="C1400" s="40">
        <v>27.36</v>
      </c>
      <c r="D1400" s="24">
        <v>1</v>
      </c>
      <c r="E1400" t="e">
        <f>_xlfn.XLOOKUP(A1400,'[1]query (5)'!$C:$C,'[1]query (5)'!$A:$A)</f>
        <v>#N/A</v>
      </c>
    </row>
    <row r="1401" spans="1:5" x14ac:dyDescent="0.3">
      <c r="A1401" s="23">
        <v>6398717</v>
      </c>
      <c r="B1401" s="23" t="s">
        <v>1802</v>
      </c>
      <c r="C1401" s="40">
        <v>422.46</v>
      </c>
      <c r="D1401" s="24">
        <v>36</v>
      </c>
      <c r="E1401" t="e">
        <f>_xlfn.XLOOKUP(A1401,'[1]query (5)'!$C:$C,'[1]query (5)'!$A:$A)</f>
        <v>#N/A</v>
      </c>
    </row>
    <row r="1402" spans="1:5" x14ac:dyDescent="0.3">
      <c r="A1402" s="23">
        <v>6398907</v>
      </c>
      <c r="B1402" s="23" t="s">
        <v>2840</v>
      </c>
      <c r="C1402" s="40">
        <v>79.959999999999994</v>
      </c>
      <c r="D1402" s="24">
        <v>4</v>
      </c>
      <c r="E1402" t="e">
        <f>_xlfn.XLOOKUP(A1402,'[1]query (5)'!$C:$C,'[1]query (5)'!$A:$A)</f>
        <v>#N/A</v>
      </c>
    </row>
    <row r="1403" spans="1:5" x14ac:dyDescent="0.3">
      <c r="A1403" s="23">
        <v>6398932</v>
      </c>
      <c r="B1403" s="23" t="s">
        <v>1446</v>
      </c>
      <c r="C1403" s="40">
        <v>27.52</v>
      </c>
      <c r="D1403" s="24">
        <v>4</v>
      </c>
      <c r="E1403" t="e">
        <f>_xlfn.XLOOKUP(A1403,'[1]query (5)'!$C:$C,'[1]query (5)'!$A:$A)</f>
        <v>#N/A</v>
      </c>
    </row>
    <row r="1404" spans="1:5" x14ac:dyDescent="0.3">
      <c r="A1404" s="23">
        <v>6398996</v>
      </c>
      <c r="B1404" s="23" t="s">
        <v>5299</v>
      </c>
      <c r="C1404" s="40">
        <v>234.53</v>
      </c>
      <c r="D1404" s="24">
        <v>2</v>
      </c>
      <c r="E1404" t="e">
        <f>_xlfn.XLOOKUP(A1404,'[1]query (5)'!$C:$C,'[1]query (5)'!$A:$A)</f>
        <v>#N/A</v>
      </c>
    </row>
    <row r="1405" spans="1:5" x14ac:dyDescent="0.3">
      <c r="A1405" s="23">
        <v>6399347</v>
      </c>
      <c r="B1405" s="23" t="s">
        <v>1813</v>
      </c>
      <c r="C1405" s="40">
        <v>11.55</v>
      </c>
      <c r="D1405" s="24">
        <v>2</v>
      </c>
      <c r="E1405" t="e">
        <f>_xlfn.XLOOKUP(A1405,'[1]query (5)'!$C:$C,'[1]query (5)'!$A:$A)</f>
        <v>#N/A</v>
      </c>
    </row>
    <row r="1406" spans="1:5" x14ac:dyDescent="0.3">
      <c r="A1406" s="23">
        <v>6399447</v>
      </c>
      <c r="B1406" s="23" t="s">
        <v>2841</v>
      </c>
      <c r="C1406" s="40">
        <v>17.989999999999998</v>
      </c>
      <c r="D1406" s="24">
        <v>1</v>
      </c>
      <c r="E1406" t="e">
        <f>_xlfn.XLOOKUP(A1406,'[1]query (5)'!$C:$C,'[1]query (5)'!$A:$A)</f>
        <v>#N/A</v>
      </c>
    </row>
    <row r="1407" spans="1:5" x14ac:dyDescent="0.3">
      <c r="A1407" s="23">
        <v>6399623</v>
      </c>
      <c r="B1407" s="23" t="s">
        <v>2842</v>
      </c>
      <c r="C1407" s="40">
        <v>1.38</v>
      </c>
      <c r="D1407" s="24">
        <v>2</v>
      </c>
      <c r="E1407" t="e">
        <f>_xlfn.XLOOKUP(A1407,'[1]query (5)'!$C:$C,'[1]query (5)'!$A:$A)</f>
        <v>#N/A</v>
      </c>
    </row>
    <row r="1408" spans="1:5" x14ac:dyDescent="0.3">
      <c r="A1408" s="23">
        <v>6399759</v>
      </c>
      <c r="B1408" s="23" t="s">
        <v>1877</v>
      </c>
      <c r="C1408" s="40">
        <v>63.28</v>
      </c>
      <c r="D1408" s="24">
        <v>18</v>
      </c>
      <c r="E1408" t="e">
        <f>_xlfn.XLOOKUP(A1408,'[1]query (5)'!$C:$C,'[1]query (5)'!$A:$A)</f>
        <v>#N/A</v>
      </c>
    </row>
    <row r="1409" spans="1:5" x14ac:dyDescent="0.3">
      <c r="A1409" s="23">
        <v>6399760</v>
      </c>
      <c r="B1409" s="23" t="s">
        <v>2843</v>
      </c>
      <c r="C1409" s="40">
        <v>9.33</v>
      </c>
      <c r="D1409" s="24">
        <v>2</v>
      </c>
      <c r="E1409" t="e">
        <f>_xlfn.XLOOKUP(A1409,'[1]query (5)'!$C:$C,'[1]query (5)'!$A:$A)</f>
        <v>#N/A</v>
      </c>
    </row>
    <row r="1410" spans="1:5" x14ac:dyDescent="0.3">
      <c r="A1410" s="23">
        <v>6401600</v>
      </c>
      <c r="B1410" s="23" t="s">
        <v>2486</v>
      </c>
      <c r="C1410" s="40">
        <v>201.74</v>
      </c>
      <c r="D1410" s="24">
        <v>23</v>
      </c>
      <c r="E1410" t="e">
        <f>_xlfn.XLOOKUP(A1410,'[1]query (5)'!$C:$C,'[1]query (5)'!$A:$A)</f>
        <v>#N/A</v>
      </c>
    </row>
    <row r="1411" spans="1:5" x14ac:dyDescent="0.3">
      <c r="A1411" s="23">
        <v>6403143</v>
      </c>
      <c r="B1411" s="23" t="s">
        <v>2487</v>
      </c>
      <c r="C1411" s="40">
        <v>82.35</v>
      </c>
      <c r="D1411" s="24">
        <v>16</v>
      </c>
      <c r="E1411" t="e">
        <f>_xlfn.XLOOKUP(A1411,'[1]query (5)'!$C:$C,'[1]query (5)'!$A:$A)</f>
        <v>#N/A</v>
      </c>
    </row>
    <row r="1412" spans="1:5" x14ac:dyDescent="0.3">
      <c r="A1412" s="23">
        <v>6404055</v>
      </c>
      <c r="B1412" s="23" t="s">
        <v>2488</v>
      </c>
      <c r="C1412" s="40">
        <v>375.13</v>
      </c>
      <c r="D1412" s="24">
        <v>12</v>
      </c>
      <c r="E1412" t="e">
        <f>_xlfn.XLOOKUP(A1412,'[1]query (5)'!$C:$C,'[1]query (5)'!$A:$A)</f>
        <v>#N/A</v>
      </c>
    </row>
    <row r="1413" spans="1:5" x14ac:dyDescent="0.3">
      <c r="A1413" s="23">
        <v>6404056</v>
      </c>
      <c r="B1413" s="23" t="s">
        <v>2489</v>
      </c>
      <c r="C1413" s="40">
        <v>42726.18</v>
      </c>
      <c r="D1413" s="24">
        <v>1215</v>
      </c>
      <c r="E1413" t="e">
        <f>_xlfn.XLOOKUP(A1413,'[1]query (5)'!$C:$C,'[1]query (5)'!$A:$A)</f>
        <v>#N/A</v>
      </c>
    </row>
    <row r="1414" spans="1:5" x14ac:dyDescent="0.3">
      <c r="A1414" s="23">
        <v>6404057</v>
      </c>
      <c r="B1414" s="23" t="s">
        <v>2490</v>
      </c>
      <c r="C1414" s="40">
        <v>4695.3599999999997</v>
      </c>
      <c r="D1414" s="24">
        <v>112</v>
      </c>
      <c r="E1414" t="e">
        <f>_xlfn.XLOOKUP(A1414,'[1]query (5)'!$C:$C,'[1]query (5)'!$A:$A)</f>
        <v>#N/A</v>
      </c>
    </row>
    <row r="1415" spans="1:5" x14ac:dyDescent="0.3">
      <c r="A1415" s="23">
        <v>6405103</v>
      </c>
      <c r="B1415" s="23" t="s">
        <v>1319</v>
      </c>
      <c r="C1415" s="40">
        <v>140.66</v>
      </c>
      <c r="D1415" s="24">
        <v>10</v>
      </c>
      <c r="E1415" t="e">
        <f>_xlfn.XLOOKUP(A1415,'[1]query (5)'!$C:$C,'[1]query (5)'!$A:$A)</f>
        <v>#N/A</v>
      </c>
    </row>
    <row r="1416" spans="1:5" x14ac:dyDescent="0.3">
      <c r="A1416" s="23">
        <v>6405488</v>
      </c>
      <c r="B1416" s="23" t="s">
        <v>1416</v>
      </c>
      <c r="C1416" s="40">
        <v>42.83</v>
      </c>
      <c r="D1416" s="24">
        <v>1</v>
      </c>
      <c r="E1416" t="e">
        <f>_xlfn.XLOOKUP(A1416,'[1]query (5)'!$C:$C,'[1]query (5)'!$A:$A)</f>
        <v>#N/A</v>
      </c>
    </row>
    <row r="1417" spans="1:5" x14ac:dyDescent="0.3">
      <c r="A1417" s="23">
        <v>6405534</v>
      </c>
      <c r="B1417" s="23" t="s">
        <v>1725</v>
      </c>
      <c r="C1417" s="40">
        <v>416.24</v>
      </c>
      <c r="D1417" s="24">
        <v>22</v>
      </c>
      <c r="E1417" t="e">
        <f>_xlfn.XLOOKUP(A1417,'[1]query (5)'!$C:$C,'[1]query (5)'!$A:$A)</f>
        <v>#N/A</v>
      </c>
    </row>
    <row r="1418" spans="1:5" x14ac:dyDescent="0.3">
      <c r="A1418" s="23">
        <v>6405546</v>
      </c>
      <c r="B1418" s="23" t="s">
        <v>1727</v>
      </c>
      <c r="C1418" s="40">
        <v>15.13</v>
      </c>
      <c r="D1418" s="24">
        <v>1</v>
      </c>
      <c r="E1418" t="e">
        <f>_xlfn.XLOOKUP(A1418,'[1]query (5)'!$C:$C,'[1]query (5)'!$A:$A)</f>
        <v>#N/A</v>
      </c>
    </row>
    <row r="1419" spans="1:5" x14ac:dyDescent="0.3">
      <c r="A1419" s="23">
        <v>6405767</v>
      </c>
      <c r="B1419" s="23" t="s">
        <v>5300</v>
      </c>
      <c r="C1419" s="40">
        <v>7.79</v>
      </c>
      <c r="D1419" s="24">
        <v>1</v>
      </c>
      <c r="E1419" t="e">
        <f>_xlfn.XLOOKUP(A1419,'[1]query (5)'!$C:$C,'[1]query (5)'!$A:$A)</f>
        <v>#N/A</v>
      </c>
    </row>
    <row r="1420" spans="1:5" x14ac:dyDescent="0.3">
      <c r="A1420" s="23">
        <v>6407796</v>
      </c>
      <c r="B1420" s="23" t="s">
        <v>2491</v>
      </c>
      <c r="C1420" s="40">
        <v>7219.23</v>
      </c>
      <c r="D1420" s="24">
        <v>216</v>
      </c>
      <c r="E1420" t="e">
        <f>_xlfn.XLOOKUP(A1420,'[1]query (5)'!$C:$C,'[1]query (5)'!$A:$A)</f>
        <v>#N/A</v>
      </c>
    </row>
    <row r="1421" spans="1:5" x14ac:dyDescent="0.3">
      <c r="A1421" s="23">
        <v>6409830</v>
      </c>
      <c r="B1421" s="23" t="s">
        <v>2492</v>
      </c>
      <c r="C1421" s="40">
        <v>1569.37</v>
      </c>
      <c r="D1421" s="24">
        <v>160</v>
      </c>
      <c r="E1421" t="e">
        <f>_xlfn.XLOOKUP(A1421,'[1]query (5)'!$C:$C,'[1]query (5)'!$A:$A)</f>
        <v>#N/A</v>
      </c>
    </row>
    <row r="1422" spans="1:5" x14ac:dyDescent="0.3">
      <c r="A1422" s="23">
        <v>6409958</v>
      </c>
      <c r="B1422" s="23" t="s">
        <v>5301</v>
      </c>
      <c r="C1422" s="40">
        <v>31.73</v>
      </c>
      <c r="D1422" s="24">
        <v>1</v>
      </c>
      <c r="E1422" t="e">
        <f>_xlfn.XLOOKUP(A1422,'[1]query (5)'!$C:$C,'[1]query (5)'!$A:$A)</f>
        <v>#N/A</v>
      </c>
    </row>
    <row r="1423" spans="1:5" x14ac:dyDescent="0.3">
      <c r="A1423" s="23">
        <v>6409961</v>
      </c>
      <c r="B1423" s="23" t="s">
        <v>2845</v>
      </c>
      <c r="C1423" s="40">
        <v>37.119999999999997</v>
      </c>
      <c r="D1423" s="24">
        <v>2</v>
      </c>
      <c r="E1423" t="e">
        <f>_xlfn.XLOOKUP(A1423,'[1]query (5)'!$C:$C,'[1]query (5)'!$A:$A)</f>
        <v>#N/A</v>
      </c>
    </row>
    <row r="1424" spans="1:5" x14ac:dyDescent="0.3">
      <c r="A1424" s="23">
        <v>6409986</v>
      </c>
      <c r="B1424" s="23" t="s">
        <v>5302</v>
      </c>
      <c r="C1424" s="40">
        <v>37.68</v>
      </c>
      <c r="D1424" s="24">
        <v>1</v>
      </c>
      <c r="E1424" t="e">
        <f>_xlfn.XLOOKUP(A1424,'[1]query (5)'!$C:$C,'[1]query (5)'!$A:$A)</f>
        <v>#N/A</v>
      </c>
    </row>
    <row r="1425" spans="1:5" x14ac:dyDescent="0.3">
      <c r="A1425" s="23">
        <v>6410147</v>
      </c>
      <c r="B1425" s="23" t="s">
        <v>2493</v>
      </c>
      <c r="C1425" s="40">
        <v>89.24</v>
      </c>
      <c r="D1425" s="24">
        <v>11</v>
      </c>
      <c r="E1425" t="e">
        <f>_xlfn.XLOOKUP(A1425,'[1]query (5)'!$C:$C,'[1]query (5)'!$A:$A)</f>
        <v>#N/A</v>
      </c>
    </row>
    <row r="1426" spans="1:5" x14ac:dyDescent="0.3">
      <c r="A1426" s="23">
        <v>6410148</v>
      </c>
      <c r="B1426" s="23" t="s">
        <v>2494</v>
      </c>
      <c r="C1426" s="40">
        <v>1338.28</v>
      </c>
      <c r="D1426" s="24">
        <v>93</v>
      </c>
      <c r="E1426" t="e">
        <f>_xlfn.XLOOKUP(A1426,'[1]query (5)'!$C:$C,'[1]query (5)'!$A:$A)</f>
        <v>#N/A</v>
      </c>
    </row>
    <row r="1427" spans="1:5" x14ac:dyDescent="0.3">
      <c r="A1427" s="23">
        <v>6410149</v>
      </c>
      <c r="B1427" s="23" t="s">
        <v>2495</v>
      </c>
      <c r="C1427" s="40">
        <v>115.92</v>
      </c>
      <c r="D1427" s="24">
        <v>11</v>
      </c>
      <c r="E1427" t="e">
        <f>_xlfn.XLOOKUP(A1427,'[1]query (5)'!$C:$C,'[1]query (5)'!$A:$A)</f>
        <v>#N/A</v>
      </c>
    </row>
    <row r="1428" spans="1:5" x14ac:dyDescent="0.3">
      <c r="A1428" s="23">
        <v>6410150</v>
      </c>
      <c r="B1428" s="23" t="s">
        <v>2496</v>
      </c>
      <c r="C1428" s="40">
        <v>264.43</v>
      </c>
      <c r="D1428" s="24">
        <v>14</v>
      </c>
      <c r="E1428" t="e">
        <f>_xlfn.XLOOKUP(A1428,'[1]query (5)'!$C:$C,'[1]query (5)'!$A:$A)</f>
        <v>#N/A</v>
      </c>
    </row>
    <row r="1429" spans="1:5" x14ac:dyDescent="0.3">
      <c r="A1429" s="23">
        <v>6410161</v>
      </c>
      <c r="B1429" s="23" t="s">
        <v>2497</v>
      </c>
      <c r="C1429" s="40">
        <v>5.5</v>
      </c>
      <c r="D1429" s="24">
        <v>2</v>
      </c>
      <c r="E1429" t="e">
        <f>_xlfn.XLOOKUP(A1429,'[1]query (5)'!$C:$C,'[1]query (5)'!$A:$A)</f>
        <v>#N/A</v>
      </c>
    </row>
    <row r="1430" spans="1:5" x14ac:dyDescent="0.3">
      <c r="A1430" s="23">
        <v>6410163</v>
      </c>
      <c r="B1430" s="23" t="s">
        <v>2498</v>
      </c>
      <c r="C1430" s="40">
        <v>256.08</v>
      </c>
      <c r="D1430" s="24">
        <v>24</v>
      </c>
      <c r="E1430" t="e">
        <f>_xlfn.XLOOKUP(A1430,'[1]query (5)'!$C:$C,'[1]query (5)'!$A:$A)</f>
        <v>#N/A</v>
      </c>
    </row>
    <row r="1431" spans="1:5" x14ac:dyDescent="0.3">
      <c r="A1431" s="23">
        <v>6410165</v>
      </c>
      <c r="B1431" s="23" t="s">
        <v>2499</v>
      </c>
      <c r="C1431" s="40">
        <v>220.82</v>
      </c>
      <c r="D1431" s="24">
        <v>27</v>
      </c>
      <c r="E1431" t="e">
        <f>_xlfn.XLOOKUP(A1431,'[1]query (5)'!$C:$C,'[1]query (5)'!$A:$A)</f>
        <v>#N/A</v>
      </c>
    </row>
    <row r="1432" spans="1:5" x14ac:dyDescent="0.3">
      <c r="A1432" s="23">
        <v>6410166</v>
      </c>
      <c r="B1432" s="23" t="s">
        <v>2846</v>
      </c>
      <c r="C1432" s="40">
        <v>5.74</v>
      </c>
      <c r="D1432" s="24">
        <v>2</v>
      </c>
      <c r="E1432" t="e">
        <f>_xlfn.XLOOKUP(A1432,'[1]query (5)'!$C:$C,'[1]query (5)'!$A:$A)</f>
        <v>#N/A</v>
      </c>
    </row>
    <row r="1433" spans="1:5" x14ac:dyDescent="0.3">
      <c r="A1433" s="23">
        <v>6410168</v>
      </c>
      <c r="B1433" s="23" t="s">
        <v>1888</v>
      </c>
      <c r="C1433" s="40">
        <v>33.520000000000003</v>
      </c>
      <c r="D1433" s="24">
        <v>6</v>
      </c>
      <c r="E1433" t="e">
        <f>_xlfn.XLOOKUP(A1433,'[1]query (5)'!$C:$C,'[1]query (5)'!$A:$A)</f>
        <v>#N/A</v>
      </c>
    </row>
    <row r="1434" spans="1:5" x14ac:dyDescent="0.3">
      <c r="A1434" s="23">
        <v>6410169</v>
      </c>
      <c r="B1434" s="23" t="s">
        <v>2500</v>
      </c>
      <c r="C1434" s="40">
        <v>102.84</v>
      </c>
      <c r="D1434" s="24">
        <v>11</v>
      </c>
      <c r="E1434" t="e">
        <f>_xlfn.XLOOKUP(A1434,'[1]query (5)'!$C:$C,'[1]query (5)'!$A:$A)</f>
        <v>#N/A</v>
      </c>
    </row>
    <row r="1435" spans="1:5" x14ac:dyDescent="0.3">
      <c r="A1435" s="23">
        <v>6410170</v>
      </c>
      <c r="B1435" s="23" t="s">
        <v>2501</v>
      </c>
      <c r="C1435" s="40">
        <v>1509.71</v>
      </c>
      <c r="D1435" s="24">
        <v>69</v>
      </c>
      <c r="E1435" t="e">
        <f>_xlfn.XLOOKUP(A1435,'[1]query (5)'!$C:$C,'[1]query (5)'!$A:$A)</f>
        <v>#N/A</v>
      </c>
    </row>
    <row r="1436" spans="1:5" x14ac:dyDescent="0.3">
      <c r="A1436" s="23">
        <v>6410171</v>
      </c>
      <c r="B1436" s="23" t="s">
        <v>2502</v>
      </c>
      <c r="C1436" s="40">
        <v>2151.29</v>
      </c>
      <c r="D1436" s="24">
        <v>43</v>
      </c>
      <c r="E1436" t="e">
        <f>_xlfn.XLOOKUP(A1436,'[1]query (5)'!$C:$C,'[1]query (5)'!$A:$A)</f>
        <v>#N/A</v>
      </c>
    </row>
    <row r="1437" spans="1:5" x14ac:dyDescent="0.3">
      <c r="A1437" s="23">
        <v>6410172</v>
      </c>
      <c r="B1437" s="23" t="s">
        <v>2503</v>
      </c>
      <c r="C1437" s="40">
        <v>132.1</v>
      </c>
      <c r="D1437" s="24">
        <v>10</v>
      </c>
      <c r="E1437" t="e">
        <f>_xlfn.XLOOKUP(A1437,'[1]query (5)'!$C:$C,'[1]query (5)'!$A:$A)</f>
        <v>#N/A</v>
      </c>
    </row>
    <row r="1438" spans="1:5" x14ac:dyDescent="0.3">
      <c r="A1438" s="23">
        <v>6410174</v>
      </c>
      <c r="B1438" s="23" t="s">
        <v>2504</v>
      </c>
      <c r="C1438" s="40">
        <v>11.83</v>
      </c>
      <c r="D1438" s="24">
        <v>1</v>
      </c>
      <c r="E1438" t="e">
        <f>_xlfn.XLOOKUP(A1438,'[1]query (5)'!$C:$C,'[1]query (5)'!$A:$A)</f>
        <v>#N/A</v>
      </c>
    </row>
    <row r="1439" spans="1:5" x14ac:dyDescent="0.3">
      <c r="A1439" s="23">
        <v>6410176</v>
      </c>
      <c r="B1439" s="23" t="s">
        <v>2505</v>
      </c>
      <c r="C1439" s="40">
        <v>53.67</v>
      </c>
      <c r="D1439" s="24">
        <v>16</v>
      </c>
      <c r="E1439" t="e">
        <f>_xlfn.XLOOKUP(A1439,'[1]query (5)'!$C:$C,'[1]query (5)'!$A:$A)</f>
        <v>#N/A</v>
      </c>
    </row>
    <row r="1440" spans="1:5" x14ac:dyDescent="0.3">
      <c r="A1440" s="23">
        <v>6410177</v>
      </c>
      <c r="B1440" s="23" t="s">
        <v>2506</v>
      </c>
      <c r="C1440" s="40">
        <v>561.91999999999996</v>
      </c>
      <c r="D1440" s="24">
        <v>58</v>
      </c>
      <c r="E1440" t="e">
        <f>_xlfn.XLOOKUP(A1440,'[1]query (5)'!$C:$C,'[1]query (5)'!$A:$A)</f>
        <v>#N/A</v>
      </c>
    </row>
    <row r="1441" spans="1:5" x14ac:dyDescent="0.3">
      <c r="A1441" s="23">
        <v>6410179</v>
      </c>
      <c r="B1441" s="23" t="s">
        <v>2507</v>
      </c>
      <c r="C1441" s="40">
        <v>83.3</v>
      </c>
      <c r="D1441" s="24">
        <v>11</v>
      </c>
      <c r="E1441" t="e">
        <f>_xlfn.XLOOKUP(A1441,'[1]query (5)'!$C:$C,'[1]query (5)'!$A:$A)</f>
        <v>#N/A</v>
      </c>
    </row>
    <row r="1442" spans="1:5" x14ac:dyDescent="0.3">
      <c r="A1442" s="23">
        <v>6410180</v>
      </c>
      <c r="B1442" s="23" t="s">
        <v>1890</v>
      </c>
      <c r="C1442" s="40">
        <v>66.33</v>
      </c>
      <c r="D1442" s="24">
        <v>4</v>
      </c>
      <c r="E1442" t="e">
        <f>_xlfn.XLOOKUP(A1442,'[1]query (5)'!$C:$C,'[1]query (5)'!$A:$A)</f>
        <v>#N/A</v>
      </c>
    </row>
    <row r="1443" spans="1:5" x14ac:dyDescent="0.3">
      <c r="A1443" s="23">
        <v>6410181</v>
      </c>
      <c r="B1443" s="23" t="s">
        <v>2508</v>
      </c>
      <c r="C1443" s="40">
        <v>1375.93</v>
      </c>
      <c r="D1443" s="24">
        <v>204</v>
      </c>
      <c r="E1443" t="e">
        <f>_xlfn.XLOOKUP(A1443,'[1]query (5)'!$C:$C,'[1]query (5)'!$A:$A)</f>
        <v>#N/A</v>
      </c>
    </row>
    <row r="1444" spans="1:5" x14ac:dyDescent="0.3">
      <c r="A1444" s="23">
        <v>6410329</v>
      </c>
      <c r="B1444" s="23" t="s">
        <v>1604</v>
      </c>
      <c r="C1444" s="40">
        <v>121179.31</v>
      </c>
      <c r="D1444" s="24">
        <v>1954</v>
      </c>
      <c r="E1444" t="e">
        <f>_xlfn.XLOOKUP(A1444,'[1]query (5)'!$C:$C,'[1]query (5)'!$A:$A)</f>
        <v>#N/A</v>
      </c>
    </row>
    <row r="1445" spans="1:5" x14ac:dyDescent="0.3">
      <c r="A1445" s="23">
        <v>6410384</v>
      </c>
      <c r="B1445" s="23" t="s">
        <v>2509</v>
      </c>
      <c r="C1445" s="40">
        <v>15722.3</v>
      </c>
      <c r="D1445" s="24">
        <v>273</v>
      </c>
      <c r="E1445" t="e">
        <f>_xlfn.XLOOKUP(A1445,'[1]query (5)'!$C:$C,'[1]query (5)'!$A:$A)</f>
        <v>#N/A</v>
      </c>
    </row>
    <row r="1446" spans="1:5" x14ac:dyDescent="0.3">
      <c r="A1446" s="23">
        <v>6410860</v>
      </c>
      <c r="B1446" s="23" t="s">
        <v>1447</v>
      </c>
      <c r="C1446" s="40">
        <v>17.64</v>
      </c>
      <c r="D1446" s="24">
        <v>20</v>
      </c>
      <c r="E1446" t="e">
        <f>_xlfn.XLOOKUP(A1446,'[1]query (5)'!$C:$C,'[1]query (5)'!$A:$A)</f>
        <v>#N/A</v>
      </c>
    </row>
    <row r="1447" spans="1:5" x14ac:dyDescent="0.3">
      <c r="A1447" s="23">
        <v>6411037</v>
      </c>
      <c r="B1447" s="23" t="s">
        <v>1421</v>
      </c>
      <c r="C1447" s="40">
        <v>106.09</v>
      </c>
      <c r="D1447" s="24">
        <v>6</v>
      </c>
      <c r="E1447" t="e">
        <f>_xlfn.XLOOKUP(A1447,'[1]query (5)'!$C:$C,'[1]query (5)'!$A:$A)</f>
        <v>#N/A</v>
      </c>
    </row>
    <row r="1448" spans="1:5" x14ac:dyDescent="0.3">
      <c r="A1448" s="23">
        <v>6411479</v>
      </c>
      <c r="B1448" s="23" t="s">
        <v>1762</v>
      </c>
      <c r="C1448" s="40">
        <v>26.02</v>
      </c>
      <c r="D1448" s="24">
        <v>4</v>
      </c>
      <c r="E1448" t="e">
        <f>_xlfn.XLOOKUP(A1448,'[1]query (5)'!$C:$C,'[1]query (5)'!$A:$A)</f>
        <v>#N/A</v>
      </c>
    </row>
    <row r="1449" spans="1:5" x14ac:dyDescent="0.3">
      <c r="A1449" s="23">
        <v>6411493</v>
      </c>
      <c r="B1449" s="23" t="s">
        <v>1371</v>
      </c>
      <c r="C1449" s="40">
        <v>54.08</v>
      </c>
      <c r="D1449" s="24">
        <v>3</v>
      </c>
      <c r="E1449" t="e">
        <f>_xlfn.XLOOKUP(A1449,'[1]query (5)'!$C:$C,'[1]query (5)'!$A:$A)</f>
        <v>#N/A</v>
      </c>
    </row>
    <row r="1450" spans="1:5" x14ac:dyDescent="0.3">
      <c r="A1450" s="23">
        <v>6411542</v>
      </c>
      <c r="B1450" s="23" t="s">
        <v>1763</v>
      </c>
      <c r="C1450" s="40">
        <v>58.11</v>
      </c>
      <c r="D1450" s="24">
        <v>9</v>
      </c>
      <c r="E1450" t="e">
        <f>_xlfn.XLOOKUP(A1450,'[1]query (5)'!$C:$C,'[1]query (5)'!$A:$A)</f>
        <v>#N/A</v>
      </c>
    </row>
    <row r="1451" spans="1:5" x14ac:dyDescent="0.3">
      <c r="A1451" s="23">
        <v>6412377</v>
      </c>
      <c r="B1451" s="23" t="s">
        <v>2847</v>
      </c>
      <c r="C1451" s="40">
        <v>210</v>
      </c>
      <c r="D1451" s="24">
        <v>4</v>
      </c>
      <c r="E1451" t="e">
        <f>_xlfn.XLOOKUP(A1451,'[1]query (5)'!$C:$C,'[1]query (5)'!$A:$A)</f>
        <v>#N/A</v>
      </c>
    </row>
    <row r="1452" spans="1:5" x14ac:dyDescent="0.3">
      <c r="A1452" s="23">
        <v>6412379</v>
      </c>
      <c r="B1452" s="23" t="s">
        <v>2848</v>
      </c>
      <c r="C1452" s="40">
        <v>66.67</v>
      </c>
      <c r="D1452" s="24">
        <v>1</v>
      </c>
      <c r="E1452" t="e">
        <f>_xlfn.XLOOKUP(A1452,'[1]query (5)'!$C:$C,'[1]query (5)'!$A:$A)</f>
        <v>#N/A</v>
      </c>
    </row>
    <row r="1453" spans="1:5" x14ac:dyDescent="0.3">
      <c r="A1453" s="23">
        <v>6412425</v>
      </c>
      <c r="B1453" s="23" t="s">
        <v>2849</v>
      </c>
      <c r="C1453" s="40">
        <v>53.33</v>
      </c>
      <c r="D1453" s="24">
        <v>1</v>
      </c>
      <c r="E1453" t="e">
        <f>_xlfn.XLOOKUP(A1453,'[1]query (5)'!$C:$C,'[1]query (5)'!$A:$A)</f>
        <v>#N/A</v>
      </c>
    </row>
    <row r="1454" spans="1:5" x14ac:dyDescent="0.3">
      <c r="A1454" s="23">
        <v>6412432</v>
      </c>
      <c r="B1454" s="23" t="s">
        <v>2850</v>
      </c>
      <c r="C1454" s="40">
        <v>91.67</v>
      </c>
      <c r="D1454" s="24">
        <v>1</v>
      </c>
      <c r="E1454" t="e">
        <f>_xlfn.XLOOKUP(A1454,'[1]query (5)'!$C:$C,'[1]query (5)'!$A:$A)</f>
        <v>#N/A</v>
      </c>
    </row>
    <row r="1455" spans="1:5" x14ac:dyDescent="0.3">
      <c r="A1455" s="23">
        <v>6412642</v>
      </c>
      <c r="B1455" s="23" t="s">
        <v>2851</v>
      </c>
      <c r="C1455" s="40">
        <v>11.38</v>
      </c>
      <c r="D1455" s="24">
        <v>1</v>
      </c>
      <c r="E1455" t="e">
        <f>_xlfn.XLOOKUP(A1455,'[1]query (5)'!$C:$C,'[1]query (5)'!$A:$A)</f>
        <v>#N/A</v>
      </c>
    </row>
    <row r="1456" spans="1:5" x14ac:dyDescent="0.3">
      <c r="A1456" s="23">
        <v>6412700</v>
      </c>
      <c r="B1456" s="23" t="s">
        <v>1779</v>
      </c>
      <c r="C1456" s="40">
        <v>7.58</v>
      </c>
      <c r="D1456" s="24">
        <v>9</v>
      </c>
      <c r="E1456" t="e">
        <f>_xlfn.XLOOKUP(A1456,'[1]query (5)'!$C:$C,'[1]query (5)'!$A:$A)</f>
        <v>#N/A</v>
      </c>
    </row>
    <row r="1457" spans="1:5" x14ac:dyDescent="0.3">
      <c r="A1457" s="23">
        <v>6412884</v>
      </c>
      <c r="B1457" s="23" t="s">
        <v>1759</v>
      </c>
      <c r="C1457" s="40">
        <v>59.11</v>
      </c>
      <c r="D1457" s="24">
        <v>13</v>
      </c>
      <c r="E1457" t="e">
        <f>_xlfn.XLOOKUP(A1457,'[1]query (5)'!$C:$C,'[1]query (5)'!$A:$A)</f>
        <v>#N/A</v>
      </c>
    </row>
    <row r="1458" spans="1:5" x14ac:dyDescent="0.3">
      <c r="A1458" s="23">
        <v>6413308</v>
      </c>
      <c r="B1458" s="23" t="s">
        <v>1564</v>
      </c>
      <c r="C1458" s="40">
        <v>21.5</v>
      </c>
      <c r="D1458" s="24">
        <v>2</v>
      </c>
      <c r="E1458" t="e">
        <f>_xlfn.XLOOKUP(A1458,'[1]query (5)'!$C:$C,'[1]query (5)'!$A:$A)</f>
        <v>#N/A</v>
      </c>
    </row>
    <row r="1459" spans="1:5" x14ac:dyDescent="0.3">
      <c r="A1459" s="23">
        <v>6413715</v>
      </c>
      <c r="B1459" s="23" t="s">
        <v>1803</v>
      </c>
      <c r="C1459" s="40">
        <v>221.91</v>
      </c>
      <c r="D1459" s="24">
        <v>33</v>
      </c>
      <c r="E1459" t="e">
        <f>_xlfn.XLOOKUP(A1459,'[1]query (5)'!$C:$C,'[1]query (5)'!$A:$A)</f>
        <v>#N/A</v>
      </c>
    </row>
    <row r="1460" spans="1:5" x14ac:dyDescent="0.3">
      <c r="A1460" s="23">
        <v>6413722</v>
      </c>
      <c r="B1460" s="23" t="s">
        <v>1867</v>
      </c>
      <c r="C1460" s="40">
        <v>682.5</v>
      </c>
      <c r="D1460" s="24">
        <v>22</v>
      </c>
      <c r="E1460" t="e">
        <f>_xlfn.XLOOKUP(A1460,'[1]query (5)'!$C:$C,'[1]query (5)'!$A:$A)</f>
        <v>#N/A</v>
      </c>
    </row>
    <row r="1461" spans="1:5" x14ac:dyDescent="0.3">
      <c r="A1461" s="23">
        <v>6413753</v>
      </c>
      <c r="B1461" s="23" t="s">
        <v>1804</v>
      </c>
      <c r="C1461" s="40">
        <v>134.66</v>
      </c>
      <c r="D1461" s="24">
        <v>20</v>
      </c>
      <c r="E1461" t="e">
        <f>_xlfn.XLOOKUP(A1461,'[1]query (5)'!$C:$C,'[1]query (5)'!$A:$A)</f>
        <v>#N/A</v>
      </c>
    </row>
    <row r="1462" spans="1:5" x14ac:dyDescent="0.3">
      <c r="A1462" s="23">
        <v>6413792</v>
      </c>
      <c r="B1462" s="23" t="s">
        <v>1318</v>
      </c>
      <c r="C1462" s="40">
        <v>78.83</v>
      </c>
      <c r="D1462" s="24">
        <v>10</v>
      </c>
      <c r="E1462" t="e">
        <f>_xlfn.XLOOKUP(A1462,'[1]query (5)'!$C:$C,'[1]query (5)'!$A:$A)</f>
        <v>#N/A</v>
      </c>
    </row>
    <row r="1463" spans="1:5" x14ac:dyDescent="0.3">
      <c r="A1463" s="23">
        <v>6414008</v>
      </c>
      <c r="B1463" s="23" t="s">
        <v>1776</v>
      </c>
      <c r="C1463" s="40">
        <v>48.73</v>
      </c>
      <c r="D1463" s="24">
        <v>9</v>
      </c>
      <c r="E1463" t="e">
        <f>_xlfn.XLOOKUP(A1463,'[1]query (5)'!$C:$C,'[1]query (5)'!$A:$A)</f>
        <v>#N/A</v>
      </c>
    </row>
    <row r="1464" spans="1:5" x14ac:dyDescent="0.3">
      <c r="A1464" s="23">
        <v>6414009</v>
      </c>
      <c r="B1464" s="23" t="s">
        <v>2852</v>
      </c>
      <c r="C1464" s="40">
        <v>10.86</v>
      </c>
      <c r="D1464" s="24">
        <v>2</v>
      </c>
      <c r="E1464" t="e">
        <f>_xlfn.XLOOKUP(A1464,'[1]query (5)'!$C:$C,'[1]query (5)'!$A:$A)</f>
        <v>#N/A</v>
      </c>
    </row>
    <row r="1465" spans="1:5" x14ac:dyDescent="0.3">
      <c r="A1465" s="23">
        <v>6414023</v>
      </c>
      <c r="B1465" s="23" t="s">
        <v>2853</v>
      </c>
      <c r="C1465" s="40">
        <v>8.5500000000000007</v>
      </c>
      <c r="D1465" s="24">
        <v>1</v>
      </c>
      <c r="E1465" t="e">
        <f>_xlfn.XLOOKUP(A1465,'[1]query (5)'!$C:$C,'[1]query (5)'!$A:$A)</f>
        <v>#N/A</v>
      </c>
    </row>
    <row r="1466" spans="1:5" x14ac:dyDescent="0.3">
      <c r="A1466" s="23">
        <v>6414041</v>
      </c>
      <c r="B1466" s="23" t="s">
        <v>2854</v>
      </c>
      <c r="C1466" s="40">
        <v>24.46</v>
      </c>
      <c r="D1466" s="24">
        <v>1</v>
      </c>
      <c r="E1466" t="e">
        <f>_xlfn.XLOOKUP(A1466,'[1]query (5)'!$C:$C,'[1]query (5)'!$A:$A)</f>
        <v>#N/A</v>
      </c>
    </row>
    <row r="1467" spans="1:5" x14ac:dyDescent="0.3">
      <c r="A1467" s="23">
        <v>6414042</v>
      </c>
      <c r="B1467" s="23" t="s">
        <v>1774</v>
      </c>
      <c r="C1467" s="40">
        <v>63.8</v>
      </c>
      <c r="D1467" s="24">
        <v>6</v>
      </c>
      <c r="E1467" t="e">
        <f>_xlfn.XLOOKUP(A1467,'[1]query (5)'!$C:$C,'[1]query (5)'!$A:$A)</f>
        <v>#N/A</v>
      </c>
    </row>
    <row r="1468" spans="1:5" x14ac:dyDescent="0.3">
      <c r="A1468" s="23">
        <v>6414043</v>
      </c>
      <c r="B1468" s="23" t="s">
        <v>2855</v>
      </c>
      <c r="C1468" s="40">
        <v>20.96</v>
      </c>
      <c r="D1468" s="24">
        <v>2</v>
      </c>
      <c r="E1468" t="e">
        <f>_xlfn.XLOOKUP(A1468,'[1]query (5)'!$C:$C,'[1]query (5)'!$A:$A)</f>
        <v>#N/A</v>
      </c>
    </row>
    <row r="1469" spans="1:5" x14ac:dyDescent="0.3">
      <c r="A1469" s="23">
        <v>6414052</v>
      </c>
      <c r="B1469" s="23" t="s">
        <v>1777</v>
      </c>
      <c r="C1469" s="40">
        <v>10.44</v>
      </c>
      <c r="D1469" s="24">
        <v>1</v>
      </c>
      <c r="E1469" t="e">
        <f>_xlfn.XLOOKUP(A1469,'[1]query (5)'!$C:$C,'[1]query (5)'!$A:$A)</f>
        <v>#N/A</v>
      </c>
    </row>
    <row r="1470" spans="1:5" x14ac:dyDescent="0.3">
      <c r="A1470" s="23">
        <v>6414375</v>
      </c>
      <c r="B1470" s="23" t="s">
        <v>1375</v>
      </c>
      <c r="C1470" s="40">
        <v>5.0199999999999996</v>
      </c>
      <c r="D1470" s="24">
        <v>2</v>
      </c>
      <c r="E1470" t="e">
        <f>_xlfn.XLOOKUP(A1470,'[1]query (5)'!$C:$C,'[1]query (5)'!$A:$A)</f>
        <v>#N/A</v>
      </c>
    </row>
    <row r="1471" spans="1:5" x14ac:dyDescent="0.3">
      <c r="A1471" s="23">
        <v>6414413</v>
      </c>
      <c r="B1471" s="23" t="s">
        <v>1378</v>
      </c>
      <c r="C1471" s="40">
        <v>52.69</v>
      </c>
      <c r="D1471" s="24">
        <v>7</v>
      </c>
      <c r="E1471" t="e">
        <f>_xlfn.XLOOKUP(A1471,'[1]query (5)'!$C:$C,'[1]query (5)'!$A:$A)</f>
        <v>#N/A</v>
      </c>
    </row>
    <row r="1472" spans="1:5" x14ac:dyDescent="0.3">
      <c r="A1472" s="23">
        <v>6415012</v>
      </c>
      <c r="B1472" s="23" t="s">
        <v>1445</v>
      </c>
      <c r="C1472" s="40">
        <v>443.26</v>
      </c>
      <c r="D1472" s="24">
        <v>62</v>
      </c>
      <c r="E1472" t="e">
        <f>_xlfn.XLOOKUP(A1472,'[1]query (5)'!$C:$C,'[1]query (5)'!$A:$A)</f>
        <v>#N/A</v>
      </c>
    </row>
    <row r="1473" spans="1:5" x14ac:dyDescent="0.3">
      <c r="A1473" s="23">
        <v>6416399</v>
      </c>
      <c r="B1473" s="23" t="s">
        <v>5303</v>
      </c>
      <c r="C1473" s="40">
        <v>47.93</v>
      </c>
      <c r="D1473" s="24">
        <v>7</v>
      </c>
      <c r="E1473" t="e">
        <f>_xlfn.XLOOKUP(A1473,'[1]query (5)'!$C:$C,'[1]query (5)'!$A:$A)</f>
        <v>#N/A</v>
      </c>
    </row>
    <row r="1474" spans="1:5" x14ac:dyDescent="0.3">
      <c r="A1474" s="23">
        <v>6416400</v>
      </c>
      <c r="B1474" s="23" t="s">
        <v>5304</v>
      </c>
      <c r="C1474" s="40">
        <v>29.04</v>
      </c>
      <c r="D1474" s="24">
        <v>3</v>
      </c>
      <c r="E1474" t="e">
        <f>_xlfn.XLOOKUP(A1474,'[1]query (5)'!$C:$C,'[1]query (5)'!$A:$A)</f>
        <v>#N/A</v>
      </c>
    </row>
    <row r="1475" spans="1:5" x14ac:dyDescent="0.3">
      <c r="A1475" s="23">
        <v>6416425</v>
      </c>
      <c r="B1475" s="23" t="s">
        <v>1742</v>
      </c>
      <c r="C1475" s="40">
        <v>358.16</v>
      </c>
      <c r="D1475" s="24">
        <v>14</v>
      </c>
      <c r="E1475" t="e">
        <f>_xlfn.XLOOKUP(A1475,'[1]query (5)'!$C:$C,'[1]query (5)'!$A:$A)</f>
        <v>#N/A</v>
      </c>
    </row>
    <row r="1476" spans="1:5" x14ac:dyDescent="0.3">
      <c r="A1476" s="23">
        <v>6416430</v>
      </c>
      <c r="B1476" s="23" t="s">
        <v>5305</v>
      </c>
      <c r="C1476" s="40">
        <v>65.61</v>
      </c>
      <c r="D1476" s="24">
        <v>6</v>
      </c>
      <c r="E1476" t="e">
        <f>_xlfn.XLOOKUP(A1476,'[1]query (5)'!$C:$C,'[1]query (5)'!$A:$A)</f>
        <v>#N/A</v>
      </c>
    </row>
    <row r="1477" spans="1:5" x14ac:dyDescent="0.3">
      <c r="A1477" s="23">
        <v>6416432</v>
      </c>
      <c r="B1477" s="23" t="s">
        <v>5306</v>
      </c>
      <c r="C1477" s="40">
        <v>5.69</v>
      </c>
      <c r="D1477" s="24">
        <v>1</v>
      </c>
      <c r="E1477" t="e">
        <f>_xlfn.XLOOKUP(A1477,'[1]query (5)'!$C:$C,'[1]query (5)'!$A:$A)</f>
        <v>#N/A</v>
      </c>
    </row>
    <row r="1478" spans="1:5" x14ac:dyDescent="0.3">
      <c r="A1478" s="23">
        <v>6416433</v>
      </c>
      <c r="B1478" s="23" t="s">
        <v>5307</v>
      </c>
      <c r="C1478" s="40">
        <v>4.12</v>
      </c>
      <c r="D1478" s="24">
        <v>1</v>
      </c>
      <c r="E1478" t="e">
        <f>_xlfn.XLOOKUP(A1478,'[1]query (5)'!$C:$C,'[1]query (5)'!$A:$A)</f>
        <v>#N/A</v>
      </c>
    </row>
    <row r="1479" spans="1:5" x14ac:dyDescent="0.3">
      <c r="A1479" s="23">
        <v>6416435</v>
      </c>
      <c r="B1479" s="23" t="s">
        <v>5308</v>
      </c>
      <c r="C1479" s="40">
        <v>53.25</v>
      </c>
      <c r="D1479" s="24">
        <v>6</v>
      </c>
      <c r="E1479" t="e">
        <f>_xlfn.XLOOKUP(A1479,'[1]query (5)'!$C:$C,'[1]query (5)'!$A:$A)</f>
        <v>#N/A</v>
      </c>
    </row>
    <row r="1480" spans="1:5" x14ac:dyDescent="0.3">
      <c r="A1480" s="23">
        <v>6416436</v>
      </c>
      <c r="B1480" s="23" t="s">
        <v>5309</v>
      </c>
      <c r="C1480" s="40">
        <v>9.42</v>
      </c>
      <c r="D1480" s="24">
        <v>2</v>
      </c>
      <c r="E1480" t="e">
        <f>_xlfn.XLOOKUP(A1480,'[1]query (5)'!$C:$C,'[1]query (5)'!$A:$A)</f>
        <v>#N/A</v>
      </c>
    </row>
    <row r="1481" spans="1:5" x14ac:dyDescent="0.3">
      <c r="A1481" s="23">
        <v>6416437</v>
      </c>
      <c r="B1481" s="23" t="s">
        <v>5310</v>
      </c>
      <c r="C1481" s="40">
        <v>39.770000000000003</v>
      </c>
      <c r="D1481" s="24">
        <v>2</v>
      </c>
      <c r="E1481" t="e">
        <f>_xlfn.XLOOKUP(A1481,'[1]query (5)'!$C:$C,'[1]query (5)'!$A:$A)</f>
        <v>#N/A</v>
      </c>
    </row>
    <row r="1482" spans="1:5" x14ac:dyDescent="0.3">
      <c r="A1482" s="23">
        <v>6416438</v>
      </c>
      <c r="B1482" s="23" t="s">
        <v>5311</v>
      </c>
      <c r="C1482" s="40">
        <v>49.6</v>
      </c>
      <c r="D1482" s="24">
        <v>5</v>
      </c>
      <c r="E1482" t="e">
        <f>_xlfn.XLOOKUP(A1482,'[1]query (5)'!$C:$C,'[1]query (5)'!$A:$A)</f>
        <v>#N/A</v>
      </c>
    </row>
    <row r="1483" spans="1:5" x14ac:dyDescent="0.3">
      <c r="A1483" s="23">
        <v>6416439</v>
      </c>
      <c r="B1483" s="23" t="s">
        <v>5312</v>
      </c>
      <c r="C1483" s="40">
        <v>86.92</v>
      </c>
      <c r="D1483" s="24">
        <v>6</v>
      </c>
      <c r="E1483" t="e">
        <f>_xlfn.XLOOKUP(A1483,'[1]query (5)'!$C:$C,'[1]query (5)'!$A:$A)</f>
        <v>#N/A</v>
      </c>
    </row>
    <row r="1484" spans="1:5" x14ac:dyDescent="0.3">
      <c r="A1484" s="23">
        <v>6416440</v>
      </c>
      <c r="B1484" s="23" t="s">
        <v>1750</v>
      </c>
      <c r="C1484" s="40">
        <v>660.75</v>
      </c>
      <c r="D1484" s="24">
        <v>29</v>
      </c>
      <c r="E1484" t="e">
        <f>_xlfn.XLOOKUP(A1484,'[1]query (5)'!$C:$C,'[1]query (5)'!$A:$A)</f>
        <v>#N/A</v>
      </c>
    </row>
    <row r="1485" spans="1:5" x14ac:dyDescent="0.3">
      <c r="A1485" s="23">
        <v>6416441</v>
      </c>
      <c r="B1485" s="23" t="s">
        <v>5313</v>
      </c>
      <c r="C1485" s="40">
        <v>190.18</v>
      </c>
      <c r="D1485" s="24">
        <v>83</v>
      </c>
      <c r="E1485" t="e">
        <f>_xlfn.XLOOKUP(A1485,'[1]query (5)'!$C:$C,'[1]query (5)'!$A:$A)</f>
        <v>#N/A</v>
      </c>
    </row>
    <row r="1486" spans="1:5" x14ac:dyDescent="0.3">
      <c r="A1486" s="23">
        <v>6416445</v>
      </c>
      <c r="B1486" s="23" t="s">
        <v>5314</v>
      </c>
      <c r="C1486" s="40">
        <v>16.11</v>
      </c>
      <c r="D1486" s="24">
        <v>2</v>
      </c>
      <c r="E1486" t="e">
        <f>_xlfn.XLOOKUP(A1486,'[1]query (5)'!$C:$C,'[1]query (5)'!$A:$A)</f>
        <v>#N/A</v>
      </c>
    </row>
    <row r="1487" spans="1:5" x14ac:dyDescent="0.3">
      <c r="A1487" s="23">
        <v>6416446</v>
      </c>
      <c r="B1487" s="23" t="s">
        <v>5315</v>
      </c>
      <c r="C1487" s="40">
        <v>8.8699999999999992</v>
      </c>
      <c r="D1487" s="24">
        <v>1</v>
      </c>
      <c r="E1487" t="e">
        <f>_xlfn.XLOOKUP(A1487,'[1]query (5)'!$C:$C,'[1]query (5)'!$A:$A)</f>
        <v>#N/A</v>
      </c>
    </row>
    <row r="1488" spans="1:5" x14ac:dyDescent="0.3">
      <c r="A1488" s="23">
        <v>6416451</v>
      </c>
      <c r="B1488" s="23" t="s">
        <v>1790</v>
      </c>
      <c r="C1488" s="40">
        <v>55.98</v>
      </c>
      <c r="D1488" s="24">
        <v>6</v>
      </c>
      <c r="E1488" t="e">
        <f>_xlfn.XLOOKUP(A1488,'[1]query (5)'!$C:$C,'[1]query (5)'!$A:$A)</f>
        <v>#N/A</v>
      </c>
    </row>
    <row r="1489" spans="1:5" x14ac:dyDescent="0.3">
      <c r="A1489" s="23">
        <v>6416469</v>
      </c>
      <c r="B1489" s="23" t="s">
        <v>5316</v>
      </c>
      <c r="C1489" s="40">
        <v>4.92</v>
      </c>
      <c r="D1489" s="24">
        <v>1</v>
      </c>
      <c r="E1489" t="e">
        <f>_xlfn.XLOOKUP(A1489,'[1]query (5)'!$C:$C,'[1]query (5)'!$A:$A)</f>
        <v>#N/A</v>
      </c>
    </row>
    <row r="1490" spans="1:5" x14ac:dyDescent="0.3">
      <c r="A1490" s="23">
        <v>6416689</v>
      </c>
      <c r="B1490" s="23" t="s">
        <v>5317</v>
      </c>
      <c r="C1490" s="40">
        <v>8.06</v>
      </c>
      <c r="D1490" s="24">
        <v>1</v>
      </c>
      <c r="E1490" t="e">
        <f>_xlfn.XLOOKUP(A1490,'[1]query (5)'!$C:$C,'[1]query (5)'!$A:$A)</f>
        <v>#N/A</v>
      </c>
    </row>
    <row r="1491" spans="1:5" x14ac:dyDescent="0.3">
      <c r="A1491" s="23">
        <v>6416943</v>
      </c>
      <c r="B1491" s="23" t="s">
        <v>1744</v>
      </c>
      <c r="C1491" s="40">
        <v>185.2</v>
      </c>
      <c r="D1491" s="24">
        <v>16</v>
      </c>
      <c r="E1491" t="e">
        <f>_xlfn.XLOOKUP(A1491,'[1]query (5)'!$C:$C,'[1]query (5)'!$A:$A)</f>
        <v>#N/A</v>
      </c>
    </row>
    <row r="1492" spans="1:5" x14ac:dyDescent="0.3">
      <c r="A1492" s="23">
        <v>6418747</v>
      </c>
      <c r="B1492" s="23" t="s">
        <v>5318</v>
      </c>
      <c r="C1492" s="40">
        <v>873.28</v>
      </c>
      <c r="D1492" s="24">
        <v>23</v>
      </c>
      <c r="E1492" t="e">
        <f>_xlfn.XLOOKUP(A1492,'[1]query (5)'!$C:$C,'[1]query (5)'!$A:$A)</f>
        <v>#N/A</v>
      </c>
    </row>
    <row r="1493" spans="1:5" x14ac:dyDescent="0.3">
      <c r="A1493" s="23">
        <v>6420256</v>
      </c>
      <c r="B1493" s="23" t="s">
        <v>5319</v>
      </c>
      <c r="C1493" s="40">
        <v>17.53</v>
      </c>
      <c r="D1493" s="24">
        <v>4</v>
      </c>
      <c r="E1493" t="e">
        <f>_xlfn.XLOOKUP(A1493,'[1]query (5)'!$C:$C,'[1]query (5)'!$A:$A)</f>
        <v>#N/A</v>
      </c>
    </row>
    <row r="1494" spans="1:5" x14ac:dyDescent="0.3">
      <c r="A1494" s="23">
        <v>6420523</v>
      </c>
      <c r="B1494" s="23" t="s">
        <v>1834</v>
      </c>
      <c r="C1494" s="40">
        <v>87.08</v>
      </c>
      <c r="D1494" s="24">
        <v>4</v>
      </c>
      <c r="E1494" t="e">
        <f>_xlfn.XLOOKUP(A1494,'[1]query (5)'!$C:$C,'[1]query (5)'!$A:$A)</f>
        <v>#N/A</v>
      </c>
    </row>
    <row r="1495" spans="1:5" x14ac:dyDescent="0.3">
      <c r="A1495" s="23">
        <v>6420776</v>
      </c>
      <c r="B1495" s="23" t="s">
        <v>1836</v>
      </c>
      <c r="C1495" s="40">
        <v>750</v>
      </c>
      <c r="D1495" s="24">
        <v>80</v>
      </c>
      <c r="E1495" t="e">
        <f>_xlfn.XLOOKUP(A1495,'[1]query (5)'!$C:$C,'[1]query (5)'!$A:$A)</f>
        <v>#N/A</v>
      </c>
    </row>
    <row r="1496" spans="1:5" x14ac:dyDescent="0.3">
      <c r="A1496" s="23">
        <v>6421053</v>
      </c>
      <c r="B1496" s="23" t="s">
        <v>2858</v>
      </c>
      <c r="C1496" s="40">
        <v>105</v>
      </c>
      <c r="D1496" s="24">
        <v>3</v>
      </c>
      <c r="E1496" t="e">
        <f>_xlfn.XLOOKUP(A1496,'[1]query (5)'!$C:$C,'[1]query (5)'!$A:$A)</f>
        <v>#N/A</v>
      </c>
    </row>
    <row r="1497" spans="1:5" x14ac:dyDescent="0.3">
      <c r="A1497" s="23">
        <v>6421286</v>
      </c>
      <c r="B1497" s="23" t="s">
        <v>2859</v>
      </c>
      <c r="C1497" s="40">
        <v>87.49</v>
      </c>
      <c r="D1497" s="24">
        <v>6</v>
      </c>
      <c r="E1497" t="e">
        <f>_xlfn.XLOOKUP(A1497,'[1]query (5)'!$C:$C,'[1]query (5)'!$A:$A)</f>
        <v>#N/A</v>
      </c>
    </row>
    <row r="1498" spans="1:5" x14ac:dyDescent="0.3">
      <c r="A1498" s="23">
        <v>6421302</v>
      </c>
      <c r="B1498" s="23" t="s">
        <v>2860</v>
      </c>
      <c r="C1498" s="40">
        <v>46.65</v>
      </c>
      <c r="D1498" s="24">
        <v>4</v>
      </c>
      <c r="E1498" t="e">
        <f>_xlfn.XLOOKUP(A1498,'[1]query (5)'!$C:$C,'[1]query (5)'!$A:$A)</f>
        <v>#N/A</v>
      </c>
    </row>
    <row r="1499" spans="1:5" x14ac:dyDescent="0.3">
      <c r="A1499" s="23">
        <v>6421398</v>
      </c>
      <c r="B1499" s="23" t="s">
        <v>1440</v>
      </c>
      <c r="C1499" s="40">
        <v>318.87</v>
      </c>
      <c r="D1499" s="24">
        <v>58</v>
      </c>
      <c r="E1499" t="e">
        <f>_xlfn.XLOOKUP(A1499,'[1]query (5)'!$C:$C,'[1]query (5)'!$A:$A)</f>
        <v>#N/A</v>
      </c>
    </row>
    <row r="1500" spans="1:5" x14ac:dyDescent="0.3">
      <c r="A1500" s="23">
        <v>6421425</v>
      </c>
      <c r="B1500" s="23" t="s">
        <v>1441</v>
      </c>
      <c r="C1500" s="40">
        <v>220.6</v>
      </c>
      <c r="D1500" s="24">
        <v>4</v>
      </c>
      <c r="E1500" t="e">
        <f>_xlfn.XLOOKUP(A1500,'[1]query (5)'!$C:$C,'[1]query (5)'!$A:$A)</f>
        <v>#N/A</v>
      </c>
    </row>
    <row r="1501" spans="1:5" x14ac:dyDescent="0.3">
      <c r="A1501" s="23">
        <v>6421455</v>
      </c>
      <c r="B1501" s="23" t="s">
        <v>1439</v>
      </c>
      <c r="C1501" s="40">
        <v>37.26</v>
      </c>
      <c r="D1501" s="24">
        <v>2</v>
      </c>
      <c r="E1501" t="e">
        <f>_xlfn.XLOOKUP(A1501,'[1]query (5)'!$C:$C,'[1]query (5)'!$A:$A)</f>
        <v>#N/A</v>
      </c>
    </row>
    <row r="1502" spans="1:5" x14ac:dyDescent="0.3">
      <c r="A1502" s="23">
        <v>6421456</v>
      </c>
      <c r="B1502" s="23" t="s">
        <v>1907</v>
      </c>
      <c r="C1502" s="40">
        <v>95.39</v>
      </c>
      <c r="D1502" s="24">
        <v>24</v>
      </c>
      <c r="E1502" t="e">
        <f>_xlfn.XLOOKUP(A1502,'[1]query (5)'!$C:$C,'[1]query (5)'!$A:$A)</f>
        <v>#N/A</v>
      </c>
    </row>
    <row r="1503" spans="1:5" x14ac:dyDescent="0.3">
      <c r="A1503" s="23">
        <v>6421533</v>
      </c>
      <c r="B1503" s="23" t="s">
        <v>1373</v>
      </c>
      <c r="C1503" s="40">
        <v>2676.01</v>
      </c>
      <c r="D1503" s="24">
        <v>177</v>
      </c>
      <c r="E1503" t="e">
        <f>_xlfn.XLOOKUP(A1503,'[1]query (5)'!$C:$C,'[1]query (5)'!$A:$A)</f>
        <v>#N/A</v>
      </c>
    </row>
    <row r="1504" spans="1:5" x14ac:dyDescent="0.3">
      <c r="A1504" s="23">
        <v>6421542</v>
      </c>
      <c r="B1504" s="23" t="s">
        <v>2861</v>
      </c>
      <c r="C1504" s="40">
        <v>12.29</v>
      </c>
      <c r="D1504" s="24">
        <v>1</v>
      </c>
      <c r="E1504" t="e">
        <f>_xlfn.XLOOKUP(A1504,'[1]query (5)'!$C:$C,'[1]query (5)'!$A:$A)</f>
        <v>#N/A</v>
      </c>
    </row>
    <row r="1505" spans="1:5" x14ac:dyDescent="0.3">
      <c r="A1505" s="23">
        <v>6422731</v>
      </c>
      <c r="B1505" s="23" t="s">
        <v>1448</v>
      </c>
      <c r="C1505" s="40">
        <v>22.99</v>
      </c>
      <c r="D1505" s="24">
        <v>1</v>
      </c>
      <c r="E1505" t="e">
        <f>_xlfn.XLOOKUP(A1505,'[1]query (5)'!$C:$C,'[1]query (5)'!$A:$A)</f>
        <v>#N/A</v>
      </c>
    </row>
    <row r="1506" spans="1:5" x14ac:dyDescent="0.3">
      <c r="A1506" s="23">
        <v>6423166</v>
      </c>
      <c r="B1506" s="23" t="s">
        <v>2862</v>
      </c>
      <c r="C1506" s="40">
        <v>42</v>
      </c>
      <c r="D1506" s="24">
        <v>2</v>
      </c>
      <c r="E1506" t="e">
        <f>_xlfn.XLOOKUP(A1506,'[1]query (5)'!$C:$C,'[1]query (5)'!$A:$A)</f>
        <v>#N/A</v>
      </c>
    </row>
    <row r="1507" spans="1:5" x14ac:dyDescent="0.3">
      <c r="A1507" s="23">
        <v>6423522</v>
      </c>
      <c r="B1507" s="23" t="s">
        <v>1756</v>
      </c>
      <c r="C1507" s="40">
        <v>914.15</v>
      </c>
      <c r="D1507" s="24">
        <v>73</v>
      </c>
      <c r="E1507" t="e">
        <f>_xlfn.XLOOKUP(A1507,'[1]query (5)'!$C:$C,'[1]query (5)'!$A:$A)</f>
        <v>#N/A</v>
      </c>
    </row>
    <row r="1508" spans="1:5" x14ac:dyDescent="0.3">
      <c r="A1508" s="23">
        <v>6424217</v>
      </c>
      <c r="B1508" s="23" t="s">
        <v>2863</v>
      </c>
      <c r="C1508" s="40">
        <v>107.28</v>
      </c>
      <c r="D1508" s="24">
        <v>8</v>
      </c>
      <c r="E1508" t="e">
        <f>_xlfn.XLOOKUP(A1508,'[1]query (5)'!$C:$C,'[1]query (5)'!$A:$A)</f>
        <v>#N/A</v>
      </c>
    </row>
    <row r="1509" spans="1:5" x14ac:dyDescent="0.3">
      <c r="A1509" s="23">
        <v>6424919</v>
      </c>
      <c r="B1509" s="23" t="s">
        <v>1728</v>
      </c>
      <c r="C1509" s="40">
        <v>513.73</v>
      </c>
      <c r="D1509" s="24">
        <v>129</v>
      </c>
      <c r="E1509" t="e">
        <f>_xlfn.XLOOKUP(A1509,'[1]query (5)'!$C:$C,'[1]query (5)'!$A:$A)</f>
        <v>#N/A</v>
      </c>
    </row>
    <row r="1510" spans="1:5" x14ac:dyDescent="0.3">
      <c r="A1510" s="23">
        <v>6425628</v>
      </c>
      <c r="B1510" s="23" t="s">
        <v>1738</v>
      </c>
      <c r="C1510" s="40">
        <v>51.3</v>
      </c>
      <c r="D1510" s="24">
        <v>5</v>
      </c>
      <c r="E1510" t="e">
        <f>_xlfn.XLOOKUP(A1510,'[1]query (5)'!$C:$C,'[1]query (5)'!$A:$A)</f>
        <v>#N/A</v>
      </c>
    </row>
    <row r="1511" spans="1:5" x14ac:dyDescent="0.3">
      <c r="A1511" s="23">
        <v>6426339</v>
      </c>
      <c r="B1511" s="23" t="s">
        <v>5320</v>
      </c>
      <c r="C1511" s="40">
        <v>56.94</v>
      </c>
      <c r="D1511" s="24">
        <v>6</v>
      </c>
      <c r="E1511" t="e">
        <f>_xlfn.XLOOKUP(A1511,'[1]query (5)'!$C:$C,'[1]query (5)'!$A:$A)</f>
        <v>#N/A</v>
      </c>
    </row>
    <row r="1512" spans="1:5" x14ac:dyDescent="0.3">
      <c r="A1512" s="23">
        <v>6426347</v>
      </c>
      <c r="B1512" s="23" t="s">
        <v>2511</v>
      </c>
      <c r="C1512" s="40">
        <v>103.65</v>
      </c>
      <c r="D1512" s="24">
        <v>7</v>
      </c>
      <c r="E1512" t="e">
        <f>_xlfn.XLOOKUP(A1512,'[1]query (5)'!$C:$C,'[1]query (5)'!$A:$A)</f>
        <v>#N/A</v>
      </c>
    </row>
    <row r="1513" spans="1:5" x14ac:dyDescent="0.3">
      <c r="A1513" s="23">
        <v>6426354</v>
      </c>
      <c r="B1513" s="23" t="s">
        <v>2864</v>
      </c>
      <c r="C1513" s="40">
        <v>22.72</v>
      </c>
      <c r="D1513" s="24">
        <v>1</v>
      </c>
      <c r="E1513" t="e">
        <f>_xlfn.XLOOKUP(A1513,'[1]query (5)'!$C:$C,'[1]query (5)'!$A:$A)</f>
        <v>#N/A</v>
      </c>
    </row>
    <row r="1514" spans="1:5" x14ac:dyDescent="0.3">
      <c r="A1514" s="23">
        <v>6426363</v>
      </c>
      <c r="B1514" s="23" t="s">
        <v>2865</v>
      </c>
      <c r="C1514" s="40">
        <v>13.29</v>
      </c>
      <c r="D1514" s="24">
        <v>1</v>
      </c>
      <c r="E1514" t="e">
        <f>_xlfn.XLOOKUP(A1514,'[1]query (5)'!$C:$C,'[1]query (5)'!$A:$A)</f>
        <v>#N/A</v>
      </c>
    </row>
    <row r="1515" spans="1:5" x14ac:dyDescent="0.3">
      <c r="A1515" s="23">
        <v>6426384</v>
      </c>
      <c r="B1515" s="23" t="s">
        <v>2512</v>
      </c>
      <c r="C1515" s="40">
        <v>3082.16</v>
      </c>
      <c r="D1515" s="24">
        <v>109</v>
      </c>
      <c r="E1515" t="e">
        <f>_xlfn.XLOOKUP(A1515,'[1]query (5)'!$C:$C,'[1]query (5)'!$A:$A)</f>
        <v>#N/A</v>
      </c>
    </row>
    <row r="1516" spans="1:5" x14ac:dyDescent="0.3">
      <c r="A1516" s="23">
        <v>6426385</v>
      </c>
      <c r="B1516" s="23" t="s">
        <v>2513</v>
      </c>
      <c r="C1516" s="40">
        <v>2198.5300000000002</v>
      </c>
      <c r="D1516" s="24">
        <v>116</v>
      </c>
      <c r="E1516" t="e">
        <f>_xlfn.XLOOKUP(A1516,'[1]query (5)'!$C:$C,'[1]query (5)'!$A:$A)</f>
        <v>#N/A</v>
      </c>
    </row>
    <row r="1517" spans="1:5" x14ac:dyDescent="0.3">
      <c r="A1517" s="23">
        <v>6426598</v>
      </c>
      <c r="B1517" s="23" t="s">
        <v>2866</v>
      </c>
      <c r="C1517" s="40">
        <v>175.42</v>
      </c>
      <c r="D1517" s="24">
        <v>14</v>
      </c>
      <c r="E1517" t="e">
        <f>_xlfn.XLOOKUP(A1517,'[1]query (5)'!$C:$C,'[1]query (5)'!$A:$A)</f>
        <v>#N/A</v>
      </c>
    </row>
    <row r="1518" spans="1:5" x14ac:dyDescent="0.3">
      <c r="A1518" s="23">
        <v>6426599</v>
      </c>
      <c r="B1518" s="23" t="s">
        <v>2867</v>
      </c>
      <c r="C1518" s="40">
        <v>41.75</v>
      </c>
      <c r="D1518" s="24">
        <v>5</v>
      </c>
      <c r="E1518" t="e">
        <f>_xlfn.XLOOKUP(A1518,'[1]query (5)'!$C:$C,'[1]query (5)'!$A:$A)</f>
        <v>#N/A</v>
      </c>
    </row>
    <row r="1519" spans="1:5" x14ac:dyDescent="0.3">
      <c r="A1519" s="23">
        <v>6426603</v>
      </c>
      <c r="B1519" s="23" t="s">
        <v>2868</v>
      </c>
      <c r="C1519" s="40">
        <v>11.88</v>
      </c>
      <c r="D1519" s="24">
        <v>4</v>
      </c>
      <c r="E1519" t="e">
        <f>_xlfn.XLOOKUP(A1519,'[1]query (5)'!$C:$C,'[1]query (5)'!$A:$A)</f>
        <v>#N/A</v>
      </c>
    </row>
    <row r="1520" spans="1:5" x14ac:dyDescent="0.3">
      <c r="A1520" s="23">
        <v>6426793</v>
      </c>
      <c r="B1520" s="23" t="s">
        <v>2869</v>
      </c>
      <c r="C1520" s="40">
        <v>43.89</v>
      </c>
      <c r="D1520" s="24">
        <v>11</v>
      </c>
      <c r="E1520" t="e">
        <f>_xlfn.XLOOKUP(A1520,'[1]query (5)'!$C:$C,'[1]query (5)'!$A:$A)</f>
        <v>#N/A</v>
      </c>
    </row>
    <row r="1521" spans="1:5" x14ac:dyDescent="0.3">
      <c r="A1521" s="23">
        <v>6427250</v>
      </c>
      <c r="B1521" s="23" t="s">
        <v>5321</v>
      </c>
      <c r="C1521" s="40">
        <v>26.59</v>
      </c>
      <c r="D1521" s="24">
        <v>1</v>
      </c>
      <c r="E1521" t="e">
        <f>_xlfn.XLOOKUP(A1521,'[1]query (5)'!$C:$C,'[1]query (5)'!$A:$A)</f>
        <v>#N/A</v>
      </c>
    </row>
    <row r="1522" spans="1:5" x14ac:dyDescent="0.3">
      <c r="A1522" s="23">
        <v>6427253</v>
      </c>
      <c r="B1522" s="23" t="s">
        <v>2870</v>
      </c>
      <c r="C1522" s="40">
        <v>27.79</v>
      </c>
      <c r="D1522" s="24">
        <v>1</v>
      </c>
      <c r="E1522" t="e">
        <f>_xlfn.XLOOKUP(A1522,'[1]query (5)'!$C:$C,'[1]query (5)'!$A:$A)</f>
        <v>#N/A</v>
      </c>
    </row>
    <row r="1523" spans="1:5" x14ac:dyDescent="0.3">
      <c r="A1523" s="23">
        <v>6427260</v>
      </c>
      <c r="B1523" s="23" t="s">
        <v>1431</v>
      </c>
      <c r="C1523" s="40">
        <v>29.24</v>
      </c>
      <c r="D1523" s="24">
        <v>4</v>
      </c>
      <c r="E1523" t="e">
        <f>_xlfn.XLOOKUP(A1523,'[1]query (5)'!$C:$C,'[1]query (5)'!$A:$A)</f>
        <v>#N/A</v>
      </c>
    </row>
    <row r="1524" spans="1:5" x14ac:dyDescent="0.3">
      <c r="A1524" s="23">
        <v>6427263</v>
      </c>
      <c r="B1524" s="23" t="s">
        <v>2871</v>
      </c>
      <c r="C1524" s="40">
        <v>20.46</v>
      </c>
      <c r="D1524" s="24">
        <v>2</v>
      </c>
      <c r="E1524" t="e">
        <f>_xlfn.XLOOKUP(A1524,'[1]query (5)'!$C:$C,'[1]query (5)'!$A:$A)</f>
        <v>#N/A</v>
      </c>
    </row>
    <row r="1525" spans="1:5" x14ac:dyDescent="0.3">
      <c r="A1525" s="23">
        <v>6427271</v>
      </c>
      <c r="B1525" s="23" t="s">
        <v>2872</v>
      </c>
      <c r="C1525" s="40">
        <v>20.47</v>
      </c>
      <c r="D1525" s="24">
        <v>2</v>
      </c>
      <c r="E1525" t="e">
        <f>_xlfn.XLOOKUP(A1525,'[1]query (5)'!$C:$C,'[1]query (5)'!$A:$A)</f>
        <v>#N/A</v>
      </c>
    </row>
    <row r="1526" spans="1:5" x14ac:dyDescent="0.3">
      <c r="A1526" s="23">
        <v>6427316</v>
      </c>
      <c r="B1526" s="23" t="s">
        <v>2873</v>
      </c>
      <c r="C1526" s="40">
        <v>92.12</v>
      </c>
      <c r="D1526" s="24">
        <v>7</v>
      </c>
      <c r="E1526" t="e">
        <f>_xlfn.XLOOKUP(A1526,'[1]query (5)'!$C:$C,'[1]query (5)'!$A:$A)</f>
        <v>#N/A</v>
      </c>
    </row>
    <row r="1527" spans="1:5" x14ac:dyDescent="0.3">
      <c r="A1527" s="23">
        <v>6427378</v>
      </c>
      <c r="B1527" s="23" t="s">
        <v>2874</v>
      </c>
      <c r="C1527" s="40">
        <v>1724.25</v>
      </c>
      <c r="D1527" s="24">
        <v>11</v>
      </c>
      <c r="E1527" t="e">
        <f>_xlfn.XLOOKUP(A1527,'[1]query (5)'!$C:$C,'[1]query (5)'!$A:$A)</f>
        <v>#N/A</v>
      </c>
    </row>
    <row r="1528" spans="1:5" x14ac:dyDescent="0.3">
      <c r="A1528" s="23">
        <v>6427384</v>
      </c>
      <c r="B1528" s="23" t="s">
        <v>2875</v>
      </c>
      <c r="C1528" s="40">
        <v>143.1</v>
      </c>
      <c r="D1528" s="24">
        <v>2</v>
      </c>
      <c r="E1528" t="e">
        <f>_xlfn.XLOOKUP(A1528,'[1]query (5)'!$C:$C,'[1]query (5)'!$A:$A)</f>
        <v>#N/A</v>
      </c>
    </row>
    <row r="1529" spans="1:5" x14ac:dyDescent="0.3">
      <c r="A1529" s="23">
        <v>6427414</v>
      </c>
      <c r="B1529" s="23" t="s">
        <v>2876</v>
      </c>
      <c r="C1529" s="40">
        <v>104.1</v>
      </c>
      <c r="D1529" s="24">
        <v>2</v>
      </c>
      <c r="E1529" t="e">
        <f>_xlfn.XLOOKUP(A1529,'[1]query (5)'!$C:$C,'[1]query (5)'!$A:$A)</f>
        <v>#N/A</v>
      </c>
    </row>
    <row r="1530" spans="1:5" x14ac:dyDescent="0.3">
      <c r="A1530" s="23">
        <v>6427415</v>
      </c>
      <c r="B1530" s="23" t="s">
        <v>2877</v>
      </c>
      <c r="C1530" s="40">
        <v>65.95</v>
      </c>
      <c r="D1530" s="24">
        <v>1</v>
      </c>
      <c r="E1530" t="e">
        <f>_xlfn.XLOOKUP(A1530,'[1]query (5)'!$C:$C,'[1]query (5)'!$A:$A)</f>
        <v>#N/A</v>
      </c>
    </row>
    <row r="1531" spans="1:5" x14ac:dyDescent="0.3">
      <c r="A1531" s="23">
        <v>6427424</v>
      </c>
      <c r="B1531" s="23" t="s">
        <v>2878</v>
      </c>
      <c r="C1531" s="40">
        <v>93.65</v>
      </c>
      <c r="D1531" s="24">
        <v>5</v>
      </c>
      <c r="E1531" t="e">
        <f>_xlfn.XLOOKUP(A1531,'[1]query (5)'!$C:$C,'[1]query (5)'!$A:$A)</f>
        <v>#N/A</v>
      </c>
    </row>
    <row r="1532" spans="1:5" x14ac:dyDescent="0.3">
      <c r="A1532" s="23">
        <v>6427432</v>
      </c>
      <c r="B1532" s="23" t="s">
        <v>2879</v>
      </c>
      <c r="C1532" s="40">
        <v>313.56</v>
      </c>
      <c r="D1532" s="24">
        <v>18</v>
      </c>
      <c r="E1532" t="e">
        <f>_xlfn.XLOOKUP(A1532,'[1]query (5)'!$C:$C,'[1]query (5)'!$A:$A)</f>
        <v>#N/A</v>
      </c>
    </row>
    <row r="1533" spans="1:5" x14ac:dyDescent="0.3">
      <c r="A1533" s="23">
        <v>6427620</v>
      </c>
      <c r="B1533" s="23" t="s">
        <v>2880</v>
      </c>
      <c r="C1533" s="40">
        <v>3374.38</v>
      </c>
      <c r="D1533" s="24">
        <v>273</v>
      </c>
      <c r="E1533" t="e">
        <f>_xlfn.XLOOKUP(A1533,'[1]query (5)'!$C:$C,'[1]query (5)'!$A:$A)</f>
        <v>#N/A</v>
      </c>
    </row>
    <row r="1534" spans="1:5" x14ac:dyDescent="0.3">
      <c r="A1534" s="23">
        <v>6427629</v>
      </c>
      <c r="B1534" s="23" t="s">
        <v>2881</v>
      </c>
      <c r="C1534" s="40">
        <v>3682.56</v>
      </c>
      <c r="D1534" s="24">
        <v>192</v>
      </c>
      <c r="E1534" t="e">
        <f>_xlfn.XLOOKUP(A1534,'[1]query (5)'!$C:$C,'[1]query (5)'!$A:$A)</f>
        <v>#N/A</v>
      </c>
    </row>
    <row r="1535" spans="1:5" x14ac:dyDescent="0.3">
      <c r="A1535" s="23">
        <v>6427644</v>
      </c>
      <c r="B1535" s="23" t="s">
        <v>2882</v>
      </c>
      <c r="C1535" s="40">
        <v>1232.69</v>
      </c>
      <c r="D1535" s="24">
        <v>83</v>
      </c>
      <c r="E1535" t="e">
        <f>_xlfn.XLOOKUP(A1535,'[1]query (5)'!$C:$C,'[1]query (5)'!$A:$A)</f>
        <v>#N/A</v>
      </c>
    </row>
    <row r="1536" spans="1:5" x14ac:dyDescent="0.3">
      <c r="A1536" s="23">
        <v>6428279</v>
      </c>
      <c r="B1536" s="23" t="s">
        <v>2883</v>
      </c>
      <c r="C1536" s="40">
        <v>31.32</v>
      </c>
      <c r="D1536" s="24">
        <v>3</v>
      </c>
      <c r="E1536" t="e">
        <f>_xlfn.XLOOKUP(A1536,'[1]query (5)'!$C:$C,'[1]query (5)'!$A:$A)</f>
        <v>#N/A</v>
      </c>
    </row>
    <row r="1537" spans="1:5" x14ac:dyDescent="0.3">
      <c r="A1537" s="23">
        <v>6428471</v>
      </c>
      <c r="B1537" s="23" t="s">
        <v>2884</v>
      </c>
      <c r="C1537" s="40">
        <v>112.63</v>
      </c>
      <c r="D1537" s="24">
        <v>2</v>
      </c>
      <c r="E1537" t="e">
        <f>_xlfn.XLOOKUP(A1537,'[1]query (5)'!$C:$C,'[1]query (5)'!$A:$A)</f>
        <v>#N/A</v>
      </c>
    </row>
    <row r="1538" spans="1:5" x14ac:dyDescent="0.3">
      <c r="A1538" s="23">
        <v>6428894</v>
      </c>
      <c r="B1538" s="23" t="s">
        <v>2885</v>
      </c>
      <c r="C1538" s="40">
        <v>237.86</v>
      </c>
      <c r="D1538" s="24">
        <v>14</v>
      </c>
      <c r="E1538" t="e">
        <f>_xlfn.XLOOKUP(A1538,'[1]query (5)'!$C:$C,'[1]query (5)'!$A:$A)</f>
        <v>#N/A</v>
      </c>
    </row>
    <row r="1539" spans="1:5" x14ac:dyDescent="0.3">
      <c r="A1539" s="23">
        <v>6430133</v>
      </c>
      <c r="B1539" s="23" t="s">
        <v>2886</v>
      </c>
      <c r="C1539" s="40">
        <v>20.170000000000002</v>
      </c>
      <c r="D1539" s="24">
        <v>1</v>
      </c>
      <c r="E1539" t="e">
        <f>_xlfn.XLOOKUP(A1539,'[1]query (5)'!$C:$C,'[1]query (5)'!$A:$A)</f>
        <v>#N/A</v>
      </c>
    </row>
    <row r="1540" spans="1:5" x14ac:dyDescent="0.3">
      <c r="A1540" s="23">
        <v>6430561</v>
      </c>
      <c r="B1540" s="23" t="s">
        <v>2887</v>
      </c>
      <c r="C1540" s="40">
        <v>179.97</v>
      </c>
      <c r="D1540" s="24">
        <v>3</v>
      </c>
      <c r="E1540" t="e">
        <f>_xlfn.XLOOKUP(A1540,'[1]query (5)'!$C:$C,'[1]query (5)'!$A:$A)</f>
        <v>#N/A</v>
      </c>
    </row>
    <row r="1541" spans="1:5" x14ac:dyDescent="0.3">
      <c r="A1541" s="23">
        <v>6431820</v>
      </c>
      <c r="B1541" s="23" t="s">
        <v>2888</v>
      </c>
      <c r="C1541" s="40">
        <v>45.47</v>
      </c>
      <c r="D1541" s="24">
        <v>5</v>
      </c>
      <c r="E1541" t="e">
        <f>_xlfn.XLOOKUP(A1541,'[1]query (5)'!$C:$C,'[1]query (5)'!$A:$A)</f>
        <v>#N/A</v>
      </c>
    </row>
    <row r="1542" spans="1:5" x14ac:dyDescent="0.3">
      <c r="A1542" s="23">
        <v>6431825</v>
      </c>
      <c r="B1542" s="23" t="s">
        <v>2889</v>
      </c>
      <c r="C1542" s="40">
        <v>31.47</v>
      </c>
      <c r="D1542" s="24">
        <v>5</v>
      </c>
      <c r="E1542" t="e">
        <f>_xlfn.XLOOKUP(A1542,'[1]query (5)'!$C:$C,'[1]query (5)'!$A:$A)</f>
        <v>#N/A</v>
      </c>
    </row>
    <row r="1543" spans="1:5" x14ac:dyDescent="0.3">
      <c r="A1543" s="23">
        <v>6431964</v>
      </c>
      <c r="B1543" s="23" t="s">
        <v>2890</v>
      </c>
      <c r="C1543" s="40">
        <v>79.92</v>
      </c>
      <c r="D1543" s="24">
        <v>8</v>
      </c>
      <c r="E1543" t="e">
        <f>_xlfn.XLOOKUP(A1543,'[1]query (5)'!$C:$C,'[1]query (5)'!$A:$A)</f>
        <v>#N/A</v>
      </c>
    </row>
    <row r="1544" spans="1:5" x14ac:dyDescent="0.3">
      <c r="A1544" s="23">
        <v>6432207</v>
      </c>
      <c r="B1544" s="23" t="s">
        <v>2891</v>
      </c>
      <c r="C1544" s="40">
        <v>23.44</v>
      </c>
      <c r="D1544" s="24">
        <v>1</v>
      </c>
      <c r="E1544" t="e">
        <f>_xlfn.XLOOKUP(A1544,'[1]query (5)'!$C:$C,'[1]query (5)'!$A:$A)</f>
        <v>#N/A</v>
      </c>
    </row>
    <row r="1545" spans="1:5" x14ac:dyDescent="0.3">
      <c r="A1545" s="23">
        <v>6432208</v>
      </c>
      <c r="B1545" s="23" t="s">
        <v>2892</v>
      </c>
      <c r="C1545" s="40">
        <v>280.33</v>
      </c>
      <c r="D1545" s="24">
        <v>17</v>
      </c>
      <c r="E1545" t="e">
        <f>_xlfn.XLOOKUP(A1545,'[1]query (5)'!$C:$C,'[1]query (5)'!$A:$A)</f>
        <v>#N/A</v>
      </c>
    </row>
    <row r="1546" spans="1:5" x14ac:dyDescent="0.3">
      <c r="A1546" s="23">
        <v>6432398</v>
      </c>
      <c r="B1546" s="23" t="s">
        <v>2893</v>
      </c>
      <c r="C1546" s="40">
        <v>4.8899999999999997</v>
      </c>
      <c r="D1546" s="24">
        <v>1</v>
      </c>
      <c r="E1546" t="e">
        <f>_xlfn.XLOOKUP(A1546,'[1]query (5)'!$C:$C,'[1]query (5)'!$A:$A)</f>
        <v>#N/A</v>
      </c>
    </row>
    <row r="1547" spans="1:5" x14ac:dyDescent="0.3">
      <c r="A1547" s="23">
        <v>6432399</v>
      </c>
      <c r="B1547" s="23" t="s">
        <v>2894</v>
      </c>
      <c r="C1547" s="40">
        <v>29.35</v>
      </c>
      <c r="D1547" s="24">
        <v>6</v>
      </c>
      <c r="E1547" t="e">
        <f>_xlfn.XLOOKUP(A1547,'[1]query (5)'!$C:$C,'[1]query (5)'!$A:$A)</f>
        <v>#N/A</v>
      </c>
    </row>
    <row r="1548" spans="1:5" x14ac:dyDescent="0.3">
      <c r="A1548" s="23">
        <v>6432414</v>
      </c>
      <c r="B1548" s="23" t="s">
        <v>2895</v>
      </c>
      <c r="C1548" s="40">
        <v>32.17</v>
      </c>
      <c r="D1548" s="24">
        <v>5</v>
      </c>
      <c r="E1548" t="e">
        <f>_xlfn.XLOOKUP(A1548,'[1]query (5)'!$C:$C,'[1]query (5)'!$A:$A)</f>
        <v>#N/A</v>
      </c>
    </row>
    <row r="1549" spans="1:5" x14ac:dyDescent="0.3">
      <c r="A1549" s="23">
        <v>6432415</v>
      </c>
      <c r="B1549" s="23" t="s">
        <v>2896</v>
      </c>
      <c r="C1549" s="40">
        <v>44.72</v>
      </c>
      <c r="D1549" s="24">
        <v>4</v>
      </c>
      <c r="E1549" t="e">
        <f>_xlfn.XLOOKUP(A1549,'[1]query (5)'!$C:$C,'[1]query (5)'!$A:$A)</f>
        <v>#N/A</v>
      </c>
    </row>
    <row r="1550" spans="1:5" x14ac:dyDescent="0.3">
      <c r="A1550" s="23">
        <v>6432418</v>
      </c>
      <c r="B1550" s="23" t="s">
        <v>2897</v>
      </c>
      <c r="C1550" s="40">
        <v>44.35</v>
      </c>
      <c r="D1550" s="24">
        <v>5</v>
      </c>
      <c r="E1550" t="e">
        <f>_xlfn.XLOOKUP(A1550,'[1]query (5)'!$C:$C,'[1]query (5)'!$A:$A)</f>
        <v>#N/A</v>
      </c>
    </row>
    <row r="1551" spans="1:5" x14ac:dyDescent="0.3">
      <c r="A1551" s="23">
        <v>6432422</v>
      </c>
      <c r="B1551" s="23" t="s">
        <v>2898</v>
      </c>
      <c r="C1551" s="40">
        <v>146.94</v>
      </c>
      <c r="D1551" s="24">
        <v>6</v>
      </c>
      <c r="E1551" t="e">
        <f>_xlfn.XLOOKUP(A1551,'[1]query (5)'!$C:$C,'[1]query (5)'!$A:$A)</f>
        <v>#N/A</v>
      </c>
    </row>
    <row r="1552" spans="1:5" x14ac:dyDescent="0.3">
      <c r="A1552" s="23">
        <v>6432423</v>
      </c>
      <c r="B1552" s="23" t="s">
        <v>2899</v>
      </c>
      <c r="C1552" s="40">
        <v>92.37</v>
      </c>
      <c r="D1552" s="24">
        <v>4</v>
      </c>
      <c r="E1552" t="e">
        <f>_xlfn.XLOOKUP(A1552,'[1]query (5)'!$C:$C,'[1]query (5)'!$A:$A)</f>
        <v>#N/A</v>
      </c>
    </row>
    <row r="1553" spans="1:5" x14ac:dyDescent="0.3">
      <c r="A1553" s="23">
        <v>6432433</v>
      </c>
      <c r="B1553" s="23" t="s">
        <v>2900</v>
      </c>
      <c r="C1553" s="40">
        <v>48.07</v>
      </c>
      <c r="D1553" s="24">
        <v>9</v>
      </c>
      <c r="E1553" t="e">
        <f>_xlfn.XLOOKUP(A1553,'[1]query (5)'!$C:$C,'[1]query (5)'!$A:$A)</f>
        <v>#N/A</v>
      </c>
    </row>
    <row r="1554" spans="1:5" x14ac:dyDescent="0.3">
      <c r="A1554" s="23">
        <v>6432434</v>
      </c>
      <c r="B1554" s="23" t="s">
        <v>2901</v>
      </c>
      <c r="C1554" s="40">
        <v>13.29</v>
      </c>
      <c r="D1554" s="24">
        <v>1</v>
      </c>
      <c r="E1554" t="e">
        <f>_xlfn.XLOOKUP(A1554,'[1]query (5)'!$C:$C,'[1]query (5)'!$A:$A)</f>
        <v>#N/A</v>
      </c>
    </row>
    <row r="1555" spans="1:5" x14ac:dyDescent="0.3">
      <c r="A1555" s="23">
        <v>6432441</v>
      </c>
      <c r="B1555" s="23" t="s">
        <v>2902</v>
      </c>
      <c r="C1555" s="40">
        <v>19.36</v>
      </c>
      <c r="D1555" s="24">
        <v>2</v>
      </c>
      <c r="E1555" t="e">
        <f>_xlfn.XLOOKUP(A1555,'[1]query (5)'!$C:$C,'[1]query (5)'!$A:$A)</f>
        <v>#N/A</v>
      </c>
    </row>
    <row r="1556" spans="1:5" x14ac:dyDescent="0.3">
      <c r="A1556" s="23">
        <v>6432442</v>
      </c>
      <c r="B1556" s="23" t="s">
        <v>2903</v>
      </c>
      <c r="C1556" s="40">
        <v>24.61</v>
      </c>
      <c r="D1556" s="24">
        <v>5</v>
      </c>
      <c r="E1556" t="e">
        <f>_xlfn.XLOOKUP(A1556,'[1]query (5)'!$C:$C,'[1]query (5)'!$A:$A)</f>
        <v>#N/A</v>
      </c>
    </row>
    <row r="1557" spans="1:5" x14ac:dyDescent="0.3">
      <c r="A1557" s="23">
        <v>6432448</v>
      </c>
      <c r="B1557" s="23" t="s">
        <v>2904</v>
      </c>
      <c r="C1557" s="40">
        <v>172.17</v>
      </c>
      <c r="D1557" s="24">
        <v>6</v>
      </c>
      <c r="E1557" t="e">
        <f>_xlfn.XLOOKUP(A1557,'[1]query (5)'!$C:$C,'[1]query (5)'!$A:$A)</f>
        <v>#N/A</v>
      </c>
    </row>
    <row r="1558" spans="1:5" x14ac:dyDescent="0.3">
      <c r="A1558" s="23">
        <v>6432450</v>
      </c>
      <c r="B1558" s="23" t="s">
        <v>2905</v>
      </c>
      <c r="C1558" s="40">
        <v>172.17</v>
      </c>
      <c r="D1558" s="24">
        <v>6</v>
      </c>
      <c r="E1558" t="e">
        <f>_xlfn.XLOOKUP(A1558,'[1]query (5)'!$C:$C,'[1]query (5)'!$A:$A)</f>
        <v>#N/A</v>
      </c>
    </row>
    <row r="1559" spans="1:5" x14ac:dyDescent="0.3">
      <c r="A1559" s="23">
        <v>6432488</v>
      </c>
      <c r="B1559" s="23" t="s">
        <v>2906</v>
      </c>
      <c r="C1559" s="40">
        <v>28.69</v>
      </c>
      <c r="D1559" s="24">
        <v>1</v>
      </c>
      <c r="E1559" t="e">
        <f>_xlfn.XLOOKUP(A1559,'[1]query (5)'!$C:$C,'[1]query (5)'!$A:$A)</f>
        <v>#N/A</v>
      </c>
    </row>
    <row r="1560" spans="1:5" x14ac:dyDescent="0.3">
      <c r="A1560" s="23">
        <v>6432515</v>
      </c>
      <c r="B1560" s="23" t="s">
        <v>2907</v>
      </c>
      <c r="C1560" s="40">
        <v>200.86</v>
      </c>
      <c r="D1560" s="24">
        <v>7</v>
      </c>
      <c r="E1560" t="e">
        <f>_xlfn.XLOOKUP(A1560,'[1]query (5)'!$C:$C,'[1]query (5)'!$A:$A)</f>
        <v>#N/A</v>
      </c>
    </row>
    <row r="1561" spans="1:5" x14ac:dyDescent="0.3">
      <c r="A1561" s="23">
        <v>6432561</v>
      </c>
      <c r="B1561" s="23" t="s">
        <v>2908</v>
      </c>
      <c r="C1561" s="40">
        <v>222.75</v>
      </c>
      <c r="D1561" s="24">
        <v>4</v>
      </c>
      <c r="E1561" t="e">
        <f>_xlfn.XLOOKUP(A1561,'[1]query (5)'!$C:$C,'[1]query (5)'!$A:$A)</f>
        <v>#N/A</v>
      </c>
    </row>
    <row r="1562" spans="1:5" x14ac:dyDescent="0.3">
      <c r="A1562" s="23">
        <v>6432745</v>
      </c>
      <c r="B1562" s="23" t="s">
        <v>2909</v>
      </c>
      <c r="C1562" s="40">
        <v>353.71</v>
      </c>
      <c r="D1562" s="24">
        <v>2</v>
      </c>
      <c r="E1562" t="e">
        <f>_xlfn.XLOOKUP(A1562,'[1]query (5)'!$C:$C,'[1]query (5)'!$A:$A)</f>
        <v>#N/A</v>
      </c>
    </row>
    <row r="1563" spans="1:5" x14ac:dyDescent="0.3">
      <c r="A1563" s="23">
        <v>6432770</v>
      </c>
      <c r="B1563" s="23" t="s">
        <v>2910</v>
      </c>
      <c r="C1563" s="40">
        <v>352.74</v>
      </c>
      <c r="D1563" s="24">
        <v>8</v>
      </c>
      <c r="E1563" t="e">
        <f>_xlfn.XLOOKUP(A1563,'[1]query (5)'!$C:$C,'[1]query (5)'!$A:$A)</f>
        <v>#N/A</v>
      </c>
    </row>
    <row r="1564" spans="1:5" x14ac:dyDescent="0.3">
      <c r="A1564" s="23">
        <v>6432826</v>
      </c>
      <c r="B1564" s="23" t="s">
        <v>5322</v>
      </c>
      <c r="C1564" s="40">
        <v>54.59</v>
      </c>
      <c r="D1564" s="24">
        <v>2</v>
      </c>
      <c r="E1564" t="e">
        <f>_xlfn.XLOOKUP(A1564,'[1]query (5)'!$C:$C,'[1]query (5)'!$A:$A)</f>
        <v>#N/A</v>
      </c>
    </row>
    <row r="1565" spans="1:5" x14ac:dyDescent="0.3">
      <c r="A1565" s="23">
        <v>6432843</v>
      </c>
      <c r="B1565" s="23" t="s">
        <v>2911</v>
      </c>
      <c r="C1565" s="40">
        <v>58.09</v>
      </c>
      <c r="D1565" s="24">
        <v>1</v>
      </c>
      <c r="E1565" t="e">
        <f>_xlfn.XLOOKUP(A1565,'[1]query (5)'!$C:$C,'[1]query (5)'!$A:$A)</f>
        <v>#N/A</v>
      </c>
    </row>
    <row r="1566" spans="1:5" x14ac:dyDescent="0.3">
      <c r="A1566" s="23">
        <v>6432950</v>
      </c>
      <c r="B1566" s="23" t="s">
        <v>2912</v>
      </c>
      <c r="C1566" s="40">
        <v>48</v>
      </c>
      <c r="D1566" s="24">
        <v>8</v>
      </c>
      <c r="E1566" t="e">
        <f>_xlfn.XLOOKUP(A1566,'[1]query (5)'!$C:$C,'[1]query (5)'!$A:$A)</f>
        <v>#N/A</v>
      </c>
    </row>
    <row r="1567" spans="1:5" x14ac:dyDescent="0.3">
      <c r="A1567" s="23">
        <v>6433043</v>
      </c>
      <c r="B1567" s="23" t="s">
        <v>2913</v>
      </c>
      <c r="C1567" s="40">
        <v>265.83999999999997</v>
      </c>
      <c r="D1567" s="24">
        <v>20</v>
      </c>
      <c r="E1567" t="e">
        <f>_xlfn.XLOOKUP(A1567,'[1]query (5)'!$C:$C,'[1]query (5)'!$A:$A)</f>
        <v>#N/A</v>
      </c>
    </row>
    <row r="1568" spans="1:5" x14ac:dyDescent="0.3">
      <c r="A1568" s="23">
        <v>6433053</v>
      </c>
      <c r="B1568" s="23" t="s">
        <v>2914</v>
      </c>
      <c r="C1568" s="40">
        <v>3114.35</v>
      </c>
      <c r="D1568" s="24">
        <v>594</v>
      </c>
      <c r="E1568" t="e">
        <f>_xlfn.XLOOKUP(A1568,'[1]query (5)'!$C:$C,'[1]query (5)'!$A:$A)</f>
        <v>#N/A</v>
      </c>
    </row>
    <row r="1569" spans="1:5" x14ac:dyDescent="0.3">
      <c r="A1569" s="23">
        <v>6433071</v>
      </c>
      <c r="B1569" s="23" t="s">
        <v>2915</v>
      </c>
      <c r="C1569" s="40">
        <v>6.29</v>
      </c>
      <c r="D1569" s="24">
        <v>1</v>
      </c>
      <c r="E1569" t="e">
        <f>_xlfn.XLOOKUP(A1569,'[1]query (5)'!$C:$C,'[1]query (5)'!$A:$A)</f>
        <v>#N/A</v>
      </c>
    </row>
    <row r="1570" spans="1:5" x14ac:dyDescent="0.3">
      <c r="A1570" s="23">
        <v>6433470</v>
      </c>
      <c r="B1570" s="23" t="s">
        <v>2916</v>
      </c>
      <c r="C1570" s="40">
        <v>12.43</v>
      </c>
      <c r="D1570" s="24">
        <v>1</v>
      </c>
      <c r="E1570" t="e">
        <f>_xlfn.XLOOKUP(A1570,'[1]query (5)'!$C:$C,'[1]query (5)'!$A:$A)</f>
        <v>#N/A</v>
      </c>
    </row>
    <row r="1571" spans="1:5" x14ac:dyDescent="0.3">
      <c r="A1571" s="23">
        <v>6434664</v>
      </c>
      <c r="B1571" s="23" t="s">
        <v>2917</v>
      </c>
      <c r="C1571" s="40">
        <v>587.80999999999995</v>
      </c>
      <c r="D1571" s="24">
        <v>28</v>
      </c>
      <c r="E1571" t="e">
        <f>_xlfn.XLOOKUP(A1571,'[1]query (5)'!$C:$C,'[1]query (5)'!$A:$A)</f>
        <v>#N/A</v>
      </c>
    </row>
    <row r="1572" spans="1:5" x14ac:dyDescent="0.3">
      <c r="A1572" s="23">
        <v>6434667</v>
      </c>
      <c r="B1572" s="23" t="s">
        <v>2918</v>
      </c>
      <c r="C1572" s="40">
        <v>392</v>
      </c>
      <c r="D1572" s="24">
        <v>4</v>
      </c>
      <c r="E1572" t="e">
        <f>_xlfn.XLOOKUP(A1572,'[1]query (5)'!$C:$C,'[1]query (5)'!$A:$A)</f>
        <v>#N/A</v>
      </c>
    </row>
    <row r="1573" spans="1:5" x14ac:dyDescent="0.3">
      <c r="A1573" s="23">
        <v>6434671</v>
      </c>
      <c r="B1573" s="23" t="s">
        <v>2919</v>
      </c>
      <c r="C1573" s="40">
        <v>15.4</v>
      </c>
      <c r="D1573" s="24">
        <v>1</v>
      </c>
      <c r="E1573" t="e">
        <f>_xlfn.XLOOKUP(A1573,'[1]query (5)'!$C:$C,'[1]query (5)'!$A:$A)</f>
        <v>#N/A</v>
      </c>
    </row>
    <row r="1574" spans="1:5" x14ac:dyDescent="0.3">
      <c r="A1574" s="23">
        <v>6434698</v>
      </c>
      <c r="B1574" s="23" t="s">
        <v>2920</v>
      </c>
      <c r="C1574" s="40">
        <v>4.18</v>
      </c>
      <c r="D1574" s="24">
        <v>1</v>
      </c>
      <c r="E1574" t="e">
        <f>_xlfn.XLOOKUP(A1574,'[1]query (5)'!$C:$C,'[1]query (5)'!$A:$A)</f>
        <v>#N/A</v>
      </c>
    </row>
    <row r="1575" spans="1:5" x14ac:dyDescent="0.3">
      <c r="A1575" s="23">
        <v>6434699</v>
      </c>
      <c r="B1575" s="23" t="s">
        <v>2921</v>
      </c>
      <c r="C1575" s="40">
        <v>5.01</v>
      </c>
      <c r="D1575" s="24">
        <v>1</v>
      </c>
      <c r="E1575" t="e">
        <f>_xlfn.XLOOKUP(A1575,'[1]query (5)'!$C:$C,'[1]query (5)'!$A:$A)</f>
        <v>#N/A</v>
      </c>
    </row>
    <row r="1576" spans="1:5" x14ac:dyDescent="0.3">
      <c r="A1576" s="23">
        <v>6434700</v>
      </c>
      <c r="B1576" s="23" t="s">
        <v>2922</v>
      </c>
      <c r="C1576" s="40">
        <v>3.34</v>
      </c>
      <c r="D1576" s="24">
        <v>1</v>
      </c>
      <c r="E1576" t="e">
        <f>_xlfn.XLOOKUP(A1576,'[1]query (5)'!$C:$C,'[1]query (5)'!$A:$A)</f>
        <v>#N/A</v>
      </c>
    </row>
    <row r="1577" spans="1:5" x14ac:dyDescent="0.3">
      <c r="A1577" s="23">
        <v>6434741</v>
      </c>
      <c r="B1577" s="23" t="s">
        <v>2923</v>
      </c>
      <c r="C1577" s="40">
        <v>4.59</v>
      </c>
      <c r="D1577" s="24">
        <v>1</v>
      </c>
      <c r="E1577" t="e">
        <f>_xlfn.XLOOKUP(A1577,'[1]query (5)'!$C:$C,'[1]query (5)'!$A:$A)</f>
        <v>#N/A</v>
      </c>
    </row>
    <row r="1578" spans="1:5" x14ac:dyDescent="0.3">
      <c r="A1578" s="23">
        <v>6434743</v>
      </c>
      <c r="B1578" s="23" t="s">
        <v>2924</v>
      </c>
      <c r="C1578" s="40">
        <v>15</v>
      </c>
      <c r="D1578" s="24">
        <v>6</v>
      </c>
      <c r="E1578" t="e">
        <f>_xlfn.XLOOKUP(A1578,'[1]query (5)'!$C:$C,'[1]query (5)'!$A:$A)</f>
        <v>#N/A</v>
      </c>
    </row>
    <row r="1579" spans="1:5" x14ac:dyDescent="0.3">
      <c r="A1579" s="23">
        <v>6434745</v>
      </c>
      <c r="B1579" s="23" t="s">
        <v>2925</v>
      </c>
      <c r="C1579" s="40">
        <v>14.99</v>
      </c>
      <c r="D1579" s="24">
        <v>6</v>
      </c>
      <c r="E1579" t="e">
        <f>_xlfn.XLOOKUP(A1579,'[1]query (5)'!$C:$C,'[1]query (5)'!$A:$A)</f>
        <v>#N/A</v>
      </c>
    </row>
    <row r="1580" spans="1:5" x14ac:dyDescent="0.3">
      <c r="A1580" s="23">
        <v>6434747</v>
      </c>
      <c r="B1580" s="23" t="s">
        <v>2926</v>
      </c>
      <c r="C1580" s="40">
        <v>14.99</v>
      </c>
      <c r="D1580" s="24">
        <v>6</v>
      </c>
      <c r="E1580" t="e">
        <f>_xlfn.XLOOKUP(A1580,'[1]query (5)'!$C:$C,'[1]query (5)'!$A:$A)</f>
        <v>#N/A</v>
      </c>
    </row>
    <row r="1581" spans="1:5" ht="30.6" x14ac:dyDescent="0.3">
      <c r="A1581" s="23">
        <v>6434750</v>
      </c>
      <c r="B1581" s="26" t="s">
        <v>2927</v>
      </c>
      <c r="C1581" s="40">
        <v>11.3</v>
      </c>
      <c r="D1581" s="24">
        <v>3</v>
      </c>
      <c r="E1581" t="e">
        <f>_xlfn.XLOOKUP(A1581,'[1]query (5)'!$C:$C,'[1]query (5)'!$A:$A)</f>
        <v>#N/A</v>
      </c>
    </row>
    <row r="1582" spans="1:5" x14ac:dyDescent="0.3">
      <c r="A1582" s="23">
        <v>6434768</v>
      </c>
      <c r="B1582" s="23" t="s">
        <v>2928</v>
      </c>
      <c r="C1582" s="40">
        <v>1.39</v>
      </c>
      <c r="D1582" s="24">
        <v>2</v>
      </c>
      <c r="E1582" t="e">
        <f>_xlfn.XLOOKUP(A1582,'[1]query (5)'!$C:$C,'[1]query (5)'!$A:$A)</f>
        <v>#N/A</v>
      </c>
    </row>
    <row r="1583" spans="1:5" x14ac:dyDescent="0.3">
      <c r="A1583" s="23">
        <v>6434799</v>
      </c>
      <c r="B1583" s="23" t="s">
        <v>2929</v>
      </c>
      <c r="C1583" s="40">
        <v>45.32</v>
      </c>
      <c r="D1583" s="24">
        <v>3</v>
      </c>
      <c r="E1583" t="e">
        <f>_xlfn.XLOOKUP(A1583,'[1]query (5)'!$C:$C,'[1]query (5)'!$A:$A)</f>
        <v>#N/A</v>
      </c>
    </row>
    <row r="1584" spans="1:5" x14ac:dyDescent="0.3">
      <c r="A1584" s="23">
        <v>6434943</v>
      </c>
      <c r="B1584" s="23" t="s">
        <v>2930</v>
      </c>
      <c r="C1584" s="40">
        <v>104.93</v>
      </c>
      <c r="D1584" s="24">
        <v>7</v>
      </c>
      <c r="E1584" t="e">
        <f>_xlfn.XLOOKUP(A1584,'[1]query (5)'!$C:$C,'[1]query (5)'!$A:$A)</f>
        <v>#N/A</v>
      </c>
    </row>
    <row r="1585" spans="1:5" x14ac:dyDescent="0.3">
      <c r="A1585" s="23">
        <v>6434953</v>
      </c>
      <c r="B1585" s="23" t="s">
        <v>2931</v>
      </c>
      <c r="C1585" s="40">
        <v>39.6</v>
      </c>
      <c r="D1585" s="24">
        <v>4</v>
      </c>
      <c r="E1585" t="e">
        <f>_xlfn.XLOOKUP(A1585,'[1]query (5)'!$C:$C,'[1]query (5)'!$A:$A)</f>
        <v>#N/A</v>
      </c>
    </row>
    <row r="1586" spans="1:5" x14ac:dyDescent="0.3">
      <c r="A1586" s="23">
        <v>6435516</v>
      </c>
      <c r="B1586" s="23" t="s">
        <v>2932</v>
      </c>
      <c r="C1586" s="40">
        <v>0.01</v>
      </c>
      <c r="D1586" s="24">
        <v>1</v>
      </c>
      <c r="E1586" t="e">
        <f>_xlfn.XLOOKUP(A1586,'[1]query (5)'!$C:$C,'[1]query (5)'!$A:$A)</f>
        <v>#N/A</v>
      </c>
    </row>
    <row r="1587" spans="1:5" x14ac:dyDescent="0.3">
      <c r="A1587" s="23">
        <v>6435809</v>
      </c>
      <c r="B1587" s="23" t="s">
        <v>2933</v>
      </c>
      <c r="C1587" s="40">
        <v>10.99</v>
      </c>
      <c r="D1587" s="24">
        <v>1</v>
      </c>
      <c r="E1587" t="e">
        <f>_xlfn.XLOOKUP(A1587,'[1]query (5)'!$C:$C,'[1]query (5)'!$A:$A)</f>
        <v>#N/A</v>
      </c>
    </row>
    <row r="1588" spans="1:5" x14ac:dyDescent="0.3">
      <c r="A1588" s="23">
        <v>6436616</v>
      </c>
      <c r="B1588" s="23" t="s">
        <v>2934</v>
      </c>
      <c r="C1588" s="40">
        <v>44.97</v>
      </c>
      <c r="D1588" s="24">
        <v>3</v>
      </c>
      <c r="E1588" t="e">
        <f>_xlfn.XLOOKUP(A1588,'[1]query (5)'!$C:$C,'[1]query (5)'!$A:$A)</f>
        <v>#N/A</v>
      </c>
    </row>
    <row r="1589" spans="1:5" x14ac:dyDescent="0.3">
      <c r="A1589" s="23">
        <v>6436882</v>
      </c>
      <c r="B1589" s="23" t="s">
        <v>2771</v>
      </c>
      <c r="C1589" s="40">
        <v>10.57</v>
      </c>
      <c r="D1589" s="24">
        <v>5</v>
      </c>
      <c r="E1589" t="e">
        <f>_xlfn.XLOOKUP(A1589,'[1]query (5)'!$C:$C,'[1]query (5)'!$A:$A)</f>
        <v>#N/A</v>
      </c>
    </row>
    <row r="1590" spans="1:5" x14ac:dyDescent="0.3">
      <c r="A1590" s="23">
        <v>6437514</v>
      </c>
      <c r="B1590" s="23" t="s">
        <v>2935</v>
      </c>
      <c r="C1590" s="40">
        <v>33.67</v>
      </c>
      <c r="D1590" s="24">
        <v>21</v>
      </c>
      <c r="E1590" t="e">
        <f>_xlfn.XLOOKUP(A1590,'[1]query (5)'!$C:$C,'[1]query (5)'!$A:$A)</f>
        <v>#N/A</v>
      </c>
    </row>
    <row r="1591" spans="1:5" x14ac:dyDescent="0.3">
      <c r="A1591" s="23">
        <v>6437608</v>
      </c>
      <c r="B1591" s="23" t="s">
        <v>2936</v>
      </c>
      <c r="C1591" s="40">
        <v>2.78</v>
      </c>
      <c r="D1591" s="24">
        <v>2</v>
      </c>
      <c r="E1591" t="e">
        <f>_xlfn.XLOOKUP(A1591,'[1]query (5)'!$C:$C,'[1]query (5)'!$A:$A)</f>
        <v>#N/A</v>
      </c>
    </row>
    <row r="1592" spans="1:5" x14ac:dyDescent="0.3">
      <c r="A1592" s="23">
        <v>6437836</v>
      </c>
      <c r="B1592" s="23" t="s">
        <v>2937</v>
      </c>
      <c r="C1592" s="40">
        <v>1341.69</v>
      </c>
      <c r="D1592" s="24">
        <v>7</v>
      </c>
      <c r="E1592" t="e">
        <f>_xlfn.XLOOKUP(A1592,'[1]query (5)'!$C:$C,'[1]query (5)'!$A:$A)</f>
        <v>#N/A</v>
      </c>
    </row>
    <row r="1593" spans="1:5" x14ac:dyDescent="0.3">
      <c r="A1593" s="23">
        <v>6437953</v>
      </c>
      <c r="B1593" s="23" t="s">
        <v>2938</v>
      </c>
      <c r="C1593" s="40">
        <v>37.94</v>
      </c>
      <c r="D1593" s="24">
        <v>2</v>
      </c>
      <c r="E1593" t="e">
        <f>_xlfn.XLOOKUP(A1593,'[1]query (5)'!$C:$C,'[1]query (5)'!$A:$A)</f>
        <v>#N/A</v>
      </c>
    </row>
    <row r="1594" spans="1:5" x14ac:dyDescent="0.3">
      <c r="A1594" s="23">
        <v>6437957</v>
      </c>
      <c r="B1594" s="23" t="s">
        <v>2939</v>
      </c>
      <c r="C1594" s="40">
        <v>2.62</v>
      </c>
      <c r="D1594" s="24">
        <v>1</v>
      </c>
      <c r="E1594" t="e">
        <f>_xlfn.XLOOKUP(A1594,'[1]query (5)'!$C:$C,'[1]query (5)'!$A:$A)</f>
        <v>#N/A</v>
      </c>
    </row>
    <row r="1595" spans="1:5" x14ac:dyDescent="0.3">
      <c r="A1595" s="23">
        <v>6438020</v>
      </c>
      <c r="B1595" s="23" t="s">
        <v>2940</v>
      </c>
      <c r="C1595" s="40">
        <v>237.54</v>
      </c>
      <c r="D1595" s="24">
        <v>6</v>
      </c>
      <c r="E1595" t="e">
        <f>_xlfn.XLOOKUP(A1595,'[1]query (5)'!$C:$C,'[1]query (5)'!$A:$A)</f>
        <v>#N/A</v>
      </c>
    </row>
    <row r="1596" spans="1:5" x14ac:dyDescent="0.3">
      <c r="A1596" s="23">
        <v>6438042</v>
      </c>
      <c r="B1596" s="23" t="s">
        <v>2941</v>
      </c>
      <c r="C1596" s="40">
        <v>2.2599999999999998</v>
      </c>
      <c r="D1596" s="24">
        <v>1</v>
      </c>
      <c r="E1596" t="e">
        <f>_xlfn.XLOOKUP(A1596,'[1]query (5)'!$C:$C,'[1]query (5)'!$A:$A)</f>
        <v>#N/A</v>
      </c>
    </row>
    <row r="1597" spans="1:5" x14ac:dyDescent="0.3">
      <c r="A1597" s="23">
        <v>6438632</v>
      </c>
      <c r="B1597" s="23" t="s">
        <v>2942</v>
      </c>
      <c r="C1597" s="40">
        <v>77.94</v>
      </c>
      <c r="D1597" s="24">
        <v>6</v>
      </c>
      <c r="E1597" t="e">
        <f>_xlfn.XLOOKUP(A1597,'[1]query (5)'!$C:$C,'[1]query (5)'!$A:$A)</f>
        <v>#N/A</v>
      </c>
    </row>
    <row r="1598" spans="1:5" x14ac:dyDescent="0.3">
      <c r="A1598" s="23">
        <v>6438712</v>
      </c>
      <c r="B1598" s="23" t="s">
        <v>2943</v>
      </c>
      <c r="C1598" s="40">
        <v>10.36</v>
      </c>
      <c r="D1598" s="24">
        <v>2</v>
      </c>
      <c r="E1598" t="e">
        <f>_xlfn.XLOOKUP(A1598,'[1]query (5)'!$C:$C,'[1]query (5)'!$A:$A)</f>
        <v>#N/A</v>
      </c>
    </row>
    <row r="1599" spans="1:5" x14ac:dyDescent="0.3">
      <c r="A1599" s="23">
        <v>6440060</v>
      </c>
      <c r="B1599" s="23" t="s">
        <v>2944</v>
      </c>
      <c r="C1599" s="40">
        <v>19.98</v>
      </c>
      <c r="D1599" s="24">
        <v>2</v>
      </c>
      <c r="E1599" t="e">
        <f>_xlfn.XLOOKUP(A1599,'[1]query (5)'!$C:$C,'[1]query (5)'!$A:$A)</f>
        <v>#N/A</v>
      </c>
    </row>
    <row r="1600" spans="1:5" x14ac:dyDescent="0.3">
      <c r="A1600" s="23">
        <v>8000213</v>
      </c>
      <c r="B1600" s="23" t="s">
        <v>2514</v>
      </c>
      <c r="C1600" s="40">
        <v>-70.77</v>
      </c>
      <c r="D1600" s="24">
        <v>-19</v>
      </c>
      <c r="E1600" t="e">
        <f>_xlfn.XLOOKUP(A1600,'[1]query (5)'!$C:$C,'[1]query (5)'!$A:$A)</f>
        <v>#N/A</v>
      </c>
    </row>
    <row r="1601" spans="1:5" x14ac:dyDescent="0.3">
      <c r="A1601" s="23">
        <v>8000220</v>
      </c>
      <c r="B1601" s="23" t="s">
        <v>2945</v>
      </c>
      <c r="C1601" s="40">
        <v>168</v>
      </c>
      <c r="D1601" s="24">
        <v>4</v>
      </c>
      <c r="E1601" t="e">
        <f>_xlfn.XLOOKUP(A1601,'[1]query (5)'!$C:$C,'[1]query (5)'!$A:$A)</f>
        <v>#N/A</v>
      </c>
    </row>
    <row r="1602" spans="1:5" x14ac:dyDescent="0.3">
      <c r="A1602" s="23">
        <v>8000222</v>
      </c>
      <c r="B1602" s="23" t="s">
        <v>2515</v>
      </c>
      <c r="C1602" s="40">
        <v>383.19</v>
      </c>
      <c r="D1602" s="24">
        <v>10</v>
      </c>
      <c r="E1602" t="e">
        <f>_xlfn.XLOOKUP(A1602,'[1]query (5)'!$C:$C,'[1]query (5)'!$A:$A)</f>
        <v>#N/A</v>
      </c>
    </row>
    <row r="1603" spans="1:5" x14ac:dyDescent="0.3">
      <c r="A1603" s="23">
        <v>8000228</v>
      </c>
      <c r="B1603" s="23" t="s">
        <v>2516</v>
      </c>
      <c r="C1603" s="40">
        <v>749.42</v>
      </c>
      <c r="D1603" s="24">
        <v>5</v>
      </c>
      <c r="E1603" t="e">
        <f>_xlfn.XLOOKUP(A1603,'[1]query (5)'!$C:$C,'[1]query (5)'!$A:$A)</f>
        <v>#N/A</v>
      </c>
    </row>
    <row r="1604" spans="1:5" x14ac:dyDescent="0.3">
      <c r="A1604" s="23">
        <v>8000233</v>
      </c>
      <c r="B1604" s="23" t="s">
        <v>2946</v>
      </c>
      <c r="C1604" s="40">
        <v>32</v>
      </c>
      <c r="D1604" s="24">
        <v>2</v>
      </c>
      <c r="E1604" t="e">
        <f>_xlfn.XLOOKUP(A1604,'[1]query (5)'!$C:$C,'[1]query (5)'!$A:$A)</f>
        <v>#N/A</v>
      </c>
    </row>
    <row r="1605" spans="1:5" x14ac:dyDescent="0.3">
      <c r="A1605" s="23">
        <v>8000235</v>
      </c>
      <c r="B1605" s="23" t="s">
        <v>2517</v>
      </c>
      <c r="C1605" s="40">
        <v>4425.8999999999996</v>
      </c>
      <c r="D1605" s="24">
        <v>74</v>
      </c>
      <c r="E1605" t="e">
        <f>_xlfn.XLOOKUP(A1605,'[1]query (5)'!$C:$C,'[1]query (5)'!$A:$A)</f>
        <v>#N/A</v>
      </c>
    </row>
    <row r="1606" spans="1:5" x14ac:dyDescent="0.3">
      <c r="A1606" s="23">
        <v>8000238</v>
      </c>
      <c r="B1606" s="23" t="s">
        <v>2518</v>
      </c>
      <c r="C1606" s="40">
        <v>17121.150000000001</v>
      </c>
      <c r="D1606" s="24">
        <v>623</v>
      </c>
      <c r="E1606" t="e">
        <f>_xlfn.XLOOKUP(A1606,'[1]query (5)'!$C:$C,'[1]query (5)'!$A:$A)</f>
        <v>#N/A</v>
      </c>
    </row>
    <row r="1607" spans="1:5" x14ac:dyDescent="0.3">
      <c r="A1607" s="23">
        <v>8000242</v>
      </c>
      <c r="B1607" s="23" t="s">
        <v>5323</v>
      </c>
      <c r="C1607" s="40">
        <v>2122</v>
      </c>
      <c r="D1607" s="24">
        <v>98</v>
      </c>
      <c r="E1607" t="e">
        <f>_xlfn.XLOOKUP(A1607,'[1]query (5)'!$C:$C,'[1]query (5)'!$A:$A)</f>
        <v>#N/A</v>
      </c>
    </row>
    <row r="1608" spans="1:5" x14ac:dyDescent="0.3">
      <c r="A1608" s="23">
        <v>8000258</v>
      </c>
      <c r="B1608" s="23" t="s">
        <v>2519</v>
      </c>
      <c r="C1608" s="40">
        <v>277.02</v>
      </c>
      <c r="D1608" s="24">
        <v>18</v>
      </c>
      <c r="E1608" t="e">
        <f>_xlfn.XLOOKUP(A1608,'[1]query (5)'!$C:$C,'[1]query (5)'!$A:$A)</f>
        <v>#N/A</v>
      </c>
    </row>
    <row r="1609" spans="1:5" x14ac:dyDescent="0.3">
      <c r="A1609" s="23">
        <v>8000261</v>
      </c>
      <c r="B1609" s="23" t="s">
        <v>2520</v>
      </c>
      <c r="C1609" s="40">
        <v>60</v>
      </c>
      <c r="D1609" s="24">
        <v>2</v>
      </c>
      <c r="E1609" t="e">
        <f>_xlfn.XLOOKUP(A1609,'[1]query (5)'!$C:$C,'[1]query (5)'!$A:$A)</f>
        <v>#N/A</v>
      </c>
    </row>
    <row r="1610" spans="1:5" x14ac:dyDescent="0.3">
      <c r="A1610" s="23">
        <v>8000264</v>
      </c>
      <c r="B1610" s="23" t="s">
        <v>2521</v>
      </c>
      <c r="C1610" s="40">
        <v>850.05</v>
      </c>
      <c r="D1610" s="24">
        <v>15</v>
      </c>
      <c r="E1610" t="e">
        <f>_xlfn.XLOOKUP(A1610,'[1]query (5)'!$C:$C,'[1]query (5)'!$A:$A)</f>
        <v>#N/A</v>
      </c>
    </row>
    <row r="1611" spans="1:5" x14ac:dyDescent="0.3">
      <c r="A1611" s="23">
        <v>8000266</v>
      </c>
      <c r="B1611" s="23" t="s">
        <v>2947</v>
      </c>
      <c r="C1611" s="40">
        <v>35</v>
      </c>
      <c r="D1611" s="24">
        <v>1</v>
      </c>
      <c r="E1611" t="e">
        <f>_xlfn.XLOOKUP(A1611,'[1]query (5)'!$C:$C,'[1]query (5)'!$A:$A)</f>
        <v>#N/A</v>
      </c>
    </row>
    <row r="1612" spans="1:5" x14ac:dyDescent="0.3">
      <c r="A1612" s="23">
        <v>8000273</v>
      </c>
      <c r="B1612" s="23" t="s">
        <v>2522</v>
      </c>
      <c r="C1612" s="40">
        <v>1645.95</v>
      </c>
      <c r="D1612" s="24">
        <v>21</v>
      </c>
      <c r="E1612" t="e">
        <f>_xlfn.XLOOKUP(A1612,'[1]query (5)'!$C:$C,'[1]query (5)'!$A:$A)</f>
        <v>#N/A</v>
      </c>
    </row>
    <row r="1613" spans="1:5" x14ac:dyDescent="0.3">
      <c r="A1613" s="23">
        <v>8000293</v>
      </c>
      <c r="B1613" s="23" t="s">
        <v>5324</v>
      </c>
      <c r="C1613" s="40">
        <v>246.51</v>
      </c>
      <c r="D1613" s="24">
        <v>1</v>
      </c>
      <c r="E1613" t="e">
        <f>_xlfn.XLOOKUP(A1613,'[1]query (5)'!$C:$C,'[1]query (5)'!$A:$A)</f>
        <v>#N/A</v>
      </c>
    </row>
    <row r="1614" spans="1:5" x14ac:dyDescent="0.3">
      <c r="A1614" s="23">
        <v>8000294</v>
      </c>
      <c r="B1614" s="23" t="s">
        <v>2948</v>
      </c>
      <c r="C1614" s="40">
        <v>931</v>
      </c>
      <c r="D1614" s="24">
        <v>32</v>
      </c>
      <c r="E1614" t="e">
        <f>_xlfn.XLOOKUP(A1614,'[1]query (5)'!$C:$C,'[1]query (5)'!$A:$A)</f>
        <v>#N/A</v>
      </c>
    </row>
    <row r="1615" spans="1:5" x14ac:dyDescent="0.3">
      <c r="A1615" s="23">
        <v>8000303</v>
      </c>
      <c r="B1615" s="23" t="s">
        <v>5325</v>
      </c>
      <c r="C1615" s="40">
        <v>0</v>
      </c>
      <c r="D1615" s="25">
        <v>0</v>
      </c>
      <c r="E1615" t="e">
        <f>_xlfn.XLOOKUP(A1615,'[1]query (5)'!$C:$C,'[1]query (5)'!$A:$A)</f>
        <v>#N/A</v>
      </c>
    </row>
    <row r="1616" spans="1:5" x14ac:dyDescent="0.3">
      <c r="A1616" s="23">
        <v>8000311</v>
      </c>
      <c r="B1616" s="23" t="s">
        <v>2523</v>
      </c>
      <c r="C1616" s="40">
        <v>3506.24</v>
      </c>
      <c r="D1616" s="24">
        <v>65</v>
      </c>
      <c r="E1616" t="e">
        <f>_xlfn.XLOOKUP(A1616,'[1]query (5)'!$C:$C,'[1]query (5)'!$A:$A)</f>
        <v>#N/A</v>
      </c>
    </row>
    <row r="1617" spans="1:5" x14ac:dyDescent="0.3">
      <c r="A1617" s="23">
        <v>8000313</v>
      </c>
      <c r="B1617" s="23" t="s">
        <v>2524</v>
      </c>
      <c r="C1617" s="40">
        <v>56</v>
      </c>
      <c r="D1617" s="24">
        <v>4</v>
      </c>
      <c r="E1617" t="e">
        <f>_xlfn.XLOOKUP(A1617,'[1]query (5)'!$C:$C,'[1]query (5)'!$A:$A)</f>
        <v>#N/A</v>
      </c>
    </row>
    <row r="1618" spans="1:5" x14ac:dyDescent="0.3">
      <c r="A1618" s="23">
        <v>8000318</v>
      </c>
      <c r="B1618" s="23" t="s">
        <v>2525</v>
      </c>
      <c r="C1618" s="40">
        <v>1019.97</v>
      </c>
      <c r="D1618" s="24">
        <v>16</v>
      </c>
      <c r="E1618" t="e">
        <f>_xlfn.XLOOKUP(A1618,'[1]query (5)'!$C:$C,'[1]query (5)'!$A:$A)</f>
        <v>#N/A</v>
      </c>
    </row>
    <row r="1619" spans="1:5" x14ac:dyDescent="0.3">
      <c r="A1619" s="23">
        <v>8000322</v>
      </c>
      <c r="B1619" s="23" t="s">
        <v>2949</v>
      </c>
      <c r="C1619" s="40">
        <v>1332.6</v>
      </c>
      <c r="D1619" s="24">
        <v>4</v>
      </c>
      <c r="E1619" t="e">
        <f>_xlfn.XLOOKUP(A1619,'[1]query (5)'!$C:$C,'[1]query (5)'!$A:$A)</f>
        <v>#N/A</v>
      </c>
    </row>
    <row r="1620" spans="1:5" x14ac:dyDescent="0.3">
      <c r="A1620" s="23">
        <v>8000323</v>
      </c>
      <c r="B1620" s="23" t="s">
        <v>2950</v>
      </c>
      <c r="C1620" s="40">
        <v>1030</v>
      </c>
      <c r="D1620" s="24">
        <v>11</v>
      </c>
      <c r="E1620" t="e">
        <f>_xlfn.XLOOKUP(A1620,'[1]query (5)'!$C:$C,'[1]query (5)'!$A:$A)</f>
        <v>#N/A</v>
      </c>
    </row>
    <row r="1621" spans="1:5" x14ac:dyDescent="0.3">
      <c r="A1621" s="23">
        <v>8000328</v>
      </c>
      <c r="B1621" s="23" t="s">
        <v>2526</v>
      </c>
      <c r="C1621" s="40">
        <v>381.91</v>
      </c>
      <c r="D1621" s="24">
        <v>6</v>
      </c>
      <c r="E1621" t="e">
        <f>_xlfn.XLOOKUP(A1621,'[1]query (5)'!$C:$C,'[1]query (5)'!$A:$A)</f>
        <v>#N/A</v>
      </c>
    </row>
    <row r="1622" spans="1:5" x14ac:dyDescent="0.3">
      <c r="A1622" s="23">
        <v>8000333</v>
      </c>
      <c r="B1622" s="23" t="s">
        <v>2951</v>
      </c>
      <c r="C1622" s="40">
        <v>9.8800000000000008</v>
      </c>
      <c r="D1622" s="24">
        <v>1</v>
      </c>
      <c r="E1622" t="e">
        <f>_xlfn.XLOOKUP(A1622,'[1]query (5)'!$C:$C,'[1]query (5)'!$A:$A)</f>
        <v>#N/A</v>
      </c>
    </row>
    <row r="1623" spans="1:5" x14ac:dyDescent="0.3">
      <c r="A1623" s="23">
        <v>8000351</v>
      </c>
      <c r="B1623" s="23" t="s">
        <v>5326</v>
      </c>
      <c r="C1623" s="40">
        <v>411.25</v>
      </c>
      <c r="D1623" s="24">
        <v>5</v>
      </c>
      <c r="E1623" t="e">
        <f>_xlfn.XLOOKUP(A1623,'[1]query (5)'!$C:$C,'[1]query (5)'!$A:$A)</f>
        <v>#N/A</v>
      </c>
    </row>
    <row r="1624" spans="1:5" x14ac:dyDescent="0.3">
      <c r="A1624" s="23">
        <v>8000359</v>
      </c>
      <c r="B1624" s="23" t="s">
        <v>5327</v>
      </c>
      <c r="C1624" s="40">
        <v>0</v>
      </c>
      <c r="D1624" s="24">
        <v>1005</v>
      </c>
      <c r="E1624" t="e">
        <f>_xlfn.XLOOKUP(A1624,'[1]query (5)'!$C:$C,'[1]query (5)'!$A:$A)</f>
        <v>#N/A</v>
      </c>
    </row>
    <row r="1625" spans="1:5" x14ac:dyDescent="0.3">
      <c r="A1625" s="23">
        <v>8000362</v>
      </c>
      <c r="B1625" s="23" t="s">
        <v>5328</v>
      </c>
      <c r="C1625" s="40">
        <v>0</v>
      </c>
      <c r="D1625" s="24">
        <v>3868</v>
      </c>
      <c r="E1625" t="e">
        <f>_xlfn.XLOOKUP(A1625,'[1]query (5)'!$C:$C,'[1]query (5)'!$A:$A)</f>
        <v>#N/A</v>
      </c>
    </row>
    <row r="1626" spans="1:5" x14ac:dyDescent="0.3">
      <c r="A1626" s="23">
        <v>8000474</v>
      </c>
      <c r="B1626" s="23" t="s">
        <v>2954</v>
      </c>
      <c r="C1626" s="40">
        <v>359.98</v>
      </c>
      <c r="D1626" s="24">
        <v>2</v>
      </c>
      <c r="E1626" t="e">
        <f>_xlfn.XLOOKUP(A1626,'[1]query (5)'!$C:$C,'[1]query (5)'!$A:$A)</f>
        <v>#N/A</v>
      </c>
    </row>
    <row r="1627" spans="1:5" x14ac:dyDescent="0.3">
      <c r="A1627" s="23">
        <v>8000850</v>
      </c>
      <c r="B1627" s="23" t="s">
        <v>2955</v>
      </c>
      <c r="C1627" s="40">
        <v>995.71</v>
      </c>
      <c r="D1627" s="24">
        <v>9</v>
      </c>
      <c r="E1627" t="e">
        <f>_xlfn.XLOOKUP(A1627,'[1]query (5)'!$C:$C,'[1]query (5)'!$A:$A)</f>
        <v>#N/A</v>
      </c>
    </row>
    <row r="1628" spans="1:5" x14ac:dyDescent="0.3">
      <c r="A1628" s="23">
        <v>8001511</v>
      </c>
      <c r="B1628" s="23" t="s">
        <v>2956</v>
      </c>
      <c r="C1628" s="40">
        <v>4.8</v>
      </c>
      <c r="D1628" s="24">
        <v>1</v>
      </c>
      <c r="E1628" t="e">
        <f>_xlfn.XLOOKUP(A1628,'[1]query (5)'!$C:$C,'[1]query (5)'!$A:$A)</f>
        <v>#N/A</v>
      </c>
    </row>
    <row r="1629" spans="1:5" x14ac:dyDescent="0.3">
      <c r="A1629" s="23">
        <v>8002380</v>
      </c>
      <c r="B1629" s="23" t="s">
        <v>2957</v>
      </c>
      <c r="C1629" s="40">
        <v>-17.5</v>
      </c>
      <c r="D1629" s="24">
        <v>-5</v>
      </c>
      <c r="E1629" t="e">
        <f>_xlfn.XLOOKUP(A1629,'[1]query (5)'!$C:$C,'[1]query (5)'!$A:$A)</f>
        <v>#N/A</v>
      </c>
    </row>
    <row r="1630" spans="1:5" x14ac:dyDescent="0.3">
      <c r="A1630" s="23">
        <v>8002465</v>
      </c>
      <c r="B1630" s="23" t="s">
        <v>5329</v>
      </c>
      <c r="C1630" s="40">
        <v>222.45</v>
      </c>
      <c r="D1630" s="24">
        <v>9</v>
      </c>
      <c r="E1630" t="e">
        <f>_xlfn.XLOOKUP(A1630,'[1]query (5)'!$C:$C,'[1]query (5)'!$A:$A)</f>
        <v>#N/A</v>
      </c>
    </row>
    <row r="1631" spans="1:5" x14ac:dyDescent="0.3">
      <c r="A1631" s="23">
        <v>8002502</v>
      </c>
      <c r="B1631" s="23" t="s">
        <v>5330</v>
      </c>
      <c r="C1631" s="40">
        <v>300</v>
      </c>
      <c r="D1631" s="24">
        <v>2</v>
      </c>
      <c r="E1631" t="e">
        <f>_xlfn.XLOOKUP(A1631,'[1]query (5)'!$C:$C,'[1]query (5)'!$A:$A)</f>
        <v>#N/A</v>
      </c>
    </row>
    <row r="1632" spans="1:5" x14ac:dyDescent="0.3">
      <c r="A1632" s="23">
        <v>8002696</v>
      </c>
      <c r="B1632" s="23" t="s">
        <v>5331</v>
      </c>
      <c r="C1632" s="40">
        <v>0</v>
      </c>
      <c r="D1632" s="24">
        <v>9</v>
      </c>
      <c r="E1632" t="e">
        <f>_xlfn.XLOOKUP(A1632,'[1]query (5)'!$C:$C,'[1]query (5)'!$A:$A)</f>
        <v>#N/A</v>
      </c>
    </row>
    <row r="1633" spans="1:5" x14ac:dyDescent="0.3">
      <c r="A1633" s="23" t="s">
        <v>5332</v>
      </c>
      <c r="B1633" s="23" t="s">
        <v>5332</v>
      </c>
      <c r="C1633" s="40">
        <v>-56.84</v>
      </c>
      <c r="D1633" s="25">
        <v>0</v>
      </c>
      <c r="E1633" t="e">
        <f>_xlfn.XLOOKUP(A1633,'[1]query (5)'!$C:$C,'[1]query (5)'!$A:$A)</f>
        <v>#N/A</v>
      </c>
    </row>
    <row r="1634" spans="1:5" x14ac:dyDescent="0.3">
      <c r="A1634" s="23" t="s">
        <v>5333</v>
      </c>
      <c r="B1634" s="23" t="s">
        <v>5333</v>
      </c>
      <c r="C1634" s="40">
        <v>-131.07</v>
      </c>
      <c r="D1634" s="25">
        <v>0</v>
      </c>
      <c r="E1634" t="e">
        <f>_xlfn.XLOOKUP(A1634,'[1]query (5)'!$C:$C,'[1]query (5)'!$A:$A)</f>
        <v>#N/A</v>
      </c>
    </row>
    <row r="1635" spans="1:5" x14ac:dyDescent="0.3">
      <c r="A1635" s="23" t="s">
        <v>5334</v>
      </c>
      <c r="B1635" s="23" t="s">
        <v>5335</v>
      </c>
      <c r="C1635" s="40">
        <v>-625471.84</v>
      </c>
      <c r="D1635" s="25">
        <v>0</v>
      </c>
      <c r="E1635" t="e">
        <f>_xlfn.XLOOKUP(A1635,'[1]query (5)'!$C:$C,'[1]query (5)'!$A:$A)</f>
        <v>#N/A</v>
      </c>
    </row>
    <row r="1636" spans="1:5" x14ac:dyDescent="0.3">
      <c r="A1636" s="7">
        <v>5090575</v>
      </c>
      <c r="C1636" s="41">
        <v>122.63</v>
      </c>
      <c r="D1636">
        <v>3</v>
      </c>
    </row>
    <row r="1637" spans="1:5" x14ac:dyDescent="0.3">
      <c r="A1637" s="7">
        <v>5090590</v>
      </c>
      <c r="C1637" s="41">
        <v>504.29</v>
      </c>
      <c r="D1637">
        <v>15</v>
      </c>
    </row>
    <row r="1638" spans="1:5" x14ac:dyDescent="0.3">
      <c r="A1638" s="7">
        <v>5090718</v>
      </c>
      <c r="C1638" s="41">
        <v>34785.599999999999</v>
      </c>
      <c r="D1638">
        <v>932</v>
      </c>
    </row>
    <row r="1639" spans="1:5" x14ac:dyDescent="0.3">
      <c r="A1639" s="7">
        <v>5090726</v>
      </c>
      <c r="C1639" s="41">
        <v>1323.76</v>
      </c>
      <c r="D1639">
        <v>120</v>
      </c>
    </row>
    <row r="1640" spans="1:5" x14ac:dyDescent="0.3">
      <c r="A1640" s="7">
        <v>5090727</v>
      </c>
      <c r="C1640" s="41">
        <v>4691.4000000000005</v>
      </c>
      <c r="D1640">
        <v>216</v>
      </c>
    </row>
    <row r="1641" spans="1:5" x14ac:dyDescent="0.3">
      <c r="A1641" s="7">
        <v>5090728</v>
      </c>
      <c r="C1641" s="41">
        <v>13776.83</v>
      </c>
      <c r="D1641">
        <v>375</v>
      </c>
    </row>
    <row r="1642" spans="1:5" x14ac:dyDescent="0.3">
      <c r="A1642" s="7">
        <v>5090729</v>
      </c>
      <c r="C1642" s="41">
        <v>196.50000000000003</v>
      </c>
      <c r="D1642">
        <v>14</v>
      </c>
    </row>
    <row r="1643" spans="1:5" x14ac:dyDescent="0.3">
      <c r="A1643" s="7">
        <v>5090732</v>
      </c>
      <c r="C1643" s="41">
        <v>680.69</v>
      </c>
      <c r="D1643">
        <v>41</v>
      </c>
    </row>
    <row r="1644" spans="1:5" x14ac:dyDescent="0.3">
      <c r="A1644" s="7">
        <v>5090733</v>
      </c>
      <c r="C1644" s="41">
        <v>17120.650000000001</v>
      </c>
      <c r="D1644">
        <v>512</v>
      </c>
    </row>
    <row r="1645" spans="1:5" x14ac:dyDescent="0.3">
      <c r="A1645" s="7">
        <v>5090734</v>
      </c>
      <c r="C1645" s="41">
        <v>19986.55</v>
      </c>
      <c r="D1645">
        <v>365</v>
      </c>
    </row>
    <row r="1646" spans="1:5" x14ac:dyDescent="0.3">
      <c r="A1646" s="7">
        <v>5090739</v>
      </c>
      <c r="C1646" s="41">
        <v>219.82</v>
      </c>
      <c r="D1646">
        <v>12</v>
      </c>
    </row>
    <row r="1647" spans="1:5" x14ac:dyDescent="0.3">
      <c r="A1647" s="7">
        <v>5090740</v>
      </c>
      <c r="C1647" s="41">
        <v>1654.79</v>
      </c>
      <c r="D1647">
        <v>50</v>
      </c>
    </row>
    <row r="1648" spans="1:5" x14ac:dyDescent="0.3">
      <c r="A1648" s="7">
        <v>5090741</v>
      </c>
      <c r="C1648" s="41">
        <v>8000.12</v>
      </c>
      <c r="D1648">
        <v>143</v>
      </c>
    </row>
    <row r="1649" spans="1:4" x14ac:dyDescent="0.3">
      <c r="A1649" s="7">
        <v>5090742</v>
      </c>
      <c r="C1649" s="41">
        <v>2375.62</v>
      </c>
      <c r="D1649">
        <v>33</v>
      </c>
    </row>
    <row r="1650" spans="1:4" x14ac:dyDescent="0.3">
      <c r="A1650" s="7">
        <v>5090743</v>
      </c>
      <c r="C1650" s="41">
        <v>321.67</v>
      </c>
      <c r="D1650">
        <v>17</v>
      </c>
    </row>
    <row r="1651" spans="1:4" x14ac:dyDescent="0.3">
      <c r="A1651" s="7">
        <v>5090746</v>
      </c>
      <c r="C1651" s="41">
        <v>450.74</v>
      </c>
      <c r="D1651">
        <v>11</v>
      </c>
    </row>
    <row r="1652" spans="1:4" x14ac:dyDescent="0.3">
      <c r="A1652" s="7">
        <v>5090750</v>
      </c>
      <c r="C1652" s="41">
        <v>2320.64</v>
      </c>
      <c r="D1652">
        <v>123</v>
      </c>
    </row>
    <row r="1653" spans="1:4" x14ac:dyDescent="0.3">
      <c r="A1653" s="7">
        <v>5090751</v>
      </c>
      <c r="C1653" s="41">
        <v>131165.04999999999</v>
      </c>
      <c r="D1653">
        <v>4275</v>
      </c>
    </row>
    <row r="1654" spans="1:4" x14ac:dyDescent="0.3">
      <c r="A1654" s="7">
        <v>5090752</v>
      </c>
      <c r="C1654" s="41">
        <v>234.2</v>
      </c>
      <c r="D1654">
        <v>15</v>
      </c>
    </row>
    <row r="1655" spans="1:4" x14ac:dyDescent="0.3">
      <c r="A1655" s="7">
        <v>5090753</v>
      </c>
      <c r="C1655" s="41">
        <v>1244.0899999999999</v>
      </c>
      <c r="D1655">
        <v>39</v>
      </c>
    </row>
    <row r="1656" spans="1:4" x14ac:dyDescent="0.3">
      <c r="A1656" s="7">
        <v>5090754</v>
      </c>
      <c r="C1656" s="41">
        <v>5664.6399999999994</v>
      </c>
      <c r="D1656">
        <v>134</v>
      </c>
    </row>
    <row r="1657" spans="1:4" x14ac:dyDescent="0.3">
      <c r="A1657" s="7">
        <v>5090755</v>
      </c>
      <c r="C1657" s="41">
        <v>144.56</v>
      </c>
      <c r="D1657">
        <v>13</v>
      </c>
    </row>
    <row r="1658" spans="1:4" x14ac:dyDescent="0.3">
      <c r="A1658" s="7">
        <v>5090756</v>
      </c>
      <c r="C1658" s="41">
        <v>1412.17</v>
      </c>
      <c r="D1658">
        <v>62</v>
      </c>
    </row>
    <row r="1659" spans="1:4" x14ac:dyDescent="0.3">
      <c r="A1659" s="7">
        <v>5090757</v>
      </c>
      <c r="C1659" s="41">
        <v>6403.74</v>
      </c>
      <c r="D1659">
        <v>166</v>
      </c>
    </row>
    <row r="1660" spans="1:4" x14ac:dyDescent="0.3">
      <c r="A1660" s="7">
        <v>5090758</v>
      </c>
      <c r="C1660" s="41">
        <v>11.34</v>
      </c>
      <c r="D1660">
        <v>1</v>
      </c>
    </row>
    <row r="1661" spans="1:4" x14ac:dyDescent="0.3">
      <c r="A1661" s="7">
        <v>5090759</v>
      </c>
      <c r="C1661" s="41">
        <v>453.00000000000006</v>
      </c>
      <c r="D1661">
        <v>20</v>
      </c>
    </row>
    <row r="1662" spans="1:4" x14ac:dyDescent="0.3">
      <c r="A1662" s="7">
        <v>5090760</v>
      </c>
      <c r="C1662" s="41">
        <v>3724.21</v>
      </c>
      <c r="D1662">
        <v>98</v>
      </c>
    </row>
    <row r="1663" spans="1:4" x14ac:dyDescent="0.3">
      <c r="A1663" s="7">
        <v>5090761</v>
      </c>
      <c r="C1663" s="41">
        <v>911.13</v>
      </c>
      <c r="D1663">
        <v>13</v>
      </c>
    </row>
    <row r="1664" spans="1:4" x14ac:dyDescent="0.3">
      <c r="A1664" s="7">
        <v>5090778</v>
      </c>
      <c r="C1664" s="41">
        <v>634.02</v>
      </c>
      <c r="D1664">
        <v>46</v>
      </c>
    </row>
    <row r="1665" spans="1:4" x14ac:dyDescent="0.3">
      <c r="A1665" s="7">
        <v>5090779</v>
      </c>
      <c r="C1665" s="41">
        <v>3824.3900000000003</v>
      </c>
      <c r="D1665">
        <v>114</v>
      </c>
    </row>
    <row r="1666" spans="1:4" x14ac:dyDescent="0.3">
      <c r="A1666" s="7">
        <v>5090780</v>
      </c>
      <c r="C1666" s="41">
        <v>55303.619999999995</v>
      </c>
      <c r="D1666">
        <v>856</v>
      </c>
    </row>
    <row r="1667" spans="1:4" x14ac:dyDescent="0.3">
      <c r="A1667" s="7">
        <v>5090781</v>
      </c>
      <c r="C1667" s="41">
        <v>264.52999999999997</v>
      </c>
      <c r="D1667">
        <v>17</v>
      </c>
    </row>
    <row r="1668" spans="1:4" x14ac:dyDescent="0.3">
      <c r="A1668" s="7">
        <v>5090782</v>
      </c>
      <c r="C1668" s="41">
        <v>1120.1099999999999</v>
      </c>
      <c r="D1668">
        <v>32</v>
      </c>
    </row>
    <row r="1669" spans="1:4" x14ac:dyDescent="0.3">
      <c r="A1669" s="7">
        <v>5090783</v>
      </c>
      <c r="C1669" s="41">
        <v>10625.33</v>
      </c>
      <c r="D1669">
        <v>163</v>
      </c>
    </row>
    <row r="1670" spans="1:4" x14ac:dyDescent="0.3">
      <c r="A1670" s="7">
        <v>5090784</v>
      </c>
      <c r="C1670" s="41">
        <v>114.8</v>
      </c>
      <c r="D1670">
        <v>4</v>
      </c>
    </row>
    <row r="1671" spans="1:4" x14ac:dyDescent="0.3">
      <c r="A1671" s="7">
        <v>5090785</v>
      </c>
      <c r="C1671" s="41">
        <v>377.88</v>
      </c>
      <c r="D1671">
        <v>7</v>
      </c>
    </row>
    <row r="1672" spans="1:4" x14ac:dyDescent="0.3">
      <c r="A1672" s="7">
        <v>5090786</v>
      </c>
      <c r="C1672" s="41">
        <v>194.95</v>
      </c>
      <c r="D1672">
        <v>9</v>
      </c>
    </row>
    <row r="1673" spans="1:4" x14ac:dyDescent="0.3">
      <c r="A1673" s="7">
        <v>5090787</v>
      </c>
      <c r="C1673" s="41">
        <v>8894.56</v>
      </c>
      <c r="D1673">
        <v>206</v>
      </c>
    </row>
    <row r="1674" spans="1:4" x14ac:dyDescent="0.3">
      <c r="A1674" s="7">
        <v>5090790</v>
      </c>
      <c r="C1674" s="41">
        <v>3158.36</v>
      </c>
      <c r="D1674">
        <v>59</v>
      </c>
    </row>
    <row r="1675" spans="1:4" x14ac:dyDescent="0.3">
      <c r="A1675" s="7">
        <v>5090791</v>
      </c>
      <c r="C1675" s="41">
        <v>2768.09</v>
      </c>
      <c r="D1675">
        <v>45</v>
      </c>
    </row>
    <row r="1676" spans="1:4" x14ac:dyDescent="0.3">
      <c r="A1676" s="7">
        <v>5090792</v>
      </c>
      <c r="C1676" s="41">
        <v>3266.89</v>
      </c>
      <c r="D1676">
        <v>45</v>
      </c>
    </row>
    <row r="1677" spans="1:4" x14ac:dyDescent="0.3">
      <c r="A1677" s="7">
        <v>5090795</v>
      </c>
      <c r="C1677" s="41">
        <v>3017.54</v>
      </c>
      <c r="D1677">
        <v>109</v>
      </c>
    </row>
    <row r="1678" spans="1:4" x14ac:dyDescent="0.3">
      <c r="A1678" s="7">
        <v>5090796</v>
      </c>
      <c r="C1678" s="41">
        <v>25361.15</v>
      </c>
      <c r="D1678">
        <v>709</v>
      </c>
    </row>
    <row r="1679" spans="1:4" x14ac:dyDescent="0.3">
      <c r="A1679" s="7">
        <v>5090797</v>
      </c>
      <c r="C1679" s="41">
        <v>7027.4</v>
      </c>
      <c r="D1679">
        <v>183</v>
      </c>
    </row>
    <row r="1680" spans="1:4" x14ac:dyDescent="0.3">
      <c r="A1680" s="7">
        <v>5090798</v>
      </c>
      <c r="C1680" s="41">
        <v>1083.6099999999999</v>
      </c>
      <c r="D1680">
        <v>17</v>
      </c>
    </row>
    <row r="1681" spans="1:4" x14ac:dyDescent="0.3">
      <c r="A1681" s="7">
        <v>5090799</v>
      </c>
      <c r="C1681" s="41">
        <v>446.83000000000004</v>
      </c>
      <c r="D1681">
        <v>53</v>
      </c>
    </row>
    <row r="1682" spans="1:4" x14ac:dyDescent="0.3">
      <c r="A1682" s="7">
        <v>5090800</v>
      </c>
      <c r="C1682" s="41">
        <v>4649.6099999999997</v>
      </c>
      <c r="D1682">
        <v>286</v>
      </c>
    </row>
    <row r="1683" spans="1:4" x14ac:dyDescent="0.3">
      <c r="A1683" s="7">
        <v>5090801</v>
      </c>
      <c r="C1683" s="41">
        <v>45451.42</v>
      </c>
      <c r="D1683">
        <v>1758</v>
      </c>
    </row>
    <row r="1684" spans="1:4" x14ac:dyDescent="0.3">
      <c r="A1684" s="7">
        <v>5090802</v>
      </c>
      <c r="C1684" s="41">
        <v>20456.97</v>
      </c>
      <c r="D1684">
        <v>403</v>
      </c>
    </row>
    <row r="1685" spans="1:4" x14ac:dyDescent="0.3">
      <c r="A1685" s="7">
        <v>5090803</v>
      </c>
      <c r="C1685" s="41">
        <v>211.88000000000002</v>
      </c>
      <c r="D1685">
        <v>7</v>
      </c>
    </row>
    <row r="1686" spans="1:4" x14ac:dyDescent="0.3">
      <c r="A1686" s="7">
        <v>5090804</v>
      </c>
      <c r="C1686" s="41">
        <v>1059.6000000000001</v>
      </c>
      <c r="D1686">
        <v>56</v>
      </c>
    </row>
    <row r="1687" spans="1:4" x14ac:dyDescent="0.3">
      <c r="A1687" s="7">
        <v>5090805</v>
      </c>
      <c r="C1687" s="41">
        <v>53559.5</v>
      </c>
      <c r="D1687">
        <v>1867</v>
      </c>
    </row>
    <row r="1688" spans="1:4" x14ac:dyDescent="0.3">
      <c r="A1688" s="7">
        <v>5090806</v>
      </c>
      <c r="C1688" s="41">
        <v>52188.72</v>
      </c>
      <c r="D1688">
        <v>952</v>
      </c>
    </row>
    <row r="1689" spans="1:4" x14ac:dyDescent="0.3">
      <c r="A1689" s="7">
        <v>5090807</v>
      </c>
      <c r="C1689" s="41">
        <v>200.52</v>
      </c>
      <c r="D1689">
        <v>18</v>
      </c>
    </row>
    <row r="1690" spans="1:4" x14ac:dyDescent="0.3">
      <c r="A1690" s="7">
        <v>5090808</v>
      </c>
      <c r="C1690" s="41">
        <v>4192.5499999999993</v>
      </c>
      <c r="D1690">
        <v>200</v>
      </c>
    </row>
    <row r="1691" spans="1:4" x14ac:dyDescent="0.3">
      <c r="A1691" s="7">
        <v>5090809</v>
      </c>
      <c r="C1691" s="41">
        <v>145002.74</v>
      </c>
      <c r="D1691">
        <v>4196</v>
      </c>
    </row>
    <row r="1692" spans="1:4" x14ac:dyDescent="0.3">
      <c r="A1692" s="7">
        <v>5090810</v>
      </c>
      <c r="C1692" s="41">
        <v>472.65999999999997</v>
      </c>
      <c r="D1692">
        <v>130</v>
      </c>
    </row>
    <row r="1693" spans="1:4" x14ac:dyDescent="0.3">
      <c r="A1693" s="7">
        <v>5090811</v>
      </c>
      <c r="C1693" s="41">
        <v>11.78</v>
      </c>
      <c r="D1693">
        <v>1</v>
      </c>
    </row>
    <row r="1694" spans="1:4" x14ac:dyDescent="0.3">
      <c r="A1694" s="7">
        <v>5090812</v>
      </c>
      <c r="C1694" s="41">
        <v>852.49</v>
      </c>
      <c r="D1694">
        <v>35</v>
      </c>
    </row>
    <row r="1695" spans="1:4" x14ac:dyDescent="0.3">
      <c r="A1695" s="7">
        <v>5090813</v>
      </c>
      <c r="C1695" s="41">
        <v>16097.61</v>
      </c>
      <c r="D1695">
        <v>415</v>
      </c>
    </row>
    <row r="1696" spans="1:4" x14ac:dyDescent="0.3">
      <c r="A1696" s="7">
        <v>5090814</v>
      </c>
      <c r="C1696" s="41">
        <v>18.82</v>
      </c>
      <c r="D1696">
        <v>1</v>
      </c>
    </row>
    <row r="1697" spans="1:4" x14ac:dyDescent="0.3">
      <c r="A1697" s="7">
        <v>5090815</v>
      </c>
      <c r="C1697" s="41">
        <v>38.26</v>
      </c>
      <c r="D1697">
        <v>1</v>
      </c>
    </row>
    <row r="1698" spans="1:4" x14ac:dyDescent="0.3">
      <c r="A1698" s="7">
        <v>5090817</v>
      </c>
      <c r="C1698" s="41">
        <v>172.39999999999998</v>
      </c>
      <c r="D1698">
        <v>11</v>
      </c>
    </row>
    <row r="1699" spans="1:4" x14ac:dyDescent="0.3">
      <c r="A1699" s="7">
        <v>5090818</v>
      </c>
      <c r="C1699" s="41">
        <v>554.74</v>
      </c>
      <c r="D1699">
        <v>19</v>
      </c>
    </row>
    <row r="1700" spans="1:4" x14ac:dyDescent="0.3">
      <c r="A1700" s="7">
        <v>5097225</v>
      </c>
      <c r="C1700" s="41">
        <v>3751.5699999999997</v>
      </c>
      <c r="D1700">
        <v>95</v>
      </c>
    </row>
    <row r="1701" spans="1:4" x14ac:dyDescent="0.3">
      <c r="A1701" s="7">
        <v>5097226</v>
      </c>
      <c r="C1701" s="41">
        <v>43014.02</v>
      </c>
      <c r="D1701">
        <v>692</v>
      </c>
    </row>
    <row r="1702" spans="1:4" x14ac:dyDescent="0.3">
      <c r="A1702" s="7">
        <v>5110651</v>
      </c>
      <c r="C1702" s="41">
        <v>132.61000000000001</v>
      </c>
      <c r="D1702">
        <v>9</v>
      </c>
    </row>
    <row r="1703" spans="1:4" x14ac:dyDescent="0.3">
      <c r="A1703" s="7">
        <v>5110652</v>
      </c>
      <c r="C1703" s="41">
        <v>2236.2399999999998</v>
      </c>
      <c r="D1703">
        <v>65</v>
      </c>
    </row>
    <row r="1704" spans="1:4" x14ac:dyDescent="0.3">
      <c r="A1704" s="7">
        <v>5110653</v>
      </c>
      <c r="C1704" s="41">
        <v>8577.4500000000007</v>
      </c>
      <c r="D1704">
        <v>146</v>
      </c>
    </row>
    <row r="1705" spans="1:4" x14ac:dyDescent="0.3">
      <c r="A1705" s="7">
        <v>5110678</v>
      </c>
      <c r="C1705" s="41">
        <v>259.68</v>
      </c>
      <c r="D1705">
        <v>16</v>
      </c>
    </row>
    <row r="1706" spans="1:4" x14ac:dyDescent="0.3">
      <c r="A1706" s="7">
        <v>5110679</v>
      </c>
      <c r="C1706" s="41">
        <v>3008.42</v>
      </c>
      <c r="D1706">
        <v>86</v>
      </c>
    </row>
    <row r="1707" spans="1:4" x14ac:dyDescent="0.3">
      <c r="A1707" s="7">
        <v>5110680</v>
      </c>
      <c r="C1707" s="41">
        <v>65856.05</v>
      </c>
      <c r="D1707">
        <v>1268</v>
      </c>
    </row>
    <row r="1708" spans="1:4" x14ac:dyDescent="0.3">
      <c r="A1708" s="7">
        <v>5217513</v>
      </c>
      <c r="C1708" s="41">
        <v>2709.3999999999996</v>
      </c>
      <c r="D1708">
        <v>96</v>
      </c>
    </row>
    <row r="1709" spans="1:4" x14ac:dyDescent="0.3">
      <c r="A1709" s="7">
        <v>5217517</v>
      </c>
      <c r="C1709" s="41">
        <v>36424.15</v>
      </c>
      <c r="D1709">
        <v>800</v>
      </c>
    </row>
    <row r="1710" spans="1:4" x14ac:dyDescent="0.3">
      <c r="A1710" s="7">
        <v>5219306</v>
      </c>
      <c r="C1710" s="41">
        <v>22695.03</v>
      </c>
      <c r="D1710">
        <v>969</v>
      </c>
    </row>
    <row r="1711" spans="1:4" x14ac:dyDescent="0.3">
      <c r="A1711" s="7">
        <v>5219307</v>
      </c>
      <c r="C1711" s="41">
        <v>14630.39</v>
      </c>
      <c r="D1711">
        <v>892</v>
      </c>
    </row>
    <row r="1712" spans="1:4" x14ac:dyDescent="0.3">
      <c r="A1712" s="7">
        <v>5219308</v>
      </c>
      <c r="C1712" s="41">
        <v>17087.77</v>
      </c>
      <c r="D1712">
        <v>786</v>
      </c>
    </row>
    <row r="1713" spans="1:4" x14ac:dyDescent="0.3">
      <c r="A1713" s="7">
        <v>5219309</v>
      </c>
      <c r="C1713" s="41">
        <v>149.43</v>
      </c>
      <c r="D1713">
        <v>8</v>
      </c>
    </row>
    <row r="1714" spans="1:4" x14ac:dyDescent="0.3">
      <c r="A1714" s="7">
        <v>5219310</v>
      </c>
      <c r="C1714" s="41">
        <v>416.39</v>
      </c>
      <c r="D1714">
        <v>22</v>
      </c>
    </row>
    <row r="1715" spans="1:4" x14ac:dyDescent="0.3">
      <c r="A1715" s="7">
        <v>5219311</v>
      </c>
      <c r="C1715" s="41">
        <v>3405.66</v>
      </c>
      <c r="D1715">
        <v>151</v>
      </c>
    </row>
    <row r="1716" spans="1:4" x14ac:dyDescent="0.3">
      <c r="A1716" s="7">
        <v>5219312</v>
      </c>
      <c r="C1716" s="41">
        <v>2866.36</v>
      </c>
      <c r="D1716">
        <v>154</v>
      </c>
    </row>
    <row r="1717" spans="1:4" x14ac:dyDescent="0.3">
      <c r="A1717" s="7">
        <v>5219314</v>
      </c>
      <c r="C1717" s="41">
        <v>145.44</v>
      </c>
      <c r="D1717">
        <v>14</v>
      </c>
    </row>
    <row r="1718" spans="1:4" x14ac:dyDescent="0.3">
      <c r="A1718" s="7">
        <v>5219315</v>
      </c>
      <c r="C1718" s="41">
        <v>6493.75</v>
      </c>
      <c r="D1718">
        <v>413</v>
      </c>
    </row>
    <row r="1719" spans="1:4" x14ac:dyDescent="0.3">
      <c r="A1719" s="7">
        <v>5219316</v>
      </c>
      <c r="C1719" s="41">
        <v>1532.22</v>
      </c>
      <c r="D1719">
        <v>77</v>
      </c>
    </row>
    <row r="1720" spans="1:4" x14ac:dyDescent="0.3">
      <c r="A1720" s="7">
        <v>5219317</v>
      </c>
      <c r="C1720" s="41">
        <v>16646.21</v>
      </c>
      <c r="D1720">
        <v>697</v>
      </c>
    </row>
    <row r="1721" spans="1:4" x14ac:dyDescent="0.3">
      <c r="A1721" s="7">
        <v>5219318</v>
      </c>
      <c r="C1721" s="41">
        <v>133.74</v>
      </c>
      <c r="D1721">
        <v>20</v>
      </c>
    </row>
    <row r="1722" spans="1:4" x14ac:dyDescent="0.3">
      <c r="A1722" s="7">
        <v>5219319</v>
      </c>
      <c r="C1722" s="41">
        <v>564.08999999999992</v>
      </c>
      <c r="D1722">
        <v>48</v>
      </c>
    </row>
    <row r="1723" spans="1:4" x14ac:dyDescent="0.3">
      <c r="A1723" s="7">
        <v>5219320</v>
      </c>
      <c r="C1723" s="41">
        <v>3192.91</v>
      </c>
      <c r="D1723">
        <v>152</v>
      </c>
    </row>
    <row r="1724" spans="1:4" x14ac:dyDescent="0.3">
      <c r="A1724" s="7">
        <v>5219321</v>
      </c>
      <c r="C1724" s="41">
        <v>548.29</v>
      </c>
      <c r="D1724">
        <v>37</v>
      </c>
    </row>
    <row r="1725" spans="1:4" x14ac:dyDescent="0.3">
      <c r="A1725" s="7">
        <v>5219322</v>
      </c>
      <c r="C1725" s="41">
        <v>355.53999999999996</v>
      </c>
      <c r="D1725">
        <v>29</v>
      </c>
    </row>
    <row r="1726" spans="1:4" x14ac:dyDescent="0.3">
      <c r="A1726" s="7">
        <v>5219323</v>
      </c>
      <c r="C1726" s="41">
        <v>577.51</v>
      </c>
      <c r="D1726">
        <v>36</v>
      </c>
    </row>
    <row r="1727" spans="1:4" x14ac:dyDescent="0.3">
      <c r="A1727" s="7">
        <v>5219324</v>
      </c>
      <c r="C1727" s="41">
        <v>519.24</v>
      </c>
      <c r="D1727">
        <v>59</v>
      </c>
    </row>
    <row r="1728" spans="1:4" x14ac:dyDescent="0.3">
      <c r="A1728" s="7">
        <v>5219325</v>
      </c>
      <c r="C1728" s="41">
        <v>12625.210000000001</v>
      </c>
      <c r="D1728">
        <v>862</v>
      </c>
    </row>
    <row r="1729" spans="1:4" x14ac:dyDescent="0.3">
      <c r="A1729" s="7">
        <v>5219327</v>
      </c>
      <c r="C1729" s="41">
        <v>3715.41</v>
      </c>
      <c r="D1729">
        <v>253</v>
      </c>
    </row>
    <row r="1730" spans="1:4" x14ac:dyDescent="0.3">
      <c r="A1730" s="7">
        <v>5219329</v>
      </c>
      <c r="C1730" s="41">
        <v>739.88999999999987</v>
      </c>
      <c r="D1730">
        <v>46</v>
      </c>
    </row>
    <row r="1731" spans="1:4" x14ac:dyDescent="0.3">
      <c r="A1731" s="7">
        <v>5220395</v>
      </c>
      <c r="C1731" s="41">
        <v>835.18</v>
      </c>
      <c r="D1731">
        <v>61</v>
      </c>
    </row>
    <row r="1732" spans="1:4" x14ac:dyDescent="0.3">
      <c r="A1732" s="7">
        <v>5220396</v>
      </c>
      <c r="C1732" s="41">
        <v>3491.62</v>
      </c>
      <c r="D1732">
        <v>128</v>
      </c>
    </row>
    <row r="1733" spans="1:4" x14ac:dyDescent="0.3">
      <c r="A1733" s="7">
        <v>5220397</v>
      </c>
      <c r="C1733" s="41">
        <v>9940.67</v>
      </c>
      <c r="D1733">
        <v>217</v>
      </c>
    </row>
    <row r="1734" spans="1:4" x14ac:dyDescent="0.3">
      <c r="A1734" s="7">
        <v>5220398</v>
      </c>
      <c r="C1734" s="41">
        <v>733.03</v>
      </c>
      <c r="D1734">
        <v>43</v>
      </c>
    </row>
    <row r="1735" spans="1:4" x14ac:dyDescent="0.3">
      <c r="A1735" s="7">
        <v>5220399</v>
      </c>
      <c r="C1735" s="41">
        <v>3236.35</v>
      </c>
      <c r="D1735">
        <v>96</v>
      </c>
    </row>
    <row r="1736" spans="1:4" x14ac:dyDescent="0.3">
      <c r="A1736" s="7">
        <v>5220433</v>
      </c>
      <c r="C1736" s="41">
        <v>15342.56</v>
      </c>
      <c r="D1736">
        <v>272</v>
      </c>
    </row>
    <row r="1737" spans="1:4" x14ac:dyDescent="0.3">
      <c r="A1737" s="7">
        <v>5224812</v>
      </c>
      <c r="C1737" s="41">
        <v>110788.03</v>
      </c>
      <c r="D1737">
        <v>1922</v>
      </c>
    </row>
    <row r="1738" spans="1:4" x14ac:dyDescent="0.3">
      <c r="A1738" s="7">
        <v>5236726</v>
      </c>
      <c r="C1738" s="41">
        <v>6672.95</v>
      </c>
      <c r="D1738">
        <v>243</v>
      </c>
    </row>
    <row r="1739" spans="1:4" x14ac:dyDescent="0.3">
      <c r="A1739" s="7">
        <v>5236727</v>
      </c>
      <c r="C1739" s="41">
        <v>1634.69</v>
      </c>
      <c r="D1739">
        <v>55</v>
      </c>
    </row>
    <row r="1740" spans="1:4" x14ac:dyDescent="0.3">
      <c r="A1740" s="7">
        <v>5242767</v>
      </c>
      <c r="C1740" s="41">
        <v>498.37</v>
      </c>
      <c r="D1740">
        <v>37</v>
      </c>
    </row>
    <row r="1741" spans="1:4" x14ac:dyDescent="0.3">
      <c r="A1741" s="7">
        <v>5242783</v>
      </c>
      <c r="C1741" s="41">
        <v>2739.09</v>
      </c>
      <c r="D1741">
        <v>102</v>
      </c>
    </row>
    <row r="1742" spans="1:4" x14ac:dyDescent="0.3">
      <c r="A1742" s="7">
        <v>5242791</v>
      </c>
      <c r="C1742" s="41">
        <v>9583.4700000000012</v>
      </c>
      <c r="D1742">
        <v>223</v>
      </c>
    </row>
    <row r="1743" spans="1:4" x14ac:dyDescent="0.3">
      <c r="A1743" s="7">
        <v>5293175</v>
      </c>
      <c r="C1743" s="41">
        <v>68395.37</v>
      </c>
      <c r="D1743">
        <v>2692</v>
      </c>
    </row>
    <row r="1744" spans="1:4" x14ac:dyDescent="0.3">
      <c r="A1744" s="7">
        <v>5313745</v>
      </c>
      <c r="C1744" s="41">
        <v>71.58</v>
      </c>
      <c r="D1744">
        <v>5</v>
      </c>
    </row>
    <row r="1745" spans="1:4" x14ac:dyDescent="0.3">
      <c r="A1745" s="7">
        <v>5326056</v>
      </c>
      <c r="C1745" s="41">
        <v>57.64</v>
      </c>
      <c r="D1745">
        <v>3</v>
      </c>
    </row>
    <row r="1746" spans="1:4" x14ac:dyDescent="0.3">
      <c r="A1746" s="7">
        <v>5326057</v>
      </c>
      <c r="C1746" s="41">
        <v>505.30999999999995</v>
      </c>
      <c r="D1746">
        <v>12</v>
      </c>
    </row>
    <row r="1747" spans="1:4" x14ac:dyDescent="0.3">
      <c r="A1747" s="7">
        <v>5326058</v>
      </c>
      <c r="C1747" s="41">
        <v>8586.81</v>
      </c>
      <c r="D1747">
        <v>139</v>
      </c>
    </row>
    <row r="1748" spans="1:4" x14ac:dyDescent="0.3">
      <c r="A1748" s="7">
        <v>5480753</v>
      </c>
      <c r="C1748" s="41">
        <v>111.58000000000001</v>
      </c>
      <c r="D1748">
        <v>3</v>
      </c>
    </row>
    <row r="1749" spans="1:4" x14ac:dyDescent="0.3">
      <c r="A1749" s="7">
        <v>5480938</v>
      </c>
      <c r="C1749" s="41">
        <v>272.28999999999996</v>
      </c>
      <c r="D1749">
        <v>12</v>
      </c>
    </row>
    <row r="1750" spans="1:4" x14ac:dyDescent="0.3">
      <c r="A1750" s="7">
        <v>5480940</v>
      </c>
      <c r="C1750" s="41">
        <v>1397.47</v>
      </c>
      <c r="D1750">
        <v>38</v>
      </c>
    </row>
    <row r="1751" spans="1:4" x14ac:dyDescent="0.3">
      <c r="A1751" s="7">
        <v>5572017</v>
      </c>
      <c r="C1751" s="41">
        <v>43951.509999999995</v>
      </c>
      <c r="D1751">
        <v>1000</v>
      </c>
    </row>
    <row r="1752" spans="1:4" x14ac:dyDescent="0.3">
      <c r="A1752" s="7">
        <v>5745112</v>
      </c>
      <c r="C1752" s="41">
        <v>312.76</v>
      </c>
      <c r="D1752">
        <v>16</v>
      </c>
    </row>
    <row r="1753" spans="1:4" x14ac:dyDescent="0.3">
      <c r="A1753" s="7">
        <v>5745131</v>
      </c>
      <c r="C1753" s="41">
        <v>2056.2200000000003</v>
      </c>
      <c r="D1753">
        <v>51</v>
      </c>
    </row>
    <row r="1754" spans="1:4" x14ac:dyDescent="0.3">
      <c r="A1754" s="7">
        <v>5745136</v>
      </c>
      <c r="C1754" s="41">
        <v>3427.94</v>
      </c>
      <c r="D1754">
        <v>51</v>
      </c>
    </row>
    <row r="1755" spans="1:4" x14ac:dyDescent="0.3">
      <c r="A1755" s="7">
        <v>5745138</v>
      </c>
      <c r="C1755" s="41">
        <v>414.98</v>
      </c>
      <c r="D1755">
        <v>21</v>
      </c>
    </row>
    <row r="1756" spans="1:4" x14ac:dyDescent="0.3">
      <c r="A1756" s="7">
        <v>5745139</v>
      </c>
      <c r="C1756" s="41">
        <v>3651.9</v>
      </c>
      <c r="D1756">
        <v>91</v>
      </c>
    </row>
    <row r="1757" spans="1:4" x14ac:dyDescent="0.3">
      <c r="A1757" s="7">
        <v>5745140</v>
      </c>
      <c r="C1757" s="41">
        <v>4008.7799999999997</v>
      </c>
      <c r="D1757">
        <v>59</v>
      </c>
    </row>
    <row r="1758" spans="1:4" x14ac:dyDescent="0.3">
      <c r="A1758" s="7">
        <v>5748556</v>
      </c>
      <c r="C1758" s="41">
        <v>2313.12</v>
      </c>
      <c r="D1758">
        <v>47</v>
      </c>
    </row>
    <row r="1759" spans="1:4" x14ac:dyDescent="0.3">
      <c r="A1759" s="7">
        <v>6412815</v>
      </c>
      <c r="C1759" s="41">
        <v>29.120000000000005</v>
      </c>
      <c r="D1759">
        <v>13</v>
      </c>
    </row>
  </sheetData>
  <autoFilter ref="A1:E1635" xr:uid="{EE336D80-8C2D-4911-9177-CE19B5E7CFE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AC86B1897EDCA74C90CA2EDF806E6CFA" ma:contentTypeVersion="12" ma:contentTypeDescription="Create a new document." ma:contentTypeScope="" ma:versionID="7fca935fb38f5aaee73c5507e28bf14f">
  <xsd:schema xmlns:xsd="http://www.w3.org/2001/XMLSchema" xmlns:xs="http://www.w3.org/2001/XMLSchema" xmlns:p="http://schemas.microsoft.com/office/2006/metadata/properties" xmlns:ns2="dd4e6068-d0bf-4200-aa1c-0b4f25208e03" xmlns:ns3="cff3def4-f782-496f-ac92-defd579b5973" targetNamespace="http://schemas.microsoft.com/office/2006/metadata/properties" ma:root="true" ma:fieldsID="6a3fcb660d0135feabc5b788664b327c" ns2:_="" ns3:_="">
    <xsd:import namespace="dd4e6068-d0bf-4200-aa1c-0b4f25208e03"/>
    <xsd:import namespace="cff3def4-f782-496f-ac92-defd579b59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4e6068-d0bf-4200-aa1c-0b4f25208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4817a06-5577-4462-8781-9851d056e4a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f3def4-f782-496f-ac92-defd579b597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4efe4a4-2334-4a96-98d8-cb8ba07f83a4}" ma:internalName="TaxCatchAll" ma:showField="CatchAllData" ma:web="cff3def4-f782-496f-ac92-defd579b59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dd4e6068-d0bf-4200-aa1c-0b4f25208e03">
      <Terms xmlns="http://schemas.microsoft.com/office/infopath/2007/PartnerControls"/>
    </lcf76f155ced4ddcb4097134ff3c332f>
    <TaxCatchAll xmlns="cff3def4-f782-496f-ac92-defd579b5973" xsi:nil="true"/>
  </documentManagement>
</p:properties>
</file>

<file path=customXml/itemProps1.xml><?xml version="1.0" encoding="utf-8"?>
<ds:datastoreItem xmlns:ds="http://schemas.openxmlformats.org/officeDocument/2006/customXml" ds:itemID="{6FFF607B-2DE3-4CEB-BF6D-E47342EAFD5B}">
  <ds:schemaRefs>
    <ds:schemaRef ds:uri="http://schemas.microsoft.com/sharepoint/v3/contenttype/forms"/>
  </ds:schemaRefs>
</ds:datastoreItem>
</file>

<file path=customXml/itemProps2.xml><?xml version="1.0" encoding="utf-8"?>
<ds:datastoreItem xmlns:ds="http://schemas.openxmlformats.org/officeDocument/2006/customXml" ds:itemID="{D901E577-7215-438A-AC64-D02624B1352A}">
  <ds:schemaRefs>
    <ds:schemaRef ds:uri="http://schemas.microsoft.com/DataMashup"/>
  </ds:schemaRefs>
</ds:datastoreItem>
</file>

<file path=customXml/itemProps3.xml><?xml version="1.0" encoding="utf-8"?>
<ds:datastoreItem xmlns:ds="http://schemas.openxmlformats.org/officeDocument/2006/customXml" ds:itemID="{BB295B85-7D6E-43B5-8158-F7382FFF5D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4e6068-d0bf-4200-aa1c-0b4f25208e03"/>
    <ds:schemaRef ds:uri="cff3def4-f782-496f-ac92-defd579b59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050930E-0DE3-4C07-8861-F90FA12F02C5}">
  <ds:schemaRefs>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dd4e6068-d0bf-4200-aa1c-0b4f25208e03"/>
    <ds:schemaRef ds:uri="http://schemas.microsoft.com/office/2006/metadata/properties"/>
    <ds:schemaRef ds:uri="http://purl.org/dc/elements/1.1/"/>
    <ds:schemaRef ds:uri="cff3def4-f782-496f-ac92-defd579b5973"/>
    <ds:schemaRef ds:uri="http://www.w3.org/XML/1998/namespace"/>
    <ds:schemaRef ds:uri="http://purl.org/dc/dcmitype/"/>
  </ds:schemaRefs>
</ds:datastoreItem>
</file>

<file path=docMetadata/LabelInfo.xml><?xml version="1.0" encoding="utf-8"?>
<clbl:labelList xmlns:clbl="http://schemas.microsoft.com/office/2020/mipLabelMetadata">
  <clbl:label id="{bafec85b-e817-4277-86cb-66dc7d424280}" enabled="1" method="Standard" siteId="{aab2e961-1f45-4717-9a42-8f87802af9b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Akzo Sept 01 25  </vt:lpstr>
      <vt:lpstr>Sheet1</vt:lpstr>
      <vt:lpstr>Remove Old Items </vt:lpstr>
      <vt:lpstr>Sheet3</vt:lpstr>
      <vt:lpstr>Tash Lookup</vt:lpstr>
    </vt:vector>
  </TitlesOfParts>
  <Company>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Carolyn Baker</dc:creator>
  <cp:lastModifiedBy>Jack Bellamy</cp:lastModifiedBy>
  <dcterms:created xsi:type="dcterms:W3CDTF">2021-04-28T11:10:18Z</dcterms:created>
  <dcterms:modified xsi:type="dcterms:W3CDTF">2025-10-07T13:10:32Z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	2057</vt:lpwstr>
  </property>
  <property fmtid="{D5CDD505-2E9C-101B-9397-08002B2CF9AE}" pid="3" name="ContentTypeId">
    <vt:lpwstr>0x010100AC86B1897EDCA74C90CA2EDF806E6CFA</vt:lpwstr>
  </property>
  <property fmtid="{D5CDD505-2E9C-101B-9397-08002B2CF9AE}" pid="4" name="MediaServiceImageTags">
    <vt:lpwstr/>
  </property>
</Properties>
</file>